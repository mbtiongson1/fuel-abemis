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romer\Downloads\"/>
    </mc:Choice>
  </mc:AlternateContent>
  <xr:revisionPtr revIDLastSave="0" documentId="13_ncr:1_{448C8842-012D-4CB4-B1BB-BB7C203DEF95}" xr6:coauthVersionLast="47" xr6:coauthVersionMax="47" xr10:uidLastSave="{00000000-0000-0000-0000-000000000000}"/>
  <bookViews>
    <workbookView xWindow="-108" yWindow="-108" windowWidth="23256" windowHeight="12456" tabRatio="844" xr2:uid="{00000000-000D-0000-FFFF-FFFF00000000}"/>
  </bookViews>
  <sheets>
    <sheet name="Assumptions&amp;Calculations" sheetId="29" r:id="rId1"/>
    <sheet name="Summary" sheetId="28" r:id="rId2"/>
    <sheet name="L Requirements" sheetId="45" r:id="rId3"/>
    <sheet name="Beneficiary Estimation" sheetId="39" r:id="rId4"/>
    <sheet name="World Bank Commodity Price Data" sheetId="36" r:id="rId5"/>
    <sheet name="MOPS" sheetId="37" r:id="rId6"/>
    <sheet name="Fuel Cost" sheetId="31" r:id="rId7"/>
    <sheet name="Daily Exchange Rate" sheetId="30" r:id="rId8"/>
    <sheet name="Machinery Inventory (Rice)" sheetId="13" r:id="rId9"/>
    <sheet name="Operation Inventory (Rice)" sheetId="16" r:id="rId10"/>
    <sheet name="Total Inventory (Rice)" sheetId="22" r:id="rId11"/>
    <sheet name="Total Fuel per Operation (Rice)" sheetId="17" r:id="rId12"/>
    <sheet name="Machinery Inventory (Corn)" sheetId="15" r:id="rId13"/>
    <sheet name="Operation Inventory (Corn)" sheetId="18" r:id="rId14"/>
    <sheet name="Total Inventory (Corn)" sheetId="24" r:id="rId15"/>
    <sheet name="Total Fuel per Operation (Corn)" sheetId="19" r:id="rId16"/>
    <sheet name="Machinery Inventory (HVC)" sheetId="14" r:id="rId17"/>
    <sheet name="Operation Inventory (HVC)" sheetId="20" r:id="rId18"/>
    <sheet name="Total Inventory (HVC)" sheetId="25" r:id="rId19"/>
    <sheet name="Total Fuel per Operation (HVC)" sheetId="21" r:id="rId20"/>
    <sheet name="BreakDown" sheetId="32" r:id="rId21"/>
    <sheet name="Total Fuel per Operation(Sugar)" sheetId="33" r:id="rId22"/>
    <sheet name="Fuel per Province (Sugar)" sheetId="35" r:id="rId23"/>
    <sheet name="Fuel per Region (Sugar)" sheetId="38" r:id="rId24"/>
    <sheet name="Consumption per month" sheetId="34" r:id="rId25"/>
    <sheet name="Summary (80%2)" sheetId="40" r:id="rId26"/>
    <sheet name="Capture Fuel Consumption" sheetId="41" r:id="rId27"/>
    <sheet name="Fishery Beneficiary Estimation" sheetId="42" r:id="rId28"/>
    <sheet name="Aquaculture Fuel Consumption" sheetId="43" r:id="rId29"/>
    <sheet name="Aquaculture Breakdown" sheetId="44" r:id="rId30"/>
  </sheets>
  <definedNames>
    <definedName name="_xlnm._FilterDatabase" localSheetId="26" hidden="1">'Capture Fuel Consumption'!$A$5:$AK$231</definedName>
    <definedName name="_p1" localSheetId="25">#REF!</definedName>
    <definedName name="_p1">#REF!</definedName>
    <definedName name="CURRENTYEAR" localSheetId="25">#REF!</definedName>
    <definedName name="CURRENTYEAR">#REF!</definedName>
    <definedName name="LOOKUPMTH" localSheetId="25">#REF!</definedName>
    <definedName name="LOOKUPMTH">#REF!</definedName>
    <definedName name="mi" localSheetId="25">#REF!</definedName>
    <definedName name="mi">#REF!</definedName>
    <definedName name="Month" localSheetId="25">#REF!</definedName>
    <definedName name="Month">#REF!</definedName>
    <definedName name="_xlnm.Print_Area" localSheetId="7">'Daily Exchange Rate'!$A$1:$M$1535</definedName>
    <definedName name="_xlnm.Print_Area" localSheetId="25">#REF!</definedName>
    <definedName name="_xlnm.Print_Area" localSheetId="4">'World Bank Commodity Price Data'!#REF!</definedName>
    <definedName name="_xlnm.Print_Area">#REF!</definedName>
    <definedName name="PRINT_AREA_MI" localSheetId="25">#REF!</definedName>
    <definedName name="PRINT_AREA_MI">#REF!</definedName>
    <definedName name="_xlnm.Print_Titles" localSheetId="7">'Daily Exchange Rate'!$1:$4</definedName>
    <definedName name="_xlnm.Print_Titles" localSheetId="4">'World Bank Commodity Price Data'!$A:$A,'World Bank Commodity Price Data'!$7:$9</definedName>
    <definedName name="web" localSheetId="25">#REF!</definedName>
    <definedName name="we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29" l="1"/>
  <c r="F1359" i="37"/>
  <c r="G1359" i="37" s="1"/>
  <c r="E1359" i="37"/>
  <c r="F1358" i="37"/>
  <c r="G1358" i="37" s="1"/>
  <c r="E1358" i="37"/>
  <c r="F1357" i="37"/>
  <c r="G1357" i="37" s="1"/>
  <c r="E1357" i="37"/>
  <c r="F1356" i="37"/>
  <c r="G1356" i="37" s="1"/>
  <c r="E1356" i="37"/>
  <c r="F1355" i="37"/>
  <c r="G1355" i="37" s="1"/>
  <c r="E1355" i="37"/>
  <c r="F1354" i="37"/>
  <c r="G1354" i="37" s="1"/>
  <c r="E1354" i="37"/>
  <c r="F1353" i="37"/>
  <c r="G1353" i="37" s="1"/>
  <c r="E1353" i="37"/>
  <c r="C1353" i="37"/>
  <c r="F1352" i="37"/>
  <c r="G1352" i="37" s="1"/>
  <c r="E1352" i="37"/>
  <c r="F1351" i="37"/>
  <c r="G1351" i="37" s="1"/>
  <c r="E1351" i="37"/>
  <c r="F1350" i="37"/>
  <c r="G1350" i="37" s="1"/>
  <c r="E1350" i="37"/>
  <c r="F1349" i="37"/>
  <c r="G1349" i="37" s="1"/>
  <c r="E1349" i="37"/>
  <c r="F1348" i="37"/>
  <c r="G1348" i="37" s="1"/>
  <c r="E1348" i="37"/>
  <c r="F1347" i="37"/>
  <c r="G1347" i="37" s="1"/>
  <c r="E1347" i="37"/>
  <c r="F1346" i="37"/>
  <c r="G1346" i="37" s="1"/>
  <c r="E1346" i="37"/>
  <c r="C1346" i="37"/>
  <c r="C83" i="13"/>
  <c r="C32" i="28"/>
  <c r="D32" i="28"/>
  <c r="F32" i="28"/>
  <c r="G32" i="28"/>
  <c r="I32" i="28"/>
  <c r="K32" i="28"/>
  <c r="L32" i="28"/>
  <c r="B32" i="28"/>
  <c r="C12" i="28"/>
  <c r="D12" i="28"/>
  <c r="B12" i="28"/>
  <c r="C50" i="28"/>
  <c r="D50" i="28"/>
  <c r="E50" i="28"/>
  <c r="I50" i="28"/>
  <c r="C51" i="28"/>
  <c r="D51" i="28"/>
  <c r="E51" i="28"/>
  <c r="I51" i="28"/>
  <c r="C52" i="28"/>
  <c r="D52" i="28"/>
  <c r="E52" i="28"/>
  <c r="I52" i="28"/>
  <c r="C30" i="28"/>
  <c r="D30" i="28"/>
  <c r="F30" i="28"/>
  <c r="G30" i="28"/>
  <c r="I30" i="28"/>
  <c r="J30" i="28"/>
  <c r="L30" i="28"/>
  <c r="M30" i="28"/>
  <c r="C31" i="28"/>
  <c r="D31" i="28"/>
  <c r="F31" i="28"/>
  <c r="G31" i="28"/>
  <c r="I31" i="28"/>
  <c r="J31" i="28"/>
  <c r="L31" i="28"/>
  <c r="M31" i="28"/>
  <c r="E11" i="28"/>
  <c r="E11" i="40" s="1"/>
  <c r="E10" i="28"/>
  <c r="K10" i="28"/>
  <c r="J53" i="25"/>
  <c r="I53" i="25"/>
  <c r="H53" i="25"/>
  <c r="G53" i="25"/>
  <c r="F53" i="25"/>
  <c r="E53" i="25"/>
  <c r="D53" i="25"/>
  <c r="C53" i="25"/>
  <c r="J52" i="25"/>
  <c r="I52" i="25"/>
  <c r="H52" i="25"/>
  <c r="G52" i="25"/>
  <c r="F52" i="25"/>
  <c r="E52" i="25"/>
  <c r="D52" i="25"/>
  <c r="C52" i="25"/>
  <c r="C12" i="42"/>
  <c r="T12" i="29" l="1"/>
  <c r="F245" i="37"/>
  <c r="G245" i="37" s="1"/>
  <c r="F246" i="37"/>
  <c r="G246" i="37" s="1"/>
  <c r="F247" i="37"/>
  <c r="G247" i="37" s="1"/>
  <c r="F248" i="37"/>
  <c r="G248" i="37" s="1"/>
  <c r="F249" i="37"/>
  <c r="G249" i="37" s="1"/>
  <c r="F250" i="37"/>
  <c r="G250" i="37" s="1"/>
  <c r="F251" i="37"/>
  <c r="G251" i="37" s="1"/>
  <c r="F252" i="37"/>
  <c r="G252" i="37" s="1"/>
  <c r="F253" i="37"/>
  <c r="G253" i="37" s="1"/>
  <c r="F254" i="37"/>
  <c r="G254" i="37" s="1"/>
  <c r="F255" i="37"/>
  <c r="G255" i="37" s="1"/>
  <c r="F256" i="37"/>
  <c r="G256" i="37" s="1"/>
  <c r="F257" i="37"/>
  <c r="G257" i="37" s="1"/>
  <c r="F258" i="37"/>
  <c r="G258" i="37" s="1"/>
  <c r="E151" i="37"/>
  <c r="E152" i="37"/>
  <c r="E153" i="37"/>
  <c r="E154" i="37"/>
  <c r="E155" i="37"/>
  <c r="E156" i="37"/>
  <c r="E157" i="37"/>
  <c r="E158" i="37"/>
  <c r="E159" i="37"/>
  <c r="E160" i="37"/>
  <c r="E161" i="37"/>
  <c r="E162" i="37"/>
  <c r="E163" i="37"/>
  <c r="E164" i="37"/>
  <c r="E165" i="37"/>
  <c r="E166" i="37"/>
  <c r="E167" i="37"/>
  <c r="E168" i="37"/>
  <c r="E169" i="37"/>
  <c r="E170" i="37"/>
  <c r="E171" i="37"/>
  <c r="E172" i="37"/>
  <c r="E173" i="37"/>
  <c r="E174" i="37"/>
  <c r="E175" i="37"/>
  <c r="E176" i="37"/>
  <c r="E177" i="37"/>
  <c r="E178" i="37"/>
  <c r="E179" i="37"/>
  <c r="E180" i="37"/>
  <c r="E181" i="37"/>
  <c r="E182" i="37"/>
  <c r="E183" i="37"/>
  <c r="E184" i="37"/>
  <c r="E185" i="37"/>
  <c r="E186" i="37"/>
  <c r="E187" i="37"/>
  <c r="E188" i="37"/>
  <c r="E189" i="37"/>
  <c r="E190" i="37"/>
  <c r="E191" i="37"/>
  <c r="E192" i="37"/>
  <c r="E193" i="37"/>
  <c r="E194" i="37"/>
  <c r="E195" i="37"/>
  <c r="E196" i="37"/>
  <c r="E197" i="37"/>
  <c r="E198" i="37"/>
  <c r="E199" i="37"/>
  <c r="E200" i="37"/>
  <c r="E201" i="37"/>
  <c r="E202" i="37"/>
  <c r="E203" i="37"/>
  <c r="E204" i="37"/>
  <c r="E205" i="37"/>
  <c r="E206" i="37"/>
  <c r="E207" i="37"/>
  <c r="E208" i="37"/>
  <c r="E209" i="37"/>
  <c r="E210" i="37"/>
  <c r="E211" i="37"/>
  <c r="E212" i="37"/>
  <c r="E213" i="37"/>
  <c r="E214" i="37"/>
  <c r="E215" i="37"/>
  <c r="E216" i="37"/>
  <c r="E217" i="37"/>
  <c r="E218" i="37"/>
  <c r="E219" i="37"/>
  <c r="E220" i="37"/>
  <c r="E221" i="37"/>
  <c r="E222" i="37"/>
  <c r="E223" i="37"/>
  <c r="E150" i="37"/>
  <c r="E52" i="37"/>
  <c r="E53" i="37"/>
  <c r="E54" i="37"/>
  <c r="E55" i="37"/>
  <c r="E56" i="37"/>
  <c r="E57" i="37"/>
  <c r="E26" i="37"/>
  <c r="E27" i="37"/>
  <c r="E28" i="37"/>
  <c r="E29" i="37"/>
  <c r="E30" i="37"/>
  <c r="E31" i="37"/>
  <c r="E32" i="37"/>
  <c r="E33" i="37"/>
  <c r="E34" i="37"/>
  <c r="E35" i="37"/>
  <c r="E36" i="37"/>
  <c r="E37" i="37"/>
  <c r="E38" i="37"/>
  <c r="E39" i="37"/>
  <c r="E40" i="37"/>
  <c r="E41" i="37"/>
  <c r="E42" i="37"/>
  <c r="E43" i="37"/>
  <c r="E44" i="37"/>
  <c r="E45" i="37"/>
  <c r="E46" i="37"/>
  <c r="E47" i="37"/>
  <c r="E48" i="37"/>
  <c r="E49" i="37"/>
  <c r="E50" i="37"/>
  <c r="E51" i="37"/>
  <c r="E12" i="37"/>
  <c r="E13" i="37"/>
  <c r="E14" i="37"/>
  <c r="E15" i="37"/>
  <c r="E16" i="37"/>
  <c r="E17" i="37"/>
  <c r="E18" i="37"/>
  <c r="E19" i="37"/>
  <c r="E20" i="37"/>
  <c r="E21" i="37"/>
  <c r="E22" i="37"/>
  <c r="E23" i="37"/>
  <c r="E24" i="37"/>
  <c r="E25" i="37"/>
  <c r="E4" i="37"/>
  <c r="E5" i="37"/>
  <c r="E6" i="37"/>
  <c r="E7" i="37"/>
  <c r="E8" i="37"/>
  <c r="E9" i="37"/>
  <c r="E10" i="37"/>
  <c r="E11" i="37"/>
  <c r="E3" i="37"/>
  <c r="C254" i="37"/>
  <c r="C247" i="37"/>
  <c r="D254" i="37"/>
  <c r="F244" i="37"/>
  <c r="G244" i="37" s="1"/>
  <c r="M27" i="39"/>
  <c r="M31" i="39" s="1"/>
  <c r="I29" i="39"/>
  <c r="AQ24" i="39"/>
  <c r="BC4" i="39"/>
  <c r="BD4" i="39"/>
  <c r="BC5" i="39"/>
  <c r="BD5" i="39"/>
  <c r="BC6" i="39"/>
  <c r="BD6" i="39"/>
  <c r="BC7" i="39"/>
  <c r="BD7" i="39"/>
  <c r="BC8" i="39"/>
  <c r="BD8" i="39"/>
  <c r="BC9" i="39"/>
  <c r="BD9" i="39"/>
  <c r="BC10" i="39"/>
  <c r="BD10" i="39"/>
  <c r="BC11" i="39"/>
  <c r="BD11" i="39"/>
  <c r="BC12" i="39"/>
  <c r="BD12" i="39"/>
  <c r="BC13" i="39"/>
  <c r="BD13" i="39"/>
  <c r="BC14" i="39"/>
  <c r="BD14" i="39"/>
  <c r="BC15" i="39"/>
  <c r="BD15" i="39"/>
  <c r="BC16" i="39"/>
  <c r="BD16" i="39"/>
  <c r="BC17" i="39"/>
  <c r="BD17" i="39"/>
  <c r="BC18" i="39"/>
  <c r="BD18" i="39"/>
  <c r="BC19" i="39"/>
  <c r="BD19" i="39"/>
  <c r="BD20" i="39"/>
  <c r="BE20" i="39" s="1"/>
  <c r="N27" i="39"/>
  <c r="N31" i="39" s="1"/>
  <c r="BB21" i="39"/>
  <c r="BA21" i="39"/>
  <c r="J27" i="39"/>
  <c r="K20" i="39"/>
  <c r="K5" i="39"/>
  <c r="K6" i="39"/>
  <c r="K7" i="39"/>
  <c r="K8" i="39"/>
  <c r="K9" i="39"/>
  <c r="K10" i="39"/>
  <c r="K11" i="39"/>
  <c r="K12" i="39"/>
  <c r="K13" i="39"/>
  <c r="K14" i="39"/>
  <c r="K15" i="39"/>
  <c r="K16" i="39"/>
  <c r="K17" i="39"/>
  <c r="K18" i="39"/>
  <c r="K19" i="39"/>
  <c r="K27" i="39"/>
  <c r="K31" i="39" s="1"/>
  <c r="L31" i="39"/>
  <c r="C105" i="28"/>
  <c r="C101" i="40" s="1"/>
  <c r="D105" i="28"/>
  <c r="D101" i="40" s="1"/>
  <c r="E105" i="28"/>
  <c r="F105" i="28"/>
  <c r="F101" i="40" s="1"/>
  <c r="G105" i="28"/>
  <c r="G101" i="40" s="1"/>
  <c r="H105" i="28"/>
  <c r="H101" i="40" s="1"/>
  <c r="I105" i="28"/>
  <c r="I101" i="40" s="1"/>
  <c r="J105" i="28"/>
  <c r="J101" i="40" s="1"/>
  <c r="K105" i="28"/>
  <c r="K101" i="40" s="1"/>
  <c r="L105" i="28"/>
  <c r="L101" i="40" s="1"/>
  <c r="M105" i="28"/>
  <c r="M101" i="40" s="1"/>
  <c r="C106" i="28"/>
  <c r="C102" i="40" s="1"/>
  <c r="D106" i="28"/>
  <c r="D102" i="40" s="1"/>
  <c r="E106" i="28"/>
  <c r="E102" i="40" s="1"/>
  <c r="F106" i="28"/>
  <c r="G106" i="28"/>
  <c r="H106" i="28"/>
  <c r="H102" i="40" s="1"/>
  <c r="I106" i="28"/>
  <c r="I102" i="40" s="1"/>
  <c r="J106" i="28"/>
  <c r="J102" i="40" s="1"/>
  <c r="K106" i="28"/>
  <c r="K102" i="40" s="1"/>
  <c r="L106" i="28"/>
  <c r="L102" i="40" s="1"/>
  <c r="M106" i="28"/>
  <c r="M102" i="40" s="1"/>
  <c r="C107" i="28"/>
  <c r="C103" i="40" s="1"/>
  <c r="D107" i="28"/>
  <c r="D103" i="40" s="1"/>
  <c r="E107" i="28"/>
  <c r="E103" i="40" s="1"/>
  <c r="F107" i="28"/>
  <c r="F103" i="40" s="1"/>
  <c r="G107" i="28"/>
  <c r="H107" i="28"/>
  <c r="H103" i="40" s="1"/>
  <c r="I107" i="28"/>
  <c r="I103" i="40" s="1"/>
  <c r="J107" i="28"/>
  <c r="J103" i="40" s="1"/>
  <c r="K107" i="28"/>
  <c r="K103" i="40" s="1"/>
  <c r="L107" i="28"/>
  <c r="L103" i="40" s="1"/>
  <c r="M107" i="28"/>
  <c r="M103" i="40" s="1"/>
  <c r="C108" i="28"/>
  <c r="C104" i="40" s="1"/>
  <c r="D108" i="28"/>
  <c r="D104" i="40" s="1"/>
  <c r="E108" i="28"/>
  <c r="E104" i="40" s="1"/>
  <c r="F108" i="28"/>
  <c r="F104" i="40" s="1"/>
  <c r="G108" i="28"/>
  <c r="G104" i="40" s="1"/>
  <c r="H108" i="28"/>
  <c r="I108" i="28"/>
  <c r="J108" i="28"/>
  <c r="J104" i="40" s="1"/>
  <c r="K108" i="28"/>
  <c r="K104" i="40" s="1"/>
  <c r="L108" i="28"/>
  <c r="L104" i="40" s="1"/>
  <c r="M108" i="28"/>
  <c r="M104" i="40" s="1"/>
  <c r="C109" i="28"/>
  <c r="C105" i="40" s="1"/>
  <c r="D109" i="28"/>
  <c r="E109" i="28"/>
  <c r="E105" i="40" s="1"/>
  <c r="F109" i="28"/>
  <c r="F105" i="40" s="1"/>
  <c r="G109" i="28"/>
  <c r="G105" i="40" s="1"/>
  <c r="H109" i="28"/>
  <c r="H105" i="40" s="1"/>
  <c r="I109" i="28"/>
  <c r="J109" i="28"/>
  <c r="J105" i="40" s="1"/>
  <c r="K109" i="28"/>
  <c r="K105" i="40" s="1"/>
  <c r="L109" i="28"/>
  <c r="L105" i="40" s="1"/>
  <c r="M109" i="28"/>
  <c r="C116" i="28"/>
  <c r="C111" i="40" s="1"/>
  <c r="D116" i="28"/>
  <c r="D111" i="40" s="1"/>
  <c r="E116" i="28"/>
  <c r="E111" i="40" s="1"/>
  <c r="F116" i="28"/>
  <c r="F111" i="40" s="1"/>
  <c r="G116" i="28"/>
  <c r="G111" i="40" s="1"/>
  <c r="H116" i="28"/>
  <c r="H111" i="40" s="1"/>
  <c r="I116" i="28"/>
  <c r="I111" i="40" s="1"/>
  <c r="J116" i="28"/>
  <c r="K116" i="28"/>
  <c r="K111" i="40" s="1"/>
  <c r="L116" i="28"/>
  <c r="L111" i="40" s="1"/>
  <c r="M116" i="28"/>
  <c r="M111" i="40" s="1"/>
  <c r="C118" i="28"/>
  <c r="C113" i="40" s="1"/>
  <c r="D118" i="28"/>
  <c r="D113" i="40" s="1"/>
  <c r="E118" i="28"/>
  <c r="E113" i="40" s="1"/>
  <c r="F118" i="28"/>
  <c r="F113" i="40" s="1"/>
  <c r="G118" i="28"/>
  <c r="G113" i="40" s="1"/>
  <c r="H118" i="28"/>
  <c r="H113" i="40" s="1"/>
  <c r="I118" i="28"/>
  <c r="I113" i="40" s="1"/>
  <c r="J118" i="28"/>
  <c r="J113" i="40" s="1"/>
  <c r="K118" i="28"/>
  <c r="L118" i="28"/>
  <c r="L113" i="40" s="1"/>
  <c r="M118" i="28"/>
  <c r="M113" i="40" s="1"/>
  <c r="C120" i="28"/>
  <c r="C115" i="40" s="1"/>
  <c r="D120" i="28"/>
  <c r="D115" i="40" s="1"/>
  <c r="E120" i="28"/>
  <c r="E115" i="40" s="1"/>
  <c r="F120" i="28"/>
  <c r="F115" i="40" s="1"/>
  <c r="G120" i="28"/>
  <c r="G115" i="40" s="1"/>
  <c r="H120" i="28"/>
  <c r="H115" i="40" s="1"/>
  <c r="I120" i="28"/>
  <c r="J120" i="28"/>
  <c r="J115" i="40" s="1"/>
  <c r="K120" i="28"/>
  <c r="K115" i="40" s="1"/>
  <c r="L120" i="28"/>
  <c r="M120" i="28"/>
  <c r="M115" i="40" s="1"/>
  <c r="B107" i="28"/>
  <c r="B103" i="40" s="1"/>
  <c r="B108" i="28"/>
  <c r="B104" i="40" s="1"/>
  <c r="B109" i="28"/>
  <c r="B105" i="40" s="1"/>
  <c r="B116" i="28"/>
  <c r="B111" i="40" s="1"/>
  <c r="B118" i="28"/>
  <c r="B113" i="40" s="1"/>
  <c r="B120" i="28"/>
  <c r="B115" i="40" s="1"/>
  <c r="B106" i="28"/>
  <c r="B102" i="40" s="1"/>
  <c r="B105" i="28"/>
  <c r="B101" i="40" s="1"/>
  <c r="P20" i="42"/>
  <c r="P4" i="42"/>
  <c r="P5" i="42"/>
  <c r="P6" i="42"/>
  <c r="P7" i="42"/>
  <c r="P8" i="42"/>
  <c r="P15" i="42"/>
  <c r="P17" i="42"/>
  <c r="P19" i="42"/>
  <c r="M156" i="44"/>
  <c r="M158" i="44" s="1"/>
  <c r="L156" i="44"/>
  <c r="L158" i="44" s="1"/>
  <c r="K156" i="44"/>
  <c r="K158" i="44" s="1"/>
  <c r="M101" i="44"/>
  <c r="M108" i="44"/>
  <c r="M114" i="44"/>
  <c r="M118" i="44"/>
  <c r="M124" i="44"/>
  <c r="M128" i="44"/>
  <c r="M138" i="44"/>
  <c r="M147" i="44"/>
  <c r="L101" i="44"/>
  <c r="L108" i="44"/>
  <c r="L114" i="44"/>
  <c r="L118" i="44"/>
  <c r="L124" i="44"/>
  <c r="L128" i="44"/>
  <c r="L138" i="44"/>
  <c r="L147" i="44"/>
  <c r="K101" i="44"/>
  <c r="K108" i="44"/>
  <c r="K114" i="44"/>
  <c r="K118" i="44"/>
  <c r="K124" i="44"/>
  <c r="K128" i="44"/>
  <c r="K138" i="44"/>
  <c r="K147" i="44"/>
  <c r="M91" i="44"/>
  <c r="L91" i="44"/>
  <c r="K91" i="44"/>
  <c r="M66" i="44"/>
  <c r="M67" i="44"/>
  <c r="M68" i="44"/>
  <c r="M69" i="44"/>
  <c r="M70" i="44"/>
  <c r="L72" i="44"/>
  <c r="M72" i="44" s="1"/>
  <c r="L73" i="44"/>
  <c r="M74" i="44"/>
  <c r="M76" i="44"/>
  <c r="M77" i="44"/>
  <c r="M78" i="44"/>
  <c r="M79" i="44"/>
  <c r="M81" i="44"/>
  <c r="M82" i="44"/>
  <c r="M83" i="44"/>
  <c r="M85" i="44"/>
  <c r="L71" i="44"/>
  <c r="L80" i="44"/>
  <c r="L84" i="44"/>
  <c r="K71" i="44"/>
  <c r="K72" i="44"/>
  <c r="K73" i="44"/>
  <c r="K74" i="44"/>
  <c r="K80" i="44"/>
  <c r="M65" i="44"/>
  <c r="L65" i="44"/>
  <c r="K65" i="44"/>
  <c r="K59" i="44"/>
  <c r="K63" i="44" s="1"/>
  <c r="M49" i="44"/>
  <c r="M54" i="44" s="1"/>
  <c r="L49" i="44"/>
  <c r="L54" i="44" s="1"/>
  <c r="K49" i="44"/>
  <c r="K54" i="44" s="1"/>
  <c r="M4" i="44"/>
  <c r="L5" i="44"/>
  <c r="L9" i="44"/>
  <c r="L10" i="44"/>
  <c r="M10" i="44" s="1"/>
  <c r="M12" i="44"/>
  <c r="M13" i="44"/>
  <c r="M17" i="44"/>
  <c r="M20" i="44" s="1"/>
  <c r="M24" i="44"/>
  <c r="L32" i="44"/>
  <c r="M32" i="44" s="1"/>
  <c r="L33" i="44"/>
  <c r="L12" i="44"/>
  <c r="L13" i="44"/>
  <c r="L20" i="44"/>
  <c r="L24" i="44"/>
  <c r="K8" i="44"/>
  <c r="K12" i="44"/>
  <c r="K13" i="44"/>
  <c r="K17" i="44"/>
  <c r="K20" i="44" s="1"/>
  <c r="K24" i="44"/>
  <c r="K38" i="44"/>
  <c r="N4" i="43"/>
  <c r="N5" i="43"/>
  <c r="N6" i="43"/>
  <c r="N7" i="43"/>
  <c r="M8" i="43"/>
  <c r="E110" i="28" s="1"/>
  <c r="E106" i="40" s="1"/>
  <c r="M9" i="43"/>
  <c r="F111" i="28" s="1"/>
  <c r="F107" i="40" s="1"/>
  <c r="M10" i="43"/>
  <c r="C112" i="28" s="1"/>
  <c r="C108" i="40" s="1"/>
  <c r="M12" i="43"/>
  <c r="H114" i="28" s="1"/>
  <c r="H109" i="40" s="1"/>
  <c r="M13" i="43"/>
  <c r="D115" i="28" s="1"/>
  <c r="D110" i="40" s="1"/>
  <c r="N14" i="43"/>
  <c r="M15" i="43"/>
  <c r="D117" i="28" s="1"/>
  <c r="D112" i="40" s="1"/>
  <c r="N16" i="43"/>
  <c r="M17" i="43"/>
  <c r="M119" i="28" s="1"/>
  <c r="M114" i="40" s="1"/>
  <c r="N18" i="43"/>
  <c r="N19" i="43"/>
  <c r="M20" i="43"/>
  <c r="K104" i="28" s="1"/>
  <c r="K100" i="40" s="1"/>
  <c r="K21" i="43"/>
  <c r="O4" i="43"/>
  <c r="O5" i="43"/>
  <c r="O6" i="43"/>
  <c r="O7" i="43"/>
  <c r="O14" i="43"/>
  <c r="O16" i="43"/>
  <c r="O18" i="43"/>
  <c r="O19" i="43"/>
  <c r="L21" i="43"/>
  <c r="K6" i="41"/>
  <c r="AB6" i="41" s="1"/>
  <c r="K22" i="41"/>
  <c r="Z22" i="41" s="1"/>
  <c r="J31" i="41"/>
  <c r="H31" i="41"/>
  <c r="L31" i="41" s="1"/>
  <c r="M31" i="41"/>
  <c r="J56" i="41"/>
  <c r="L56" i="41"/>
  <c r="M56" i="41"/>
  <c r="J71" i="41"/>
  <c r="L71" i="41"/>
  <c r="M71" i="41"/>
  <c r="K7" i="41"/>
  <c r="AD7" i="41" s="1"/>
  <c r="K8" i="41"/>
  <c r="Z8" i="41" s="1"/>
  <c r="K9" i="41"/>
  <c r="Z9" i="41" s="1"/>
  <c r="K10" i="41"/>
  <c r="Z10" i="41" s="1"/>
  <c r="K11" i="41"/>
  <c r="AH11" i="41" s="1"/>
  <c r="K12" i="41"/>
  <c r="Z12" i="41" s="1"/>
  <c r="K13" i="41"/>
  <c r="Z13" i="41" s="1"/>
  <c r="K14" i="41"/>
  <c r="Z14" i="41" s="1"/>
  <c r="K15" i="41"/>
  <c r="Z15" i="41" s="1"/>
  <c r="K16" i="41"/>
  <c r="Z16" i="41" s="1"/>
  <c r="K17" i="41"/>
  <c r="Z17" i="41" s="1"/>
  <c r="K18" i="41"/>
  <c r="Z18" i="41" s="1"/>
  <c r="K19" i="41"/>
  <c r="Z19" i="41" s="1"/>
  <c r="K20" i="41"/>
  <c r="Z20" i="41" s="1"/>
  <c r="K21" i="41"/>
  <c r="Z21" i="41" s="1"/>
  <c r="J23" i="41"/>
  <c r="H23" i="41"/>
  <c r="L23" i="41" s="1"/>
  <c r="M23" i="41"/>
  <c r="J24" i="41"/>
  <c r="H24" i="41"/>
  <c r="L24" i="41" s="1"/>
  <c r="M24" i="41"/>
  <c r="J25" i="41"/>
  <c r="H25" i="41"/>
  <c r="L25" i="41" s="1"/>
  <c r="M25" i="41"/>
  <c r="J27" i="41"/>
  <c r="H27" i="41"/>
  <c r="L27" i="41" s="1"/>
  <c r="M27" i="41"/>
  <c r="J29" i="41"/>
  <c r="H29" i="41"/>
  <c r="L29" i="41" s="1"/>
  <c r="M29" i="41"/>
  <c r="J32" i="41"/>
  <c r="H32" i="41"/>
  <c r="L32" i="41" s="1"/>
  <c r="M32" i="41"/>
  <c r="J33" i="41"/>
  <c r="H33" i="41"/>
  <c r="L33" i="41" s="1"/>
  <c r="M33" i="41"/>
  <c r="J34" i="41"/>
  <c r="H34" i="41"/>
  <c r="L34" i="41" s="1"/>
  <c r="M34" i="41"/>
  <c r="J35" i="41"/>
  <c r="H35" i="41"/>
  <c r="L35" i="41" s="1"/>
  <c r="M35" i="41"/>
  <c r="J36" i="41"/>
  <c r="H36" i="41"/>
  <c r="L36" i="41" s="1"/>
  <c r="M36" i="41"/>
  <c r="J38" i="41"/>
  <c r="H38" i="41"/>
  <c r="L38" i="41" s="1"/>
  <c r="M38" i="41"/>
  <c r="J39" i="41"/>
  <c r="H39" i="41"/>
  <c r="L39" i="41" s="1"/>
  <c r="M39" i="41"/>
  <c r="J40" i="41"/>
  <c r="H40" i="41"/>
  <c r="L40" i="41" s="1"/>
  <c r="M40" i="41"/>
  <c r="J41" i="41"/>
  <c r="H41" i="41"/>
  <c r="L41" i="41" s="1"/>
  <c r="M41" i="41"/>
  <c r="J43" i="41"/>
  <c r="H43" i="41"/>
  <c r="L43" i="41" s="1"/>
  <c r="M43" i="41"/>
  <c r="J44" i="41"/>
  <c r="H44" i="41"/>
  <c r="L44" i="41" s="1"/>
  <c r="M44" i="41"/>
  <c r="J45" i="41"/>
  <c r="H45" i="41"/>
  <c r="L45" i="41" s="1"/>
  <c r="M45" i="41"/>
  <c r="J46" i="41"/>
  <c r="H46" i="41"/>
  <c r="L46" i="41" s="1"/>
  <c r="M46" i="41"/>
  <c r="J47" i="41"/>
  <c r="H47" i="41"/>
  <c r="L47" i="41" s="1"/>
  <c r="M47" i="41"/>
  <c r="J48" i="41"/>
  <c r="L48" i="41"/>
  <c r="M48" i="41"/>
  <c r="J50" i="41"/>
  <c r="L50" i="41"/>
  <c r="M50" i="41"/>
  <c r="J51" i="41"/>
  <c r="L51" i="41"/>
  <c r="M51" i="41"/>
  <c r="J52" i="41"/>
  <c r="L52" i="41"/>
  <c r="M52" i="41"/>
  <c r="J54" i="41"/>
  <c r="L54" i="41"/>
  <c r="M54" i="41"/>
  <c r="J55" i="41"/>
  <c r="L55" i="41"/>
  <c r="M55" i="41"/>
  <c r="J57" i="41"/>
  <c r="L57" i="41"/>
  <c r="M57" i="41"/>
  <c r="J58" i="41"/>
  <c r="L58" i="41"/>
  <c r="M58" i="41"/>
  <c r="J59" i="41"/>
  <c r="L59" i="41"/>
  <c r="M59" i="41"/>
  <c r="J60" i="41"/>
  <c r="L60" i="41"/>
  <c r="M60" i="41"/>
  <c r="J61" i="41"/>
  <c r="L61" i="41"/>
  <c r="M61" i="41"/>
  <c r="J63" i="41"/>
  <c r="L63" i="41"/>
  <c r="M63" i="41"/>
  <c r="Z64" i="41"/>
  <c r="J65" i="41"/>
  <c r="L65" i="41"/>
  <c r="M65" i="41"/>
  <c r="J66" i="41"/>
  <c r="L66" i="41"/>
  <c r="M66" i="41"/>
  <c r="J68" i="41"/>
  <c r="L68" i="41"/>
  <c r="M68" i="41"/>
  <c r="J69" i="41"/>
  <c r="L69" i="41"/>
  <c r="M69" i="41"/>
  <c r="J70" i="41"/>
  <c r="L70" i="41"/>
  <c r="M70" i="41"/>
  <c r="J72" i="41"/>
  <c r="L72" i="41"/>
  <c r="M72" i="41"/>
  <c r="J73" i="41"/>
  <c r="L73" i="41"/>
  <c r="M73" i="41"/>
  <c r="J74" i="41"/>
  <c r="L74" i="41"/>
  <c r="M74" i="41"/>
  <c r="J75" i="41"/>
  <c r="L75" i="41"/>
  <c r="M75" i="41"/>
  <c r="J77" i="41"/>
  <c r="L77" i="41"/>
  <c r="M77" i="41"/>
  <c r="J78" i="41"/>
  <c r="L78" i="41"/>
  <c r="M78" i="41"/>
  <c r="J80" i="41"/>
  <c r="L80" i="41"/>
  <c r="M80" i="41"/>
  <c r="J81" i="41"/>
  <c r="L81" i="41"/>
  <c r="M81" i="41"/>
  <c r="J82" i="41"/>
  <c r="L82" i="41"/>
  <c r="M82" i="41"/>
  <c r="J83" i="41"/>
  <c r="L83" i="41"/>
  <c r="M83" i="41"/>
  <c r="J84" i="41"/>
  <c r="L84" i="41"/>
  <c r="M84" i="41"/>
  <c r="J85" i="41"/>
  <c r="L85" i="41"/>
  <c r="M85" i="41"/>
  <c r="J86" i="41"/>
  <c r="L86" i="41"/>
  <c r="M86" i="41"/>
  <c r="J87" i="41"/>
  <c r="L87" i="41"/>
  <c r="M87" i="41"/>
  <c r="J88" i="41"/>
  <c r="L88" i="41"/>
  <c r="M88" i="41"/>
  <c r="J90" i="41"/>
  <c r="L90" i="41"/>
  <c r="M90" i="41"/>
  <c r="J91" i="41"/>
  <c r="L91" i="41"/>
  <c r="M91" i="41"/>
  <c r="J92" i="41"/>
  <c r="L92" i="41"/>
  <c r="M92" i="41"/>
  <c r="J93" i="41"/>
  <c r="L93" i="41"/>
  <c r="M93" i="41"/>
  <c r="J94" i="41"/>
  <c r="L94" i="41"/>
  <c r="M94" i="41"/>
  <c r="J95" i="41"/>
  <c r="L95" i="41"/>
  <c r="M95" i="41"/>
  <c r="J96" i="41"/>
  <c r="L96" i="41"/>
  <c r="M96" i="41"/>
  <c r="J97" i="41"/>
  <c r="L97" i="41"/>
  <c r="M97" i="41"/>
  <c r="J98" i="41"/>
  <c r="L98" i="41"/>
  <c r="M98" i="41"/>
  <c r="J99" i="41"/>
  <c r="L99" i="41"/>
  <c r="M99" i="41"/>
  <c r="J100" i="41"/>
  <c r="L100" i="41"/>
  <c r="M100" i="41"/>
  <c r="J101" i="41"/>
  <c r="L101" i="41"/>
  <c r="M101" i="41"/>
  <c r="J102" i="41"/>
  <c r="L102" i="41"/>
  <c r="M102" i="41"/>
  <c r="J103" i="41"/>
  <c r="L103" i="41"/>
  <c r="M103" i="41"/>
  <c r="J104" i="41"/>
  <c r="L104" i="41"/>
  <c r="M104" i="41"/>
  <c r="J105" i="41"/>
  <c r="L105" i="41"/>
  <c r="M105" i="41"/>
  <c r="J106" i="41"/>
  <c r="L106" i="41"/>
  <c r="M106" i="41"/>
  <c r="J108" i="41"/>
  <c r="L108" i="41"/>
  <c r="M108" i="41"/>
  <c r="J109" i="41"/>
  <c r="L109" i="41"/>
  <c r="M109" i="41"/>
  <c r="J110" i="41"/>
  <c r="L110" i="41"/>
  <c r="M110" i="41"/>
  <c r="J111" i="41"/>
  <c r="L111" i="41"/>
  <c r="M111" i="41"/>
  <c r="J113" i="41"/>
  <c r="L113" i="41"/>
  <c r="M113" i="41"/>
  <c r="J114" i="41"/>
  <c r="L114" i="41"/>
  <c r="M114" i="41"/>
  <c r="J115" i="41"/>
  <c r="L115" i="41"/>
  <c r="M115" i="41"/>
  <c r="J116" i="41"/>
  <c r="L116" i="41"/>
  <c r="M116" i="41"/>
  <c r="J117" i="41"/>
  <c r="L117" i="41"/>
  <c r="M117" i="41"/>
  <c r="J118" i="41"/>
  <c r="K118" i="41"/>
  <c r="L118" i="41"/>
  <c r="M118" i="41"/>
  <c r="J119" i="41"/>
  <c r="K119" i="41"/>
  <c r="L119" i="41"/>
  <c r="M119" i="41"/>
  <c r="J120" i="41"/>
  <c r="K120" i="41"/>
  <c r="L120" i="41"/>
  <c r="M120" i="41"/>
  <c r="J121" i="41"/>
  <c r="K121" i="41"/>
  <c r="L121" i="41"/>
  <c r="M121" i="41"/>
  <c r="J122" i="41"/>
  <c r="K122" i="41"/>
  <c r="L122" i="41"/>
  <c r="M122" i="41"/>
  <c r="J123" i="41"/>
  <c r="K123" i="41"/>
  <c r="L123" i="41"/>
  <c r="M123" i="41"/>
  <c r="J124" i="41"/>
  <c r="K124" i="41"/>
  <c r="L124" i="41"/>
  <c r="M124" i="41"/>
  <c r="J125" i="41"/>
  <c r="K125" i="41"/>
  <c r="L125" i="41"/>
  <c r="M125" i="41"/>
  <c r="J127" i="41"/>
  <c r="K127" i="41"/>
  <c r="L127" i="41"/>
  <c r="M127" i="41"/>
  <c r="J128" i="41"/>
  <c r="K128" i="41"/>
  <c r="L128" i="41"/>
  <c r="M128" i="41"/>
  <c r="J129" i="41"/>
  <c r="K129" i="41"/>
  <c r="L129" i="41"/>
  <c r="M129" i="41"/>
  <c r="J130" i="41"/>
  <c r="K130" i="41"/>
  <c r="L130" i="41"/>
  <c r="M130" i="41"/>
  <c r="J131" i="41"/>
  <c r="K131" i="41"/>
  <c r="L131" i="41"/>
  <c r="M131" i="41"/>
  <c r="J132" i="41"/>
  <c r="K132" i="41"/>
  <c r="L132" i="41"/>
  <c r="M132" i="41"/>
  <c r="J133" i="41"/>
  <c r="K133" i="41"/>
  <c r="L133" i="41"/>
  <c r="M133" i="41"/>
  <c r="J134" i="41"/>
  <c r="K134" i="41"/>
  <c r="L134" i="41"/>
  <c r="M134" i="41"/>
  <c r="J136" i="41"/>
  <c r="K136" i="41"/>
  <c r="L136" i="41"/>
  <c r="M136" i="41"/>
  <c r="J137" i="41"/>
  <c r="K137" i="41"/>
  <c r="L137" i="41"/>
  <c r="M137" i="41"/>
  <c r="J138" i="41"/>
  <c r="K138" i="41"/>
  <c r="L138" i="41"/>
  <c r="M138" i="41"/>
  <c r="J139" i="41"/>
  <c r="K139" i="41"/>
  <c r="L139" i="41"/>
  <c r="M139" i="41"/>
  <c r="J141" i="41"/>
  <c r="K141" i="41"/>
  <c r="L141" i="41"/>
  <c r="M141" i="41"/>
  <c r="J142" i="41"/>
  <c r="K142" i="41"/>
  <c r="L142" i="41"/>
  <c r="M142" i="41"/>
  <c r="J143" i="41"/>
  <c r="K143" i="41"/>
  <c r="L143" i="41"/>
  <c r="M143" i="41"/>
  <c r="J144" i="41"/>
  <c r="K144" i="41"/>
  <c r="L144" i="41"/>
  <c r="M144" i="41"/>
  <c r="J145" i="41"/>
  <c r="K145" i="41"/>
  <c r="L145" i="41"/>
  <c r="M145" i="41"/>
  <c r="J146" i="41"/>
  <c r="K146" i="41"/>
  <c r="L146" i="41"/>
  <c r="M146" i="41"/>
  <c r="J147" i="41"/>
  <c r="K147" i="41"/>
  <c r="L147" i="41"/>
  <c r="M147" i="41"/>
  <c r="J149" i="41"/>
  <c r="K149" i="41"/>
  <c r="L149" i="41"/>
  <c r="M149" i="41"/>
  <c r="J151" i="41"/>
  <c r="K151" i="41"/>
  <c r="L151" i="41"/>
  <c r="M151" i="41"/>
  <c r="J152" i="41"/>
  <c r="K152" i="41"/>
  <c r="L152" i="41"/>
  <c r="M152" i="41"/>
  <c r="J153" i="41"/>
  <c r="K153" i="41"/>
  <c r="L153" i="41"/>
  <c r="M153" i="41"/>
  <c r="J154" i="41"/>
  <c r="K154" i="41"/>
  <c r="L154" i="41"/>
  <c r="M154" i="41"/>
  <c r="J155" i="41"/>
  <c r="K155" i="41"/>
  <c r="L155" i="41"/>
  <c r="M155" i="41"/>
  <c r="J156" i="41"/>
  <c r="K156" i="41"/>
  <c r="L156" i="41"/>
  <c r="M156" i="41"/>
  <c r="J157" i="41"/>
  <c r="K157" i="41"/>
  <c r="L157" i="41"/>
  <c r="M157" i="41"/>
  <c r="J159" i="41"/>
  <c r="K159" i="41"/>
  <c r="L159" i="41"/>
  <c r="M159" i="41"/>
  <c r="J160" i="41"/>
  <c r="K160" i="41"/>
  <c r="L160" i="41"/>
  <c r="M160" i="41"/>
  <c r="J161" i="41"/>
  <c r="K161" i="41"/>
  <c r="L161" i="41"/>
  <c r="M161" i="41"/>
  <c r="J163" i="41"/>
  <c r="K163" i="41"/>
  <c r="L163" i="41"/>
  <c r="M163" i="41"/>
  <c r="J164" i="41"/>
  <c r="K164" i="41"/>
  <c r="L164" i="41"/>
  <c r="M164" i="41"/>
  <c r="J165" i="41"/>
  <c r="K165" i="41"/>
  <c r="L165" i="41"/>
  <c r="M165" i="41"/>
  <c r="J166" i="41"/>
  <c r="K166" i="41"/>
  <c r="L166" i="41"/>
  <c r="M166" i="41"/>
  <c r="J167" i="41"/>
  <c r="K167" i="41"/>
  <c r="L167" i="41"/>
  <c r="M167" i="41"/>
  <c r="J169" i="41"/>
  <c r="K169" i="41"/>
  <c r="L169" i="41"/>
  <c r="M169" i="41"/>
  <c r="J170" i="41"/>
  <c r="K170" i="41"/>
  <c r="L170" i="41"/>
  <c r="M170" i="41"/>
  <c r="J171" i="41"/>
  <c r="K171" i="41"/>
  <c r="L171" i="41"/>
  <c r="M171" i="41"/>
  <c r="J172" i="41"/>
  <c r="K172" i="41"/>
  <c r="L172" i="41"/>
  <c r="M172" i="41"/>
  <c r="J173" i="41"/>
  <c r="K173" i="41"/>
  <c r="L173" i="41"/>
  <c r="M173" i="41"/>
  <c r="J174" i="41"/>
  <c r="K174" i="41"/>
  <c r="L174" i="41"/>
  <c r="M174" i="41"/>
  <c r="J175" i="41"/>
  <c r="K175" i="41"/>
  <c r="L175" i="41"/>
  <c r="M175" i="41"/>
  <c r="J176" i="41"/>
  <c r="K176" i="41"/>
  <c r="L176" i="41"/>
  <c r="M176" i="41"/>
  <c r="J177" i="41"/>
  <c r="K177" i="41"/>
  <c r="L177" i="41"/>
  <c r="M177" i="41"/>
  <c r="J179" i="41"/>
  <c r="K179" i="41"/>
  <c r="L179" i="41"/>
  <c r="M179" i="41"/>
  <c r="J180" i="41"/>
  <c r="K180" i="41"/>
  <c r="L180" i="41"/>
  <c r="M180" i="41"/>
  <c r="J181" i="41"/>
  <c r="K181" i="41"/>
  <c r="L181" i="41"/>
  <c r="M181" i="41"/>
  <c r="J182" i="41"/>
  <c r="K182" i="41"/>
  <c r="L182" i="41"/>
  <c r="M182" i="41"/>
  <c r="K183" i="41"/>
  <c r="L183" i="41"/>
  <c r="M183" i="41"/>
  <c r="J184" i="41"/>
  <c r="K184" i="41"/>
  <c r="L184" i="41"/>
  <c r="M184" i="41"/>
  <c r="J185" i="41"/>
  <c r="K185" i="41"/>
  <c r="L185" i="41"/>
  <c r="M185" i="41"/>
  <c r="J186" i="41"/>
  <c r="K186" i="41"/>
  <c r="L186" i="41"/>
  <c r="M186" i="41"/>
  <c r="K187" i="41"/>
  <c r="L187" i="41"/>
  <c r="M187" i="41"/>
  <c r="K188" i="41"/>
  <c r="L188" i="41"/>
  <c r="M188" i="41"/>
  <c r="J189" i="41"/>
  <c r="K189" i="41"/>
  <c r="L189" i="41"/>
  <c r="M189" i="41"/>
  <c r="J190" i="41"/>
  <c r="K190" i="41"/>
  <c r="L190" i="41"/>
  <c r="M190" i="41"/>
  <c r="J191" i="41"/>
  <c r="K191" i="41"/>
  <c r="L191" i="41"/>
  <c r="M191" i="41"/>
  <c r="J192" i="41"/>
  <c r="K192" i="41"/>
  <c r="L192" i="41"/>
  <c r="M192" i="41"/>
  <c r="J193" i="41"/>
  <c r="K193" i="41"/>
  <c r="L193" i="41"/>
  <c r="M193" i="41"/>
  <c r="J195" i="41"/>
  <c r="K195" i="41"/>
  <c r="L195" i="41"/>
  <c r="M195" i="41"/>
  <c r="J196" i="41"/>
  <c r="K196" i="41"/>
  <c r="L196" i="41"/>
  <c r="M196" i="41"/>
  <c r="J197" i="41"/>
  <c r="K197" i="41"/>
  <c r="L197" i="41"/>
  <c r="M197" i="41"/>
  <c r="J198" i="41"/>
  <c r="K198" i="41"/>
  <c r="L198" i="41"/>
  <c r="M198" i="41"/>
  <c r="J200" i="41"/>
  <c r="K200" i="41"/>
  <c r="L200" i="41"/>
  <c r="M200" i="41"/>
  <c r="J201" i="41"/>
  <c r="K201" i="41"/>
  <c r="L201" i="41"/>
  <c r="M201" i="41"/>
  <c r="J202" i="41"/>
  <c r="K202" i="41"/>
  <c r="L202" i="41"/>
  <c r="M202" i="41"/>
  <c r="J203" i="41"/>
  <c r="K203" i="41"/>
  <c r="L203" i="41"/>
  <c r="M203" i="41"/>
  <c r="J204" i="41"/>
  <c r="K204" i="41"/>
  <c r="L204" i="41"/>
  <c r="M204" i="41"/>
  <c r="J205" i="41"/>
  <c r="K205" i="41"/>
  <c r="H205" i="41"/>
  <c r="L205" i="41" s="1"/>
  <c r="M205" i="41"/>
  <c r="J206" i="41"/>
  <c r="K206" i="41"/>
  <c r="H206" i="41"/>
  <c r="L206" i="41" s="1"/>
  <c r="M206" i="41"/>
  <c r="J207" i="41"/>
  <c r="K207" i="41"/>
  <c r="H207" i="41"/>
  <c r="L207" i="41" s="1"/>
  <c r="M207" i="41"/>
  <c r="J208" i="41"/>
  <c r="K208" i="41"/>
  <c r="H208" i="41"/>
  <c r="L208" i="41" s="1"/>
  <c r="M208" i="41"/>
  <c r="J209" i="41"/>
  <c r="K209" i="41"/>
  <c r="H209" i="41"/>
  <c r="L209" i="41" s="1"/>
  <c r="M209" i="41"/>
  <c r="J210" i="41"/>
  <c r="K210" i="41"/>
  <c r="H210" i="41"/>
  <c r="L210" i="41" s="1"/>
  <c r="M210" i="41"/>
  <c r="J212" i="41"/>
  <c r="K212" i="41"/>
  <c r="H212" i="41"/>
  <c r="P212" i="41" s="1"/>
  <c r="M212" i="41"/>
  <c r="J213" i="41"/>
  <c r="K213" i="41"/>
  <c r="L213" i="41"/>
  <c r="M213" i="41"/>
  <c r="J214" i="41"/>
  <c r="K214" i="41"/>
  <c r="L214" i="41"/>
  <c r="I214" i="41"/>
  <c r="M214" i="41" s="1"/>
  <c r="J215" i="41"/>
  <c r="K215" i="41"/>
  <c r="L215" i="41"/>
  <c r="M215" i="41"/>
  <c r="J216" i="41"/>
  <c r="K216" i="41"/>
  <c r="L216" i="41"/>
  <c r="M216" i="41"/>
  <c r="J217" i="41"/>
  <c r="K217" i="41"/>
  <c r="L217" i="41"/>
  <c r="M217" i="41"/>
  <c r="J218" i="41"/>
  <c r="K218" i="41"/>
  <c r="L218" i="41"/>
  <c r="M218" i="41"/>
  <c r="J219" i="41"/>
  <c r="K219" i="41"/>
  <c r="L219" i="41"/>
  <c r="M219" i="41"/>
  <c r="J220" i="41"/>
  <c r="K220" i="41"/>
  <c r="L220" i="41"/>
  <c r="M220" i="41"/>
  <c r="K221" i="41"/>
  <c r="L221" i="41"/>
  <c r="M221" i="41"/>
  <c r="J222" i="41"/>
  <c r="K222" i="41"/>
  <c r="L222" i="41"/>
  <c r="M222" i="41"/>
  <c r="J223" i="41"/>
  <c r="K223" i="41"/>
  <c r="L223" i="41"/>
  <c r="M223" i="41"/>
  <c r="J224" i="41"/>
  <c r="K224" i="41"/>
  <c r="L224" i="41"/>
  <c r="M224" i="41"/>
  <c r="J225" i="41"/>
  <c r="K225" i="41"/>
  <c r="L225" i="41"/>
  <c r="M225" i="41"/>
  <c r="J226" i="41"/>
  <c r="K226" i="41"/>
  <c r="L226" i="41"/>
  <c r="M226" i="41"/>
  <c r="J228" i="41"/>
  <c r="K228" i="41"/>
  <c r="L228" i="41"/>
  <c r="M228" i="41"/>
  <c r="J26" i="41"/>
  <c r="H26" i="41"/>
  <c r="L26" i="41" s="1"/>
  <c r="M26" i="41"/>
  <c r="J28" i="41"/>
  <c r="H28" i="41"/>
  <c r="L28" i="41" s="1"/>
  <c r="M28" i="41"/>
  <c r="J37" i="41"/>
  <c r="H37" i="41"/>
  <c r="L37" i="41" s="1"/>
  <c r="M37" i="41"/>
  <c r="J49" i="41"/>
  <c r="L49" i="41"/>
  <c r="M49" i="41"/>
  <c r="J62" i="41"/>
  <c r="L62" i="41"/>
  <c r="M62" i="41"/>
  <c r="AA64" i="41"/>
  <c r="J76" i="41"/>
  <c r="L76" i="41"/>
  <c r="M76" i="41"/>
  <c r="J107" i="41"/>
  <c r="L107" i="41"/>
  <c r="M107" i="41"/>
  <c r="J135" i="41"/>
  <c r="K135" i="41"/>
  <c r="L135" i="41"/>
  <c r="M135" i="41"/>
  <c r="J148" i="41"/>
  <c r="K148" i="41"/>
  <c r="L148" i="41"/>
  <c r="M148" i="41"/>
  <c r="J158" i="41"/>
  <c r="K158" i="41"/>
  <c r="L158" i="41"/>
  <c r="M158" i="41"/>
  <c r="J194" i="41"/>
  <c r="K194" i="41"/>
  <c r="L194" i="41"/>
  <c r="M194" i="41"/>
  <c r="J30" i="41"/>
  <c r="H30" i="41"/>
  <c r="L30" i="41" s="1"/>
  <c r="M30" i="41"/>
  <c r="J42" i="41"/>
  <c r="H42" i="41"/>
  <c r="L42" i="41" s="1"/>
  <c r="M42" i="41"/>
  <c r="J53" i="41"/>
  <c r="L53" i="41"/>
  <c r="M53" i="41"/>
  <c r="AB64" i="41"/>
  <c r="J67" i="41"/>
  <c r="L67" i="41"/>
  <c r="M67" i="41"/>
  <c r="J79" i="41"/>
  <c r="L79" i="41"/>
  <c r="M79" i="41"/>
  <c r="J89" i="41"/>
  <c r="L89" i="41"/>
  <c r="M89" i="41"/>
  <c r="J112" i="41"/>
  <c r="L112" i="41"/>
  <c r="M112" i="41"/>
  <c r="J126" i="41"/>
  <c r="K126" i="41"/>
  <c r="L126" i="41"/>
  <c r="M126" i="41"/>
  <c r="J140" i="41"/>
  <c r="K140" i="41"/>
  <c r="L140" i="41"/>
  <c r="M140" i="41"/>
  <c r="J150" i="41"/>
  <c r="K150" i="41"/>
  <c r="L150" i="41"/>
  <c r="M150" i="41"/>
  <c r="J162" i="41"/>
  <c r="K162" i="41"/>
  <c r="L162" i="41"/>
  <c r="M162" i="41"/>
  <c r="J168" i="41"/>
  <c r="K168" i="41"/>
  <c r="L168" i="41"/>
  <c r="M168" i="41"/>
  <c r="J178" i="41"/>
  <c r="K178" i="41"/>
  <c r="L178" i="41"/>
  <c r="M178" i="41"/>
  <c r="J199" i="41"/>
  <c r="K199" i="41"/>
  <c r="L199" i="41"/>
  <c r="M199" i="41"/>
  <c r="J211" i="41"/>
  <c r="K211" i="41"/>
  <c r="H211" i="41"/>
  <c r="L211" i="41" s="1"/>
  <c r="M211" i="41"/>
  <c r="J227" i="41"/>
  <c r="K227" i="41"/>
  <c r="L227" i="41"/>
  <c r="M227" i="41"/>
  <c r="AC64" i="41"/>
  <c r="AD64" i="41"/>
  <c r="AE64" i="41"/>
  <c r="AF64" i="41"/>
  <c r="AG64" i="41"/>
  <c r="AH64" i="41"/>
  <c r="AI64" i="41"/>
  <c r="AJ64" i="41"/>
  <c r="AK64" i="41"/>
  <c r="E229" i="41"/>
  <c r="U229" i="41"/>
  <c r="T229" i="41"/>
  <c r="S229" i="41"/>
  <c r="R229" i="41"/>
  <c r="Q229" i="41"/>
  <c r="P229" i="41"/>
  <c r="O229" i="41"/>
  <c r="N229" i="41"/>
  <c r="G229" i="41"/>
  <c r="F229" i="41"/>
  <c r="O228" i="41"/>
  <c r="Q228" i="41"/>
  <c r="N228" i="41"/>
  <c r="P228" i="41"/>
  <c r="O227" i="41"/>
  <c r="Q227" i="41"/>
  <c r="N227" i="41"/>
  <c r="P227" i="41"/>
  <c r="O226" i="41"/>
  <c r="Q226" i="41"/>
  <c r="N226" i="41"/>
  <c r="P226" i="41"/>
  <c r="O225" i="41"/>
  <c r="Q225" i="41"/>
  <c r="N225" i="41"/>
  <c r="P225" i="41"/>
  <c r="O224" i="41"/>
  <c r="Q224" i="41"/>
  <c r="N224" i="41"/>
  <c r="P224" i="41"/>
  <c r="O223" i="41"/>
  <c r="Q223" i="41"/>
  <c r="N223" i="41"/>
  <c r="P223" i="41"/>
  <c r="O222" i="41"/>
  <c r="Q222" i="41"/>
  <c r="N222" i="41"/>
  <c r="P222" i="41"/>
  <c r="O221" i="41"/>
  <c r="Q221" i="41"/>
  <c r="N221" i="41"/>
  <c r="P221" i="41"/>
  <c r="O220" i="41"/>
  <c r="Q220" i="41"/>
  <c r="N220" i="41"/>
  <c r="P220" i="41"/>
  <c r="O219" i="41"/>
  <c r="Q219" i="41"/>
  <c r="N219" i="41"/>
  <c r="P219" i="41"/>
  <c r="O218" i="41"/>
  <c r="Q218" i="41"/>
  <c r="N218" i="41"/>
  <c r="P218" i="41"/>
  <c r="O217" i="41"/>
  <c r="Q217" i="41"/>
  <c r="N217" i="41"/>
  <c r="P217" i="41"/>
  <c r="O216" i="41"/>
  <c r="Q216" i="41"/>
  <c r="N216" i="41"/>
  <c r="P216" i="41"/>
  <c r="O215" i="41"/>
  <c r="Q215" i="41"/>
  <c r="N215" i="41"/>
  <c r="P215" i="41"/>
  <c r="O214" i="41"/>
  <c r="N214" i="41"/>
  <c r="P214" i="41"/>
  <c r="O213" i="41"/>
  <c r="Q213" i="41"/>
  <c r="N213" i="41"/>
  <c r="P213" i="41"/>
  <c r="O212" i="41"/>
  <c r="Q212" i="41"/>
  <c r="N212" i="41"/>
  <c r="O211" i="41"/>
  <c r="Q211" i="41"/>
  <c r="N211" i="41"/>
  <c r="O210" i="41"/>
  <c r="Q210" i="41"/>
  <c r="N210" i="41"/>
  <c r="O209" i="41"/>
  <c r="Q209" i="41"/>
  <c r="N209" i="41"/>
  <c r="O208" i="41"/>
  <c r="Q208" i="41"/>
  <c r="N208" i="41"/>
  <c r="O207" i="41"/>
  <c r="Q207" i="41"/>
  <c r="N207" i="41"/>
  <c r="O206" i="41"/>
  <c r="Q206" i="41"/>
  <c r="N206" i="41"/>
  <c r="O205" i="41"/>
  <c r="Q205" i="41"/>
  <c r="N205" i="41"/>
  <c r="O204" i="41"/>
  <c r="Q204" i="41"/>
  <c r="N204" i="41"/>
  <c r="P204" i="41"/>
  <c r="O203" i="41"/>
  <c r="Q203" i="41"/>
  <c r="N203" i="41"/>
  <c r="P203" i="41"/>
  <c r="O202" i="41"/>
  <c r="Q202" i="41"/>
  <c r="N202" i="41"/>
  <c r="P202" i="41"/>
  <c r="O201" i="41"/>
  <c r="Q201" i="41"/>
  <c r="N201" i="41"/>
  <c r="P201" i="41"/>
  <c r="O200" i="41"/>
  <c r="Q200" i="41"/>
  <c r="N200" i="41"/>
  <c r="P200" i="41"/>
  <c r="O199" i="41"/>
  <c r="Q199" i="41"/>
  <c r="N199" i="41"/>
  <c r="P199" i="41"/>
  <c r="O198" i="41"/>
  <c r="Q198" i="41"/>
  <c r="N198" i="41"/>
  <c r="P198" i="41"/>
  <c r="O197" i="41"/>
  <c r="Q197" i="41"/>
  <c r="N197" i="41"/>
  <c r="P197" i="41"/>
  <c r="O196" i="41"/>
  <c r="Q196" i="41"/>
  <c r="N196" i="41"/>
  <c r="P196" i="41"/>
  <c r="O195" i="41"/>
  <c r="Q195" i="41"/>
  <c r="N195" i="41"/>
  <c r="P195" i="41"/>
  <c r="O194" i="41"/>
  <c r="Q194" i="41"/>
  <c r="N194" i="41"/>
  <c r="P194" i="41"/>
  <c r="O193" i="41"/>
  <c r="Q193" i="41"/>
  <c r="N193" i="41"/>
  <c r="P193" i="41"/>
  <c r="O192" i="41"/>
  <c r="Q192" i="41"/>
  <c r="N192" i="41"/>
  <c r="P192" i="41"/>
  <c r="O191" i="41"/>
  <c r="Q191" i="41"/>
  <c r="N191" i="41"/>
  <c r="P191" i="41"/>
  <c r="O190" i="41"/>
  <c r="Q190" i="41"/>
  <c r="N190" i="41"/>
  <c r="P190" i="41"/>
  <c r="O189" i="41"/>
  <c r="Q189" i="41"/>
  <c r="N189" i="41"/>
  <c r="P189" i="41"/>
  <c r="O188" i="41"/>
  <c r="Q188" i="41"/>
  <c r="N188" i="41"/>
  <c r="P188" i="41"/>
  <c r="O187" i="41"/>
  <c r="Q187" i="41"/>
  <c r="N187" i="41"/>
  <c r="P187" i="41"/>
  <c r="O186" i="41"/>
  <c r="Q186" i="41"/>
  <c r="N186" i="41"/>
  <c r="P186" i="41"/>
  <c r="O185" i="41"/>
  <c r="Q185" i="41"/>
  <c r="N185" i="41"/>
  <c r="P185" i="41"/>
  <c r="O184" i="41"/>
  <c r="Q184" i="41"/>
  <c r="N184" i="41"/>
  <c r="P184" i="41"/>
  <c r="O183" i="41"/>
  <c r="Q183" i="41"/>
  <c r="N183" i="41"/>
  <c r="P183" i="41"/>
  <c r="O182" i="41"/>
  <c r="Q182" i="41"/>
  <c r="N182" i="41"/>
  <c r="P182" i="41"/>
  <c r="O181" i="41"/>
  <c r="Q181" i="41"/>
  <c r="N181" i="41"/>
  <c r="P181" i="41"/>
  <c r="O180" i="41"/>
  <c r="Q180" i="41"/>
  <c r="N180" i="41"/>
  <c r="P180" i="41"/>
  <c r="O179" i="41"/>
  <c r="Q179" i="41"/>
  <c r="N179" i="41"/>
  <c r="P179" i="41"/>
  <c r="O178" i="41"/>
  <c r="Q178" i="41"/>
  <c r="N178" i="41"/>
  <c r="P178" i="41"/>
  <c r="O177" i="41"/>
  <c r="Q177" i="41"/>
  <c r="N177" i="41"/>
  <c r="P177" i="41"/>
  <c r="O176" i="41"/>
  <c r="Q176" i="41"/>
  <c r="N176" i="41"/>
  <c r="P176" i="41"/>
  <c r="O175" i="41"/>
  <c r="Q175" i="41"/>
  <c r="N175" i="41"/>
  <c r="P175" i="41"/>
  <c r="O174" i="41"/>
  <c r="Q174" i="41"/>
  <c r="N174" i="41"/>
  <c r="P174" i="41"/>
  <c r="O173" i="41"/>
  <c r="Q173" i="41"/>
  <c r="N173" i="41"/>
  <c r="P173" i="41"/>
  <c r="O172" i="41"/>
  <c r="Q172" i="41"/>
  <c r="N172" i="41"/>
  <c r="P172" i="41"/>
  <c r="O171" i="41"/>
  <c r="Q171" i="41"/>
  <c r="N171" i="41"/>
  <c r="P171" i="41"/>
  <c r="O170" i="41"/>
  <c r="Q170" i="41"/>
  <c r="N170" i="41"/>
  <c r="P170" i="41"/>
  <c r="O169" i="41"/>
  <c r="Q169" i="41"/>
  <c r="N169" i="41"/>
  <c r="P169" i="41"/>
  <c r="O168" i="41"/>
  <c r="Q168" i="41"/>
  <c r="N168" i="41"/>
  <c r="P168" i="41"/>
  <c r="O167" i="41"/>
  <c r="Q167" i="41"/>
  <c r="N167" i="41"/>
  <c r="P167" i="41"/>
  <c r="O166" i="41"/>
  <c r="Q166" i="41"/>
  <c r="N166" i="41"/>
  <c r="P166" i="41"/>
  <c r="O165" i="41"/>
  <c r="Q165" i="41"/>
  <c r="N165" i="41"/>
  <c r="P165" i="41"/>
  <c r="O164" i="41"/>
  <c r="Q164" i="41"/>
  <c r="N164" i="41"/>
  <c r="P164" i="41"/>
  <c r="O163" i="41"/>
  <c r="Q163" i="41"/>
  <c r="N163" i="41"/>
  <c r="P163" i="41"/>
  <c r="O162" i="41"/>
  <c r="Q162" i="41"/>
  <c r="N162" i="41"/>
  <c r="P162" i="41"/>
  <c r="O161" i="41"/>
  <c r="Q161" i="41"/>
  <c r="N161" i="41"/>
  <c r="P161" i="41"/>
  <c r="O160" i="41"/>
  <c r="Q160" i="41"/>
  <c r="N160" i="41"/>
  <c r="P160" i="41"/>
  <c r="O159" i="41"/>
  <c r="Q159" i="41"/>
  <c r="N159" i="41"/>
  <c r="P159" i="41"/>
  <c r="O158" i="41"/>
  <c r="Q158" i="41"/>
  <c r="N158" i="41"/>
  <c r="P158" i="41"/>
  <c r="O157" i="41"/>
  <c r="Q157" i="41"/>
  <c r="N157" i="41"/>
  <c r="P157" i="41"/>
  <c r="O156" i="41"/>
  <c r="Q156" i="41"/>
  <c r="N156" i="41"/>
  <c r="P156" i="41"/>
  <c r="O155" i="41"/>
  <c r="Q155" i="41"/>
  <c r="N155" i="41"/>
  <c r="P155" i="41"/>
  <c r="O154" i="41"/>
  <c r="Q154" i="41"/>
  <c r="N154" i="41"/>
  <c r="P154" i="41"/>
  <c r="O153" i="41"/>
  <c r="Q153" i="41"/>
  <c r="N153" i="41"/>
  <c r="P153" i="41"/>
  <c r="O152" i="41"/>
  <c r="Q152" i="41"/>
  <c r="N152" i="41"/>
  <c r="P152" i="41"/>
  <c r="O151" i="41"/>
  <c r="Q151" i="41"/>
  <c r="N151" i="41"/>
  <c r="P151" i="41"/>
  <c r="O150" i="41"/>
  <c r="Q150" i="41"/>
  <c r="N150" i="41"/>
  <c r="P150" i="41"/>
  <c r="O149" i="41"/>
  <c r="Q149" i="41"/>
  <c r="N149" i="41"/>
  <c r="P149" i="41"/>
  <c r="O148" i="41"/>
  <c r="Q148" i="41"/>
  <c r="N148" i="41"/>
  <c r="P148" i="41"/>
  <c r="O147" i="41"/>
  <c r="Q147" i="41"/>
  <c r="N147" i="41"/>
  <c r="P147" i="41"/>
  <c r="O146" i="41"/>
  <c r="Q146" i="41"/>
  <c r="N146" i="41"/>
  <c r="P146" i="41"/>
  <c r="O145" i="41"/>
  <c r="Q145" i="41"/>
  <c r="N145" i="41"/>
  <c r="P145" i="41"/>
  <c r="O144" i="41"/>
  <c r="Q144" i="41"/>
  <c r="N144" i="41"/>
  <c r="P144" i="41"/>
  <c r="O143" i="41"/>
  <c r="Q143" i="41"/>
  <c r="N143" i="41"/>
  <c r="P143" i="41"/>
  <c r="O142" i="41"/>
  <c r="Q142" i="41"/>
  <c r="N142" i="41"/>
  <c r="P142" i="41"/>
  <c r="O141" i="41"/>
  <c r="Q141" i="41"/>
  <c r="N141" i="41"/>
  <c r="P141" i="41"/>
  <c r="O140" i="41"/>
  <c r="Q140" i="41"/>
  <c r="N140" i="41"/>
  <c r="P140" i="41"/>
  <c r="O139" i="41"/>
  <c r="Q139" i="41"/>
  <c r="N139" i="41"/>
  <c r="P139" i="41"/>
  <c r="O138" i="41"/>
  <c r="Q138" i="41"/>
  <c r="N138" i="41"/>
  <c r="P138" i="41"/>
  <c r="O137" i="41"/>
  <c r="Q137" i="41"/>
  <c r="N137" i="41"/>
  <c r="P137" i="41"/>
  <c r="O136" i="41"/>
  <c r="Q136" i="41"/>
  <c r="N136" i="41"/>
  <c r="P136" i="41"/>
  <c r="O135" i="41"/>
  <c r="Q135" i="41"/>
  <c r="N135" i="41"/>
  <c r="P135" i="41"/>
  <c r="O134" i="41"/>
  <c r="Q134" i="41"/>
  <c r="N134" i="41"/>
  <c r="P134" i="41"/>
  <c r="O133" i="41"/>
  <c r="Q133" i="41"/>
  <c r="N133" i="41"/>
  <c r="P133" i="41"/>
  <c r="O132" i="41"/>
  <c r="Q132" i="41"/>
  <c r="N132" i="41"/>
  <c r="P132" i="41"/>
  <c r="O131" i="41"/>
  <c r="Q131" i="41"/>
  <c r="N131" i="41"/>
  <c r="P131" i="41"/>
  <c r="O130" i="41"/>
  <c r="Q130" i="41"/>
  <c r="N130" i="41"/>
  <c r="P130" i="41"/>
  <c r="O129" i="41"/>
  <c r="Q129" i="41"/>
  <c r="N129" i="41"/>
  <c r="P129" i="41"/>
  <c r="O128" i="41"/>
  <c r="Q128" i="41"/>
  <c r="N128" i="41"/>
  <c r="P128" i="41"/>
  <c r="O127" i="41"/>
  <c r="Q127" i="41"/>
  <c r="N127" i="41"/>
  <c r="P127" i="41"/>
  <c r="O126" i="41"/>
  <c r="Q126" i="41"/>
  <c r="N126" i="41"/>
  <c r="P126" i="41"/>
  <c r="O125" i="41"/>
  <c r="Q125" i="41"/>
  <c r="N125" i="41"/>
  <c r="P125" i="41"/>
  <c r="O124" i="41"/>
  <c r="Q124" i="41"/>
  <c r="N124" i="41"/>
  <c r="P124" i="41"/>
  <c r="O123" i="41"/>
  <c r="Q123" i="41"/>
  <c r="N123" i="41"/>
  <c r="P123" i="41"/>
  <c r="O122" i="41"/>
  <c r="Q122" i="41"/>
  <c r="N122" i="41"/>
  <c r="P122" i="41"/>
  <c r="O121" i="41"/>
  <c r="Q121" i="41"/>
  <c r="N121" i="41"/>
  <c r="P121" i="41"/>
  <c r="O120" i="41"/>
  <c r="Q120" i="41"/>
  <c r="N120" i="41"/>
  <c r="P120" i="41"/>
  <c r="O119" i="41"/>
  <c r="Q119" i="41"/>
  <c r="N119" i="41"/>
  <c r="P119" i="41"/>
  <c r="O118" i="41"/>
  <c r="Q118" i="41"/>
  <c r="N118" i="41"/>
  <c r="P118" i="41"/>
  <c r="Q117" i="41"/>
  <c r="S117" i="41" s="1"/>
  <c r="N117" i="41"/>
  <c r="P117" i="41"/>
  <c r="Q116" i="41"/>
  <c r="N116" i="41"/>
  <c r="P116" i="41"/>
  <c r="Q115" i="41"/>
  <c r="S115" i="41" s="1"/>
  <c r="N115" i="41"/>
  <c r="P115" i="41"/>
  <c r="Q114" i="41"/>
  <c r="N114" i="41"/>
  <c r="P114" i="41"/>
  <c r="Q113" i="41"/>
  <c r="N113" i="41"/>
  <c r="P113" i="41"/>
  <c r="Q112" i="41"/>
  <c r="S112" i="41" s="1"/>
  <c r="N112" i="41"/>
  <c r="P112" i="41"/>
  <c r="Q111" i="41"/>
  <c r="U111" i="41" s="1"/>
  <c r="N111" i="41"/>
  <c r="P111" i="41"/>
  <c r="Q110" i="41"/>
  <c r="N110" i="41"/>
  <c r="P110" i="41"/>
  <c r="Q109" i="41"/>
  <c r="U109" i="41" s="1"/>
  <c r="N109" i="41"/>
  <c r="P109" i="41"/>
  <c r="Q108" i="41"/>
  <c r="S108" i="41" s="1"/>
  <c r="N108" i="41"/>
  <c r="P108" i="41"/>
  <c r="Q107" i="41"/>
  <c r="N107" i="41"/>
  <c r="P107" i="41"/>
  <c r="Q106" i="41"/>
  <c r="S106" i="41" s="1"/>
  <c r="N106" i="41"/>
  <c r="P106" i="41"/>
  <c r="Q105" i="41"/>
  <c r="N105" i="41"/>
  <c r="P105" i="41"/>
  <c r="Q104" i="41"/>
  <c r="S104" i="41" s="1"/>
  <c r="N104" i="41"/>
  <c r="P104" i="41"/>
  <c r="Q103" i="41"/>
  <c r="S103" i="41" s="1"/>
  <c r="N103" i="41"/>
  <c r="P103" i="41"/>
  <c r="Q102" i="41"/>
  <c r="U102" i="41" s="1"/>
  <c r="N102" i="41"/>
  <c r="P102" i="41"/>
  <c r="Q101" i="41"/>
  <c r="U101" i="41" s="1"/>
  <c r="N101" i="41"/>
  <c r="P101" i="41"/>
  <c r="Q100" i="41"/>
  <c r="U100" i="41" s="1"/>
  <c r="N100" i="41"/>
  <c r="P100" i="41"/>
  <c r="Q99" i="41"/>
  <c r="S99" i="41" s="1"/>
  <c r="N99" i="41"/>
  <c r="P99" i="41"/>
  <c r="Q98" i="41"/>
  <c r="U98" i="41" s="1"/>
  <c r="N98" i="41"/>
  <c r="P98" i="41"/>
  <c r="Q97" i="41"/>
  <c r="U97" i="41" s="1"/>
  <c r="N97" i="41"/>
  <c r="P97" i="41"/>
  <c r="Q96" i="41"/>
  <c r="U96" i="41" s="1"/>
  <c r="N96" i="41"/>
  <c r="P96" i="41"/>
  <c r="Q95" i="41"/>
  <c r="S95" i="41" s="1"/>
  <c r="N95" i="41"/>
  <c r="P95" i="41"/>
  <c r="Q94" i="41"/>
  <c r="S94" i="41" s="1"/>
  <c r="N94" i="41"/>
  <c r="P94" i="41"/>
  <c r="Q93" i="41"/>
  <c r="S93" i="41" s="1"/>
  <c r="N93" i="41"/>
  <c r="P93" i="41"/>
  <c r="Q92" i="41"/>
  <c r="U92" i="41" s="1"/>
  <c r="N92" i="41"/>
  <c r="P92" i="41"/>
  <c r="Q91" i="41"/>
  <c r="S91" i="41" s="1"/>
  <c r="N91" i="41"/>
  <c r="P91" i="41"/>
  <c r="Q90" i="41"/>
  <c r="U90" i="41" s="1"/>
  <c r="N90" i="41"/>
  <c r="P90" i="41"/>
  <c r="Q89" i="41"/>
  <c r="U89" i="41" s="1"/>
  <c r="N89" i="41"/>
  <c r="P89" i="41"/>
  <c r="Q88" i="41"/>
  <c r="S88" i="41" s="1"/>
  <c r="N88" i="41"/>
  <c r="P88" i="41"/>
  <c r="Q87" i="41"/>
  <c r="U87" i="41" s="1"/>
  <c r="N87" i="41"/>
  <c r="P87" i="41"/>
  <c r="Q86" i="41"/>
  <c r="U86" i="41" s="1"/>
  <c r="N86" i="41"/>
  <c r="P86" i="41"/>
  <c r="Q85" i="41"/>
  <c r="N85" i="41"/>
  <c r="P85" i="41"/>
  <c r="Q84" i="41"/>
  <c r="U84" i="41" s="1"/>
  <c r="N84" i="41"/>
  <c r="P84" i="41"/>
  <c r="Q83" i="41"/>
  <c r="U83" i="41" s="1"/>
  <c r="N83" i="41"/>
  <c r="P83" i="41"/>
  <c r="Q82" i="41"/>
  <c r="S82" i="41" s="1"/>
  <c r="N82" i="41"/>
  <c r="P82" i="41"/>
  <c r="Q81" i="41"/>
  <c r="N81" i="41"/>
  <c r="P81" i="41"/>
  <c r="Q80" i="41"/>
  <c r="N80" i="41"/>
  <c r="P80" i="41"/>
  <c r="Q79" i="41"/>
  <c r="S79" i="41" s="1"/>
  <c r="N79" i="41"/>
  <c r="P79" i="41"/>
  <c r="Q78" i="41"/>
  <c r="N78" i="41"/>
  <c r="P78" i="41"/>
  <c r="Q77" i="41"/>
  <c r="N77" i="41"/>
  <c r="P77" i="41"/>
  <c r="Q76" i="41"/>
  <c r="S76" i="41" s="1"/>
  <c r="N76" i="41"/>
  <c r="P76" i="41"/>
  <c r="Q75" i="41"/>
  <c r="U75" i="41" s="1"/>
  <c r="N75" i="41"/>
  <c r="P75" i="41"/>
  <c r="Q74" i="41"/>
  <c r="N74" i="41"/>
  <c r="P74" i="41"/>
  <c r="Q73" i="41"/>
  <c r="S73" i="41" s="1"/>
  <c r="N73" i="41"/>
  <c r="P73" i="41"/>
  <c r="Q72" i="41"/>
  <c r="S72" i="41" s="1"/>
  <c r="N72" i="41"/>
  <c r="P72" i="41"/>
  <c r="Q71" i="41"/>
  <c r="N71" i="41"/>
  <c r="P71" i="41"/>
  <c r="Q70" i="41"/>
  <c r="U70" i="41" s="1"/>
  <c r="N70" i="41"/>
  <c r="P70" i="41"/>
  <c r="Q69" i="41"/>
  <c r="N69" i="41"/>
  <c r="P69" i="41"/>
  <c r="Q68" i="41"/>
  <c r="S68" i="41" s="1"/>
  <c r="N68" i="41"/>
  <c r="P68" i="41"/>
  <c r="Q67" i="41"/>
  <c r="S67" i="41" s="1"/>
  <c r="N67" i="41"/>
  <c r="P67" i="41"/>
  <c r="Q66" i="41"/>
  <c r="U66" i="41" s="1"/>
  <c r="N66" i="41"/>
  <c r="P66" i="41"/>
  <c r="Q65" i="41"/>
  <c r="U65" i="41" s="1"/>
  <c r="N65" i="41"/>
  <c r="P65" i="41"/>
  <c r="U64" i="41"/>
  <c r="T64" i="41"/>
  <c r="S64" i="41"/>
  <c r="R64" i="41"/>
  <c r="Q63" i="41"/>
  <c r="S63" i="41" s="1"/>
  <c r="N63" i="41"/>
  <c r="P63" i="41"/>
  <c r="Q62" i="41"/>
  <c r="U62" i="41" s="1"/>
  <c r="N62" i="41"/>
  <c r="P62" i="41"/>
  <c r="Q61" i="41"/>
  <c r="S61" i="41" s="1"/>
  <c r="N61" i="41"/>
  <c r="P61" i="41"/>
  <c r="Q60" i="41"/>
  <c r="N60" i="41"/>
  <c r="P60" i="41"/>
  <c r="Q59" i="41"/>
  <c r="U59" i="41" s="1"/>
  <c r="N59" i="41"/>
  <c r="P59" i="41"/>
  <c r="Q58" i="41"/>
  <c r="S58" i="41" s="1"/>
  <c r="N58" i="41"/>
  <c r="P58" i="41"/>
  <c r="Q57" i="41"/>
  <c r="S57" i="41" s="1"/>
  <c r="N57" i="41"/>
  <c r="P57" i="41"/>
  <c r="Q56" i="41"/>
  <c r="U56" i="41" s="1"/>
  <c r="N56" i="41"/>
  <c r="P56" i="41"/>
  <c r="Q55" i="41"/>
  <c r="U55" i="41" s="1"/>
  <c r="N55" i="41"/>
  <c r="P55" i="41"/>
  <c r="Q54" i="41"/>
  <c r="S54" i="41" s="1"/>
  <c r="N54" i="41"/>
  <c r="P54" i="41"/>
  <c r="Q53" i="41"/>
  <c r="S53" i="41" s="1"/>
  <c r="N53" i="41"/>
  <c r="P53" i="41"/>
  <c r="Q52" i="41"/>
  <c r="U52" i="41" s="1"/>
  <c r="N52" i="41"/>
  <c r="P52" i="41"/>
  <c r="Q51" i="41"/>
  <c r="U51" i="41" s="1"/>
  <c r="N51" i="41"/>
  <c r="P51" i="41"/>
  <c r="Q50" i="41"/>
  <c r="U50" i="41" s="1"/>
  <c r="N50" i="41"/>
  <c r="P50" i="41"/>
  <c r="Q49" i="41"/>
  <c r="S49" i="41" s="1"/>
  <c r="N49" i="41"/>
  <c r="P49" i="41"/>
  <c r="Q48" i="41"/>
  <c r="S48" i="41" s="1"/>
  <c r="N48" i="41"/>
  <c r="P48" i="41"/>
  <c r="Q47" i="41"/>
  <c r="N47" i="41"/>
  <c r="Q46" i="41"/>
  <c r="U46" i="41" s="1"/>
  <c r="N46" i="41"/>
  <c r="Q45" i="41"/>
  <c r="U45" i="41" s="1"/>
  <c r="N45" i="41"/>
  <c r="Q44" i="41"/>
  <c r="N44" i="41"/>
  <c r="Q43" i="41"/>
  <c r="S43" i="41" s="1"/>
  <c r="N43" i="41"/>
  <c r="Q42" i="41"/>
  <c r="U42" i="41" s="1"/>
  <c r="N42" i="41"/>
  <c r="Q41" i="41"/>
  <c r="N41" i="41"/>
  <c r="Q40" i="41"/>
  <c r="N40" i="41"/>
  <c r="Q39" i="41"/>
  <c r="U39" i="41" s="1"/>
  <c r="N39" i="41"/>
  <c r="Q38" i="41"/>
  <c r="N38" i="41"/>
  <c r="Q37" i="41"/>
  <c r="U37" i="41" s="1"/>
  <c r="N37" i="41"/>
  <c r="Q36" i="41"/>
  <c r="N36" i="41"/>
  <c r="Q35" i="41"/>
  <c r="S35" i="41" s="1"/>
  <c r="N35" i="41"/>
  <c r="Q34" i="41"/>
  <c r="U34" i="41" s="1"/>
  <c r="N34" i="41"/>
  <c r="Q33" i="41"/>
  <c r="N33" i="41"/>
  <c r="Q32" i="41"/>
  <c r="U32" i="41" s="1"/>
  <c r="N32" i="41"/>
  <c r="Q31" i="41"/>
  <c r="S31" i="41" s="1"/>
  <c r="N31" i="41"/>
  <c r="Q30" i="41"/>
  <c r="U30" i="41" s="1"/>
  <c r="N30" i="41"/>
  <c r="Q29" i="41"/>
  <c r="U29" i="41" s="1"/>
  <c r="N29" i="41"/>
  <c r="Q28" i="41"/>
  <c r="U28" i="41" s="1"/>
  <c r="N28" i="41"/>
  <c r="Q27" i="41"/>
  <c r="U27" i="41" s="1"/>
  <c r="N27" i="41"/>
  <c r="Q26" i="41"/>
  <c r="U26" i="41" s="1"/>
  <c r="N26" i="41"/>
  <c r="Q25" i="41"/>
  <c r="S25" i="41" s="1"/>
  <c r="N25" i="41"/>
  <c r="Q24" i="41"/>
  <c r="U24" i="41" s="1"/>
  <c r="N24" i="41"/>
  <c r="Q23" i="41"/>
  <c r="S23" i="41" s="1"/>
  <c r="N23" i="41"/>
  <c r="O22" i="41"/>
  <c r="S22" i="41" s="1"/>
  <c r="O21" i="41"/>
  <c r="S21" i="41" s="1"/>
  <c r="O20" i="41"/>
  <c r="S20" i="41" s="1"/>
  <c r="O19" i="41"/>
  <c r="U19" i="41" s="1"/>
  <c r="O18" i="41"/>
  <c r="S18" i="41" s="1"/>
  <c r="O17" i="41"/>
  <c r="S17" i="41" s="1"/>
  <c r="O16" i="41"/>
  <c r="S16" i="41" s="1"/>
  <c r="O15" i="41"/>
  <c r="S15" i="41" s="1"/>
  <c r="O14" i="41"/>
  <c r="S14" i="41" s="1"/>
  <c r="O13" i="41"/>
  <c r="S13" i="41" s="1"/>
  <c r="O12" i="41"/>
  <c r="S12" i="41" s="1"/>
  <c r="O11" i="41"/>
  <c r="U11" i="41" s="1"/>
  <c r="O10" i="41"/>
  <c r="S10" i="41" s="1"/>
  <c r="O9" i="41"/>
  <c r="S9" i="41" s="1"/>
  <c r="O8" i="41"/>
  <c r="S8" i="41" s="1"/>
  <c r="O7" i="41"/>
  <c r="S7" i="41" s="1"/>
  <c r="O6" i="41"/>
  <c r="S6" i="41" s="1"/>
  <c r="E101" i="40"/>
  <c r="F102" i="40"/>
  <c r="G102" i="40"/>
  <c r="G103" i="40"/>
  <c r="H104" i="40"/>
  <c r="I104" i="40"/>
  <c r="I105" i="40"/>
  <c r="M105" i="40"/>
  <c r="J111" i="40"/>
  <c r="K113" i="40"/>
  <c r="L115" i="40"/>
  <c r="F3" i="29"/>
  <c r="H3" i="29"/>
  <c r="F4" i="29"/>
  <c r="E4" i="29" s="1"/>
  <c r="H4" i="29"/>
  <c r="F5" i="29"/>
  <c r="E5" i="29" s="1"/>
  <c r="H5" i="29"/>
  <c r="I31" i="39"/>
  <c r="I21" i="39"/>
  <c r="G21" i="39"/>
  <c r="E21" i="39"/>
  <c r="C21" i="39"/>
  <c r="F12" i="29"/>
  <c r="C4" i="22"/>
  <c r="F13" i="29"/>
  <c r="H13" i="29" s="1"/>
  <c r="C2" i="16" s="1"/>
  <c r="D2" i="22" s="1"/>
  <c r="C2" i="17" s="1"/>
  <c r="D4" i="22"/>
  <c r="F14" i="29"/>
  <c r="H14" i="29" s="1"/>
  <c r="D2" i="16" s="1"/>
  <c r="E2" i="22" s="1"/>
  <c r="E2" i="17" s="1"/>
  <c r="E4" i="22"/>
  <c r="F22" i="29"/>
  <c r="H22" i="29" s="1"/>
  <c r="K2" i="16" s="1"/>
  <c r="L2" i="22" s="1"/>
  <c r="N2" i="17" s="1"/>
  <c r="L5" i="22"/>
  <c r="F21" i="29"/>
  <c r="H21" i="29" s="1"/>
  <c r="L2" i="16" s="1"/>
  <c r="M2" i="22" s="1"/>
  <c r="O2" i="17" s="1"/>
  <c r="M5" i="22"/>
  <c r="F23" i="29"/>
  <c r="H23" i="29" s="1"/>
  <c r="M2" i="16" s="1"/>
  <c r="N2" i="22" s="1"/>
  <c r="P2" i="17" s="1"/>
  <c r="N5" i="22"/>
  <c r="F18" i="29"/>
  <c r="H18" i="29" s="1"/>
  <c r="H2" i="16" s="1"/>
  <c r="I2" i="22" s="1"/>
  <c r="J2" i="17" s="1"/>
  <c r="I6" i="22"/>
  <c r="E6" i="22"/>
  <c r="F19" i="29"/>
  <c r="H19" i="29" s="1"/>
  <c r="I2" i="16" s="1"/>
  <c r="J2" i="22" s="1"/>
  <c r="K2" i="17" s="1"/>
  <c r="J7" i="22"/>
  <c r="F20" i="29"/>
  <c r="H20" i="29" s="1"/>
  <c r="J2" i="16" s="1"/>
  <c r="K2" i="22" s="1"/>
  <c r="L2" i="17" s="1"/>
  <c r="K7" i="22"/>
  <c r="C8" i="22"/>
  <c r="D8" i="22"/>
  <c r="E8" i="22"/>
  <c r="I9" i="22"/>
  <c r="E9" i="22"/>
  <c r="I10" i="22"/>
  <c r="E10" i="22"/>
  <c r="I11" i="22"/>
  <c r="E11" i="22"/>
  <c r="I12" i="22"/>
  <c r="E12" i="22"/>
  <c r="I13" i="22"/>
  <c r="E13" i="22"/>
  <c r="I14" i="22"/>
  <c r="E14" i="22"/>
  <c r="I15" i="22"/>
  <c r="E15" i="22"/>
  <c r="F17" i="29"/>
  <c r="H17" i="29" s="1"/>
  <c r="E2" i="16" s="1"/>
  <c r="F2" i="22" s="1"/>
  <c r="F2" i="17" s="1"/>
  <c r="F16" i="22"/>
  <c r="F16" i="29"/>
  <c r="H16" i="29" s="1"/>
  <c r="F2" i="16" s="1"/>
  <c r="G2" i="22" s="1"/>
  <c r="G2" i="17" s="1"/>
  <c r="G16" i="22"/>
  <c r="F15" i="29"/>
  <c r="H15" i="29" s="1"/>
  <c r="G2" i="16" s="1"/>
  <c r="H2" i="22" s="1"/>
  <c r="H2" i="17" s="1"/>
  <c r="H16" i="22"/>
  <c r="E16" i="22"/>
  <c r="C17" i="22"/>
  <c r="D17" i="22"/>
  <c r="E17" i="22"/>
  <c r="J18" i="22"/>
  <c r="K18" i="22"/>
  <c r="F19" i="22"/>
  <c r="G19" i="22"/>
  <c r="H19" i="22"/>
  <c r="E19" i="22"/>
  <c r="F20" i="22"/>
  <c r="G20" i="22"/>
  <c r="H20" i="22"/>
  <c r="E20" i="22"/>
  <c r="F21" i="22"/>
  <c r="G21" i="22"/>
  <c r="H21" i="22"/>
  <c r="E21" i="22"/>
  <c r="F22" i="22"/>
  <c r="G22" i="22"/>
  <c r="H22" i="22"/>
  <c r="E22" i="22"/>
  <c r="F23" i="22"/>
  <c r="G23" i="22"/>
  <c r="H23" i="22"/>
  <c r="E23" i="22"/>
  <c r="F24" i="22"/>
  <c r="G24" i="22"/>
  <c r="H24" i="22"/>
  <c r="E24" i="22"/>
  <c r="F25" i="22"/>
  <c r="G25" i="22"/>
  <c r="H25" i="22"/>
  <c r="E25" i="22"/>
  <c r="F26" i="22"/>
  <c r="G26" i="22"/>
  <c r="H26" i="22"/>
  <c r="E26" i="22"/>
  <c r="I27" i="22"/>
  <c r="E27" i="22"/>
  <c r="F28" i="22"/>
  <c r="G28" i="22"/>
  <c r="H28" i="22"/>
  <c r="E28" i="22"/>
  <c r="I29" i="22"/>
  <c r="E29" i="22"/>
  <c r="F30" i="22"/>
  <c r="G30" i="22"/>
  <c r="H30" i="22"/>
  <c r="E30" i="22"/>
  <c r="J31" i="22"/>
  <c r="K31" i="22"/>
  <c r="J32" i="22"/>
  <c r="K32" i="22"/>
  <c r="I33" i="22"/>
  <c r="E33" i="22"/>
  <c r="I34" i="22"/>
  <c r="E34" i="22"/>
  <c r="I35" i="22"/>
  <c r="E35" i="22"/>
  <c r="C37" i="22"/>
  <c r="D37" i="22"/>
  <c r="E37" i="22"/>
  <c r="F38" i="22"/>
  <c r="G38" i="22"/>
  <c r="H38" i="22"/>
  <c r="E38" i="22"/>
  <c r="L39" i="22"/>
  <c r="M39" i="22"/>
  <c r="N39" i="22"/>
  <c r="F40" i="22"/>
  <c r="G40" i="22"/>
  <c r="H40" i="22"/>
  <c r="E40" i="22"/>
  <c r="F41" i="22"/>
  <c r="G41" i="22"/>
  <c r="H41" i="22"/>
  <c r="E41" i="22"/>
  <c r="F42" i="22"/>
  <c r="G42" i="22"/>
  <c r="H42" i="22"/>
  <c r="E42" i="22"/>
  <c r="F43" i="22"/>
  <c r="G43" i="22"/>
  <c r="H43" i="22"/>
  <c r="E43" i="22"/>
  <c r="F44" i="22"/>
  <c r="G44" i="22"/>
  <c r="H44" i="22"/>
  <c r="E44" i="22"/>
  <c r="F45" i="22"/>
  <c r="G45" i="22"/>
  <c r="H45" i="22"/>
  <c r="E45" i="22"/>
  <c r="F46" i="22"/>
  <c r="G46" i="22"/>
  <c r="H46" i="22"/>
  <c r="E46" i="22"/>
  <c r="F47" i="22"/>
  <c r="G47" i="22"/>
  <c r="H47" i="22"/>
  <c r="E47" i="22"/>
  <c r="L48" i="22"/>
  <c r="M48" i="22"/>
  <c r="N48" i="22"/>
  <c r="L49" i="22"/>
  <c r="M49" i="22"/>
  <c r="N49" i="22"/>
  <c r="J50" i="22"/>
  <c r="K50" i="22"/>
  <c r="J51" i="22"/>
  <c r="K51" i="22"/>
  <c r="C52" i="22"/>
  <c r="E52" i="22"/>
  <c r="F53" i="22"/>
  <c r="G53" i="22"/>
  <c r="H53" i="22"/>
  <c r="E53" i="22"/>
  <c r="C54" i="22"/>
  <c r="D54" i="22"/>
  <c r="E54" i="22"/>
  <c r="G55" i="22"/>
  <c r="F55" i="22"/>
  <c r="H55" i="22"/>
  <c r="E55" i="22"/>
  <c r="D56" i="22"/>
  <c r="C56" i="22"/>
  <c r="E56" i="22"/>
  <c r="G57" i="22"/>
  <c r="F57" i="22"/>
  <c r="H57" i="22"/>
  <c r="F58" i="22"/>
  <c r="G58" i="22"/>
  <c r="H58" i="22"/>
  <c r="E58" i="22"/>
  <c r="I59" i="22"/>
  <c r="E59" i="22"/>
  <c r="F60" i="22"/>
  <c r="G60" i="22"/>
  <c r="H60" i="22"/>
  <c r="E60" i="22"/>
  <c r="I61" i="22"/>
  <c r="E61" i="22"/>
  <c r="I62" i="22"/>
  <c r="E62" i="22"/>
  <c r="F63" i="22"/>
  <c r="G63" i="22"/>
  <c r="H63" i="22"/>
  <c r="E63" i="22"/>
  <c r="F64" i="22"/>
  <c r="G64" i="22"/>
  <c r="H64" i="22"/>
  <c r="E64" i="22"/>
  <c r="I65" i="22"/>
  <c r="E65" i="22"/>
  <c r="F66" i="22"/>
  <c r="G66" i="22"/>
  <c r="H66" i="22"/>
  <c r="E66" i="22"/>
  <c r="F67" i="22"/>
  <c r="G67" i="22"/>
  <c r="H67" i="22"/>
  <c r="E67" i="22"/>
  <c r="J68" i="22"/>
  <c r="K68" i="22"/>
  <c r="I69" i="22"/>
  <c r="E69" i="22"/>
  <c r="F70" i="22"/>
  <c r="G70" i="22"/>
  <c r="H70" i="22"/>
  <c r="E70" i="22"/>
  <c r="J71" i="22"/>
  <c r="K71" i="22"/>
  <c r="J72" i="22"/>
  <c r="K72" i="22"/>
  <c r="J73" i="22"/>
  <c r="K73" i="22"/>
  <c r="J74" i="22"/>
  <c r="K74" i="22"/>
  <c r="I75" i="22"/>
  <c r="E75" i="22"/>
  <c r="F76" i="22"/>
  <c r="G76" i="22"/>
  <c r="H76" i="22"/>
  <c r="E76" i="22"/>
  <c r="I77" i="22"/>
  <c r="E77" i="22"/>
  <c r="F78" i="22"/>
  <c r="G78" i="22"/>
  <c r="H78" i="22"/>
  <c r="E78" i="22"/>
  <c r="I79" i="22"/>
  <c r="E79" i="22"/>
  <c r="L80" i="22"/>
  <c r="M80" i="22"/>
  <c r="N80" i="22"/>
  <c r="L81" i="22"/>
  <c r="M81" i="22"/>
  <c r="N81" i="22"/>
  <c r="L82" i="22"/>
  <c r="M82" i="22"/>
  <c r="N82" i="22"/>
  <c r="J5" i="22"/>
  <c r="K5" i="22"/>
  <c r="F6" i="22"/>
  <c r="G6" i="22"/>
  <c r="H6" i="22"/>
  <c r="I7" i="22"/>
  <c r="E7" i="22"/>
  <c r="F9" i="22"/>
  <c r="G9" i="22"/>
  <c r="H9" i="22"/>
  <c r="F10" i="22"/>
  <c r="G10" i="22"/>
  <c r="H10" i="22"/>
  <c r="F11" i="22"/>
  <c r="G11" i="22"/>
  <c r="H11" i="22"/>
  <c r="F12" i="22"/>
  <c r="G12" i="22"/>
  <c r="H12" i="22"/>
  <c r="F13" i="22"/>
  <c r="G13" i="22"/>
  <c r="H13" i="22"/>
  <c r="F14" i="22"/>
  <c r="G14" i="22"/>
  <c r="H14" i="22"/>
  <c r="F15" i="22"/>
  <c r="G15" i="22"/>
  <c r="H15" i="22"/>
  <c r="C16" i="22"/>
  <c r="D16" i="22"/>
  <c r="I18" i="22"/>
  <c r="E18" i="22"/>
  <c r="C19" i="22"/>
  <c r="D19" i="22"/>
  <c r="C20" i="22"/>
  <c r="D20" i="22"/>
  <c r="C21" i="22"/>
  <c r="D21" i="22"/>
  <c r="C22" i="22"/>
  <c r="D22" i="22"/>
  <c r="C23" i="22"/>
  <c r="D23" i="22"/>
  <c r="C24" i="22"/>
  <c r="D24" i="22"/>
  <c r="C25" i="22"/>
  <c r="D25" i="22"/>
  <c r="L26" i="22"/>
  <c r="M26" i="22"/>
  <c r="N26" i="22"/>
  <c r="C26" i="22"/>
  <c r="D26" i="22"/>
  <c r="F27" i="22"/>
  <c r="G27" i="22"/>
  <c r="H27" i="22"/>
  <c r="L28" i="22"/>
  <c r="M28" i="22"/>
  <c r="N28" i="22"/>
  <c r="C28" i="22"/>
  <c r="D28" i="22"/>
  <c r="C28" i="17" s="1"/>
  <c r="F29" i="22"/>
  <c r="G29" i="22"/>
  <c r="H29" i="22"/>
  <c r="L30" i="22"/>
  <c r="M30" i="22"/>
  <c r="N30" i="22"/>
  <c r="C30" i="22"/>
  <c r="D30" i="22"/>
  <c r="I31" i="22"/>
  <c r="E31" i="22"/>
  <c r="I32" i="22"/>
  <c r="E32" i="22"/>
  <c r="F33" i="22"/>
  <c r="G33" i="22"/>
  <c r="H33" i="22"/>
  <c r="F34" i="22"/>
  <c r="G34" i="22"/>
  <c r="H34" i="22"/>
  <c r="F35" i="22"/>
  <c r="G35" i="22"/>
  <c r="H35" i="22"/>
  <c r="L38" i="22"/>
  <c r="M38" i="22"/>
  <c r="N38" i="22"/>
  <c r="C38" i="22"/>
  <c r="D38" i="22"/>
  <c r="J39" i="22"/>
  <c r="K39" i="22"/>
  <c r="L40" i="22"/>
  <c r="M40" i="22"/>
  <c r="N40" i="22"/>
  <c r="C40" i="22"/>
  <c r="D40" i="22"/>
  <c r="L41" i="22"/>
  <c r="M41" i="22"/>
  <c r="N41" i="22"/>
  <c r="C41" i="22"/>
  <c r="D41" i="22"/>
  <c r="C42" i="22"/>
  <c r="D42" i="22"/>
  <c r="C43" i="22"/>
  <c r="D43" i="22"/>
  <c r="C44" i="22"/>
  <c r="D44" i="22"/>
  <c r="C45" i="22"/>
  <c r="D45" i="22"/>
  <c r="C46" i="22"/>
  <c r="D46" i="22"/>
  <c r="C46" i="17" s="1"/>
  <c r="C47" i="22"/>
  <c r="D47" i="22"/>
  <c r="J48" i="22"/>
  <c r="K48" i="22"/>
  <c r="J49" i="22"/>
  <c r="K49" i="22"/>
  <c r="I50" i="22"/>
  <c r="E50" i="22"/>
  <c r="I51" i="22"/>
  <c r="E51" i="22"/>
  <c r="C53" i="22"/>
  <c r="D53" i="22"/>
  <c r="C53" i="17" s="1"/>
  <c r="C55" i="22"/>
  <c r="D55" i="22"/>
  <c r="C57" i="22"/>
  <c r="D57" i="22"/>
  <c r="C58" i="22"/>
  <c r="D58" i="22"/>
  <c r="F59" i="22"/>
  <c r="G59" i="22"/>
  <c r="H59" i="22"/>
  <c r="C60" i="22"/>
  <c r="D60" i="22"/>
  <c r="F61" i="22"/>
  <c r="G61" i="22"/>
  <c r="H61" i="22"/>
  <c r="F62" i="22"/>
  <c r="G62" i="22"/>
  <c r="H62" i="22"/>
  <c r="C63" i="22"/>
  <c r="D63" i="22"/>
  <c r="C64" i="22"/>
  <c r="D64" i="22"/>
  <c r="F65" i="22"/>
  <c r="G65" i="22"/>
  <c r="H65" i="22"/>
  <c r="C66" i="22"/>
  <c r="D66" i="22"/>
  <c r="C67" i="22"/>
  <c r="D67" i="22"/>
  <c r="I68" i="22"/>
  <c r="E68" i="22"/>
  <c r="F69" i="22"/>
  <c r="G69" i="22"/>
  <c r="H69" i="22"/>
  <c r="C70" i="22"/>
  <c r="D70" i="22"/>
  <c r="I71" i="22"/>
  <c r="E71" i="22"/>
  <c r="I72" i="22"/>
  <c r="E72" i="22"/>
  <c r="I73" i="22"/>
  <c r="E73" i="22"/>
  <c r="I74" i="22"/>
  <c r="E74" i="22"/>
  <c r="F75" i="22"/>
  <c r="G75" i="22"/>
  <c r="H75" i="22"/>
  <c r="C76" i="22"/>
  <c r="D76" i="22"/>
  <c r="C76" i="17" s="1"/>
  <c r="F77" i="22"/>
  <c r="G77" i="22"/>
  <c r="H77" i="22"/>
  <c r="C78" i="22"/>
  <c r="D78" i="22"/>
  <c r="F79" i="22"/>
  <c r="G79" i="22"/>
  <c r="H79" i="22"/>
  <c r="J80" i="22"/>
  <c r="K80" i="22"/>
  <c r="J81" i="22"/>
  <c r="K81" i="22"/>
  <c r="J82" i="22"/>
  <c r="K82" i="22"/>
  <c r="L4" i="22"/>
  <c r="M4" i="22"/>
  <c r="N4" i="22"/>
  <c r="I5" i="22"/>
  <c r="E5" i="22"/>
  <c r="C6" i="22"/>
  <c r="D6" i="22"/>
  <c r="F7" i="22"/>
  <c r="G7" i="22"/>
  <c r="H7" i="22"/>
  <c r="J8" i="22"/>
  <c r="K8" i="22"/>
  <c r="C9" i="22"/>
  <c r="D9" i="22"/>
  <c r="C10" i="22"/>
  <c r="D10" i="22"/>
  <c r="C11" i="22"/>
  <c r="D11" i="22"/>
  <c r="C12" i="22"/>
  <c r="D12" i="22"/>
  <c r="C13" i="22"/>
  <c r="D13" i="22"/>
  <c r="C13" i="17" s="1"/>
  <c r="L14" i="22"/>
  <c r="M14" i="22"/>
  <c r="N14" i="22"/>
  <c r="C14" i="22"/>
  <c r="D14" i="22"/>
  <c r="L15" i="22"/>
  <c r="M15" i="22"/>
  <c r="N15" i="22"/>
  <c r="C15" i="22"/>
  <c r="D15" i="22"/>
  <c r="F18" i="22"/>
  <c r="G18" i="22"/>
  <c r="H18" i="22"/>
  <c r="L19" i="22"/>
  <c r="M19" i="22"/>
  <c r="N19" i="22"/>
  <c r="L20" i="22"/>
  <c r="M20" i="22"/>
  <c r="N20" i="22"/>
  <c r="L21" i="22"/>
  <c r="M21" i="22"/>
  <c r="N21" i="22"/>
  <c r="L22" i="22"/>
  <c r="M22" i="22"/>
  <c r="N22" i="22"/>
  <c r="L23" i="22"/>
  <c r="M23" i="22"/>
  <c r="N23" i="22"/>
  <c r="L24" i="22"/>
  <c r="M24" i="22"/>
  <c r="N24" i="22"/>
  <c r="L25" i="22"/>
  <c r="M25" i="22"/>
  <c r="N25" i="22"/>
  <c r="J26" i="22"/>
  <c r="K26" i="22"/>
  <c r="L27" i="22"/>
  <c r="M27" i="22"/>
  <c r="N27" i="22"/>
  <c r="C27" i="22"/>
  <c r="D27" i="22"/>
  <c r="J28" i="22"/>
  <c r="K28" i="22"/>
  <c r="L29" i="22"/>
  <c r="M29" i="22"/>
  <c r="N29" i="22"/>
  <c r="C29" i="22"/>
  <c r="D29" i="22"/>
  <c r="C29" i="17" s="1"/>
  <c r="J30" i="22"/>
  <c r="K30" i="22"/>
  <c r="F31" i="22"/>
  <c r="G31" i="22"/>
  <c r="H31" i="22"/>
  <c r="F32" i="22"/>
  <c r="G32" i="22"/>
  <c r="H32" i="22"/>
  <c r="C33" i="22"/>
  <c r="D33" i="22"/>
  <c r="C34" i="22"/>
  <c r="D34" i="22"/>
  <c r="C34" i="17" s="1"/>
  <c r="C35" i="22"/>
  <c r="D35" i="22"/>
  <c r="L36" i="22"/>
  <c r="M36" i="22"/>
  <c r="N36" i="22"/>
  <c r="L37" i="22"/>
  <c r="M37" i="22"/>
  <c r="N37" i="22"/>
  <c r="J38" i="22"/>
  <c r="K38" i="22"/>
  <c r="I39" i="22"/>
  <c r="E39" i="22"/>
  <c r="J40" i="22"/>
  <c r="K40" i="22"/>
  <c r="J41" i="22"/>
  <c r="K41" i="22"/>
  <c r="K10" i="40"/>
  <c r="I48" i="22"/>
  <c r="E48" i="22"/>
  <c r="I49" i="22"/>
  <c r="E49" i="22"/>
  <c r="F50" i="22"/>
  <c r="G50" i="22"/>
  <c r="H50" i="22"/>
  <c r="F51" i="22"/>
  <c r="G51" i="22"/>
  <c r="H51" i="22"/>
  <c r="L52" i="22"/>
  <c r="M52" i="22"/>
  <c r="N52" i="22"/>
  <c r="L54" i="22"/>
  <c r="M54" i="22"/>
  <c r="N54" i="22"/>
  <c r="L56" i="22"/>
  <c r="M56" i="22"/>
  <c r="N56" i="22"/>
  <c r="C59" i="22"/>
  <c r="D59" i="22"/>
  <c r="C61" i="22"/>
  <c r="D61" i="22"/>
  <c r="C62" i="22"/>
  <c r="D62" i="22"/>
  <c r="C65" i="22"/>
  <c r="D65" i="22"/>
  <c r="F68" i="22"/>
  <c r="G68" i="22"/>
  <c r="H68" i="22"/>
  <c r="C69" i="22"/>
  <c r="D69" i="22"/>
  <c r="F71" i="22"/>
  <c r="G71" i="22"/>
  <c r="H71" i="22"/>
  <c r="F72" i="22"/>
  <c r="G72" i="22"/>
  <c r="H72" i="22"/>
  <c r="F73" i="22"/>
  <c r="G73" i="22"/>
  <c r="H73" i="22"/>
  <c r="F74" i="22"/>
  <c r="G74" i="22"/>
  <c r="G74" i="17" s="1"/>
  <c r="H74" i="22"/>
  <c r="L75" i="22"/>
  <c r="M75" i="22"/>
  <c r="N75" i="22"/>
  <c r="C72" i="22"/>
  <c r="D72" i="22"/>
  <c r="L77" i="22"/>
  <c r="M77" i="22"/>
  <c r="N77" i="22"/>
  <c r="C74" i="22"/>
  <c r="D74" i="22"/>
  <c r="L78" i="22"/>
  <c r="M78" i="22"/>
  <c r="N78" i="22"/>
  <c r="L79" i="22"/>
  <c r="M79" i="22"/>
  <c r="N79" i="22"/>
  <c r="I80" i="22"/>
  <c r="E80" i="22"/>
  <c r="I81" i="22"/>
  <c r="E81" i="22"/>
  <c r="I82" i="22"/>
  <c r="E82" i="22"/>
  <c r="J4" i="22"/>
  <c r="K4" i="22"/>
  <c r="F5" i="22"/>
  <c r="G5" i="22"/>
  <c r="H5" i="22"/>
  <c r="L6" i="22"/>
  <c r="M6" i="22"/>
  <c r="N6" i="22"/>
  <c r="C7" i="22"/>
  <c r="D7" i="22"/>
  <c r="I8" i="22"/>
  <c r="L9" i="22"/>
  <c r="M9" i="22"/>
  <c r="N9" i="22"/>
  <c r="J4" i="28"/>
  <c r="J4" i="40" s="1"/>
  <c r="J14" i="22"/>
  <c r="K14" i="22"/>
  <c r="J15" i="22"/>
  <c r="K15" i="22"/>
  <c r="AA16" i="17"/>
  <c r="L17" i="22"/>
  <c r="M17" i="22"/>
  <c r="N17" i="22"/>
  <c r="C18" i="22"/>
  <c r="D18" i="22"/>
  <c r="C18" i="17" s="1"/>
  <c r="J19" i="22"/>
  <c r="K19" i="22"/>
  <c r="J20" i="22"/>
  <c r="K20" i="22"/>
  <c r="J21" i="22"/>
  <c r="K21" i="22"/>
  <c r="J22" i="22"/>
  <c r="K22" i="22"/>
  <c r="J23" i="22"/>
  <c r="K23" i="22"/>
  <c r="J24" i="22"/>
  <c r="K24" i="22"/>
  <c r="J25" i="22"/>
  <c r="K25" i="22"/>
  <c r="I26" i="22"/>
  <c r="J27" i="22"/>
  <c r="K27" i="22"/>
  <c r="I28" i="22"/>
  <c r="J29" i="22"/>
  <c r="K29" i="22"/>
  <c r="I30" i="22"/>
  <c r="L31" i="22"/>
  <c r="M31" i="22"/>
  <c r="N31" i="22"/>
  <c r="C31" i="22"/>
  <c r="D31" i="22"/>
  <c r="L32" i="22"/>
  <c r="M32" i="22"/>
  <c r="N32" i="22"/>
  <c r="C32" i="22"/>
  <c r="D32" i="22"/>
  <c r="L35" i="22"/>
  <c r="M35" i="22"/>
  <c r="N35" i="22"/>
  <c r="J36" i="22"/>
  <c r="K36" i="22"/>
  <c r="J37" i="22"/>
  <c r="K37" i="22"/>
  <c r="I38" i="22"/>
  <c r="F39" i="22"/>
  <c r="G39" i="22"/>
  <c r="H39" i="22"/>
  <c r="I40" i="22"/>
  <c r="I41" i="22"/>
  <c r="L42" i="22"/>
  <c r="M42" i="22"/>
  <c r="N42" i="22"/>
  <c r="L43" i="22"/>
  <c r="M43" i="22"/>
  <c r="N43" i="22"/>
  <c r="L44" i="22"/>
  <c r="M44" i="22"/>
  <c r="N44" i="22"/>
  <c r="L45" i="22"/>
  <c r="M45" i="22"/>
  <c r="N45" i="22"/>
  <c r="L46" i="22"/>
  <c r="M46" i="22"/>
  <c r="N46" i="22"/>
  <c r="L47" i="22"/>
  <c r="M47" i="22"/>
  <c r="N47" i="22"/>
  <c r="F48" i="22"/>
  <c r="G48" i="22"/>
  <c r="H48" i="22"/>
  <c r="F49" i="22"/>
  <c r="G49" i="22"/>
  <c r="H49" i="22"/>
  <c r="L50" i="22"/>
  <c r="M50" i="22"/>
  <c r="N50" i="22"/>
  <c r="C50" i="22"/>
  <c r="D50" i="22"/>
  <c r="L51" i="22"/>
  <c r="M51" i="22"/>
  <c r="N51" i="22"/>
  <c r="C51" i="22"/>
  <c r="D51" i="22"/>
  <c r="J52" i="22"/>
  <c r="K52" i="22"/>
  <c r="L53" i="22"/>
  <c r="M53" i="22"/>
  <c r="N53" i="22"/>
  <c r="J54" i="22"/>
  <c r="K54" i="22"/>
  <c r="L55" i="22"/>
  <c r="M55" i="22"/>
  <c r="N55" i="22"/>
  <c r="J56" i="22"/>
  <c r="K56" i="22"/>
  <c r="L57" i="22"/>
  <c r="M57" i="22"/>
  <c r="N57" i="22"/>
  <c r="L58" i="22"/>
  <c r="M58" i="22"/>
  <c r="N58" i="22"/>
  <c r="L59" i="22"/>
  <c r="M59" i="22"/>
  <c r="N59" i="22"/>
  <c r="L60" i="22"/>
  <c r="M60" i="22"/>
  <c r="N60" i="22"/>
  <c r="L61" i="22"/>
  <c r="M61" i="22"/>
  <c r="N61" i="22"/>
  <c r="L62" i="22"/>
  <c r="M62" i="22"/>
  <c r="N62" i="22"/>
  <c r="L63" i="22"/>
  <c r="M63" i="22"/>
  <c r="N63" i="22"/>
  <c r="L64" i="22"/>
  <c r="M64" i="22"/>
  <c r="N64" i="22"/>
  <c r="L65" i="22"/>
  <c r="M65" i="22"/>
  <c r="N65" i="22"/>
  <c r="L68" i="22"/>
  <c r="M68" i="22"/>
  <c r="N68" i="22"/>
  <c r="L69" i="22"/>
  <c r="M69" i="22"/>
  <c r="N69" i="22"/>
  <c r="C71" i="22"/>
  <c r="D71" i="22"/>
  <c r="C73" i="22"/>
  <c r="D73" i="22"/>
  <c r="J75" i="22"/>
  <c r="K75" i="22"/>
  <c r="L76" i="22"/>
  <c r="M76" i="22"/>
  <c r="N76" i="22"/>
  <c r="J77" i="22"/>
  <c r="K77" i="17" s="1"/>
  <c r="K77" i="22"/>
  <c r="J78" i="22"/>
  <c r="K78" i="22"/>
  <c r="J79" i="22"/>
  <c r="K79" i="22"/>
  <c r="F80" i="22"/>
  <c r="G80" i="22"/>
  <c r="H80" i="22"/>
  <c r="F81" i="22"/>
  <c r="G81" i="22"/>
  <c r="H81" i="22"/>
  <c r="F82" i="22"/>
  <c r="G82" i="22"/>
  <c r="H82" i="22"/>
  <c r="I4" i="22"/>
  <c r="C5" i="22"/>
  <c r="D5" i="22"/>
  <c r="J6" i="22"/>
  <c r="K6" i="22"/>
  <c r="F8" i="22"/>
  <c r="G8" i="22"/>
  <c r="H8" i="22"/>
  <c r="J9" i="22"/>
  <c r="K9" i="22"/>
  <c r="I4" i="28"/>
  <c r="I4" i="40" s="1"/>
  <c r="J16" i="22"/>
  <c r="K16" i="22"/>
  <c r="J17" i="22"/>
  <c r="K17" i="22"/>
  <c r="I19" i="22"/>
  <c r="I20" i="22"/>
  <c r="I21" i="22"/>
  <c r="I22" i="22"/>
  <c r="I23" i="22"/>
  <c r="I24" i="22"/>
  <c r="I25" i="22"/>
  <c r="L33" i="22"/>
  <c r="M33" i="22"/>
  <c r="N33" i="22"/>
  <c r="L34" i="22"/>
  <c r="M34" i="22"/>
  <c r="N34" i="22"/>
  <c r="J35" i="22"/>
  <c r="K35" i="22"/>
  <c r="I36" i="22"/>
  <c r="E36" i="22"/>
  <c r="I37" i="22"/>
  <c r="C39" i="22"/>
  <c r="D39" i="22"/>
  <c r="J42" i="22"/>
  <c r="K42" i="22"/>
  <c r="J43" i="22"/>
  <c r="K43" i="22"/>
  <c r="J44" i="22"/>
  <c r="K44" i="22"/>
  <c r="J45" i="22"/>
  <c r="K45" i="22"/>
  <c r="J46" i="22"/>
  <c r="K46" i="22"/>
  <c r="J47" i="22"/>
  <c r="K47" i="17" s="1"/>
  <c r="K47" i="22"/>
  <c r="C48" i="22"/>
  <c r="D48" i="22"/>
  <c r="C49" i="22"/>
  <c r="D49" i="22"/>
  <c r="I52" i="22"/>
  <c r="J53" i="22"/>
  <c r="K53" i="22"/>
  <c r="I54" i="22"/>
  <c r="J55" i="22"/>
  <c r="K55" i="22"/>
  <c r="I56" i="22"/>
  <c r="J57" i="22"/>
  <c r="K57" i="22"/>
  <c r="J58" i="22"/>
  <c r="K58" i="22"/>
  <c r="J59" i="22"/>
  <c r="K59" i="22"/>
  <c r="J60" i="22"/>
  <c r="K60" i="22"/>
  <c r="J61" i="22"/>
  <c r="K61" i="22"/>
  <c r="J62" i="22"/>
  <c r="K62" i="22"/>
  <c r="J63" i="22"/>
  <c r="K63" i="22"/>
  <c r="J64" i="22"/>
  <c r="K64" i="22"/>
  <c r="J65" i="22"/>
  <c r="K65" i="22"/>
  <c r="L66" i="22"/>
  <c r="M66" i="22"/>
  <c r="N66" i="22"/>
  <c r="L67" i="22"/>
  <c r="M67" i="22"/>
  <c r="N67" i="22"/>
  <c r="J69" i="22"/>
  <c r="K69" i="22"/>
  <c r="L70" i="22"/>
  <c r="M70" i="22"/>
  <c r="N70" i="22"/>
  <c r="L71" i="22"/>
  <c r="M71" i="22"/>
  <c r="N71" i="22"/>
  <c r="L72" i="22"/>
  <c r="M72" i="22"/>
  <c r="N72" i="22"/>
  <c r="L73" i="22"/>
  <c r="M73" i="22"/>
  <c r="N73" i="22"/>
  <c r="L74" i="22"/>
  <c r="M74" i="22"/>
  <c r="N74" i="22"/>
  <c r="J76" i="22"/>
  <c r="K76" i="22"/>
  <c r="I78" i="22"/>
  <c r="C80" i="22"/>
  <c r="D80" i="22"/>
  <c r="C81" i="22"/>
  <c r="D81" i="22"/>
  <c r="C82" i="22"/>
  <c r="D82" i="22"/>
  <c r="F4" i="22"/>
  <c r="G4" i="22"/>
  <c r="H4" i="22"/>
  <c r="L10" i="22"/>
  <c r="M10" i="22"/>
  <c r="N10" i="22"/>
  <c r="L11" i="22"/>
  <c r="M11" i="22"/>
  <c r="N11" i="22"/>
  <c r="L12" i="22"/>
  <c r="M12" i="22"/>
  <c r="N12" i="22"/>
  <c r="L13" i="22"/>
  <c r="M13" i="22"/>
  <c r="N13" i="22"/>
  <c r="I16" i="22"/>
  <c r="I17" i="22"/>
  <c r="J33" i="22"/>
  <c r="K33" i="22"/>
  <c r="J34" i="22"/>
  <c r="K34" i="22"/>
  <c r="F36" i="22"/>
  <c r="G36" i="22"/>
  <c r="H36" i="22"/>
  <c r="F37" i="22"/>
  <c r="G37" i="22"/>
  <c r="H37" i="22"/>
  <c r="I42" i="22"/>
  <c r="I43" i="22"/>
  <c r="I44" i="22"/>
  <c r="I45" i="22"/>
  <c r="J45" i="17" s="1"/>
  <c r="I46" i="22"/>
  <c r="I47" i="22"/>
  <c r="F52" i="22"/>
  <c r="G52" i="22"/>
  <c r="H52" i="22"/>
  <c r="I53" i="22"/>
  <c r="F54" i="22"/>
  <c r="G54" i="22"/>
  <c r="H54" i="22"/>
  <c r="I55" i="22"/>
  <c r="F56" i="22"/>
  <c r="G56" i="22"/>
  <c r="H56" i="22"/>
  <c r="I57" i="22"/>
  <c r="I58" i="22"/>
  <c r="I60" i="22"/>
  <c r="I63" i="22"/>
  <c r="I64" i="22"/>
  <c r="J66" i="22"/>
  <c r="K66" i="22"/>
  <c r="J67" i="22"/>
  <c r="K67" i="22"/>
  <c r="J70" i="22"/>
  <c r="K70" i="22"/>
  <c r="I76" i="22"/>
  <c r="J10" i="22"/>
  <c r="K10" i="22"/>
  <c r="J11" i="22"/>
  <c r="K11" i="22"/>
  <c r="J12" i="22"/>
  <c r="K12" i="22"/>
  <c r="J13" i="22"/>
  <c r="K13" i="22"/>
  <c r="F17" i="22"/>
  <c r="G17" i="22"/>
  <c r="H17" i="22"/>
  <c r="C36" i="22"/>
  <c r="D36" i="22"/>
  <c r="C36" i="17" s="1"/>
  <c r="I66" i="22"/>
  <c r="I67" i="22"/>
  <c r="I70" i="22"/>
  <c r="C75" i="22"/>
  <c r="D75" i="22"/>
  <c r="C77" i="22"/>
  <c r="D77" i="22"/>
  <c r="C79" i="22"/>
  <c r="D79" i="22"/>
  <c r="F6" i="28"/>
  <c r="F6" i="40" s="1"/>
  <c r="F7" i="28"/>
  <c r="F7" i="40" s="1"/>
  <c r="C68" i="22"/>
  <c r="D68" i="22"/>
  <c r="E6" i="28"/>
  <c r="E6" i="40" s="1"/>
  <c r="E7" i="28"/>
  <c r="E7" i="40" s="1"/>
  <c r="E10" i="40"/>
  <c r="E14" i="28"/>
  <c r="E14" i="40" s="1"/>
  <c r="E15" i="28"/>
  <c r="E15" i="40" s="1"/>
  <c r="E18" i="28"/>
  <c r="E18" i="40" s="1"/>
  <c r="E19" i="40"/>
  <c r="U16" i="17"/>
  <c r="D8" i="28"/>
  <c r="D8" i="40" s="1"/>
  <c r="D12" i="40"/>
  <c r="D17" i="28"/>
  <c r="D17" i="40" s="1"/>
  <c r="D19" i="40"/>
  <c r="C12" i="40"/>
  <c r="C17" i="28"/>
  <c r="C17" i="40" s="1"/>
  <c r="C19" i="40"/>
  <c r="B19" i="40"/>
  <c r="O80" i="38"/>
  <c r="O81" i="38"/>
  <c r="O82" i="38"/>
  <c r="N80" i="38"/>
  <c r="N81" i="38"/>
  <c r="N82" i="38"/>
  <c r="M80" i="38"/>
  <c r="M81" i="38"/>
  <c r="M82" i="38"/>
  <c r="J79" i="28"/>
  <c r="J76" i="40" s="1"/>
  <c r="I79" i="28"/>
  <c r="I76" i="40" s="1"/>
  <c r="H79" i="28"/>
  <c r="H76" i="40" s="1"/>
  <c r="I80" i="38"/>
  <c r="I81" i="38"/>
  <c r="I82" i="38"/>
  <c r="H80" i="38"/>
  <c r="H81" i="38"/>
  <c r="H82" i="38"/>
  <c r="G80" i="38"/>
  <c r="G81" i="38"/>
  <c r="G82" i="38"/>
  <c r="F80" i="38"/>
  <c r="F81" i="38"/>
  <c r="F82" i="38"/>
  <c r="E80" i="38"/>
  <c r="E81" i="38"/>
  <c r="E82" i="38"/>
  <c r="D80" i="38"/>
  <c r="D81" i="38"/>
  <c r="D82" i="38"/>
  <c r="O75" i="38"/>
  <c r="O76" i="38"/>
  <c r="O77" i="38"/>
  <c r="O78" i="38"/>
  <c r="O79" i="38"/>
  <c r="N75" i="38"/>
  <c r="N76" i="38"/>
  <c r="N77" i="38"/>
  <c r="N78" i="38"/>
  <c r="N79" i="38"/>
  <c r="M75" i="38"/>
  <c r="M76" i="38"/>
  <c r="M77" i="38"/>
  <c r="M78" i="38"/>
  <c r="M79" i="38"/>
  <c r="J78" i="28"/>
  <c r="J75" i="40" s="1"/>
  <c r="I78" i="28"/>
  <c r="I75" i="40" s="1"/>
  <c r="H78" i="28"/>
  <c r="H75" i="40" s="1"/>
  <c r="I75" i="38"/>
  <c r="I76" i="38"/>
  <c r="I77" i="38"/>
  <c r="I78" i="38"/>
  <c r="I79" i="38"/>
  <c r="H75" i="38"/>
  <c r="H76" i="38"/>
  <c r="H77" i="38"/>
  <c r="H78" i="38"/>
  <c r="H79" i="38"/>
  <c r="G75" i="38"/>
  <c r="G76" i="38"/>
  <c r="G77" i="38"/>
  <c r="G78" i="38"/>
  <c r="G79" i="38"/>
  <c r="F75" i="38"/>
  <c r="F76" i="38"/>
  <c r="F77" i="38"/>
  <c r="F78" i="38"/>
  <c r="F79" i="38"/>
  <c r="E75" i="38"/>
  <c r="E76" i="38"/>
  <c r="E77" i="38"/>
  <c r="E78" i="38"/>
  <c r="E79" i="38"/>
  <c r="D75" i="38"/>
  <c r="D76" i="38"/>
  <c r="D77" i="38"/>
  <c r="D78" i="38"/>
  <c r="D79" i="38"/>
  <c r="O71" i="38"/>
  <c r="O72" i="38"/>
  <c r="O73" i="38"/>
  <c r="B37" i="32"/>
  <c r="O27" i="32" s="1"/>
  <c r="S27" i="33" s="1"/>
  <c r="AG29" i="32"/>
  <c r="X29" i="33" s="1"/>
  <c r="X75" i="35" s="1"/>
  <c r="N71" i="38"/>
  <c r="N72" i="38"/>
  <c r="N73" i="38"/>
  <c r="U29" i="33"/>
  <c r="U75" i="35" s="1"/>
  <c r="AF29" i="32"/>
  <c r="V29" i="33" s="1"/>
  <c r="V75" i="35" s="1"/>
  <c r="M71" i="38"/>
  <c r="M72" i="38"/>
  <c r="M73" i="38"/>
  <c r="S29" i="33"/>
  <c r="S75" i="35" s="1"/>
  <c r="T29" i="33"/>
  <c r="T75" i="35" s="1"/>
  <c r="R29" i="33"/>
  <c r="L74" i="38" s="1"/>
  <c r="J77" i="28" s="1"/>
  <c r="J74" i="40" s="1"/>
  <c r="Q29" i="33"/>
  <c r="K74" i="38" s="1"/>
  <c r="I77" i="28" s="1"/>
  <c r="I74" i="40" s="1"/>
  <c r="P29" i="33"/>
  <c r="J74" i="38" s="1"/>
  <c r="H77" i="28" s="1"/>
  <c r="H74" i="40" s="1"/>
  <c r="I71" i="38"/>
  <c r="I72" i="38"/>
  <c r="I73" i="38"/>
  <c r="N29" i="33"/>
  <c r="N75" i="35" s="1"/>
  <c r="O29" i="33"/>
  <c r="O75" i="35" s="1"/>
  <c r="H71" i="38"/>
  <c r="H72" i="38"/>
  <c r="H73" i="38"/>
  <c r="L29" i="33"/>
  <c r="L75" i="35" s="1"/>
  <c r="Z29" i="32"/>
  <c r="M29" i="33" s="1"/>
  <c r="M75" i="35" s="1"/>
  <c r="G71" i="38"/>
  <c r="G72" i="38"/>
  <c r="G73" i="38"/>
  <c r="J29" i="33"/>
  <c r="J75" i="35" s="1"/>
  <c r="Y29" i="32"/>
  <c r="K29" i="33" s="1"/>
  <c r="K75" i="35" s="1"/>
  <c r="F71" i="38"/>
  <c r="F72" i="38"/>
  <c r="F73" i="38"/>
  <c r="X29" i="32"/>
  <c r="I29" i="33" s="1"/>
  <c r="I75" i="35" s="1"/>
  <c r="E71" i="38"/>
  <c r="E72" i="38"/>
  <c r="E73" i="38"/>
  <c r="W29" i="32"/>
  <c r="G29" i="33" s="1"/>
  <c r="G75" i="35" s="1"/>
  <c r="D71" i="38"/>
  <c r="D72" i="38"/>
  <c r="D73" i="38"/>
  <c r="V29" i="32"/>
  <c r="E29" i="33" s="1"/>
  <c r="E75" i="35" s="1"/>
  <c r="O66" i="38"/>
  <c r="X28" i="33"/>
  <c r="X68" i="35" s="1"/>
  <c r="O68" i="38"/>
  <c r="O69" i="38"/>
  <c r="O70" i="38"/>
  <c r="N66" i="38"/>
  <c r="U28" i="33"/>
  <c r="U68" i="35" s="1"/>
  <c r="V28" i="33"/>
  <c r="V68" i="35" s="1"/>
  <c r="N68" i="38"/>
  <c r="N69" i="38"/>
  <c r="N70" i="38"/>
  <c r="M66" i="38"/>
  <c r="S28" i="33"/>
  <c r="S68" i="35" s="1"/>
  <c r="T28" i="33"/>
  <c r="T68" i="35" s="1"/>
  <c r="M68" i="38"/>
  <c r="M69" i="38"/>
  <c r="M70" i="38"/>
  <c r="R28" i="33"/>
  <c r="L67" i="38" s="1"/>
  <c r="J76" i="28" s="1"/>
  <c r="J73" i="40" s="1"/>
  <c r="Q28" i="33"/>
  <c r="K67" i="38" s="1"/>
  <c r="I76" i="28" s="1"/>
  <c r="I73" i="40" s="1"/>
  <c r="P28" i="33"/>
  <c r="J67" i="38" s="1"/>
  <c r="H76" i="28" s="1"/>
  <c r="H73" i="40" s="1"/>
  <c r="I66" i="38"/>
  <c r="N28" i="33"/>
  <c r="N68" i="35" s="1"/>
  <c r="O28" i="33"/>
  <c r="O68" i="35" s="1"/>
  <c r="I68" i="38"/>
  <c r="I69" i="38"/>
  <c r="I70" i="38"/>
  <c r="H66" i="38"/>
  <c r="L28" i="33"/>
  <c r="L68" i="35" s="1"/>
  <c r="Z28" i="32"/>
  <c r="M28" i="33" s="1"/>
  <c r="M68" i="35" s="1"/>
  <c r="H68" i="38"/>
  <c r="H69" i="38"/>
  <c r="H70" i="38"/>
  <c r="G66" i="38"/>
  <c r="J28" i="33"/>
  <c r="J68" i="35" s="1"/>
  <c r="Y28" i="32"/>
  <c r="K28" i="33" s="1"/>
  <c r="K68" i="35" s="1"/>
  <c r="G68" i="38"/>
  <c r="G69" i="38"/>
  <c r="G70" i="38"/>
  <c r="F66" i="38"/>
  <c r="X28" i="32"/>
  <c r="I28" i="33" s="1"/>
  <c r="I68" i="35" s="1"/>
  <c r="F68" i="38"/>
  <c r="F69" i="38"/>
  <c r="F70" i="38"/>
  <c r="E66" i="38"/>
  <c r="W28" i="32"/>
  <c r="G28" i="33" s="1"/>
  <c r="G68" i="35" s="1"/>
  <c r="E68" i="38"/>
  <c r="E69" i="38"/>
  <c r="E70" i="38"/>
  <c r="D66" i="38"/>
  <c r="V28" i="32"/>
  <c r="E28" i="33" s="1"/>
  <c r="E68" i="35" s="1"/>
  <c r="D68" i="38"/>
  <c r="D69" i="38"/>
  <c r="D70" i="38"/>
  <c r="AG27" i="32"/>
  <c r="X27" i="33" s="1"/>
  <c r="X62" i="35" s="1"/>
  <c r="O62" i="38"/>
  <c r="O63" i="38"/>
  <c r="O64" i="38"/>
  <c r="O65" i="38"/>
  <c r="AF27" i="32"/>
  <c r="V27" i="33" s="1"/>
  <c r="V62" i="35" s="1"/>
  <c r="N62" i="38"/>
  <c r="N63" i="38"/>
  <c r="N64" i="38"/>
  <c r="N65" i="38"/>
  <c r="T27" i="33"/>
  <c r="T62" i="35" s="1"/>
  <c r="M62" i="38"/>
  <c r="M63" i="38"/>
  <c r="M64" i="38"/>
  <c r="M65" i="38"/>
  <c r="R27" i="33"/>
  <c r="L61" i="38" s="1"/>
  <c r="J75" i="28" s="1"/>
  <c r="J72" i="40" s="1"/>
  <c r="Q27" i="33"/>
  <c r="K61" i="38" s="1"/>
  <c r="I75" i="28" s="1"/>
  <c r="I72" i="40" s="1"/>
  <c r="P27" i="33"/>
  <c r="J61" i="38" s="1"/>
  <c r="H75" i="28" s="1"/>
  <c r="H72" i="40" s="1"/>
  <c r="N27" i="33"/>
  <c r="N62" i="35" s="1"/>
  <c r="AA27" i="32"/>
  <c r="O27" i="33" s="1"/>
  <c r="I62" i="38"/>
  <c r="I63" i="38"/>
  <c r="I64" i="38"/>
  <c r="I65" i="38"/>
  <c r="Z27" i="32"/>
  <c r="M27" i="33" s="1"/>
  <c r="M62" i="35" s="1"/>
  <c r="H62" i="38"/>
  <c r="H63" i="38"/>
  <c r="H64" i="38"/>
  <c r="H65" i="38"/>
  <c r="Y27" i="32"/>
  <c r="K27" i="33" s="1"/>
  <c r="K62" i="35" s="1"/>
  <c r="G62" i="38"/>
  <c r="G63" i="38"/>
  <c r="G64" i="38"/>
  <c r="G65" i="38"/>
  <c r="X27" i="32"/>
  <c r="I27" i="33" s="1"/>
  <c r="I62" i="35" s="1"/>
  <c r="F62" i="38"/>
  <c r="F63" i="38"/>
  <c r="F64" i="38"/>
  <c r="F65" i="38"/>
  <c r="W27" i="32"/>
  <c r="G27" i="33" s="1"/>
  <c r="G62" i="35" s="1"/>
  <c r="E62" i="38"/>
  <c r="E63" i="38"/>
  <c r="E64" i="38"/>
  <c r="E65" i="38"/>
  <c r="V27" i="32"/>
  <c r="E27" i="33" s="1"/>
  <c r="E62" i="35" s="1"/>
  <c r="D62" i="38"/>
  <c r="D63" i="38"/>
  <c r="D64" i="38"/>
  <c r="D65" i="38"/>
  <c r="O58" i="38"/>
  <c r="O59" i="38"/>
  <c r="O60" i="38"/>
  <c r="N58" i="38"/>
  <c r="N59" i="38"/>
  <c r="N60" i="38"/>
  <c r="M58" i="38"/>
  <c r="M59" i="38"/>
  <c r="M60" i="38"/>
  <c r="J74" i="28"/>
  <c r="J71" i="40" s="1"/>
  <c r="I74" i="28"/>
  <c r="I71" i="40" s="1"/>
  <c r="H74" i="28"/>
  <c r="H71" i="40" s="1"/>
  <c r="I58" i="38"/>
  <c r="I59" i="38"/>
  <c r="I60" i="38"/>
  <c r="H58" i="38"/>
  <c r="H59" i="38"/>
  <c r="H60" i="38"/>
  <c r="G58" i="38"/>
  <c r="G59" i="38"/>
  <c r="G60" i="38"/>
  <c r="F58" i="38"/>
  <c r="F59" i="38"/>
  <c r="F60" i="38"/>
  <c r="E58" i="38"/>
  <c r="E59" i="38"/>
  <c r="E60" i="38"/>
  <c r="D58" i="38"/>
  <c r="D59" i="38"/>
  <c r="D60" i="38"/>
  <c r="O52" i="38"/>
  <c r="O53" i="38"/>
  <c r="X26" i="33"/>
  <c r="X55" i="35" s="1"/>
  <c r="O55" i="38"/>
  <c r="O56" i="38"/>
  <c r="O57" i="38"/>
  <c r="N52" i="38"/>
  <c r="N53" i="38"/>
  <c r="V26" i="33"/>
  <c r="V55" i="35" s="1"/>
  <c r="N55" i="38"/>
  <c r="N56" i="38"/>
  <c r="N57" i="38"/>
  <c r="M52" i="38"/>
  <c r="M53" i="38"/>
  <c r="S26" i="33"/>
  <c r="S55" i="35" s="1"/>
  <c r="T26" i="33"/>
  <c r="T55" i="35" s="1"/>
  <c r="M55" i="38"/>
  <c r="M56" i="38"/>
  <c r="M57" i="38"/>
  <c r="R26" i="33"/>
  <c r="L54" i="38" s="1"/>
  <c r="J73" i="28" s="1"/>
  <c r="J70" i="40" s="1"/>
  <c r="Q26" i="33"/>
  <c r="K54" i="38" s="1"/>
  <c r="I73" i="28" s="1"/>
  <c r="I70" i="40" s="1"/>
  <c r="P26" i="33"/>
  <c r="J54" i="38" s="1"/>
  <c r="H73" i="28" s="1"/>
  <c r="H70" i="40" s="1"/>
  <c r="I52" i="38"/>
  <c r="I53" i="38"/>
  <c r="N26" i="33"/>
  <c r="N55" i="35" s="1"/>
  <c r="O26" i="33"/>
  <c r="O55" i="35" s="1"/>
  <c r="I55" i="38"/>
  <c r="I56" i="38"/>
  <c r="I57" i="38"/>
  <c r="H52" i="38"/>
  <c r="H53" i="38"/>
  <c r="L26" i="33"/>
  <c r="L55" i="35" s="1"/>
  <c r="Z26" i="32"/>
  <c r="M26" i="33" s="1"/>
  <c r="M55" i="35" s="1"/>
  <c r="H55" i="38"/>
  <c r="H56" i="38"/>
  <c r="H57" i="38"/>
  <c r="G52" i="38"/>
  <c r="G53" i="38"/>
  <c r="Y26" i="32"/>
  <c r="K26" i="33" s="1"/>
  <c r="K55" i="35" s="1"/>
  <c r="G55" i="38"/>
  <c r="G56" i="38"/>
  <c r="G57" i="38"/>
  <c r="F52" i="38"/>
  <c r="F53" i="38"/>
  <c r="X26" i="32"/>
  <c r="I26" i="33" s="1"/>
  <c r="I55" i="35" s="1"/>
  <c r="F55" i="38"/>
  <c r="F56" i="38"/>
  <c r="F57" i="38"/>
  <c r="E52" i="38"/>
  <c r="E53" i="38"/>
  <c r="W26" i="32"/>
  <c r="G26" i="33" s="1"/>
  <c r="G55" i="35" s="1"/>
  <c r="E55" i="38"/>
  <c r="E56" i="38"/>
  <c r="E57" i="38"/>
  <c r="D52" i="38"/>
  <c r="D53" i="38"/>
  <c r="V26" i="32"/>
  <c r="E26" i="33" s="1"/>
  <c r="E55" i="35" s="1"/>
  <c r="D55" i="38"/>
  <c r="D56" i="38"/>
  <c r="D57" i="38"/>
  <c r="O50" i="38"/>
  <c r="W25" i="33"/>
  <c r="W50" i="35" s="1"/>
  <c r="AG25" i="32"/>
  <c r="X25" i="33" s="1"/>
  <c r="X50" i="35" s="1"/>
  <c r="AG21" i="32"/>
  <c r="X21" i="33" s="1"/>
  <c r="AG22" i="32"/>
  <c r="X22" i="33" s="1"/>
  <c r="O49" i="38"/>
  <c r="N50" i="38"/>
  <c r="U25" i="33"/>
  <c r="U50" i="35" s="1"/>
  <c r="V25" i="33"/>
  <c r="V50" i="35" s="1"/>
  <c r="AF21" i="32"/>
  <c r="V21" i="33" s="1"/>
  <c r="AF22" i="32"/>
  <c r="V22" i="33" s="1"/>
  <c r="N49" i="38"/>
  <c r="M50" i="38"/>
  <c r="S25" i="33"/>
  <c r="S50" i="35" s="1"/>
  <c r="T25" i="33"/>
  <c r="T50" i="35" s="1"/>
  <c r="AE21" i="32"/>
  <c r="T21" i="33" s="1"/>
  <c r="AE22" i="32"/>
  <c r="T22" i="33" s="1"/>
  <c r="M49" i="38"/>
  <c r="R25" i="33"/>
  <c r="L51" i="38" s="1"/>
  <c r="J72" i="28" s="1"/>
  <c r="R21" i="33"/>
  <c r="R22" i="33"/>
  <c r="Q25" i="33"/>
  <c r="K51" i="38" s="1"/>
  <c r="I72" i="28" s="1"/>
  <c r="Q21" i="33"/>
  <c r="K21" i="34" s="1"/>
  <c r="Q22" i="33"/>
  <c r="P25" i="33"/>
  <c r="J51" i="38" s="1"/>
  <c r="H72" i="28" s="1"/>
  <c r="P21" i="33"/>
  <c r="P22" i="33"/>
  <c r="I50" i="38"/>
  <c r="N25" i="33"/>
  <c r="N50" i="35" s="1"/>
  <c r="O25" i="33"/>
  <c r="O50" i="35" s="1"/>
  <c r="N21" i="33"/>
  <c r="N22" i="33"/>
  <c r="O21" i="33"/>
  <c r="O22" i="33"/>
  <c r="I49" i="38"/>
  <c r="H50" i="38"/>
  <c r="L25" i="33"/>
  <c r="L50" i="35" s="1"/>
  <c r="M25" i="33"/>
  <c r="M50" i="35" s="1"/>
  <c r="M21" i="33"/>
  <c r="M22" i="33"/>
  <c r="H49" i="38"/>
  <c r="G50" i="38"/>
  <c r="Y25" i="32"/>
  <c r="K25" i="33" s="1"/>
  <c r="K50" i="35" s="1"/>
  <c r="Y21" i="32"/>
  <c r="K21" i="33" s="1"/>
  <c r="Y22" i="32"/>
  <c r="K22" i="33" s="1"/>
  <c r="G49" i="38"/>
  <c r="F50" i="38"/>
  <c r="X25" i="32"/>
  <c r="I25" i="33" s="1"/>
  <c r="X21" i="32"/>
  <c r="I21" i="33" s="1"/>
  <c r="X22" i="32"/>
  <c r="I22" i="33" s="1"/>
  <c r="F49" i="38"/>
  <c r="E50" i="38"/>
  <c r="W25" i="32"/>
  <c r="G25" i="33" s="1"/>
  <c r="G50" i="35" s="1"/>
  <c r="W21" i="32"/>
  <c r="G21" i="33" s="1"/>
  <c r="W22" i="32"/>
  <c r="G22" i="33" s="1"/>
  <c r="E49" i="38"/>
  <c r="D50" i="38"/>
  <c r="V25" i="32"/>
  <c r="E25" i="33" s="1"/>
  <c r="E50" i="35" s="1"/>
  <c r="V21" i="32"/>
  <c r="E21" i="33" s="1"/>
  <c r="V22" i="32"/>
  <c r="E22" i="33" s="1"/>
  <c r="D49" i="38"/>
  <c r="O42" i="38"/>
  <c r="O43" i="38"/>
  <c r="AG24" i="32"/>
  <c r="X24" i="33" s="1"/>
  <c r="X45" i="35" s="1"/>
  <c r="O45" i="38"/>
  <c r="AG23" i="32"/>
  <c r="X23" i="33" s="1"/>
  <c r="Q11" i="32"/>
  <c r="W11" i="33" s="1"/>
  <c r="AG11" i="32"/>
  <c r="X11" i="33" s="1"/>
  <c r="AG12" i="32"/>
  <c r="X12" i="33" s="1"/>
  <c r="AG13" i="32"/>
  <c r="X13" i="33" s="1"/>
  <c r="AG14" i="32"/>
  <c r="X14" i="33" s="1"/>
  <c r="AG15" i="32"/>
  <c r="X15" i="33" s="1"/>
  <c r="AG16" i="32"/>
  <c r="X16" i="33" s="1"/>
  <c r="AG17" i="32"/>
  <c r="X17" i="33" s="1"/>
  <c r="AG18" i="32"/>
  <c r="X18" i="33" s="1"/>
  <c r="AG19" i="32"/>
  <c r="X19" i="33" s="1"/>
  <c r="AG20" i="32"/>
  <c r="X20" i="33" s="1"/>
  <c r="N42" i="38"/>
  <c r="N43" i="38"/>
  <c r="AF24" i="32"/>
  <c r="V24" i="33" s="1"/>
  <c r="V45" i="35" s="1"/>
  <c r="N45" i="38"/>
  <c r="AF23" i="32"/>
  <c r="V23" i="33" s="1"/>
  <c r="V47" i="35" s="1"/>
  <c r="AF11" i="32"/>
  <c r="V11" i="33" s="1"/>
  <c r="AF12" i="32"/>
  <c r="V12" i="33" s="1"/>
  <c r="AF13" i="32"/>
  <c r="V13" i="33" s="1"/>
  <c r="AF14" i="32"/>
  <c r="V14" i="33" s="1"/>
  <c r="AF15" i="32"/>
  <c r="V15" i="33" s="1"/>
  <c r="AF16" i="32"/>
  <c r="V16" i="33" s="1"/>
  <c r="AF17" i="32"/>
  <c r="V17" i="33" s="1"/>
  <c r="AF18" i="32"/>
  <c r="V18" i="33" s="1"/>
  <c r="AF19" i="32"/>
  <c r="V19" i="33" s="1"/>
  <c r="AF20" i="32"/>
  <c r="V20" i="33" s="1"/>
  <c r="M42" i="38"/>
  <c r="M43" i="38"/>
  <c r="S24" i="33"/>
  <c r="S45" i="35" s="1"/>
  <c r="AE24" i="32"/>
  <c r="T24" i="33" s="1"/>
  <c r="T45" i="35" s="1"/>
  <c r="M45" i="38"/>
  <c r="S23" i="33"/>
  <c r="S47" i="35" s="1"/>
  <c r="AE23" i="32"/>
  <c r="T23" i="33" s="1"/>
  <c r="AE11" i="32"/>
  <c r="T11" i="33" s="1"/>
  <c r="AE12" i="32"/>
  <c r="T12" i="33" s="1"/>
  <c r="AE13" i="32"/>
  <c r="T13" i="33" s="1"/>
  <c r="AE14" i="32"/>
  <c r="T14" i="33" s="1"/>
  <c r="AE15" i="32"/>
  <c r="T15" i="33" s="1"/>
  <c r="AE16" i="32"/>
  <c r="T16" i="33" s="1"/>
  <c r="AE17" i="32"/>
  <c r="T17" i="33" s="1"/>
  <c r="AE18" i="32"/>
  <c r="T18" i="33" s="1"/>
  <c r="AE19" i="32"/>
  <c r="T19" i="33" s="1"/>
  <c r="AE20" i="32"/>
  <c r="T20" i="33" s="1"/>
  <c r="R24" i="33"/>
  <c r="L44" i="38" s="1"/>
  <c r="R23" i="33"/>
  <c r="L46" i="38" s="1"/>
  <c r="R11" i="33"/>
  <c r="L11" i="34" s="1"/>
  <c r="R12" i="33"/>
  <c r="R13" i="33"/>
  <c r="R14" i="33"/>
  <c r="L14" i="34" s="1"/>
  <c r="R15" i="33"/>
  <c r="R16" i="33"/>
  <c r="R17" i="33"/>
  <c r="R18" i="33"/>
  <c r="R19" i="33"/>
  <c r="R20" i="33"/>
  <c r="Q24" i="33"/>
  <c r="K44" i="38" s="1"/>
  <c r="Q23" i="33"/>
  <c r="K46" i="38" s="1"/>
  <c r="Q11" i="33"/>
  <c r="K11" i="34" s="1"/>
  <c r="Q12" i="33"/>
  <c r="Q13" i="33"/>
  <c r="Q14" i="33"/>
  <c r="Q15" i="33"/>
  <c r="K15" i="34" s="1"/>
  <c r="Q16" i="33"/>
  <c r="Q17" i="33"/>
  <c r="K17" i="34" s="1"/>
  <c r="Q18" i="33"/>
  <c r="Q19" i="33"/>
  <c r="Q20" i="33"/>
  <c r="P24" i="33"/>
  <c r="J44" i="38" s="1"/>
  <c r="P23" i="33"/>
  <c r="J46" i="38" s="1"/>
  <c r="P11" i="33"/>
  <c r="P12" i="33"/>
  <c r="P13" i="33"/>
  <c r="P14" i="33"/>
  <c r="P15" i="33"/>
  <c r="P16" i="33"/>
  <c r="P17" i="33"/>
  <c r="J17" i="34" s="1"/>
  <c r="P18" i="33"/>
  <c r="P19" i="33"/>
  <c r="P20" i="33"/>
  <c r="I42" i="38"/>
  <c r="I43" i="38"/>
  <c r="N24" i="33"/>
  <c r="N45" i="35" s="1"/>
  <c r="O24" i="33"/>
  <c r="O45" i="35" s="1"/>
  <c r="I45" i="38"/>
  <c r="N23" i="33"/>
  <c r="N47" i="35" s="1"/>
  <c r="O23" i="33"/>
  <c r="O47" i="35" s="1"/>
  <c r="N11" i="33"/>
  <c r="N12" i="33"/>
  <c r="N13" i="33"/>
  <c r="N14" i="33"/>
  <c r="N15" i="33"/>
  <c r="N16" i="33"/>
  <c r="N17" i="33"/>
  <c r="N18" i="33"/>
  <c r="N19" i="33"/>
  <c r="N20" i="33"/>
  <c r="O11" i="33"/>
  <c r="O12" i="33"/>
  <c r="O13" i="33"/>
  <c r="O14" i="33"/>
  <c r="O15" i="33"/>
  <c r="O16" i="33"/>
  <c r="O17" i="33"/>
  <c r="O18" i="33"/>
  <c r="O19" i="33"/>
  <c r="O20" i="33"/>
  <c r="H42" i="38"/>
  <c r="H43" i="38"/>
  <c r="L24" i="33"/>
  <c r="L45" i="35" s="1"/>
  <c r="Z24" i="32"/>
  <c r="M24" i="33" s="1"/>
  <c r="M45" i="35" s="1"/>
  <c r="H45" i="38"/>
  <c r="L23" i="33"/>
  <c r="L47" i="35" s="1"/>
  <c r="Z23" i="32"/>
  <c r="M23" i="33" s="1"/>
  <c r="M47" i="35" s="1"/>
  <c r="M11" i="33"/>
  <c r="M12" i="33"/>
  <c r="M13" i="33"/>
  <c r="M14" i="33"/>
  <c r="M15" i="33"/>
  <c r="M16" i="33"/>
  <c r="M17" i="33"/>
  <c r="M18" i="33"/>
  <c r="M19" i="33"/>
  <c r="M20" i="33"/>
  <c r="G42" i="38"/>
  <c r="G43" i="38"/>
  <c r="J24" i="33"/>
  <c r="J45" i="35" s="1"/>
  <c r="Y24" i="32"/>
  <c r="K24" i="33" s="1"/>
  <c r="K45" i="35" s="1"/>
  <c r="G45" i="38"/>
  <c r="J23" i="33"/>
  <c r="J47" i="35" s="1"/>
  <c r="Y23" i="32"/>
  <c r="K23" i="33" s="1"/>
  <c r="K47" i="35" s="1"/>
  <c r="Y11" i="32"/>
  <c r="K11" i="33" s="1"/>
  <c r="Y12" i="32"/>
  <c r="K12" i="33" s="1"/>
  <c r="Y13" i="32"/>
  <c r="K13" i="33" s="1"/>
  <c r="Y14" i="32"/>
  <c r="K14" i="33" s="1"/>
  <c r="Y15" i="32"/>
  <c r="K15" i="33" s="1"/>
  <c r="Y16" i="32"/>
  <c r="K16" i="33" s="1"/>
  <c r="Y17" i="32"/>
  <c r="K17" i="33" s="1"/>
  <c r="Y18" i="32"/>
  <c r="K18" i="33" s="1"/>
  <c r="Y19" i="32"/>
  <c r="K19" i="33" s="1"/>
  <c r="Y20" i="32"/>
  <c r="K20" i="33" s="1"/>
  <c r="F42" i="38"/>
  <c r="F43" i="38"/>
  <c r="X24" i="32"/>
  <c r="I24" i="33" s="1"/>
  <c r="I45" i="35" s="1"/>
  <c r="F45" i="38"/>
  <c r="X23" i="32"/>
  <c r="I23" i="33" s="1"/>
  <c r="I47" i="35" s="1"/>
  <c r="X11" i="32"/>
  <c r="I11" i="33" s="1"/>
  <c r="X12" i="32"/>
  <c r="I12" i="33" s="1"/>
  <c r="X13" i="32"/>
  <c r="I13" i="33" s="1"/>
  <c r="X14" i="32"/>
  <c r="I14" i="33" s="1"/>
  <c r="X15" i="32"/>
  <c r="I15" i="33" s="1"/>
  <c r="X16" i="32"/>
  <c r="I16" i="33" s="1"/>
  <c r="X17" i="32"/>
  <c r="I17" i="33" s="1"/>
  <c r="X18" i="32"/>
  <c r="I18" i="33" s="1"/>
  <c r="X19" i="32"/>
  <c r="I19" i="33" s="1"/>
  <c r="X20" i="32"/>
  <c r="I20" i="33" s="1"/>
  <c r="E42" i="38"/>
  <c r="E43" i="38"/>
  <c r="W24" i="32"/>
  <c r="G24" i="33" s="1"/>
  <c r="E45" i="38"/>
  <c r="W23" i="32"/>
  <c r="G23" i="33" s="1"/>
  <c r="G47" i="35" s="1"/>
  <c r="W11" i="32"/>
  <c r="G11" i="33" s="1"/>
  <c r="W12" i="32"/>
  <c r="G12" i="33" s="1"/>
  <c r="W13" i="32"/>
  <c r="G13" i="33" s="1"/>
  <c r="W14" i="32"/>
  <c r="G14" i="33" s="1"/>
  <c r="W15" i="32"/>
  <c r="G15" i="33" s="1"/>
  <c r="W16" i="32"/>
  <c r="G16" i="33" s="1"/>
  <c r="W17" i="32"/>
  <c r="G17" i="33" s="1"/>
  <c r="W18" i="32"/>
  <c r="G18" i="33" s="1"/>
  <c r="W19" i="32"/>
  <c r="G19" i="33" s="1"/>
  <c r="W20" i="32"/>
  <c r="G20" i="33" s="1"/>
  <c r="D42" i="38"/>
  <c r="D43" i="38"/>
  <c r="V24" i="32"/>
  <c r="E24" i="33" s="1"/>
  <c r="E45" i="35" s="1"/>
  <c r="D45" i="38"/>
  <c r="V23" i="32"/>
  <c r="E23" i="33" s="1"/>
  <c r="E47" i="35" s="1"/>
  <c r="V11" i="32"/>
  <c r="E11" i="33" s="1"/>
  <c r="V12" i="32"/>
  <c r="E12" i="33" s="1"/>
  <c r="V13" i="32"/>
  <c r="E13" i="33" s="1"/>
  <c r="V14" i="32"/>
  <c r="E14" i="33" s="1"/>
  <c r="V15" i="32"/>
  <c r="E15" i="33" s="1"/>
  <c r="V16" i="32"/>
  <c r="E16" i="33" s="1"/>
  <c r="V17" i="32"/>
  <c r="E17" i="33" s="1"/>
  <c r="V18" i="32"/>
  <c r="E18" i="33" s="1"/>
  <c r="V19" i="32"/>
  <c r="E19" i="33" s="1"/>
  <c r="V20" i="32"/>
  <c r="E20" i="33" s="1"/>
  <c r="O36" i="38"/>
  <c r="O37" i="38"/>
  <c r="W10" i="33"/>
  <c r="W39" i="35" s="1"/>
  <c r="X10" i="33"/>
  <c r="X39" i="35" s="1"/>
  <c r="O39" i="38"/>
  <c r="O40" i="38"/>
  <c r="O41" i="38"/>
  <c r="N36" i="38"/>
  <c r="N37" i="38"/>
  <c r="U10" i="33"/>
  <c r="U39" i="35" s="1"/>
  <c r="V10" i="33"/>
  <c r="V39" i="35" s="1"/>
  <c r="N39" i="38"/>
  <c r="N40" i="38"/>
  <c r="N41" i="38"/>
  <c r="M36" i="38"/>
  <c r="M37" i="38"/>
  <c r="S10" i="33"/>
  <c r="S39" i="35" s="1"/>
  <c r="T10" i="33"/>
  <c r="T39" i="35" s="1"/>
  <c r="M39" i="38"/>
  <c r="M40" i="38"/>
  <c r="M41" i="38"/>
  <c r="R10" i="33"/>
  <c r="L38" i="38" s="1"/>
  <c r="J69" i="28" s="1"/>
  <c r="J67" i="40" s="1"/>
  <c r="Q10" i="33"/>
  <c r="K38" i="38" s="1"/>
  <c r="I69" i="28" s="1"/>
  <c r="I67" i="40" s="1"/>
  <c r="P10" i="33"/>
  <c r="J38" i="38" s="1"/>
  <c r="H69" i="28" s="1"/>
  <c r="H67" i="40" s="1"/>
  <c r="I36" i="38"/>
  <c r="I37" i="38"/>
  <c r="N10" i="33"/>
  <c r="N39" i="35" s="1"/>
  <c r="O10" i="33"/>
  <c r="O39" i="35" s="1"/>
  <c r="I39" i="38"/>
  <c r="I40" i="38"/>
  <c r="I41" i="38"/>
  <c r="H36" i="38"/>
  <c r="H37" i="38"/>
  <c r="L10" i="33"/>
  <c r="L39" i="35" s="1"/>
  <c r="Z10" i="32"/>
  <c r="M10" i="33" s="1"/>
  <c r="M39" i="35" s="1"/>
  <c r="H39" i="38"/>
  <c r="H40" i="38"/>
  <c r="H41" i="38"/>
  <c r="G36" i="38"/>
  <c r="G37" i="38"/>
  <c r="J10" i="33"/>
  <c r="J39" i="35" s="1"/>
  <c r="Y10" i="32"/>
  <c r="K10" i="33" s="1"/>
  <c r="K39" i="35" s="1"/>
  <c r="G39" i="38"/>
  <c r="G40" i="38"/>
  <c r="G41" i="38"/>
  <c r="F36" i="38"/>
  <c r="F37" i="38"/>
  <c r="X10" i="32"/>
  <c r="I10" i="33" s="1"/>
  <c r="I39" i="35" s="1"/>
  <c r="F39" i="38"/>
  <c r="F40" i="38"/>
  <c r="F41" i="38"/>
  <c r="E36" i="38"/>
  <c r="E37" i="38"/>
  <c r="W10" i="32"/>
  <c r="G10" i="33" s="1"/>
  <c r="G39" i="35" s="1"/>
  <c r="E39" i="38"/>
  <c r="E40" i="38"/>
  <c r="E41" i="38"/>
  <c r="D36" i="38"/>
  <c r="D37" i="38"/>
  <c r="V10" i="32"/>
  <c r="E10" i="33" s="1"/>
  <c r="E39" i="35" s="1"/>
  <c r="D39" i="38"/>
  <c r="D40" i="38"/>
  <c r="D41" i="38"/>
  <c r="O31" i="38"/>
  <c r="O32" i="38"/>
  <c r="O33" i="38"/>
  <c r="O34" i="38"/>
  <c r="O35" i="38"/>
  <c r="N31" i="38"/>
  <c r="N32" i="38"/>
  <c r="N33" i="38"/>
  <c r="N34" i="38"/>
  <c r="N35" i="38"/>
  <c r="M31" i="38"/>
  <c r="M32" i="38"/>
  <c r="M33" i="38"/>
  <c r="M34" i="38"/>
  <c r="M35" i="38"/>
  <c r="J68" i="28"/>
  <c r="J66" i="40" s="1"/>
  <c r="I68" i="28"/>
  <c r="I66" i="40" s="1"/>
  <c r="H68" i="28"/>
  <c r="H66" i="40" s="1"/>
  <c r="I31" i="38"/>
  <c r="I32" i="38"/>
  <c r="I33" i="38"/>
  <c r="I34" i="38"/>
  <c r="I35" i="38"/>
  <c r="H31" i="38"/>
  <c r="H32" i="38"/>
  <c r="H33" i="38"/>
  <c r="H34" i="38"/>
  <c r="H35" i="38"/>
  <c r="G31" i="38"/>
  <c r="G32" i="38"/>
  <c r="G33" i="38"/>
  <c r="G34" i="38"/>
  <c r="G35" i="38"/>
  <c r="F31" i="38"/>
  <c r="F32" i="38"/>
  <c r="F33" i="38"/>
  <c r="F34" i="38"/>
  <c r="F35" i="38"/>
  <c r="E31" i="38"/>
  <c r="E32" i="38"/>
  <c r="E33" i="38"/>
  <c r="E34" i="38"/>
  <c r="E35" i="38"/>
  <c r="D31" i="38"/>
  <c r="D32" i="38"/>
  <c r="D33" i="38"/>
  <c r="D34" i="38"/>
  <c r="D35" i="38"/>
  <c r="X8" i="33"/>
  <c r="AG9" i="32"/>
  <c r="X9" i="33" s="1"/>
  <c r="O27" i="38"/>
  <c r="O28" i="38"/>
  <c r="O29" i="38"/>
  <c r="O30" i="38"/>
  <c r="V8" i="33"/>
  <c r="AF9" i="32"/>
  <c r="V9" i="33" s="1"/>
  <c r="N27" i="38"/>
  <c r="N28" i="38"/>
  <c r="N29" i="38"/>
  <c r="N30" i="38"/>
  <c r="S8" i="33"/>
  <c r="S9" i="33"/>
  <c r="T8" i="33"/>
  <c r="T9" i="33"/>
  <c r="M27" i="38"/>
  <c r="M28" i="38"/>
  <c r="M29" i="38"/>
  <c r="M30" i="38"/>
  <c r="R8" i="33"/>
  <c r="R9" i="33"/>
  <c r="L9" i="34" s="1"/>
  <c r="Q8" i="33"/>
  <c r="Q9" i="33"/>
  <c r="P8" i="33"/>
  <c r="P9" i="33"/>
  <c r="J9" i="34" s="1"/>
  <c r="N8" i="33"/>
  <c r="N9" i="33"/>
  <c r="O8" i="33"/>
  <c r="O9" i="33"/>
  <c r="I27" i="38"/>
  <c r="I28" i="38"/>
  <c r="I29" i="38"/>
  <c r="I30" i="38"/>
  <c r="M8" i="33"/>
  <c r="M9" i="33"/>
  <c r="H27" i="38"/>
  <c r="H28" i="38"/>
  <c r="H29" i="38"/>
  <c r="H30" i="38"/>
  <c r="Y8" i="32"/>
  <c r="K8" i="33" s="1"/>
  <c r="Y9" i="32"/>
  <c r="K9" i="33" s="1"/>
  <c r="G27" i="38"/>
  <c r="G28" i="38"/>
  <c r="G29" i="38"/>
  <c r="G30" i="38"/>
  <c r="X8" i="32"/>
  <c r="I8" i="33" s="1"/>
  <c r="X9" i="32"/>
  <c r="I9" i="33" s="1"/>
  <c r="F27" i="38"/>
  <c r="F28" i="38"/>
  <c r="F29" i="38"/>
  <c r="F30" i="38"/>
  <c r="W8" i="32"/>
  <c r="G8" i="33" s="1"/>
  <c r="W9" i="32"/>
  <c r="G9" i="33" s="1"/>
  <c r="E27" i="38"/>
  <c r="E28" i="38"/>
  <c r="E29" i="38"/>
  <c r="E30" i="38"/>
  <c r="V8" i="32"/>
  <c r="E8" i="33" s="1"/>
  <c r="V9" i="32"/>
  <c r="E9" i="33" s="1"/>
  <c r="D27" i="38"/>
  <c r="D28" i="38"/>
  <c r="D29" i="38"/>
  <c r="D30" i="38"/>
  <c r="O19" i="38"/>
  <c r="O20" i="38"/>
  <c r="O21" i="38"/>
  <c r="O22" i="38"/>
  <c r="AG7" i="32"/>
  <c r="X7" i="33" s="1"/>
  <c r="X24" i="35" s="1"/>
  <c r="AG6" i="32"/>
  <c r="X6" i="33" s="1"/>
  <c r="X25" i="35" s="1"/>
  <c r="O25" i="38"/>
  <c r="N19" i="38"/>
  <c r="N20" i="38"/>
  <c r="N21" i="38"/>
  <c r="N22" i="38"/>
  <c r="V7" i="33"/>
  <c r="V24" i="35" s="1"/>
  <c r="V6" i="33"/>
  <c r="V25" i="35" s="1"/>
  <c r="N25" i="38"/>
  <c r="M19" i="38"/>
  <c r="M20" i="38"/>
  <c r="M21" i="38"/>
  <c r="M22" i="38"/>
  <c r="S7" i="33"/>
  <c r="S24" i="35" s="1"/>
  <c r="T7" i="33"/>
  <c r="T24" i="35" s="1"/>
  <c r="S6" i="33"/>
  <c r="S25" i="35" s="1"/>
  <c r="T6" i="33"/>
  <c r="T25" i="35" s="1"/>
  <c r="M25" i="38"/>
  <c r="R7" i="33"/>
  <c r="L23" i="38" s="1"/>
  <c r="R6" i="33"/>
  <c r="L24" i="38" s="1"/>
  <c r="Q7" i="33"/>
  <c r="K23" i="38" s="1"/>
  <c r="Q6" i="33"/>
  <c r="K24" i="38" s="1"/>
  <c r="P7" i="33"/>
  <c r="J23" i="38" s="1"/>
  <c r="P6" i="33"/>
  <c r="J24" i="38" s="1"/>
  <c r="I19" i="38"/>
  <c r="I20" i="38"/>
  <c r="I21" i="38"/>
  <c r="I22" i="38"/>
  <c r="N7" i="33"/>
  <c r="N24" i="35" s="1"/>
  <c r="O7" i="33"/>
  <c r="O24" i="35" s="1"/>
  <c r="N6" i="33"/>
  <c r="N25" i="35" s="1"/>
  <c r="O6" i="33"/>
  <c r="O25" i="35" s="1"/>
  <c r="I25" i="38"/>
  <c r="H19" i="38"/>
  <c r="H20" i="38"/>
  <c r="H21" i="38"/>
  <c r="H22" i="38"/>
  <c r="L7" i="33"/>
  <c r="L24" i="35" s="1"/>
  <c r="M7" i="33"/>
  <c r="M24" i="35" s="1"/>
  <c r="L6" i="33"/>
  <c r="L25" i="35" s="1"/>
  <c r="M6" i="33"/>
  <c r="M25" i="35" s="1"/>
  <c r="H25" i="38"/>
  <c r="G19" i="38"/>
  <c r="G20" i="38"/>
  <c r="G21" i="38"/>
  <c r="G22" i="38"/>
  <c r="J7" i="33"/>
  <c r="J24" i="35" s="1"/>
  <c r="K7" i="33"/>
  <c r="K24" i="35" s="1"/>
  <c r="J6" i="33"/>
  <c r="J25" i="35" s="1"/>
  <c r="K6" i="33"/>
  <c r="K25" i="35" s="1"/>
  <c r="G25" i="38"/>
  <c r="F19" i="38"/>
  <c r="F20" i="38"/>
  <c r="F21" i="38"/>
  <c r="F22" i="38"/>
  <c r="I7" i="33"/>
  <c r="I24" i="35" s="1"/>
  <c r="I6" i="33"/>
  <c r="I25" i="35" s="1"/>
  <c r="F25" i="38"/>
  <c r="E19" i="38"/>
  <c r="E20" i="38"/>
  <c r="E21" i="38"/>
  <c r="E22" i="38"/>
  <c r="W7" i="32"/>
  <c r="G7" i="33" s="1"/>
  <c r="G24" i="35" s="1"/>
  <c r="W6" i="32"/>
  <c r="G6" i="33" s="1"/>
  <c r="G25" i="35" s="1"/>
  <c r="E25" i="38"/>
  <c r="D19" i="38"/>
  <c r="D20" i="38"/>
  <c r="D21" i="38"/>
  <c r="D22" i="38"/>
  <c r="F7" i="32"/>
  <c r="D7" i="33" s="1"/>
  <c r="D24" i="35" s="1"/>
  <c r="V7" i="32"/>
  <c r="E7" i="33" s="1"/>
  <c r="V6" i="32"/>
  <c r="E6" i="33" s="1"/>
  <c r="D25" i="38"/>
  <c r="O14" i="38"/>
  <c r="W4" i="33"/>
  <c r="W16" i="35" s="1"/>
  <c r="X4" i="33"/>
  <c r="X16" i="35" s="1"/>
  <c r="W5" i="33"/>
  <c r="W17" i="35" s="1"/>
  <c r="X5" i="33"/>
  <c r="X17" i="35" s="1"/>
  <c r="O17" i="38"/>
  <c r="O18" i="38"/>
  <c r="N14" i="38"/>
  <c r="U4" i="33"/>
  <c r="U16" i="35" s="1"/>
  <c r="V4" i="33"/>
  <c r="V16" i="35" s="1"/>
  <c r="U5" i="33"/>
  <c r="U17" i="35" s="1"/>
  <c r="V5" i="33"/>
  <c r="V17" i="35" s="1"/>
  <c r="N17" i="38"/>
  <c r="N18" i="38"/>
  <c r="M14" i="38"/>
  <c r="S4" i="33"/>
  <c r="S16" i="35" s="1"/>
  <c r="T4" i="33"/>
  <c r="T16" i="35" s="1"/>
  <c r="S5" i="33"/>
  <c r="S17" i="35" s="1"/>
  <c r="T5" i="33"/>
  <c r="T17" i="35" s="1"/>
  <c r="M17" i="38"/>
  <c r="M18" i="38"/>
  <c r="R4" i="33"/>
  <c r="L15" i="38" s="1"/>
  <c r="R5" i="33"/>
  <c r="L16" i="38" s="1"/>
  <c r="Q4" i="33"/>
  <c r="K15" i="38" s="1"/>
  <c r="Q5" i="33"/>
  <c r="K16" i="38" s="1"/>
  <c r="P4" i="33"/>
  <c r="J15" i="38" s="1"/>
  <c r="P5" i="33"/>
  <c r="J16" i="38" s="1"/>
  <c r="I14" i="38"/>
  <c r="N4" i="33"/>
  <c r="N16" i="35" s="1"/>
  <c r="AA4" i="32"/>
  <c r="O4" i="33" s="1"/>
  <c r="N5" i="33"/>
  <c r="N17" i="35" s="1"/>
  <c r="AA5" i="32"/>
  <c r="O5" i="33" s="1"/>
  <c r="O17" i="35" s="1"/>
  <c r="I17" i="38"/>
  <c r="I18" i="38"/>
  <c r="H14" i="38"/>
  <c r="L4" i="33"/>
  <c r="L16" i="35" s="1"/>
  <c r="Z4" i="32"/>
  <c r="M4" i="33" s="1"/>
  <c r="M16" i="35" s="1"/>
  <c r="L5" i="33"/>
  <c r="L17" i="35" s="1"/>
  <c r="Z5" i="32"/>
  <c r="M5" i="33" s="1"/>
  <c r="M17" i="35" s="1"/>
  <c r="H17" i="38"/>
  <c r="H18" i="38"/>
  <c r="G14" i="38"/>
  <c r="J4" i="33"/>
  <c r="J16" i="35" s="1"/>
  <c r="Y4" i="32"/>
  <c r="K4" i="33" s="1"/>
  <c r="J5" i="33"/>
  <c r="J17" i="35" s="1"/>
  <c r="Y5" i="32"/>
  <c r="K5" i="33" s="1"/>
  <c r="K17" i="35" s="1"/>
  <c r="G17" i="38"/>
  <c r="G18" i="38"/>
  <c r="F14" i="38"/>
  <c r="X4" i="32"/>
  <c r="I4" i="33" s="1"/>
  <c r="I16" i="35" s="1"/>
  <c r="X5" i="32"/>
  <c r="I5" i="33" s="1"/>
  <c r="I17" i="35" s="1"/>
  <c r="F17" i="38"/>
  <c r="F18" i="38"/>
  <c r="E14" i="38"/>
  <c r="W4" i="32"/>
  <c r="G4" i="33" s="1"/>
  <c r="G16" i="35" s="1"/>
  <c r="W5" i="32"/>
  <c r="G5" i="33" s="1"/>
  <c r="E17" i="38"/>
  <c r="E18" i="38"/>
  <c r="D14" i="38"/>
  <c r="E4" i="33"/>
  <c r="E16" i="35" s="1"/>
  <c r="F5" i="32"/>
  <c r="D5" i="33" s="1"/>
  <c r="D17" i="35" s="1"/>
  <c r="V5" i="32"/>
  <c r="E5" i="33" s="1"/>
  <c r="D17" i="38"/>
  <c r="D18" i="38"/>
  <c r="O10" i="38"/>
  <c r="O11" i="38"/>
  <c r="O12" i="38"/>
  <c r="O13" i="38"/>
  <c r="N10" i="38"/>
  <c r="N11" i="38"/>
  <c r="N12" i="38"/>
  <c r="N13" i="38"/>
  <c r="M10" i="38"/>
  <c r="M11" i="38"/>
  <c r="M12" i="38"/>
  <c r="M13" i="38"/>
  <c r="J64" i="28"/>
  <c r="J62" i="40" s="1"/>
  <c r="I64" i="28"/>
  <c r="I62" i="40" s="1"/>
  <c r="H64" i="28"/>
  <c r="H62" i="40" s="1"/>
  <c r="I10" i="38"/>
  <c r="I11" i="38"/>
  <c r="I12" i="38"/>
  <c r="I13" i="38"/>
  <c r="H10" i="38"/>
  <c r="H11" i="38"/>
  <c r="H12" i="38"/>
  <c r="H13" i="38"/>
  <c r="G10" i="38"/>
  <c r="G11" i="38"/>
  <c r="G12" i="38"/>
  <c r="G13" i="38"/>
  <c r="F10" i="38"/>
  <c r="F11" i="38"/>
  <c r="F12" i="38"/>
  <c r="F13" i="38"/>
  <c r="E10" i="38"/>
  <c r="E11" i="38"/>
  <c r="E12" i="38"/>
  <c r="E13" i="38"/>
  <c r="D10" i="38"/>
  <c r="D11" i="38"/>
  <c r="D12" i="38"/>
  <c r="D13" i="38"/>
  <c r="O4" i="38"/>
  <c r="O5" i="38"/>
  <c r="O6" i="38"/>
  <c r="O7" i="38"/>
  <c r="O8" i="38"/>
  <c r="O9" i="38"/>
  <c r="N4" i="38"/>
  <c r="N5" i="38"/>
  <c r="N6" i="38"/>
  <c r="N7" i="38"/>
  <c r="N8" i="38"/>
  <c r="N9" i="38"/>
  <c r="M4" i="38"/>
  <c r="M5" i="38"/>
  <c r="M6" i="38"/>
  <c r="M7" i="38"/>
  <c r="M8" i="38"/>
  <c r="M9" i="38"/>
  <c r="L4" i="38"/>
  <c r="J63" i="28" s="1"/>
  <c r="J61" i="40" s="1"/>
  <c r="K4" i="38"/>
  <c r="I63" i="28" s="1"/>
  <c r="I61" i="40" s="1"/>
  <c r="J4" i="38"/>
  <c r="H63" i="28" s="1"/>
  <c r="H61" i="40" s="1"/>
  <c r="I4" i="38"/>
  <c r="I5" i="38"/>
  <c r="I6" i="38"/>
  <c r="I7" i="38"/>
  <c r="I8" i="38"/>
  <c r="I9" i="38"/>
  <c r="H4" i="38"/>
  <c r="H5" i="38"/>
  <c r="H6" i="38"/>
  <c r="H7" i="38"/>
  <c r="H8" i="38"/>
  <c r="H9" i="38"/>
  <c r="G4" i="38"/>
  <c r="G5" i="38"/>
  <c r="G6" i="38"/>
  <c r="G7" i="38"/>
  <c r="G8" i="38"/>
  <c r="G9" i="38"/>
  <c r="F4" i="38"/>
  <c r="F5" i="38"/>
  <c r="F6" i="38"/>
  <c r="F7" i="38"/>
  <c r="F8" i="38"/>
  <c r="F9" i="38"/>
  <c r="E4" i="38"/>
  <c r="E5" i="38"/>
  <c r="E6" i="38"/>
  <c r="E7" i="38"/>
  <c r="E8" i="38"/>
  <c r="E9" i="38"/>
  <c r="D4" i="38"/>
  <c r="D5" i="38"/>
  <c r="D6" i="38"/>
  <c r="D7" i="38"/>
  <c r="D8" i="38"/>
  <c r="D9" i="38"/>
  <c r="F34" i="29"/>
  <c r="H34" i="29" s="1"/>
  <c r="F2" i="20" s="1"/>
  <c r="F2" i="21" s="1"/>
  <c r="G82" i="25"/>
  <c r="F35" i="29"/>
  <c r="H35" i="29" s="1"/>
  <c r="G2" i="20" s="1"/>
  <c r="G2" i="21" s="1"/>
  <c r="H82" i="25"/>
  <c r="F36" i="29"/>
  <c r="H36" i="29" s="1"/>
  <c r="H2" i="20" s="1"/>
  <c r="H2" i="21" s="1"/>
  <c r="I82" i="25"/>
  <c r="I2" i="21"/>
  <c r="J82" i="25"/>
  <c r="G83" i="25"/>
  <c r="H83" i="25"/>
  <c r="I83" i="25"/>
  <c r="J83" i="25"/>
  <c r="G84" i="25"/>
  <c r="H84" i="25"/>
  <c r="I84" i="25"/>
  <c r="J84" i="25"/>
  <c r="F33" i="29"/>
  <c r="H33" i="29" s="1"/>
  <c r="E2" i="20" s="1"/>
  <c r="E2" i="21" s="1"/>
  <c r="F82" i="25"/>
  <c r="F83" i="25"/>
  <c r="F84" i="25"/>
  <c r="F31" i="29"/>
  <c r="H31" i="29" s="1"/>
  <c r="B2" i="20" s="1"/>
  <c r="B2" i="21" s="1"/>
  <c r="C82" i="25"/>
  <c r="F37" i="29"/>
  <c r="H37" i="29" s="1"/>
  <c r="C2" i="20" s="1"/>
  <c r="C2" i="21" s="1"/>
  <c r="D82" i="25"/>
  <c r="F32" i="29"/>
  <c r="H32" i="29" s="1"/>
  <c r="D2" i="20" s="1"/>
  <c r="D2" i="21" s="1"/>
  <c r="E82" i="25"/>
  <c r="C83" i="25"/>
  <c r="D83" i="25"/>
  <c r="E83" i="25"/>
  <c r="C84" i="25"/>
  <c r="D84" i="25"/>
  <c r="E84" i="25"/>
  <c r="J59" i="28"/>
  <c r="J57" i="40" s="1"/>
  <c r="F77" i="25"/>
  <c r="F78" i="25"/>
  <c r="F79" i="25"/>
  <c r="G80" i="25"/>
  <c r="H80" i="25"/>
  <c r="I80" i="25"/>
  <c r="J80" i="25"/>
  <c r="G81" i="25"/>
  <c r="H81" i="25"/>
  <c r="I81" i="25"/>
  <c r="J81" i="25"/>
  <c r="G77" i="25"/>
  <c r="H77" i="25"/>
  <c r="I77" i="25"/>
  <c r="J77" i="25"/>
  <c r="C77" i="25"/>
  <c r="D77" i="25"/>
  <c r="E77" i="25"/>
  <c r="G78" i="25"/>
  <c r="H78" i="25"/>
  <c r="I78" i="25"/>
  <c r="J78" i="25"/>
  <c r="C78" i="25"/>
  <c r="D78" i="25"/>
  <c r="E78" i="25"/>
  <c r="G79" i="25"/>
  <c r="H79" i="25"/>
  <c r="I79" i="25"/>
  <c r="J79" i="25"/>
  <c r="C79" i="25"/>
  <c r="D79" i="25"/>
  <c r="E79" i="25"/>
  <c r="F80" i="25"/>
  <c r="F81" i="25"/>
  <c r="C80" i="25"/>
  <c r="D80" i="25"/>
  <c r="E80" i="25"/>
  <c r="C81" i="25"/>
  <c r="D81" i="25"/>
  <c r="E81" i="25"/>
  <c r="F73" i="25"/>
  <c r="F74" i="25"/>
  <c r="F75" i="25"/>
  <c r="F76" i="25"/>
  <c r="G73" i="25"/>
  <c r="H73" i="25"/>
  <c r="I73" i="25"/>
  <c r="J73" i="25"/>
  <c r="C73" i="25"/>
  <c r="D73" i="25"/>
  <c r="E73" i="25"/>
  <c r="G74" i="25"/>
  <c r="H74" i="25"/>
  <c r="I74" i="25"/>
  <c r="J74" i="25"/>
  <c r="C74" i="25"/>
  <c r="D74" i="25"/>
  <c r="E74" i="25"/>
  <c r="G75" i="25"/>
  <c r="H75" i="25"/>
  <c r="I75" i="25"/>
  <c r="J75" i="25"/>
  <c r="C75" i="25"/>
  <c r="D75" i="25"/>
  <c r="E75" i="25"/>
  <c r="G76" i="25"/>
  <c r="H76" i="25"/>
  <c r="I76" i="25"/>
  <c r="J76" i="25"/>
  <c r="C76" i="25"/>
  <c r="D76" i="25"/>
  <c r="E76" i="25"/>
  <c r="I57" i="28"/>
  <c r="I55" i="40" s="1"/>
  <c r="E57" i="28"/>
  <c r="E55" i="40" s="1"/>
  <c r="D57" i="28"/>
  <c r="D55" i="40" s="1"/>
  <c r="C57" i="28"/>
  <c r="C55" i="40" s="1"/>
  <c r="F68" i="25"/>
  <c r="F69" i="25"/>
  <c r="F70" i="25"/>
  <c r="F71" i="25"/>
  <c r="F72" i="25"/>
  <c r="G68" i="25"/>
  <c r="H68" i="25"/>
  <c r="I68" i="25"/>
  <c r="J68" i="25"/>
  <c r="C68" i="25"/>
  <c r="D68" i="25"/>
  <c r="E68" i="25"/>
  <c r="G69" i="25"/>
  <c r="H69" i="25"/>
  <c r="I69" i="25"/>
  <c r="J69" i="25"/>
  <c r="C69" i="25"/>
  <c r="D69" i="25"/>
  <c r="E69" i="25"/>
  <c r="G70" i="25"/>
  <c r="H70" i="25"/>
  <c r="I70" i="25"/>
  <c r="J70" i="25"/>
  <c r="C70" i="25"/>
  <c r="D70" i="25"/>
  <c r="E70" i="25"/>
  <c r="G71" i="25"/>
  <c r="H71" i="25"/>
  <c r="I71" i="25"/>
  <c r="J71" i="25"/>
  <c r="C71" i="25"/>
  <c r="D71" i="25"/>
  <c r="E71" i="25"/>
  <c r="G72" i="25"/>
  <c r="H72" i="25"/>
  <c r="I72" i="25"/>
  <c r="J72" i="25"/>
  <c r="C72" i="25"/>
  <c r="D72" i="25"/>
  <c r="E72" i="25"/>
  <c r="I56" i="28"/>
  <c r="I54" i="40" s="1"/>
  <c r="E56" i="28"/>
  <c r="E54" i="40" s="1"/>
  <c r="D56" i="28"/>
  <c r="D54" i="40" s="1"/>
  <c r="C56" i="28"/>
  <c r="C54" i="40" s="1"/>
  <c r="F63" i="25"/>
  <c r="F64" i="25"/>
  <c r="F65" i="25"/>
  <c r="F66" i="25"/>
  <c r="F67" i="25"/>
  <c r="C63" i="25"/>
  <c r="D63" i="25"/>
  <c r="E63" i="25"/>
  <c r="C64" i="25"/>
  <c r="D64" i="25"/>
  <c r="E64" i="25"/>
  <c r="C65" i="25"/>
  <c r="D65" i="25"/>
  <c r="E65" i="25"/>
  <c r="C66" i="25"/>
  <c r="D66" i="25"/>
  <c r="E66" i="25"/>
  <c r="C67" i="25"/>
  <c r="D67" i="25"/>
  <c r="E67" i="25"/>
  <c r="K55" i="28"/>
  <c r="K53" i="40" s="1"/>
  <c r="J55" i="28"/>
  <c r="J53" i="40" s="1"/>
  <c r="I55" i="28"/>
  <c r="I53" i="40" s="1"/>
  <c r="G63" i="25"/>
  <c r="H63" i="25"/>
  <c r="I63" i="25"/>
  <c r="J63" i="25"/>
  <c r="G64" i="25"/>
  <c r="H64" i="25"/>
  <c r="I64" i="25"/>
  <c r="J64" i="25"/>
  <c r="G65" i="25"/>
  <c r="H65" i="25"/>
  <c r="I65" i="25"/>
  <c r="J65" i="25"/>
  <c r="G66" i="25"/>
  <c r="H66" i="25"/>
  <c r="I66" i="25"/>
  <c r="J66" i="25"/>
  <c r="G67" i="25"/>
  <c r="H67" i="25"/>
  <c r="I67" i="25"/>
  <c r="J67" i="25"/>
  <c r="E55" i="28"/>
  <c r="E53" i="40" s="1"/>
  <c r="D55" i="28"/>
  <c r="D53" i="40" s="1"/>
  <c r="C55" i="28"/>
  <c r="C53" i="40" s="1"/>
  <c r="F60" i="25"/>
  <c r="F61" i="25"/>
  <c r="F62" i="25"/>
  <c r="C60" i="25"/>
  <c r="D60" i="25"/>
  <c r="E60" i="25"/>
  <c r="G61" i="25"/>
  <c r="H61" i="25"/>
  <c r="I61" i="25"/>
  <c r="J61" i="25"/>
  <c r="C61" i="25"/>
  <c r="D61" i="25"/>
  <c r="E61" i="25"/>
  <c r="C62" i="25"/>
  <c r="D62" i="25"/>
  <c r="E62" i="25"/>
  <c r="I54" i="28"/>
  <c r="I52" i="40" s="1"/>
  <c r="G60" i="25"/>
  <c r="H60" i="25"/>
  <c r="I60" i="25"/>
  <c r="J60" i="25"/>
  <c r="G62" i="25"/>
  <c r="H62" i="25"/>
  <c r="I62" i="25"/>
  <c r="J62" i="25"/>
  <c r="E54" i="28"/>
  <c r="E52" i="40" s="1"/>
  <c r="D54" i="28"/>
  <c r="D52" i="40" s="1"/>
  <c r="C54" i="28"/>
  <c r="C52" i="40" s="1"/>
  <c r="I55" i="25"/>
  <c r="F56" i="25"/>
  <c r="H57" i="25"/>
  <c r="J58" i="25"/>
  <c r="H59" i="25"/>
  <c r="G59" i="25"/>
  <c r="J59" i="25"/>
  <c r="I58" i="25"/>
  <c r="F59" i="25"/>
  <c r="D57" i="25"/>
  <c r="E57" i="25"/>
  <c r="C59" i="25"/>
  <c r="D59" i="25"/>
  <c r="E59" i="25"/>
  <c r="F48" i="25"/>
  <c r="F49" i="25"/>
  <c r="F50" i="25"/>
  <c r="F51" i="25"/>
  <c r="G48" i="25"/>
  <c r="H48" i="25"/>
  <c r="I48" i="25"/>
  <c r="J48" i="25"/>
  <c r="C48" i="25"/>
  <c r="D48" i="25"/>
  <c r="E48" i="25"/>
  <c r="G49" i="25"/>
  <c r="H49" i="25"/>
  <c r="I49" i="25"/>
  <c r="J49" i="25"/>
  <c r="C49" i="25"/>
  <c r="D49" i="25"/>
  <c r="E49" i="25"/>
  <c r="C50" i="25"/>
  <c r="D50" i="25"/>
  <c r="E50" i="25"/>
  <c r="G51" i="25"/>
  <c r="H51" i="25"/>
  <c r="I51" i="25"/>
  <c r="J51" i="25"/>
  <c r="C51" i="25"/>
  <c r="D51" i="25"/>
  <c r="E51" i="25"/>
  <c r="I50" i="40"/>
  <c r="G50" i="25"/>
  <c r="H50" i="25"/>
  <c r="I50" i="25"/>
  <c r="J50" i="25"/>
  <c r="E50" i="40"/>
  <c r="D50" i="40"/>
  <c r="C50" i="40"/>
  <c r="G42" i="25"/>
  <c r="H42" i="25"/>
  <c r="I42" i="25"/>
  <c r="J42" i="25"/>
  <c r="F43" i="25"/>
  <c r="F44" i="25"/>
  <c r="F45" i="25"/>
  <c r="G46" i="25"/>
  <c r="H46" i="25"/>
  <c r="I46" i="25"/>
  <c r="J46" i="25"/>
  <c r="F47" i="25"/>
  <c r="F42" i="25"/>
  <c r="G43" i="25"/>
  <c r="H43" i="25"/>
  <c r="I43" i="25"/>
  <c r="H43" i="21" s="1"/>
  <c r="J43" i="25"/>
  <c r="C43" i="25"/>
  <c r="D43" i="25"/>
  <c r="E43" i="25"/>
  <c r="C44" i="25"/>
  <c r="D44" i="25"/>
  <c r="E44" i="25"/>
  <c r="C45" i="25"/>
  <c r="D45" i="25"/>
  <c r="E45" i="25"/>
  <c r="F46" i="25"/>
  <c r="C47" i="25"/>
  <c r="D47" i="25"/>
  <c r="E47" i="25"/>
  <c r="C42" i="25"/>
  <c r="D42" i="25"/>
  <c r="E42" i="25"/>
  <c r="C46" i="25"/>
  <c r="D46" i="25"/>
  <c r="E46" i="25"/>
  <c r="I49" i="40"/>
  <c r="G44" i="25"/>
  <c r="H44" i="25"/>
  <c r="I44" i="25"/>
  <c r="H44" i="21" s="1"/>
  <c r="J44" i="25"/>
  <c r="G45" i="25"/>
  <c r="H45" i="25"/>
  <c r="I45" i="25"/>
  <c r="J45" i="25"/>
  <c r="G47" i="25"/>
  <c r="H47" i="25"/>
  <c r="I47" i="25"/>
  <c r="J47" i="25"/>
  <c r="E49" i="40"/>
  <c r="D49" i="40"/>
  <c r="C49" i="40"/>
  <c r="F36" i="25"/>
  <c r="G37" i="25"/>
  <c r="H37" i="25"/>
  <c r="I37" i="25"/>
  <c r="J37" i="25"/>
  <c r="F38" i="25"/>
  <c r="G39" i="25"/>
  <c r="H39" i="25"/>
  <c r="I39" i="25"/>
  <c r="J39" i="25"/>
  <c r="F40" i="25"/>
  <c r="G41" i="25"/>
  <c r="H41" i="25"/>
  <c r="I41" i="25"/>
  <c r="J41" i="25"/>
  <c r="G36" i="25"/>
  <c r="H36" i="25"/>
  <c r="I36" i="25"/>
  <c r="J36" i="25"/>
  <c r="C36" i="25"/>
  <c r="D36" i="25"/>
  <c r="E36" i="25"/>
  <c r="F37" i="25"/>
  <c r="G38" i="25"/>
  <c r="H38" i="25"/>
  <c r="I38" i="25"/>
  <c r="J38" i="25"/>
  <c r="C38" i="25"/>
  <c r="D38" i="25"/>
  <c r="E38" i="25"/>
  <c r="F39" i="25"/>
  <c r="C40" i="25"/>
  <c r="D40" i="25"/>
  <c r="E40" i="25"/>
  <c r="F41" i="25"/>
  <c r="C37" i="25"/>
  <c r="D37" i="25"/>
  <c r="E37" i="25"/>
  <c r="C39" i="25"/>
  <c r="D39" i="25"/>
  <c r="E39" i="25"/>
  <c r="C41" i="25"/>
  <c r="D41" i="25"/>
  <c r="E41" i="25"/>
  <c r="G40" i="25"/>
  <c r="H40" i="25"/>
  <c r="I40" i="25"/>
  <c r="J40" i="25"/>
  <c r="F31" i="25"/>
  <c r="G32" i="25"/>
  <c r="H32" i="25"/>
  <c r="I32" i="25"/>
  <c r="J32" i="25"/>
  <c r="F33" i="25"/>
  <c r="G34" i="25"/>
  <c r="H34" i="25"/>
  <c r="I34" i="25"/>
  <c r="J34" i="25"/>
  <c r="F35" i="25"/>
  <c r="C31" i="25"/>
  <c r="D31" i="25"/>
  <c r="E31" i="25"/>
  <c r="F32" i="25"/>
  <c r="C33" i="25"/>
  <c r="D33" i="25"/>
  <c r="E33" i="25"/>
  <c r="F34" i="25"/>
  <c r="C35" i="25"/>
  <c r="D35" i="25"/>
  <c r="E35" i="25"/>
  <c r="C32" i="25"/>
  <c r="D32" i="25"/>
  <c r="E32" i="25"/>
  <c r="C34" i="25"/>
  <c r="D34" i="25"/>
  <c r="E34" i="25"/>
  <c r="J48" i="28"/>
  <c r="J47" i="40" s="1"/>
  <c r="I48" i="28"/>
  <c r="I47" i="40" s="1"/>
  <c r="G31" i="25"/>
  <c r="H31" i="25"/>
  <c r="I31" i="25"/>
  <c r="J31" i="25"/>
  <c r="G33" i="25"/>
  <c r="H33" i="25"/>
  <c r="I33" i="25"/>
  <c r="J33" i="25"/>
  <c r="G35" i="25"/>
  <c r="H35" i="25"/>
  <c r="I35" i="25"/>
  <c r="J35" i="25"/>
  <c r="E48" i="28"/>
  <c r="E47" i="40" s="1"/>
  <c r="D48" i="28"/>
  <c r="D47" i="40" s="1"/>
  <c r="C48" i="28"/>
  <c r="C47" i="40" s="1"/>
  <c r="G26" i="25"/>
  <c r="H26" i="25"/>
  <c r="I26" i="25"/>
  <c r="J26" i="25"/>
  <c r="F27" i="25"/>
  <c r="F28" i="25"/>
  <c r="G29" i="25"/>
  <c r="H29" i="25"/>
  <c r="I29" i="25"/>
  <c r="J29" i="25"/>
  <c r="G30" i="25"/>
  <c r="H30" i="25"/>
  <c r="I30" i="25"/>
  <c r="J30" i="25"/>
  <c r="F26" i="25"/>
  <c r="C27" i="25"/>
  <c r="D27" i="25"/>
  <c r="E27" i="25"/>
  <c r="C28" i="25"/>
  <c r="D28" i="25"/>
  <c r="E28" i="25"/>
  <c r="F29" i="25"/>
  <c r="F30" i="25"/>
  <c r="C26" i="25"/>
  <c r="D26" i="25"/>
  <c r="E26" i="25"/>
  <c r="C29" i="25"/>
  <c r="D29" i="25"/>
  <c r="E29" i="25"/>
  <c r="C30" i="25"/>
  <c r="D30" i="25"/>
  <c r="E30" i="25"/>
  <c r="J47" i="28"/>
  <c r="J46" i="40" s="1"/>
  <c r="G27" i="25"/>
  <c r="H27" i="25"/>
  <c r="I27" i="25"/>
  <c r="J27" i="25"/>
  <c r="G28" i="25"/>
  <c r="H28" i="25"/>
  <c r="I28" i="25"/>
  <c r="J28" i="25"/>
  <c r="I28" i="21" s="1"/>
  <c r="G19" i="25"/>
  <c r="H19" i="25"/>
  <c r="I19" i="25"/>
  <c r="J19" i="25"/>
  <c r="G20" i="25"/>
  <c r="H20" i="25"/>
  <c r="I20" i="25"/>
  <c r="J20" i="25"/>
  <c r="G21" i="25"/>
  <c r="H21" i="25"/>
  <c r="I21" i="25"/>
  <c r="J21" i="25"/>
  <c r="F22" i="25"/>
  <c r="G23" i="25"/>
  <c r="H23" i="25"/>
  <c r="I23" i="25"/>
  <c r="J23" i="25"/>
  <c r="G24" i="25"/>
  <c r="H24" i="25"/>
  <c r="I24" i="25"/>
  <c r="J24" i="25"/>
  <c r="G25" i="25"/>
  <c r="H25" i="25"/>
  <c r="I25" i="25"/>
  <c r="J25" i="25"/>
  <c r="F19" i="25"/>
  <c r="F20" i="25"/>
  <c r="F21" i="25"/>
  <c r="C22" i="25"/>
  <c r="D22" i="25"/>
  <c r="E22" i="25"/>
  <c r="F23" i="25"/>
  <c r="F24" i="25"/>
  <c r="F25" i="25"/>
  <c r="C19" i="25"/>
  <c r="D19" i="25"/>
  <c r="E19" i="25"/>
  <c r="C20" i="25"/>
  <c r="D20" i="25"/>
  <c r="E20" i="25"/>
  <c r="C21" i="25"/>
  <c r="D21" i="25"/>
  <c r="E21" i="25"/>
  <c r="C23" i="25"/>
  <c r="D23" i="25"/>
  <c r="E23" i="25"/>
  <c r="C24" i="25"/>
  <c r="D24" i="25"/>
  <c r="E24" i="25"/>
  <c r="C25" i="25"/>
  <c r="D25" i="25"/>
  <c r="E25" i="25"/>
  <c r="J46" i="28"/>
  <c r="J45" i="40" s="1"/>
  <c r="G22" i="25"/>
  <c r="H22" i="25"/>
  <c r="I22" i="25"/>
  <c r="J22" i="25"/>
  <c r="G14" i="25"/>
  <c r="H14" i="25"/>
  <c r="I14" i="25"/>
  <c r="J14" i="25"/>
  <c r="G15" i="25"/>
  <c r="H15" i="25"/>
  <c r="I15" i="25"/>
  <c r="J15" i="25"/>
  <c r="G16" i="25"/>
  <c r="H16" i="25"/>
  <c r="I16" i="25"/>
  <c r="J16" i="25"/>
  <c r="G17" i="25"/>
  <c r="H17" i="25"/>
  <c r="I17" i="25"/>
  <c r="J17" i="25"/>
  <c r="G18" i="25"/>
  <c r="H18" i="25"/>
  <c r="I18" i="25"/>
  <c r="J18" i="25"/>
  <c r="F14" i="25"/>
  <c r="F15" i="25"/>
  <c r="F16" i="25"/>
  <c r="F17" i="25"/>
  <c r="F18" i="25"/>
  <c r="C14" i="25"/>
  <c r="D14" i="25"/>
  <c r="E14" i="25"/>
  <c r="C15" i="25"/>
  <c r="D15" i="25"/>
  <c r="E15" i="25"/>
  <c r="C16" i="25"/>
  <c r="D16" i="25"/>
  <c r="E16" i="25"/>
  <c r="C17" i="25"/>
  <c r="D17" i="25"/>
  <c r="E17" i="25"/>
  <c r="C18" i="25"/>
  <c r="D18" i="25"/>
  <c r="E18" i="25"/>
  <c r="J45" i="28"/>
  <c r="J44" i="40" s="1"/>
  <c r="G10" i="25"/>
  <c r="H10" i="25"/>
  <c r="I10" i="25"/>
  <c r="J10" i="25"/>
  <c r="G11" i="25"/>
  <c r="H11" i="25"/>
  <c r="I11" i="25"/>
  <c r="J11" i="25"/>
  <c r="G12" i="25"/>
  <c r="H12" i="25"/>
  <c r="I12" i="25"/>
  <c r="J12" i="25"/>
  <c r="G13" i="25"/>
  <c r="H13" i="25"/>
  <c r="I13" i="25"/>
  <c r="J13" i="25"/>
  <c r="F10" i="25"/>
  <c r="F11" i="25"/>
  <c r="F12" i="25"/>
  <c r="F13" i="25"/>
  <c r="C10" i="25"/>
  <c r="D10" i="25"/>
  <c r="E10" i="25"/>
  <c r="C11" i="25"/>
  <c r="B11" i="21" s="1"/>
  <c r="D11" i="25"/>
  <c r="E11" i="25"/>
  <c r="C12" i="25"/>
  <c r="D12" i="25"/>
  <c r="E12" i="25"/>
  <c r="C13" i="25"/>
  <c r="D13" i="25"/>
  <c r="E13" i="25"/>
  <c r="J44" i="28"/>
  <c r="J43" i="40" s="1"/>
  <c r="I44" i="28"/>
  <c r="I43" i="40" s="1"/>
  <c r="E44" i="28"/>
  <c r="E43" i="40" s="1"/>
  <c r="D44" i="28"/>
  <c r="D43" i="40" s="1"/>
  <c r="C44" i="28"/>
  <c r="C43" i="40" s="1"/>
  <c r="B44" i="28"/>
  <c r="B43" i="40" s="1"/>
  <c r="F5" i="25"/>
  <c r="F6" i="25"/>
  <c r="F7" i="25"/>
  <c r="F8" i="25"/>
  <c r="F9" i="25"/>
  <c r="G4" i="25"/>
  <c r="H4" i="25"/>
  <c r="I4" i="25"/>
  <c r="J4" i="25"/>
  <c r="C5" i="25"/>
  <c r="B5" i="21" s="1"/>
  <c r="D5" i="25"/>
  <c r="E5" i="25"/>
  <c r="C6" i="25"/>
  <c r="D6" i="25"/>
  <c r="E6" i="25"/>
  <c r="C7" i="25"/>
  <c r="D7" i="25"/>
  <c r="E7" i="25"/>
  <c r="C8" i="25"/>
  <c r="D8" i="25"/>
  <c r="E8" i="25"/>
  <c r="C9" i="25"/>
  <c r="D9" i="25"/>
  <c r="E9" i="25"/>
  <c r="F4" i="25"/>
  <c r="C4" i="25"/>
  <c r="D4" i="25"/>
  <c r="E4" i="25"/>
  <c r="I43" i="28"/>
  <c r="I42" i="40" s="1"/>
  <c r="G5" i="25"/>
  <c r="H5" i="25"/>
  <c r="I5" i="25"/>
  <c r="J5" i="25"/>
  <c r="G6" i="25"/>
  <c r="H6" i="25"/>
  <c r="I6" i="25"/>
  <c r="J6" i="25"/>
  <c r="G7" i="25"/>
  <c r="F7" i="21" s="1"/>
  <c r="H7" i="25"/>
  <c r="I7" i="25"/>
  <c r="J7" i="25"/>
  <c r="G8" i="25"/>
  <c r="H8" i="25"/>
  <c r="I8" i="25"/>
  <c r="J8" i="25"/>
  <c r="G9" i="25"/>
  <c r="H9" i="25"/>
  <c r="I9" i="25"/>
  <c r="J9" i="25"/>
  <c r="E43" i="28"/>
  <c r="E42" i="40" s="1"/>
  <c r="D43" i="28"/>
  <c r="D42" i="40" s="1"/>
  <c r="C43" i="28"/>
  <c r="C42" i="40" s="1"/>
  <c r="F25" i="29"/>
  <c r="H25" i="29" s="1"/>
  <c r="B2" i="18" s="1"/>
  <c r="B2" i="19" s="1"/>
  <c r="D80" i="15"/>
  <c r="B80" i="18" s="1"/>
  <c r="C80" i="24" s="1"/>
  <c r="F26" i="29"/>
  <c r="H80" i="15"/>
  <c r="C80" i="18" s="1"/>
  <c r="D80" i="24" s="1"/>
  <c r="F27" i="29"/>
  <c r="H27" i="29" s="1"/>
  <c r="D2" i="18" s="1"/>
  <c r="D2" i="19" s="1"/>
  <c r="R80" i="15"/>
  <c r="D80" i="18" s="1"/>
  <c r="E80" i="24" s="1"/>
  <c r="F28" i="29"/>
  <c r="H28" i="29" s="1"/>
  <c r="E2" i="18" s="1"/>
  <c r="E2" i="19" s="1"/>
  <c r="AB80" i="15"/>
  <c r="E80" i="18" s="1"/>
  <c r="F80" i="24" s="1"/>
  <c r="D81" i="15"/>
  <c r="B81" i="18" s="1"/>
  <c r="C81" i="24" s="1"/>
  <c r="H81" i="15"/>
  <c r="C81" i="18" s="1"/>
  <c r="D81" i="24" s="1"/>
  <c r="R81" i="15"/>
  <c r="D81" i="18" s="1"/>
  <c r="E81" i="24" s="1"/>
  <c r="AB81" i="15"/>
  <c r="E81" i="18" s="1"/>
  <c r="F81" i="24" s="1"/>
  <c r="D82" i="15"/>
  <c r="B82" i="18" s="1"/>
  <c r="C82" i="24" s="1"/>
  <c r="H82" i="15"/>
  <c r="C82" i="18" s="1"/>
  <c r="D82" i="24" s="1"/>
  <c r="R82" i="15"/>
  <c r="D82" i="18" s="1"/>
  <c r="E82" i="24" s="1"/>
  <c r="AB82" i="15"/>
  <c r="E82" i="18" s="1"/>
  <c r="F82" i="24" s="1"/>
  <c r="L39" i="28"/>
  <c r="L38" i="40" s="1"/>
  <c r="K39" i="28"/>
  <c r="K38" i="40" s="1"/>
  <c r="I39" i="28"/>
  <c r="I38" i="40" s="1"/>
  <c r="G39" i="28"/>
  <c r="G38" i="40" s="1"/>
  <c r="F39" i="28"/>
  <c r="F38" i="40" s="1"/>
  <c r="C39" i="28"/>
  <c r="C38" i="40" s="1"/>
  <c r="B39" i="28"/>
  <c r="B38" i="40" s="1"/>
  <c r="M38" i="28"/>
  <c r="M37" i="40" s="1"/>
  <c r="D75" i="15"/>
  <c r="B75" i="18" s="1"/>
  <c r="C75" i="24" s="1"/>
  <c r="D76" i="15"/>
  <c r="B76" i="18" s="1"/>
  <c r="C76" i="24" s="1"/>
  <c r="D77" i="15"/>
  <c r="B77" i="18" s="1"/>
  <c r="C77" i="24" s="1"/>
  <c r="D78" i="15"/>
  <c r="B78" i="18" s="1"/>
  <c r="C78" i="24" s="1"/>
  <c r="D79" i="15"/>
  <c r="B79" i="18" s="1"/>
  <c r="C79" i="24" s="1"/>
  <c r="K38" i="28"/>
  <c r="K37" i="40" s="1"/>
  <c r="J38" i="28"/>
  <c r="J37" i="40" s="1"/>
  <c r="H75" i="15"/>
  <c r="C75" i="18" s="1"/>
  <c r="D75" i="24" s="1"/>
  <c r="R75" i="15"/>
  <c r="D75" i="18" s="1"/>
  <c r="E75" i="24" s="1"/>
  <c r="AB75" i="15"/>
  <c r="E75" i="18" s="1"/>
  <c r="F75" i="24" s="1"/>
  <c r="H76" i="15"/>
  <c r="C76" i="18" s="1"/>
  <c r="D76" i="24" s="1"/>
  <c r="R76" i="15"/>
  <c r="D76" i="18" s="1"/>
  <c r="E76" i="24" s="1"/>
  <c r="AB76" i="15"/>
  <c r="E76" i="18" s="1"/>
  <c r="F76" i="24" s="1"/>
  <c r="H77" i="15"/>
  <c r="C77" i="18" s="1"/>
  <c r="D77" i="24" s="1"/>
  <c r="R77" i="15"/>
  <c r="D77" i="18" s="1"/>
  <c r="E77" i="24" s="1"/>
  <c r="AB77" i="15"/>
  <c r="E77" i="18" s="1"/>
  <c r="F77" i="24" s="1"/>
  <c r="H78" i="15"/>
  <c r="C78" i="18" s="1"/>
  <c r="D78" i="24" s="1"/>
  <c r="R78" i="15"/>
  <c r="D78" i="18" s="1"/>
  <c r="E78" i="24" s="1"/>
  <c r="AB78" i="15"/>
  <c r="E78" i="18" s="1"/>
  <c r="F78" i="24" s="1"/>
  <c r="H79" i="15"/>
  <c r="C79" i="18" s="1"/>
  <c r="D79" i="24" s="1"/>
  <c r="R79" i="15"/>
  <c r="D79" i="18" s="1"/>
  <c r="E79" i="24" s="1"/>
  <c r="AB79" i="15"/>
  <c r="E79" i="18" s="1"/>
  <c r="F79" i="24" s="1"/>
  <c r="H38" i="28"/>
  <c r="H37" i="40" s="1"/>
  <c r="G38" i="28"/>
  <c r="G37" i="40" s="1"/>
  <c r="E38" i="28"/>
  <c r="E37" i="40" s="1"/>
  <c r="D38" i="28"/>
  <c r="D37" i="40" s="1"/>
  <c r="B38" i="28"/>
  <c r="B37" i="40" s="1"/>
  <c r="H71" i="15"/>
  <c r="C71" i="18" s="1"/>
  <c r="D71" i="24" s="1"/>
  <c r="R71" i="15"/>
  <c r="D71" i="18" s="1"/>
  <c r="E71" i="24" s="1"/>
  <c r="AB71" i="15"/>
  <c r="E71" i="18" s="1"/>
  <c r="F71" i="24" s="1"/>
  <c r="H72" i="15"/>
  <c r="C72" i="18" s="1"/>
  <c r="D72" i="24" s="1"/>
  <c r="R72" i="15"/>
  <c r="D72" i="18" s="1"/>
  <c r="E72" i="24" s="1"/>
  <c r="AB72" i="15"/>
  <c r="E72" i="18" s="1"/>
  <c r="F72" i="24" s="1"/>
  <c r="H73" i="15"/>
  <c r="C73" i="18" s="1"/>
  <c r="D73" i="24" s="1"/>
  <c r="R73" i="15"/>
  <c r="D73" i="18" s="1"/>
  <c r="E73" i="24" s="1"/>
  <c r="AB73" i="15"/>
  <c r="E73" i="18" s="1"/>
  <c r="F73" i="24" s="1"/>
  <c r="H74" i="15"/>
  <c r="C74" i="18" s="1"/>
  <c r="D74" i="24" s="1"/>
  <c r="R74" i="15"/>
  <c r="D74" i="18" s="1"/>
  <c r="E74" i="24" s="1"/>
  <c r="AB74" i="15"/>
  <c r="E74" i="18" s="1"/>
  <c r="F74" i="24" s="1"/>
  <c r="L37" i="28"/>
  <c r="L36" i="40" s="1"/>
  <c r="K37" i="28"/>
  <c r="K36" i="40" s="1"/>
  <c r="D71" i="15"/>
  <c r="B71" i="18" s="1"/>
  <c r="C71" i="24" s="1"/>
  <c r="D72" i="15"/>
  <c r="B72" i="18" s="1"/>
  <c r="C72" i="24" s="1"/>
  <c r="D73" i="15"/>
  <c r="B73" i="18" s="1"/>
  <c r="C73" i="24" s="1"/>
  <c r="D74" i="15"/>
  <c r="B74" i="18" s="1"/>
  <c r="C74" i="24" s="1"/>
  <c r="I37" i="28"/>
  <c r="I36" i="40" s="1"/>
  <c r="G37" i="28"/>
  <c r="G36" i="40" s="1"/>
  <c r="F37" i="28"/>
  <c r="F36" i="40" s="1"/>
  <c r="D37" i="28"/>
  <c r="D36" i="40" s="1"/>
  <c r="C37" i="28"/>
  <c r="C36" i="40" s="1"/>
  <c r="B37" i="28"/>
  <c r="B36" i="40" s="1"/>
  <c r="M36" i="28"/>
  <c r="M35" i="40" s="1"/>
  <c r="L36" i="28"/>
  <c r="L35" i="40" s="1"/>
  <c r="H66" i="15"/>
  <c r="C66" i="18" s="1"/>
  <c r="D66" i="24" s="1"/>
  <c r="R66" i="15"/>
  <c r="D66" i="18" s="1"/>
  <c r="E66" i="24" s="1"/>
  <c r="AB66" i="15"/>
  <c r="E66" i="18" s="1"/>
  <c r="F66" i="24" s="1"/>
  <c r="H67" i="15"/>
  <c r="C67" i="18" s="1"/>
  <c r="D67" i="24" s="1"/>
  <c r="R67" i="15"/>
  <c r="D67" i="18" s="1"/>
  <c r="E67" i="24" s="1"/>
  <c r="AB67" i="15"/>
  <c r="E67" i="18" s="1"/>
  <c r="F67" i="24" s="1"/>
  <c r="H68" i="15"/>
  <c r="C68" i="18" s="1"/>
  <c r="D68" i="24" s="1"/>
  <c r="R68" i="15"/>
  <c r="D68" i="18" s="1"/>
  <c r="E68" i="24" s="1"/>
  <c r="AB68" i="15"/>
  <c r="E68" i="18" s="1"/>
  <c r="F68" i="24" s="1"/>
  <c r="H69" i="15"/>
  <c r="C69" i="18" s="1"/>
  <c r="D69" i="24" s="1"/>
  <c r="R69" i="15"/>
  <c r="D69" i="18" s="1"/>
  <c r="E69" i="24" s="1"/>
  <c r="AB69" i="15"/>
  <c r="E69" i="18" s="1"/>
  <c r="F69" i="24" s="1"/>
  <c r="H70" i="15"/>
  <c r="C70" i="18" s="1"/>
  <c r="D70" i="24" s="1"/>
  <c r="R70" i="15"/>
  <c r="D70" i="18" s="1"/>
  <c r="E70" i="24" s="1"/>
  <c r="AB70" i="15"/>
  <c r="E70" i="18" s="1"/>
  <c r="F70" i="24" s="1"/>
  <c r="J36" i="28"/>
  <c r="J35" i="40" s="1"/>
  <c r="I36" i="28"/>
  <c r="I35" i="40" s="1"/>
  <c r="D66" i="15"/>
  <c r="B66" i="18" s="1"/>
  <c r="C66" i="24" s="1"/>
  <c r="D67" i="15"/>
  <c r="B67" i="18" s="1"/>
  <c r="C67" i="24" s="1"/>
  <c r="D68" i="15"/>
  <c r="B68" i="18" s="1"/>
  <c r="C68" i="24" s="1"/>
  <c r="D69" i="15"/>
  <c r="B69" i="18" s="1"/>
  <c r="C69" i="24" s="1"/>
  <c r="D70" i="15"/>
  <c r="B70" i="18" s="1"/>
  <c r="C70" i="24" s="1"/>
  <c r="G36" i="28"/>
  <c r="G35" i="40" s="1"/>
  <c r="F36" i="28"/>
  <c r="F35" i="40" s="1"/>
  <c r="D36" i="28"/>
  <c r="D35" i="40" s="1"/>
  <c r="C36" i="28"/>
  <c r="C35" i="40" s="1"/>
  <c r="M35" i="28"/>
  <c r="M34" i="40" s="1"/>
  <c r="D62" i="15"/>
  <c r="B62" i="18" s="1"/>
  <c r="C62" i="24" s="1"/>
  <c r="D63" i="15"/>
  <c r="B63" i="18" s="1"/>
  <c r="C63" i="24" s="1"/>
  <c r="D64" i="15"/>
  <c r="B64" i="18" s="1"/>
  <c r="C64" i="24" s="1"/>
  <c r="D65" i="15"/>
  <c r="B65" i="18" s="1"/>
  <c r="C65" i="24" s="1"/>
  <c r="D61" i="15"/>
  <c r="B61" i="18" s="1"/>
  <c r="C61" i="24" s="1"/>
  <c r="J35" i="28"/>
  <c r="J34" i="40" s="1"/>
  <c r="I35" i="28"/>
  <c r="I34" i="40" s="1"/>
  <c r="H35" i="28"/>
  <c r="H34" i="40" s="1"/>
  <c r="G35" i="28"/>
  <c r="G34" i="40" s="1"/>
  <c r="H61" i="15"/>
  <c r="C61" i="18" s="1"/>
  <c r="D61" i="24" s="1"/>
  <c r="R61" i="15"/>
  <c r="D61" i="18" s="1"/>
  <c r="E61" i="24" s="1"/>
  <c r="AB61" i="15"/>
  <c r="E61" i="18" s="1"/>
  <c r="F61" i="24" s="1"/>
  <c r="H62" i="15"/>
  <c r="C62" i="18" s="1"/>
  <c r="D62" i="24" s="1"/>
  <c r="R62" i="15"/>
  <c r="D62" i="18" s="1"/>
  <c r="E62" i="24" s="1"/>
  <c r="AB62" i="15"/>
  <c r="E62" i="18" s="1"/>
  <c r="F62" i="24" s="1"/>
  <c r="H63" i="15"/>
  <c r="C63" i="18" s="1"/>
  <c r="D63" i="24" s="1"/>
  <c r="R63" i="15"/>
  <c r="D63" i="18" s="1"/>
  <c r="E63" i="24" s="1"/>
  <c r="AB63" i="15"/>
  <c r="E63" i="18" s="1"/>
  <c r="F63" i="24" s="1"/>
  <c r="H64" i="15"/>
  <c r="C64" i="18" s="1"/>
  <c r="D64" i="24" s="1"/>
  <c r="R64" i="15"/>
  <c r="D64" i="18" s="1"/>
  <c r="E64" i="24" s="1"/>
  <c r="AB64" i="15"/>
  <c r="E64" i="18" s="1"/>
  <c r="F64" i="24" s="1"/>
  <c r="H65" i="15"/>
  <c r="C65" i="18" s="1"/>
  <c r="D65" i="24" s="1"/>
  <c r="R65" i="15"/>
  <c r="D65" i="18" s="1"/>
  <c r="E65" i="24" s="1"/>
  <c r="AB65" i="15"/>
  <c r="E65" i="18" s="1"/>
  <c r="F65" i="24" s="1"/>
  <c r="E35" i="28"/>
  <c r="E34" i="40" s="1"/>
  <c r="D35" i="28"/>
  <c r="D34" i="40" s="1"/>
  <c r="H60" i="15"/>
  <c r="C60" i="18" s="1"/>
  <c r="D60" i="24" s="1"/>
  <c r="R60" i="15"/>
  <c r="D60" i="18" s="1"/>
  <c r="E60" i="24" s="1"/>
  <c r="AB60" i="15"/>
  <c r="E60" i="18" s="1"/>
  <c r="F60" i="24" s="1"/>
  <c r="H58" i="15"/>
  <c r="C58" i="18" s="1"/>
  <c r="D58" i="24" s="1"/>
  <c r="R58" i="15"/>
  <c r="D58" i="18" s="1"/>
  <c r="E58" i="24" s="1"/>
  <c r="AB58" i="15"/>
  <c r="E58" i="18" s="1"/>
  <c r="F58" i="24" s="1"/>
  <c r="H59" i="15"/>
  <c r="C59" i="18" s="1"/>
  <c r="D59" i="24" s="1"/>
  <c r="R59" i="15"/>
  <c r="D59" i="18" s="1"/>
  <c r="E59" i="24" s="1"/>
  <c r="AB59" i="15"/>
  <c r="E59" i="18" s="1"/>
  <c r="F59" i="24" s="1"/>
  <c r="K34" i="28"/>
  <c r="K33" i="40" s="1"/>
  <c r="D60" i="15"/>
  <c r="B60" i="18" s="1"/>
  <c r="C60" i="24" s="1"/>
  <c r="D58" i="15"/>
  <c r="B58" i="18" s="1"/>
  <c r="C58" i="24" s="1"/>
  <c r="D59" i="15"/>
  <c r="B59" i="18" s="1"/>
  <c r="C59" i="24" s="1"/>
  <c r="H34" i="28"/>
  <c r="H33" i="40" s="1"/>
  <c r="E34" i="28"/>
  <c r="E33" i="40" s="1"/>
  <c r="B34" i="28"/>
  <c r="B33" i="40" s="1"/>
  <c r="M33" i="28"/>
  <c r="M32" i="40" s="1"/>
  <c r="L33" i="28"/>
  <c r="L32" i="40" s="1"/>
  <c r="D52" i="15"/>
  <c r="B52" i="18" s="1"/>
  <c r="C52" i="24" s="1"/>
  <c r="D53" i="15"/>
  <c r="B53" i="18" s="1"/>
  <c r="C53" i="24" s="1"/>
  <c r="D54" i="15"/>
  <c r="B54" i="18" s="1"/>
  <c r="C54" i="24" s="1"/>
  <c r="D55" i="15"/>
  <c r="B55" i="18" s="1"/>
  <c r="C55" i="24" s="1"/>
  <c r="D56" i="15"/>
  <c r="B56" i="18" s="1"/>
  <c r="C56" i="24" s="1"/>
  <c r="D57" i="15"/>
  <c r="B57" i="18" s="1"/>
  <c r="C57" i="24" s="1"/>
  <c r="J33" i="28"/>
  <c r="J32" i="40" s="1"/>
  <c r="I33" i="28"/>
  <c r="I32" i="40" s="1"/>
  <c r="H52" i="15"/>
  <c r="C52" i="18" s="1"/>
  <c r="D52" i="24" s="1"/>
  <c r="R52" i="15"/>
  <c r="D52" i="18" s="1"/>
  <c r="E52" i="24" s="1"/>
  <c r="AB52" i="15"/>
  <c r="E52" i="18" s="1"/>
  <c r="F52" i="24" s="1"/>
  <c r="H53" i="15"/>
  <c r="C53" i="18" s="1"/>
  <c r="D53" i="24" s="1"/>
  <c r="R53" i="15"/>
  <c r="D53" i="18" s="1"/>
  <c r="E53" i="24" s="1"/>
  <c r="AB53" i="15"/>
  <c r="E53" i="18" s="1"/>
  <c r="F53" i="24" s="1"/>
  <c r="H54" i="15"/>
  <c r="C54" i="18" s="1"/>
  <c r="D54" i="24" s="1"/>
  <c r="R54" i="15"/>
  <c r="D54" i="18" s="1"/>
  <c r="E54" i="24" s="1"/>
  <c r="AB54" i="15"/>
  <c r="E54" i="18" s="1"/>
  <c r="F54" i="24" s="1"/>
  <c r="H55" i="15"/>
  <c r="C55" i="18" s="1"/>
  <c r="D55" i="24" s="1"/>
  <c r="R55" i="15"/>
  <c r="D55" i="18" s="1"/>
  <c r="E55" i="24" s="1"/>
  <c r="AB55" i="15"/>
  <c r="E55" i="18" s="1"/>
  <c r="F55" i="24" s="1"/>
  <c r="H56" i="15"/>
  <c r="C56" i="18" s="1"/>
  <c r="D56" i="24" s="1"/>
  <c r="R56" i="15"/>
  <c r="D56" i="18" s="1"/>
  <c r="E56" i="24" s="1"/>
  <c r="AB56" i="15"/>
  <c r="E56" i="18" s="1"/>
  <c r="F56" i="24" s="1"/>
  <c r="H57" i="15"/>
  <c r="C57" i="18" s="1"/>
  <c r="D57" i="24" s="1"/>
  <c r="R57" i="15"/>
  <c r="D57" i="18" s="1"/>
  <c r="E57" i="24" s="1"/>
  <c r="AB57" i="15"/>
  <c r="E57" i="18" s="1"/>
  <c r="F57" i="24" s="1"/>
  <c r="G33" i="28"/>
  <c r="G32" i="40" s="1"/>
  <c r="F33" i="28"/>
  <c r="F32" i="40" s="1"/>
  <c r="D33" i="28"/>
  <c r="D32" i="40" s="1"/>
  <c r="C33" i="28"/>
  <c r="C32" i="40" s="1"/>
  <c r="H48" i="15"/>
  <c r="C48" i="18" s="1"/>
  <c r="D48" i="24" s="1"/>
  <c r="R48" i="15"/>
  <c r="D48" i="18" s="1"/>
  <c r="E48" i="24" s="1"/>
  <c r="AB48" i="15"/>
  <c r="E48" i="18" s="1"/>
  <c r="F48" i="24" s="1"/>
  <c r="H49" i="15"/>
  <c r="C49" i="18" s="1"/>
  <c r="D49" i="24" s="1"/>
  <c r="R49" i="15"/>
  <c r="D49" i="18" s="1"/>
  <c r="E49" i="24" s="1"/>
  <c r="AB49" i="15"/>
  <c r="E49" i="18" s="1"/>
  <c r="F49" i="24" s="1"/>
  <c r="L31" i="40"/>
  <c r="D50" i="15"/>
  <c r="B50" i="18" s="1"/>
  <c r="C50" i="24" s="1"/>
  <c r="D51" i="15"/>
  <c r="B51" i="18" s="1"/>
  <c r="C51" i="24" s="1"/>
  <c r="D48" i="15"/>
  <c r="B48" i="18" s="1"/>
  <c r="C48" i="24" s="1"/>
  <c r="D49" i="15"/>
  <c r="B49" i="18" s="1"/>
  <c r="C49" i="24" s="1"/>
  <c r="I31" i="40"/>
  <c r="H50" i="15"/>
  <c r="C50" i="18" s="1"/>
  <c r="D50" i="24" s="1"/>
  <c r="R50" i="15"/>
  <c r="D50" i="18" s="1"/>
  <c r="E50" i="24" s="1"/>
  <c r="AB50" i="15"/>
  <c r="E50" i="18" s="1"/>
  <c r="F50" i="24" s="1"/>
  <c r="H51" i="15"/>
  <c r="C51" i="18" s="1"/>
  <c r="D51" i="24" s="1"/>
  <c r="R51" i="15"/>
  <c r="D51" i="18" s="1"/>
  <c r="E51" i="24" s="1"/>
  <c r="AB51" i="15"/>
  <c r="E51" i="18" s="1"/>
  <c r="F51" i="24" s="1"/>
  <c r="G31" i="40"/>
  <c r="F31" i="40"/>
  <c r="D31" i="40"/>
  <c r="C31" i="40"/>
  <c r="M30" i="40"/>
  <c r="L30" i="40"/>
  <c r="D42" i="15"/>
  <c r="B42" i="18" s="1"/>
  <c r="C42" i="24" s="1"/>
  <c r="D43" i="15"/>
  <c r="B43" i="18" s="1"/>
  <c r="C43" i="24" s="1"/>
  <c r="D44" i="15"/>
  <c r="B44" i="18" s="1"/>
  <c r="C44" i="24" s="1"/>
  <c r="D45" i="15"/>
  <c r="B45" i="18" s="1"/>
  <c r="C45" i="24" s="1"/>
  <c r="D46" i="15"/>
  <c r="B46" i="18" s="1"/>
  <c r="C46" i="24" s="1"/>
  <c r="D47" i="15"/>
  <c r="B47" i="18" s="1"/>
  <c r="C47" i="24" s="1"/>
  <c r="J30" i="40"/>
  <c r="I30" i="40"/>
  <c r="H42" i="15"/>
  <c r="C42" i="18" s="1"/>
  <c r="D42" i="24" s="1"/>
  <c r="R42" i="15"/>
  <c r="D42" i="18" s="1"/>
  <c r="E42" i="24" s="1"/>
  <c r="AB42" i="15"/>
  <c r="E42" i="18" s="1"/>
  <c r="F42" i="24" s="1"/>
  <c r="H43" i="15"/>
  <c r="C43" i="18" s="1"/>
  <c r="D43" i="24" s="1"/>
  <c r="R43" i="15"/>
  <c r="D43" i="18" s="1"/>
  <c r="E43" i="24" s="1"/>
  <c r="AB43" i="15"/>
  <c r="E43" i="18" s="1"/>
  <c r="F43" i="24" s="1"/>
  <c r="H44" i="15"/>
  <c r="C44" i="18" s="1"/>
  <c r="D44" i="24" s="1"/>
  <c r="R44" i="15"/>
  <c r="D44" i="18" s="1"/>
  <c r="E44" i="24" s="1"/>
  <c r="AB44" i="15"/>
  <c r="E44" i="18" s="1"/>
  <c r="F44" i="24" s="1"/>
  <c r="H45" i="15"/>
  <c r="C45" i="18" s="1"/>
  <c r="D45" i="24" s="1"/>
  <c r="R45" i="15"/>
  <c r="D45" i="18" s="1"/>
  <c r="E45" i="24" s="1"/>
  <c r="AB45" i="15"/>
  <c r="E45" i="18" s="1"/>
  <c r="F45" i="24" s="1"/>
  <c r="H46" i="15"/>
  <c r="C46" i="18" s="1"/>
  <c r="D46" i="24" s="1"/>
  <c r="R46" i="15"/>
  <c r="D46" i="18" s="1"/>
  <c r="E46" i="24" s="1"/>
  <c r="AB46" i="15"/>
  <c r="E46" i="18" s="1"/>
  <c r="F46" i="24" s="1"/>
  <c r="H47" i="15"/>
  <c r="C47" i="18" s="1"/>
  <c r="D47" i="24" s="1"/>
  <c r="R47" i="15"/>
  <c r="D47" i="18" s="1"/>
  <c r="E47" i="24" s="1"/>
  <c r="AB47" i="15"/>
  <c r="E47" i="18" s="1"/>
  <c r="F47" i="24" s="1"/>
  <c r="G30" i="40"/>
  <c r="F30" i="40"/>
  <c r="D30" i="40"/>
  <c r="C30" i="40"/>
  <c r="M29" i="28"/>
  <c r="M29" i="40" s="1"/>
  <c r="L29" i="28"/>
  <c r="L29" i="40" s="1"/>
  <c r="K29" i="28"/>
  <c r="K29" i="40" s="1"/>
  <c r="J29" i="28"/>
  <c r="J29" i="40" s="1"/>
  <c r="H36" i="15"/>
  <c r="C36" i="18" s="1"/>
  <c r="D36" i="24" s="1"/>
  <c r="R36" i="15"/>
  <c r="D36" i="18" s="1"/>
  <c r="E36" i="24" s="1"/>
  <c r="AB36" i="15"/>
  <c r="E36" i="18" s="1"/>
  <c r="F36" i="24" s="1"/>
  <c r="H37" i="15"/>
  <c r="C37" i="18" s="1"/>
  <c r="D37" i="24" s="1"/>
  <c r="R37" i="15"/>
  <c r="D37" i="18" s="1"/>
  <c r="E37" i="24" s="1"/>
  <c r="AB37" i="15"/>
  <c r="E37" i="18" s="1"/>
  <c r="F37" i="24" s="1"/>
  <c r="H38" i="15"/>
  <c r="C38" i="18" s="1"/>
  <c r="D38" i="24" s="1"/>
  <c r="R38" i="15"/>
  <c r="D38" i="18" s="1"/>
  <c r="E38" i="24" s="1"/>
  <c r="AB38" i="15"/>
  <c r="E38" i="18" s="1"/>
  <c r="F38" i="24" s="1"/>
  <c r="H39" i="15"/>
  <c r="C39" i="18" s="1"/>
  <c r="D39" i="24" s="1"/>
  <c r="R39" i="15"/>
  <c r="D39" i="18" s="1"/>
  <c r="E39" i="24" s="1"/>
  <c r="AB39" i="15"/>
  <c r="E39" i="18" s="1"/>
  <c r="F39" i="24" s="1"/>
  <c r="H40" i="15"/>
  <c r="C40" i="18" s="1"/>
  <c r="D40" i="24" s="1"/>
  <c r="R40" i="15"/>
  <c r="D40" i="18" s="1"/>
  <c r="E40" i="24" s="1"/>
  <c r="AB40" i="15"/>
  <c r="E40" i="18" s="1"/>
  <c r="F40" i="24" s="1"/>
  <c r="H41" i="15"/>
  <c r="C41" i="18" s="1"/>
  <c r="D41" i="24" s="1"/>
  <c r="R41" i="15"/>
  <c r="D41" i="18" s="1"/>
  <c r="E41" i="24" s="1"/>
  <c r="AB41" i="15"/>
  <c r="E41" i="18" s="1"/>
  <c r="F41" i="24" s="1"/>
  <c r="G29" i="28"/>
  <c r="G29" i="40" s="1"/>
  <c r="D36" i="15"/>
  <c r="B36" i="18" s="1"/>
  <c r="C36" i="24" s="1"/>
  <c r="D37" i="15"/>
  <c r="B37" i="18" s="1"/>
  <c r="C37" i="24" s="1"/>
  <c r="D39" i="15"/>
  <c r="B39" i="18" s="1"/>
  <c r="C39" i="24" s="1"/>
  <c r="D29" i="28"/>
  <c r="D29" i="40" s="1"/>
  <c r="C29" i="28"/>
  <c r="C29" i="40" s="1"/>
  <c r="D38" i="15"/>
  <c r="B38" i="18" s="1"/>
  <c r="C38" i="24" s="1"/>
  <c r="D40" i="15"/>
  <c r="B40" i="18" s="1"/>
  <c r="C40" i="24" s="1"/>
  <c r="D41" i="15"/>
  <c r="B41" i="18" s="1"/>
  <c r="C41" i="24" s="1"/>
  <c r="H31" i="15"/>
  <c r="C31" i="18" s="1"/>
  <c r="D31" i="24" s="1"/>
  <c r="R31" i="15"/>
  <c r="D31" i="18" s="1"/>
  <c r="E31" i="24" s="1"/>
  <c r="AB31" i="15"/>
  <c r="E31" i="18" s="1"/>
  <c r="F31" i="24" s="1"/>
  <c r="H32" i="15"/>
  <c r="C32" i="18" s="1"/>
  <c r="D32" i="24" s="1"/>
  <c r="R32" i="15"/>
  <c r="D32" i="18" s="1"/>
  <c r="E32" i="24" s="1"/>
  <c r="AB32" i="15"/>
  <c r="E32" i="18" s="1"/>
  <c r="F32" i="24" s="1"/>
  <c r="H33" i="15"/>
  <c r="C33" i="18" s="1"/>
  <c r="D33" i="24" s="1"/>
  <c r="R33" i="15"/>
  <c r="D33" i="18" s="1"/>
  <c r="E33" i="24" s="1"/>
  <c r="AB33" i="15"/>
  <c r="E33" i="18" s="1"/>
  <c r="F33" i="24" s="1"/>
  <c r="H34" i="15"/>
  <c r="C34" i="18" s="1"/>
  <c r="D34" i="24" s="1"/>
  <c r="R34" i="15"/>
  <c r="D34" i="18" s="1"/>
  <c r="E34" i="24" s="1"/>
  <c r="AB34" i="15"/>
  <c r="E34" i="18" s="1"/>
  <c r="F34" i="24" s="1"/>
  <c r="H35" i="15"/>
  <c r="C35" i="18" s="1"/>
  <c r="D35" i="24" s="1"/>
  <c r="R35" i="15"/>
  <c r="D35" i="18" s="1"/>
  <c r="E35" i="24" s="1"/>
  <c r="AB35" i="15"/>
  <c r="E35" i="18" s="1"/>
  <c r="F35" i="24" s="1"/>
  <c r="L28" i="28"/>
  <c r="L28" i="40" s="1"/>
  <c r="K28" i="28"/>
  <c r="K28" i="40" s="1"/>
  <c r="D31" i="15"/>
  <c r="B31" i="18" s="1"/>
  <c r="C31" i="24" s="1"/>
  <c r="D32" i="15"/>
  <c r="B32" i="18" s="1"/>
  <c r="C32" i="24" s="1"/>
  <c r="D33" i="15"/>
  <c r="B33" i="18" s="1"/>
  <c r="C33" i="24" s="1"/>
  <c r="D34" i="15"/>
  <c r="B34" i="18" s="1"/>
  <c r="C34" i="24" s="1"/>
  <c r="D35" i="15"/>
  <c r="B35" i="18" s="1"/>
  <c r="C35" i="24" s="1"/>
  <c r="H28" i="28"/>
  <c r="H28" i="40" s="1"/>
  <c r="G28" i="28"/>
  <c r="G28" i="40" s="1"/>
  <c r="E28" i="28"/>
  <c r="E28" i="40" s="1"/>
  <c r="D28" i="28"/>
  <c r="D28" i="40" s="1"/>
  <c r="C28" i="28"/>
  <c r="C28" i="40" s="1"/>
  <c r="B28" i="28"/>
  <c r="B28" i="40" s="1"/>
  <c r="M27" i="28"/>
  <c r="M27" i="40" s="1"/>
  <c r="L27" i="28"/>
  <c r="L27" i="40" s="1"/>
  <c r="D26" i="15"/>
  <c r="B26" i="18" s="1"/>
  <c r="C26" i="24" s="1"/>
  <c r="B26" i="19" s="1"/>
  <c r="D27" i="15"/>
  <c r="B27" i="18" s="1"/>
  <c r="C27" i="24" s="1"/>
  <c r="D28" i="15"/>
  <c r="B28" i="18" s="1"/>
  <c r="C28" i="24" s="1"/>
  <c r="D29" i="15"/>
  <c r="B29" i="18" s="1"/>
  <c r="C29" i="24" s="1"/>
  <c r="D30" i="15"/>
  <c r="B30" i="18" s="1"/>
  <c r="C30" i="24" s="1"/>
  <c r="J27" i="28"/>
  <c r="J27" i="40" s="1"/>
  <c r="H26" i="15"/>
  <c r="C26" i="18" s="1"/>
  <c r="D26" i="24" s="1"/>
  <c r="R26" i="15"/>
  <c r="D26" i="18" s="1"/>
  <c r="E26" i="24" s="1"/>
  <c r="AB26" i="15"/>
  <c r="E26" i="18" s="1"/>
  <c r="F26" i="24" s="1"/>
  <c r="H27" i="15"/>
  <c r="C27" i="18" s="1"/>
  <c r="D27" i="24" s="1"/>
  <c r="R27" i="15"/>
  <c r="D27" i="18" s="1"/>
  <c r="E27" i="24" s="1"/>
  <c r="AB27" i="15"/>
  <c r="E27" i="18" s="1"/>
  <c r="F27" i="24" s="1"/>
  <c r="H28" i="15"/>
  <c r="C28" i="18" s="1"/>
  <c r="D28" i="24" s="1"/>
  <c r="R28" i="15"/>
  <c r="D28" i="18" s="1"/>
  <c r="E28" i="24" s="1"/>
  <c r="AB28" i="15"/>
  <c r="E28" i="18" s="1"/>
  <c r="F28" i="24" s="1"/>
  <c r="H29" i="15"/>
  <c r="C29" i="18" s="1"/>
  <c r="D29" i="24" s="1"/>
  <c r="R29" i="15"/>
  <c r="D29" i="18" s="1"/>
  <c r="E29" i="24" s="1"/>
  <c r="AB29" i="15"/>
  <c r="E29" i="18" s="1"/>
  <c r="F29" i="24" s="1"/>
  <c r="H30" i="15"/>
  <c r="C30" i="18" s="1"/>
  <c r="D30" i="24" s="1"/>
  <c r="R30" i="15"/>
  <c r="D30" i="18" s="1"/>
  <c r="E30" i="24" s="1"/>
  <c r="AB30" i="15"/>
  <c r="E30" i="18" s="1"/>
  <c r="F30" i="24" s="1"/>
  <c r="H27" i="28"/>
  <c r="H27" i="40" s="1"/>
  <c r="G27" i="28"/>
  <c r="G27" i="40" s="1"/>
  <c r="E27" i="28"/>
  <c r="E27" i="40" s="1"/>
  <c r="D27" i="28"/>
  <c r="D27" i="40" s="1"/>
  <c r="C27" i="28"/>
  <c r="C27" i="40" s="1"/>
  <c r="M26" i="28"/>
  <c r="M26" i="40" s="1"/>
  <c r="L26" i="28"/>
  <c r="L26" i="40" s="1"/>
  <c r="D19" i="15"/>
  <c r="B19" i="18" s="1"/>
  <c r="C19" i="24" s="1"/>
  <c r="B19" i="19" s="1"/>
  <c r="D20" i="15"/>
  <c r="B20" i="18" s="1"/>
  <c r="C20" i="24" s="1"/>
  <c r="D21" i="15"/>
  <c r="B21" i="18" s="1"/>
  <c r="C21" i="24" s="1"/>
  <c r="D22" i="15"/>
  <c r="B22" i="18" s="1"/>
  <c r="C22" i="24" s="1"/>
  <c r="D23" i="15"/>
  <c r="B23" i="18" s="1"/>
  <c r="C23" i="24" s="1"/>
  <c r="D24" i="15"/>
  <c r="B24" i="18" s="1"/>
  <c r="C24" i="24" s="1"/>
  <c r="B24" i="19" s="1"/>
  <c r="D25" i="15"/>
  <c r="B25" i="18" s="1"/>
  <c r="C25" i="24" s="1"/>
  <c r="J26" i="28"/>
  <c r="J26" i="40" s="1"/>
  <c r="I26" i="28"/>
  <c r="I26" i="40" s="1"/>
  <c r="H19" i="15"/>
  <c r="C19" i="18" s="1"/>
  <c r="D19" i="24" s="1"/>
  <c r="R19" i="15"/>
  <c r="D19" i="18" s="1"/>
  <c r="E19" i="24" s="1"/>
  <c r="AB19" i="15"/>
  <c r="E19" i="18" s="1"/>
  <c r="F19" i="24" s="1"/>
  <c r="H20" i="15"/>
  <c r="C20" i="18" s="1"/>
  <c r="D20" i="24" s="1"/>
  <c r="R20" i="15"/>
  <c r="D20" i="18" s="1"/>
  <c r="E20" i="24" s="1"/>
  <c r="AB20" i="15"/>
  <c r="E20" i="18" s="1"/>
  <c r="F20" i="24" s="1"/>
  <c r="H21" i="15"/>
  <c r="C21" i="18" s="1"/>
  <c r="D21" i="24" s="1"/>
  <c r="R21" i="15"/>
  <c r="D21" i="18" s="1"/>
  <c r="E21" i="24" s="1"/>
  <c r="AB21" i="15"/>
  <c r="E21" i="18" s="1"/>
  <c r="F21" i="24" s="1"/>
  <c r="H22" i="15"/>
  <c r="C22" i="18" s="1"/>
  <c r="D22" i="24" s="1"/>
  <c r="R22" i="15"/>
  <c r="D22" i="18" s="1"/>
  <c r="E22" i="24" s="1"/>
  <c r="D22" i="19" s="1"/>
  <c r="AB22" i="15"/>
  <c r="E22" i="18" s="1"/>
  <c r="F22" i="24" s="1"/>
  <c r="H23" i="15"/>
  <c r="C23" i="18" s="1"/>
  <c r="D23" i="24" s="1"/>
  <c r="R23" i="15"/>
  <c r="D23" i="18" s="1"/>
  <c r="E23" i="24" s="1"/>
  <c r="AB23" i="15"/>
  <c r="E23" i="18" s="1"/>
  <c r="F23" i="24" s="1"/>
  <c r="H24" i="15"/>
  <c r="C24" i="18" s="1"/>
  <c r="D24" i="24" s="1"/>
  <c r="R24" i="15"/>
  <c r="D24" i="18" s="1"/>
  <c r="E24" i="24" s="1"/>
  <c r="AB24" i="15"/>
  <c r="E24" i="18" s="1"/>
  <c r="F24" i="24" s="1"/>
  <c r="H25" i="15"/>
  <c r="C25" i="18" s="1"/>
  <c r="D25" i="24" s="1"/>
  <c r="R25" i="15"/>
  <c r="D25" i="18" s="1"/>
  <c r="E25" i="24" s="1"/>
  <c r="AB25" i="15"/>
  <c r="E25" i="18" s="1"/>
  <c r="F25" i="24" s="1"/>
  <c r="F26" i="28"/>
  <c r="F26" i="40" s="1"/>
  <c r="C26" i="28"/>
  <c r="C26" i="40" s="1"/>
  <c r="M25" i="28"/>
  <c r="M25" i="40" s="1"/>
  <c r="L25" i="28"/>
  <c r="L25" i="40" s="1"/>
  <c r="D14" i="15"/>
  <c r="B14" i="18" s="1"/>
  <c r="C14" i="24" s="1"/>
  <c r="B14" i="19" s="1"/>
  <c r="D15" i="15"/>
  <c r="B15" i="18" s="1"/>
  <c r="C15" i="24" s="1"/>
  <c r="D16" i="15"/>
  <c r="B16" i="18" s="1"/>
  <c r="C16" i="24" s="1"/>
  <c r="D17" i="15"/>
  <c r="B17" i="18" s="1"/>
  <c r="C17" i="24" s="1"/>
  <c r="D18" i="15"/>
  <c r="B18" i="18" s="1"/>
  <c r="C18" i="24" s="1"/>
  <c r="J25" i="28"/>
  <c r="J25" i="40" s="1"/>
  <c r="I25" i="28"/>
  <c r="I25" i="40" s="1"/>
  <c r="H14" i="15"/>
  <c r="C14" i="18" s="1"/>
  <c r="D14" i="24" s="1"/>
  <c r="R14" i="15"/>
  <c r="D14" i="18" s="1"/>
  <c r="E14" i="24" s="1"/>
  <c r="AB14" i="15"/>
  <c r="E14" i="18" s="1"/>
  <c r="F14" i="24" s="1"/>
  <c r="H15" i="15"/>
  <c r="C15" i="18" s="1"/>
  <c r="D15" i="24" s="1"/>
  <c r="R15" i="15"/>
  <c r="D15" i="18" s="1"/>
  <c r="E15" i="24" s="1"/>
  <c r="AB15" i="15"/>
  <c r="E15" i="18" s="1"/>
  <c r="F15" i="24" s="1"/>
  <c r="H16" i="15"/>
  <c r="C16" i="18" s="1"/>
  <c r="D16" i="24" s="1"/>
  <c r="R16" i="15"/>
  <c r="D16" i="18" s="1"/>
  <c r="E16" i="24" s="1"/>
  <c r="AB16" i="15"/>
  <c r="E16" i="18" s="1"/>
  <c r="F16" i="24" s="1"/>
  <c r="H17" i="15"/>
  <c r="C17" i="18" s="1"/>
  <c r="D17" i="24" s="1"/>
  <c r="R17" i="15"/>
  <c r="D17" i="18" s="1"/>
  <c r="E17" i="24" s="1"/>
  <c r="AB17" i="15"/>
  <c r="E17" i="18" s="1"/>
  <c r="F17" i="24" s="1"/>
  <c r="H18" i="15"/>
  <c r="C18" i="18" s="1"/>
  <c r="D18" i="24" s="1"/>
  <c r="R18" i="15"/>
  <c r="D18" i="18" s="1"/>
  <c r="E18" i="24" s="1"/>
  <c r="AB18" i="15"/>
  <c r="E18" i="18" s="1"/>
  <c r="F18" i="24" s="1"/>
  <c r="G25" i="28"/>
  <c r="G25" i="40" s="1"/>
  <c r="F25" i="28"/>
  <c r="F25" i="40" s="1"/>
  <c r="D25" i="28"/>
  <c r="D25" i="40" s="1"/>
  <c r="C25" i="28"/>
  <c r="C25" i="40" s="1"/>
  <c r="M24" i="28"/>
  <c r="M24" i="40" s="1"/>
  <c r="H10" i="15"/>
  <c r="C10" i="18" s="1"/>
  <c r="D10" i="24" s="1"/>
  <c r="R10" i="15"/>
  <c r="D10" i="18" s="1"/>
  <c r="E10" i="24" s="1"/>
  <c r="AB10" i="15"/>
  <c r="E10" i="18" s="1"/>
  <c r="F10" i="24" s="1"/>
  <c r="H13" i="15"/>
  <c r="C13" i="18" s="1"/>
  <c r="D13" i="24" s="1"/>
  <c r="R13" i="15"/>
  <c r="D13" i="18" s="1"/>
  <c r="E13" i="24" s="1"/>
  <c r="AB13" i="15"/>
  <c r="E13" i="18" s="1"/>
  <c r="F13" i="24" s="1"/>
  <c r="H11" i="15"/>
  <c r="C11" i="18" s="1"/>
  <c r="D11" i="24" s="1"/>
  <c r="R11" i="15"/>
  <c r="D11" i="18" s="1"/>
  <c r="E11" i="24" s="1"/>
  <c r="AB11" i="15"/>
  <c r="E11" i="18" s="1"/>
  <c r="F11" i="24" s="1"/>
  <c r="H12" i="15"/>
  <c r="C12" i="18" s="1"/>
  <c r="D12" i="24" s="1"/>
  <c r="R12" i="15"/>
  <c r="D12" i="18" s="1"/>
  <c r="E12" i="24" s="1"/>
  <c r="AB12" i="15"/>
  <c r="E12" i="18" s="1"/>
  <c r="F12" i="24" s="1"/>
  <c r="D10" i="15"/>
  <c r="B10" i="18" s="1"/>
  <c r="C10" i="24" s="1"/>
  <c r="D13" i="15"/>
  <c r="B13" i="18" s="1"/>
  <c r="C13" i="24" s="1"/>
  <c r="D11" i="15"/>
  <c r="B11" i="18" s="1"/>
  <c r="C11" i="24" s="1"/>
  <c r="D12" i="15"/>
  <c r="B12" i="18" s="1"/>
  <c r="C12" i="24" s="1"/>
  <c r="E24" i="28"/>
  <c r="E24" i="40" s="1"/>
  <c r="D24" i="28"/>
  <c r="D24" i="40" s="1"/>
  <c r="B24" i="28"/>
  <c r="B24" i="40" s="1"/>
  <c r="M23" i="28"/>
  <c r="M23" i="40" s="1"/>
  <c r="D7" i="15"/>
  <c r="B7" i="18" s="1"/>
  <c r="C7" i="24" s="1"/>
  <c r="B7" i="19" s="1"/>
  <c r="D8" i="15"/>
  <c r="B8" i="18" s="1"/>
  <c r="C8" i="24" s="1"/>
  <c r="B8" i="19" s="1"/>
  <c r="D9" i="15"/>
  <c r="B9" i="18" s="1"/>
  <c r="C9" i="24" s="1"/>
  <c r="D4" i="15"/>
  <c r="B4" i="18" s="1"/>
  <c r="C4" i="24" s="1"/>
  <c r="B4" i="19" s="1"/>
  <c r="K4" i="19" s="1"/>
  <c r="D5" i="15"/>
  <c r="B5" i="18" s="1"/>
  <c r="C5" i="24" s="1"/>
  <c r="D6" i="15"/>
  <c r="B6" i="18" s="1"/>
  <c r="C6" i="24" s="1"/>
  <c r="J23" i="28"/>
  <c r="J23" i="40" s="1"/>
  <c r="I23" i="28"/>
  <c r="I23" i="40" s="1"/>
  <c r="H4" i="15"/>
  <c r="C4" i="18" s="1"/>
  <c r="D4" i="24" s="1"/>
  <c r="R4" i="15"/>
  <c r="D4" i="18" s="1"/>
  <c r="E4" i="24" s="1"/>
  <c r="AB4" i="15"/>
  <c r="E4" i="18" s="1"/>
  <c r="F4" i="24" s="1"/>
  <c r="H6" i="15"/>
  <c r="C6" i="18" s="1"/>
  <c r="D6" i="24" s="1"/>
  <c r="R6" i="15"/>
  <c r="D6" i="18" s="1"/>
  <c r="E6" i="24" s="1"/>
  <c r="AB6" i="15"/>
  <c r="E6" i="18" s="1"/>
  <c r="F6" i="24" s="1"/>
  <c r="H7" i="15"/>
  <c r="C7" i="18" s="1"/>
  <c r="D7" i="24" s="1"/>
  <c r="R7" i="15"/>
  <c r="D7" i="18" s="1"/>
  <c r="E7" i="24" s="1"/>
  <c r="AB7" i="15"/>
  <c r="E7" i="18" s="1"/>
  <c r="F7" i="24" s="1"/>
  <c r="H8" i="15"/>
  <c r="C8" i="18" s="1"/>
  <c r="D8" i="24" s="1"/>
  <c r="R8" i="15"/>
  <c r="D8" i="18" s="1"/>
  <c r="E8" i="24" s="1"/>
  <c r="AB8" i="15"/>
  <c r="E8" i="18" s="1"/>
  <c r="F8" i="24" s="1"/>
  <c r="H9" i="15"/>
  <c r="C9" i="18" s="1"/>
  <c r="D9" i="24" s="1"/>
  <c r="R9" i="15"/>
  <c r="D9" i="18" s="1"/>
  <c r="E9" i="24" s="1"/>
  <c r="AB9" i="15"/>
  <c r="E9" i="18" s="1"/>
  <c r="F9" i="24" s="1"/>
  <c r="G23" i="28"/>
  <c r="G23" i="40" s="1"/>
  <c r="H5" i="15"/>
  <c r="C5" i="18" s="1"/>
  <c r="D5" i="24" s="1"/>
  <c r="R5" i="15"/>
  <c r="D5" i="18" s="1"/>
  <c r="E5" i="24" s="1"/>
  <c r="D5" i="19" s="1"/>
  <c r="AB5" i="15"/>
  <c r="E5" i="18" s="1"/>
  <c r="F5" i="24" s="1"/>
  <c r="D23" i="28"/>
  <c r="D23" i="40" s="1"/>
  <c r="B19" i="28"/>
  <c r="C19" i="28"/>
  <c r="D19" i="28"/>
  <c r="E19" i="28"/>
  <c r="F40" i="29"/>
  <c r="M40" i="29" s="1"/>
  <c r="L7" i="22"/>
  <c r="N7" i="17" s="1"/>
  <c r="M7" i="22"/>
  <c r="O7" i="17" s="1"/>
  <c r="N7" i="22"/>
  <c r="L8" i="22"/>
  <c r="N8" i="17" s="1"/>
  <c r="M8" i="22"/>
  <c r="O8" i="17" s="1"/>
  <c r="N8" i="22"/>
  <c r="L16" i="22"/>
  <c r="N16" i="17" s="1"/>
  <c r="M16" i="22"/>
  <c r="O16" i="17" s="1"/>
  <c r="N16" i="22"/>
  <c r="L18" i="22"/>
  <c r="N18" i="17" s="1"/>
  <c r="M18" i="22"/>
  <c r="O18" i="17" s="1"/>
  <c r="N18" i="22"/>
  <c r="T13" i="29"/>
  <c r="U13" i="29" s="1"/>
  <c r="U14" i="29"/>
  <c r="T15" i="29"/>
  <c r="U15" i="29" s="1"/>
  <c r="T16" i="29"/>
  <c r="U16" i="29" s="1"/>
  <c r="T17" i="29"/>
  <c r="U17" i="29" s="1"/>
  <c r="T18" i="29"/>
  <c r="U18" i="29" s="1"/>
  <c r="T19" i="29"/>
  <c r="U19" i="29" s="1"/>
  <c r="T20" i="29"/>
  <c r="U20" i="29" s="1"/>
  <c r="T21" i="29"/>
  <c r="U21" i="29" s="1"/>
  <c r="T22" i="29"/>
  <c r="U22" i="29" s="1"/>
  <c r="T23" i="29"/>
  <c r="U23" i="29" s="1"/>
  <c r="T25" i="29"/>
  <c r="T26" i="29"/>
  <c r="U26" i="29" s="1"/>
  <c r="T27" i="29"/>
  <c r="U27" i="29" s="1"/>
  <c r="T28" i="29"/>
  <c r="U28" i="29" s="1"/>
  <c r="T30" i="29"/>
  <c r="U30" i="29" s="1"/>
  <c r="T31" i="29"/>
  <c r="U31" i="29" s="1"/>
  <c r="T32" i="29"/>
  <c r="U32" i="29" s="1"/>
  <c r="T33" i="29"/>
  <c r="U33" i="29" s="1"/>
  <c r="T34" i="29"/>
  <c r="U34" i="29" s="1"/>
  <c r="T35" i="29"/>
  <c r="U35" i="29" s="1"/>
  <c r="T36" i="29"/>
  <c r="U36" i="29" s="1"/>
  <c r="U37" i="29"/>
  <c r="T38" i="29"/>
  <c r="U38" i="29" s="1"/>
  <c r="T40" i="29"/>
  <c r="U40" i="29" s="1"/>
  <c r="T41" i="29"/>
  <c r="U41" i="29" s="1"/>
  <c r="L4" i="29"/>
  <c r="J4" i="29"/>
  <c r="J3" i="29"/>
  <c r="L3" i="29"/>
  <c r="D162" i="37"/>
  <c r="D193" i="37"/>
  <c r="D223" i="37"/>
  <c r="F243" i="37"/>
  <c r="G243" i="37" s="1"/>
  <c r="F242" i="37"/>
  <c r="G242" i="37" s="1"/>
  <c r="F241" i="37"/>
  <c r="G241" i="37" s="1"/>
  <c r="F240" i="37"/>
  <c r="G240" i="37" s="1"/>
  <c r="C240" i="37"/>
  <c r="F239" i="37"/>
  <c r="G239" i="37" s="1"/>
  <c r="F238" i="37"/>
  <c r="G238" i="37" s="1"/>
  <c r="F237" i="37"/>
  <c r="G237" i="37" s="1"/>
  <c r="F236" i="37"/>
  <c r="G236" i="37" s="1"/>
  <c r="F235" i="37"/>
  <c r="G235" i="37" s="1"/>
  <c r="F234" i="37"/>
  <c r="G234" i="37" s="1"/>
  <c r="F233" i="37"/>
  <c r="G233" i="37" s="1"/>
  <c r="C233" i="37"/>
  <c r="F232" i="37"/>
  <c r="G232" i="37" s="1"/>
  <c r="F231" i="37"/>
  <c r="G231" i="37" s="1"/>
  <c r="F230" i="37"/>
  <c r="G230" i="37" s="1"/>
  <c r="F229" i="37"/>
  <c r="G229" i="37" s="1"/>
  <c r="F228" i="37"/>
  <c r="G228" i="37" s="1"/>
  <c r="F227" i="37"/>
  <c r="G227" i="37" s="1"/>
  <c r="F226" i="37"/>
  <c r="G226" i="37" s="1"/>
  <c r="C226" i="37"/>
  <c r="F225" i="37"/>
  <c r="G225" i="37" s="1"/>
  <c r="F224" i="37"/>
  <c r="G224" i="37" s="1"/>
  <c r="F223" i="37"/>
  <c r="G223" i="37" s="1"/>
  <c r="F222" i="37"/>
  <c r="G222" i="37" s="1"/>
  <c r="F221" i="37"/>
  <c r="G221" i="37" s="1"/>
  <c r="F220" i="37"/>
  <c r="G220" i="37" s="1"/>
  <c r="F219" i="37"/>
  <c r="G219" i="37" s="1"/>
  <c r="C219" i="37"/>
  <c r="F218" i="37"/>
  <c r="G218" i="37" s="1"/>
  <c r="F217" i="37"/>
  <c r="G217" i="37" s="1"/>
  <c r="F216" i="37"/>
  <c r="G216" i="37" s="1"/>
  <c r="F215" i="37"/>
  <c r="G215" i="37" s="1"/>
  <c r="F214" i="37"/>
  <c r="G214" i="37" s="1"/>
  <c r="F213" i="37"/>
  <c r="G213" i="37" s="1"/>
  <c r="F212" i="37"/>
  <c r="G212" i="37" s="1"/>
  <c r="C212" i="37"/>
  <c r="F211" i="37"/>
  <c r="G211" i="37" s="1"/>
  <c r="F210" i="37"/>
  <c r="G210" i="37" s="1"/>
  <c r="F209" i="37"/>
  <c r="G209" i="37" s="1"/>
  <c r="F208" i="37"/>
  <c r="G208" i="37" s="1"/>
  <c r="F207" i="37"/>
  <c r="G207" i="37" s="1"/>
  <c r="F206" i="37"/>
  <c r="G206" i="37" s="1"/>
  <c r="F205" i="37"/>
  <c r="G205" i="37" s="1"/>
  <c r="C205" i="37"/>
  <c r="F204" i="37"/>
  <c r="G204" i="37" s="1"/>
  <c r="F203" i="37"/>
  <c r="G203" i="37" s="1"/>
  <c r="F202" i="37"/>
  <c r="G202" i="37" s="1"/>
  <c r="F201" i="37"/>
  <c r="G201" i="37" s="1"/>
  <c r="F200" i="37"/>
  <c r="G200" i="37" s="1"/>
  <c r="F199" i="37"/>
  <c r="G199" i="37" s="1"/>
  <c r="F198" i="37"/>
  <c r="G198" i="37" s="1"/>
  <c r="C198" i="37"/>
  <c r="F197" i="37"/>
  <c r="G197" i="37" s="1"/>
  <c r="F196" i="37"/>
  <c r="G196" i="37" s="1"/>
  <c r="F195" i="37"/>
  <c r="G195" i="37" s="1"/>
  <c r="F194" i="37"/>
  <c r="G194" i="37" s="1"/>
  <c r="F193" i="37"/>
  <c r="G193" i="37" s="1"/>
  <c r="F192" i="37"/>
  <c r="G192" i="37" s="1"/>
  <c r="F191" i="37"/>
  <c r="G191" i="37" s="1"/>
  <c r="C191" i="37"/>
  <c r="F190" i="37"/>
  <c r="G190" i="37" s="1"/>
  <c r="F189" i="37"/>
  <c r="G189" i="37" s="1"/>
  <c r="F188" i="37"/>
  <c r="G188" i="37" s="1"/>
  <c r="F187" i="37"/>
  <c r="G187" i="37" s="1"/>
  <c r="F186" i="37"/>
  <c r="G186" i="37" s="1"/>
  <c r="F185" i="37"/>
  <c r="G185" i="37" s="1"/>
  <c r="F184" i="37"/>
  <c r="G184" i="37" s="1"/>
  <c r="C184" i="37"/>
  <c r="F183" i="37"/>
  <c r="G183" i="37" s="1"/>
  <c r="F182" i="37"/>
  <c r="G182" i="37" s="1"/>
  <c r="F181" i="37"/>
  <c r="G181" i="37" s="1"/>
  <c r="F180" i="37"/>
  <c r="G180" i="37" s="1"/>
  <c r="F179" i="37"/>
  <c r="G179" i="37" s="1"/>
  <c r="F178" i="37"/>
  <c r="G178" i="37" s="1"/>
  <c r="F177" i="37"/>
  <c r="G177" i="37" s="1"/>
  <c r="C177" i="37"/>
  <c r="F176" i="37"/>
  <c r="G176" i="37" s="1"/>
  <c r="F175" i="37"/>
  <c r="G175" i="37" s="1"/>
  <c r="F174" i="37"/>
  <c r="G174" i="37" s="1"/>
  <c r="F173" i="37"/>
  <c r="G173" i="37" s="1"/>
  <c r="F172" i="37"/>
  <c r="G172" i="37" s="1"/>
  <c r="F171" i="37"/>
  <c r="G171" i="37" s="1"/>
  <c r="F170" i="37"/>
  <c r="G170" i="37" s="1"/>
  <c r="C170" i="37"/>
  <c r="F169" i="37"/>
  <c r="G169" i="37" s="1"/>
  <c r="F168" i="37"/>
  <c r="G168" i="37" s="1"/>
  <c r="F167" i="37"/>
  <c r="G167" i="37" s="1"/>
  <c r="F166" i="37"/>
  <c r="G166" i="37" s="1"/>
  <c r="F165" i="37"/>
  <c r="G165" i="37" s="1"/>
  <c r="F164" i="37"/>
  <c r="G164" i="37" s="1"/>
  <c r="F163" i="37"/>
  <c r="G163" i="37" s="1"/>
  <c r="C163" i="37"/>
  <c r="F162" i="37"/>
  <c r="G162" i="37" s="1"/>
  <c r="F161" i="37"/>
  <c r="G161" i="37" s="1"/>
  <c r="F160" i="37"/>
  <c r="G160" i="37" s="1"/>
  <c r="F159" i="37"/>
  <c r="G159" i="37" s="1"/>
  <c r="F158" i="37"/>
  <c r="G158" i="37" s="1"/>
  <c r="F157" i="37"/>
  <c r="G157" i="37" s="1"/>
  <c r="F156" i="37"/>
  <c r="G156" i="37" s="1"/>
  <c r="C156" i="37"/>
  <c r="F155" i="37"/>
  <c r="G155" i="37" s="1"/>
  <c r="F154" i="37"/>
  <c r="G154" i="37" s="1"/>
  <c r="F153" i="37"/>
  <c r="G153" i="37" s="1"/>
  <c r="F152" i="37"/>
  <c r="G152" i="37" s="1"/>
  <c r="F151" i="37"/>
  <c r="G151" i="37" s="1"/>
  <c r="F150" i="37"/>
  <c r="G150" i="37" s="1"/>
  <c r="F149" i="37"/>
  <c r="G149" i="37" s="1"/>
  <c r="C149" i="37"/>
  <c r="F148" i="37"/>
  <c r="G148" i="37" s="1"/>
  <c r="F147" i="37"/>
  <c r="G147" i="37" s="1"/>
  <c r="F146" i="37"/>
  <c r="G146" i="37" s="1"/>
  <c r="F145" i="37"/>
  <c r="G145" i="37" s="1"/>
  <c r="F144" i="37"/>
  <c r="G144" i="37" s="1"/>
  <c r="F143" i="37"/>
  <c r="G143" i="37" s="1"/>
  <c r="D143" i="37"/>
  <c r="F142" i="37"/>
  <c r="G142" i="37" s="1"/>
  <c r="C142" i="37"/>
  <c r="F141" i="37"/>
  <c r="G141" i="37" s="1"/>
  <c r="F140" i="37"/>
  <c r="G140" i="37" s="1"/>
  <c r="F139" i="37"/>
  <c r="G139" i="37" s="1"/>
  <c r="F138" i="37"/>
  <c r="G138" i="37" s="1"/>
  <c r="F137" i="37"/>
  <c r="G137" i="37" s="1"/>
  <c r="F136" i="37"/>
  <c r="G136" i="37" s="1"/>
  <c r="F135" i="37"/>
  <c r="G135" i="37" s="1"/>
  <c r="C135" i="37"/>
  <c r="F134" i="37"/>
  <c r="G134" i="37" s="1"/>
  <c r="F133" i="37"/>
  <c r="G133" i="37" s="1"/>
  <c r="F132" i="37"/>
  <c r="G132" i="37" s="1"/>
  <c r="F131" i="37"/>
  <c r="G131" i="37" s="1"/>
  <c r="F130" i="37"/>
  <c r="G130" i="37" s="1"/>
  <c r="F129" i="37"/>
  <c r="G129" i="37" s="1"/>
  <c r="F128" i="37"/>
  <c r="G128" i="37" s="1"/>
  <c r="C128" i="37"/>
  <c r="F127" i="37"/>
  <c r="G127" i="37" s="1"/>
  <c r="F126" i="37"/>
  <c r="G126" i="37" s="1"/>
  <c r="F125" i="37"/>
  <c r="G125" i="37" s="1"/>
  <c r="F124" i="37"/>
  <c r="G124" i="37" s="1"/>
  <c r="F123" i="37"/>
  <c r="G123" i="37" s="1"/>
  <c r="F122" i="37"/>
  <c r="G122" i="37" s="1"/>
  <c r="F121" i="37"/>
  <c r="G121" i="37" s="1"/>
  <c r="C121" i="37"/>
  <c r="F120" i="37"/>
  <c r="G120" i="37" s="1"/>
  <c r="F119" i="37"/>
  <c r="G119" i="37" s="1"/>
  <c r="F118" i="37"/>
  <c r="G118" i="37" s="1"/>
  <c r="F117" i="37"/>
  <c r="G117" i="37" s="1"/>
  <c r="F116" i="37"/>
  <c r="G116" i="37" s="1"/>
  <c r="F115" i="37"/>
  <c r="G115" i="37" s="1"/>
  <c r="F114" i="37"/>
  <c r="G114" i="37" s="1"/>
  <c r="C114" i="37"/>
  <c r="F113" i="37"/>
  <c r="G113" i="37" s="1"/>
  <c r="F112" i="37"/>
  <c r="G112" i="37" s="1"/>
  <c r="D112" i="37"/>
  <c r="F111" i="37"/>
  <c r="G111" i="37" s="1"/>
  <c r="F110" i="37"/>
  <c r="G110" i="37" s="1"/>
  <c r="F109" i="37"/>
  <c r="G109" i="37" s="1"/>
  <c r="F108" i="37"/>
  <c r="G108" i="37" s="1"/>
  <c r="F107" i="37"/>
  <c r="G107" i="37" s="1"/>
  <c r="C107" i="37"/>
  <c r="F106" i="37"/>
  <c r="G106" i="37" s="1"/>
  <c r="F105" i="37"/>
  <c r="G105" i="37" s="1"/>
  <c r="F104" i="37"/>
  <c r="G104" i="37" s="1"/>
  <c r="F103" i="37"/>
  <c r="G103" i="37" s="1"/>
  <c r="F102" i="37"/>
  <c r="G102" i="37" s="1"/>
  <c r="F101" i="37"/>
  <c r="G101" i="37" s="1"/>
  <c r="F100" i="37"/>
  <c r="G100" i="37" s="1"/>
  <c r="C100" i="37"/>
  <c r="F99" i="37"/>
  <c r="G99" i="37" s="1"/>
  <c r="F98" i="37"/>
  <c r="G98" i="37" s="1"/>
  <c r="F97" i="37"/>
  <c r="G97" i="37" s="1"/>
  <c r="F96" i="37"/>
  <c r="G96" i="37" s="1"/>
  <c r="F95" i="37"/>
  <c r="G95" i="37" s="1"/>
  <c r="F94" i="37"/>
  <c r="G94" i="37" s="1"/>
  <c r="F93" i="37"/>
  <c r="G93" i="37" s="1"/>
  <c r="C93" i="37"/>
  <c r="F92" i="37"/>
  <c r="G92" i="37" s="1"/>
  <c r="F91" i="37"/>
  <c r="G91" i="37" s="1"/>
  <c r="F90" i="37"/>
  <c r="G90" i="37" s="1"/>
  <c r="F89" i="37"/>
  <c r="G89" i="37" s="1"/>
  <c r="F88" i="37"/>
  <c r="G88" i="37" s="1"/>
  <c r="F87" i="37"/>
  <c r="G87" i="37" s="1"/>
  <c r="F86" i="37"/>
  <c r="G86" i="37" s="1"/>
  <c r="C86" i="37"/>
  <c r="F85" i="37"/>
  <c r="G85" i="37" s="1"/>
  <c r="F84" i="37"/>
  <c r="G84" i="37" s="1"/>
  <c r="F83" i="37"/>
  <c r="G83" i="37" s="1"/>
  <c r="F82" i="37"/>
  <c r="G82" i="37" s="1"/>
  <c r="F81" i="37"/>
  <c r="G81" i="37" s="1"/>
  <c r="D81" i="37"/>
  <c r="F80" i="37"/>
  <c r="G80" i="37" s="1"/>
  <c r="F79" i="37"/>
  <c r="G79" i="37" s="1"/>
  <c r="C79" i="37"/>
  <c r="F78" i="37"/>
  <c r="G78" i="37" s="1"/>
  <c r="F77" i="37"/>
  <c r="G77" i="37" s="1"/>
  <c r="F76" i="37"/>
  <c r="G76" i="37" s="1"/>
  <c r="F75" i="37"/>
  <c r="G75" i="37" s="1"/>
  <c r="F74" i="37"/>
  <c r="G74" i="37" s="1"/>
  <c r="F73" i="37"/>
  <c r="G73" i="37" s="1"/>
  <c r="F72" i="37"/>
  <c r="G72" i="37" s="1"/>
  <c r="C72" i="37"/>
  <c r="F71" i="37"/>
  <c r="G71" i="37" s="1"/>
  <c r="F70" i="37"/>
  <c r="G70" i="37" s="1"/>
  <c r="F69" i="37"/>
  <c r="G69" i="37" s="1"/>
  <c r="F68" i="37"/>
  <c r="G68" i="37" s="1"/>
  <c r="F67" i="37"/>
  <c r="G67" i="37" s="1"/>
  <c r="F66" i="37"/>
  <c r="G66" i="37" s="1"/>
  <c r="F65" i="37"/>
  <c r="G65" i="37" s="1"/>
  <c r="C65" i="37"/>
  <c r="F64" i="37"/>
  <c r="G64" i="37" s="1"/>
  <c r="F63" i="37"/>
  <c r="G63" i="37" s="1"/>
  <c r="F62" i="37"/>
  <c r="G62" i="37" s="1"/>
  <c r="F61" i="37"/>
  <c r="G61" i="37" s="1"/>
  <c r="F60" i="37"/>
  <c r="G60" i="37" s="1"/>
  <c r="F59" i="37"/>
  <c r="G59" i="37" s="1"/>
  <c r="F58" i="37"/>
  <c r="G58" i="37" s="1"/>
  <c r="C58" i="37"/>
  <c r="F57" i="37"/>
  <c r="G57" i="37" s="1"/>
  <c r="F56" i="37"/>
  <c r="G56" i="37" s="1"/>
  <c r="F55" i="37"/>
  <c r="G55" i="37" s="1"/>
  <c r="F54" i="37"/>
  <c r="G54" i="37" s="1"/>
  <c r="F53" i="37"/>
  <c r="G53" i="37" s="1"/>
  <c r="F52" i="37"/>
  <c r="G52" i="37" s="1"/>
  <c r="F51" i="37"/>
  <c r="G51" i="37" s="1"/>
  <c r="D51" i="37"/>
  <c r="C51" i="37"/>
  <c r="F50" i="37"/>
  <c r="G50" i="37" s="1"/>
  <c r="F49" i="37"/>
  <c r="G49" i="37" s="1"/>
  <c r="F48" i="37"/>
  <c r="G48" i="37" s="1"/>
  <c r="F47" i="37"/>
  <c r="G47" i="37" s="1"/>
  <c r="F46" i="37"/>
  <c r="G46" i="37" s="1"/>
  <c r="F45" i="37"/>
  <c r="G45" i="37" s="1"/>
  <c r="F44" i="37"/>
  <c r="G44" i="37" s="1"/>
  <c r="C44" i="37"/>
  <c r="F43" i="37"/>
  <c r="G43" i="37" s="1"/>
  <c r="F42" i="37"/>
  <c r="G42" i="37" s="1"/>
  <c r="F41" i="37"/>
  <c r="G41" i="37" s="1"/>
  <c r="F40" i="37"/>
  <c r="G40" i="37" s="1"/>
  <c r="F39" i="37"/>
  <c r="G39" i="37" s="1"/>
  <c r="F38" i="37"/>
  <c r="G38" i="37" s="1"/>
  <c r="F37" i="37"/>
  <c r="G37" i="37" s="1"/>
  <c r="C37" i="37"/>
  <c r="F36" i="37"/>
  <c r="G36" i="37" s="1"/>
  <c r="F35" i="37"/>
  <c r="G35" i="37" s="1"/>
  <c r="F34" i="37"/>
  <c r="G34" i="37" s="1"/>
  <c r="F33" i="37"/>
  <c r="G33" i="37" s="1"/>
  <c r="F32" i="37"/>
  <c r="G32" i="37" s="1"/>
  <c r="F31" i="37"/>
  <c r="G31" i="37" s="1"/>
  <c r="F30" i="37"/>
  <c r="G30" i="37" s="1"/>
  <c r="C30" i="37"/>
  <c r="F29" i="37"/>
  <c r="G29" i="37" s="1"/>
  <c r="F28" i="37"/>
  <c r="G28" i="37" s="1"/>
  <c r="F27" i="37"/>
  <c r="G27" i="37" s="1"/>
  <c r="F26" i="37"/>
  <c r="G26" i="37" s="1"/>
  <c r="F25" i="37"/>
  <c r="G25" i="37" s="1"/>
  <c r="F24" i="37"/>
  <c r="G24" i="37" s="1"/>
  <c r="F23" i="37"/>
  <c r="G23" i="37" s="1"/>
  <c r="C23" i="37"/>
  <c r="F22" i="37"/>
  <c r="G22" i="37" s="1"/>
  <c r="F21" i="37"/>
  <c r="G21" i="37" s="1"/>
  <c r="F20" i="37"/>
  <c r="G20" i="37" s="1"/>
  <c r="D20" i="37"/>
  <c r="F19" i="37"/>
  <c r="G19" i="37" s="1"/>
  <c r="F18" i="37"/>
  <c r="G18" i="37" s="1"/>
  <c r="F17" i="37"/>
  <c r="G17" i="37" s="1"/>
  <c r="F16" i="37"/>
  <c r="G16" i="37" s="1"/>
  <c r="C16" i="37"/>
  <c r="F15" i="37"/>
  <c r="G15" i="37" s="1"/>
  <c r="F14" i="37"/>
  <c r="G14" i="37" s="1"/>
  <c r="F13" i="37"/>
  <c r="G13" i="37" s="1"/>
  <c r="F12" i="37"/>
  <c r="G12" i="37" s="1"/>
  <c r="F11" i="37"/>
  <c r="G11" i="37" s="1"/>
  <c r="F10" i="37"/>
  <c r="G10" i="37" s="1"/>
  <c r="F9" i="37"/>
  <c r="G9" i="37" s="1"/>
  <c r="C9" i="37"/>
  <c r="F8" i="37"/>
  <c r="G8" i="37" s="1"/>
  <c r="F7" i="37"/>
  <c r="G7" i="37" s="1"/>
  <c r="F6" i="37"/>
  <c r="G6" i="37" s="1"/>
  <c r="F5" i="37"/>
  <c r="G5" i="37" s="1"/>
  <c r="F4" i="37"/>
  <c r="G4" i="37" s="1"/>
  <c r="F3" i="37"/>
  <c r="G3" i="37" s="1"/>
  <c r="D3" i="37"/>
  <c r="C3" i="37"/>
  <c r="O144" i="30"/>
  <c r="L7" i="29" s="1"/>
  <c r="O110" i="30"/>
  <c r="K7" i="29" s="1"/>
  <c r="O42" i="30"/>
  <c r="G7" i="29" s="1"/>
  <c r="O8" i="30"/>
  <c r="E7" i="29" s="1"/>
  <c r="L5" i="29"/>
  <c r="T30" i="32"/>
  <c r="T31" i="32" s="1"/>
  <c r="B45" i="32" s="1"/>
  <c r="H41" i="29" s="1"/>
  <c r="F41" i="29"/>
  <c r="G41" i="29"/>
  <c r="H40" i="29"/>
  <c r="S4" i="32"/>
  <c r="S5" i="32"/>
  <c r="S6" i="32"/>
  <c r="S7" i="32"/>
  <c r="S8" i="32"/>
  <c r="S9" i="32"/>
  <c r="S10" i="32"/>
  <c r="S11" i="32"/>
  <c r="S12" i="32"/>
  <c r="S13" i="32"/>
  <c r="S14" i="32"/>
  <c r="S15" i="32"/>
  <c r="S16" i="32"/>
  <c r="S17" i="32"/>
  <c r="S18" i="32"/>
  <c r="S19" i="32"/>
  <c r="S20" i="32"/>
  <c r="S21" i="32"/>
  <c r="S22" i="32"/>
  <c r="S23" i="32"/>
  <c r="S24" i="32"/>
  <c r="S25" i="32"/>
  <c r="S26" i="32"/>
  <c r="S27" i="32"/>
  <c r="S28" i="32"/>
  <c r="S29" i="32"/>
  <c r="P75" i="35"/>
  <c r="Q75" i="35"/>
  <c r="R39" i="35"/>
  <c r="R50" i="35"/>
  <c r="R62" i="35"/>
  <c r="Q68" i="35"/>
  <c r="M28" i="34"/>
  <c r="L26" i="34"/>
  <c r="L25" i="34"/>
  <c r="J15" i="34"/>
  <c r="M29" i="34"/>
  <c r="L29" i="34"/>
  <c r="K29" i="34"/>
  <c r="J29" i="34"/>
  <c r="I29" i="34"/>
  <c r="N28" i="34"/>
  <c r="L28" i="34"/>
  <c r="K28" i="34"/>
  <c r="J28" i="34"/>
  <c r="L27" i="34"/>
  <c r="K27" i="34"/>
  <c r="M26" i="34"/>
  <c r="R55" i="35"/>
  <c r="Q55" i="35"/>
  <c r="J26" i="34"/>
  <c r="M25" i="34"/>
  <c r="K25" i="34"/>
  <c r="J25" i="34"/>
  <c r="I25" i="34"/>
  <c r="H25" i="34"/>
  <c r="L24" i="34"/>
  <c r="K24" i="34"/>
  <c r="J24" i="34"/>
  <c r="I24" i="34"/>
  <c r="G24" i="34"/>
  <c r="L23" i="34"/>
  <c r="K23" i="34"/>
  <c r="L22" i="34"/>
  <c r="K22" i="34"/>
  <c r="J22" i="34"/>
  <c r="L21" i="34"/>
  <c r="P51" i="35"/>
  <c r="L20" i="34"/>
  <c r="K20" i="34"/>
  <c r="J20" i="34"/>
  <c r="I20" i="34"/>
  <c r="L19" i="34"/>
  <c r="K19" i="34"/>
  <c r="J19" i="34"/>
  <c r="I19" i="34"/>
  <c r="L18" i="34"/>
  <c r="K18" i="34"/>
  <c r="J18" i="34"/>
  <c r="L17" i="34"/>
  <c r="I17" i="34"/>
  <c r="L16" i="34"/>
  <c r="K16" i="34"/>
  <c r="J16" i="34"/>
  <c r="I16" i="34"/>
  <c r="L15" i="34"/>
  <c r="I15" i="34"/>
  <c r="J14" i="34"/>
  <c r="L13" i="34"/>
  <c r="K13" i="34"/>
  <c r="J13" i="34"/>
  <c r="I13" i="34"/>
  <c r="L12" i="34"/>
  <c r="K12" i="34"/>
  <c r="J12" i="34"/>
  <c r="J11" i="34"/>
  <c r="M10" i="34"/>
  <c r="L10" i="34"/>
  <c r="K10" i="34"/>
  <c r="I10" i="34"/>
  <c r="K9" i="34"/>
  <c r="M8" i="34"/>
  <c r="L8" i="34"/>
  <c r="K8" i="34"/>
  <c r="J8" i="34"/>
  <c r="K7" i="34"/>
  <c r="J7" i="34"/>
  <c r="I7" i="34"/>
  <c r="M6" i="34"/>
  <c r="Q25" i="35"/>
  <c r="H6" i="34"/>
  <c r="N5" i="34"/>
  <c r="Q17" i="35"/>
  <c r="L4" i="34"/>
  <c r="K4" i="34"/>
  <c r="J4" i="34"/>
  <c r="AD30" i="32"/>
  <c r="AC30" i="32"/>
  <c r="AB30" i="32"/>
  <c r="N30" i="32"/>
  <c r="M30" i="32"/>
  <c r="L30" i="32"/>
  <c r="K30" i="32"/>
  <c r="N29" i="34"/>
  <c r="AH29" i="32"/>
  <c r="AH25" i="32"/>
  <c r="AH13" i="32"/>
  <c r="J5" i="29"/>
  <c r="G23" i="34"/>
  <c r="O10" i="34"/>
  <c r="I21" i="34"/>
  <c r="N25" i="34"/>
  <c r="H28" i="34"/>
  <c r="K26" i="34"/>
  <c r="K5" i="34"/>
  <c r="K6" i="34"/>
  <c r="P55" i="35"/>
  <c r="P47" i="35"/>
  <c r="P17" i="35"/>
  <c r="R75" i="35"/>
  <c r="G7" i="34"/>
  <c r="J21" i="34"/>
  <c r="Q62" i="35"/>
  <c r="Q50" i="35"/>
  <c r="Q39" i="35"/>
  <c r="Q24" i="35"/>
  <c r="J6" i="34"/>
  <c r="P50" i="35"/>
  <c r="P39" i="35"/>
  <c r="P24" i="35"/>
  <c r="AH16" i="32"/>
  <c r="I8" i="34"/>
  <c r="I9" i="34"/>
  <c r="I18" i="34"/>
  <c r="P45" i="35"/>
  <c r="Q45" i="35"/>
  <c r="R45" i="35"/>
  <c r="R68" i="35"/>
  <c r="R51" i="35"/>
  <c r="R16" i="35"/>
  <c r="R27" i="35"/>
  <c r="R47" i="35"/>
  <c r="Q16" i="35"/>
  <c r="Q27" i="35"/>
  <c r="Q47" i="35"/>
  <c r="I22" i="34"/>
  <c r="P68" i="35"/>
  <c r="O11" i="34"/>
  <c r="M24" i="34"/>
  <c r="N10" i="34"/>
  <c r="O25" i="34"/>
  <c r="H29" i="34"/>
  <c r="AH26" i="32"/>
  <c r="AH15" i="32"/>
  <c r="AH22" i="32"/>
  <c r="H26" i="34"/>
  <c r="X30" i="32"/>
  <c r="I26" i="34"/>
  <c r="H4" i="34"/>
  <c r="Q30" i="33"/>
  <c r="Q35" i="33" s="1"/>
  <c r="B83" i="22"/>
  <c r="O1504" i="30"/>
  <c r="O1470" i="30"/>
  <c r="O1436" i="30"/>
  <c r="O1402" i="30"/>
  <c r="O1368" i="30"/>
  <c r="O1334" i="30"/>
  <c r="O1300" i="30"/>
  <c r="O1266" i="30"/>
  <c r="O1232" i="30"/>
  <c r="O1198" i="30"/>
  <c r="O1164" i="30"/>
  <c r="O1130" i="30"/>
  <c r="O1096" i="30"/>
  <c r="O1062" i="30"/>
  <c r="O1028" i="30"/>
  <c r="O994" i="30"/>
  <c r="O960" i="30"/>
  <c r="O926" i="30"/>
  <c r="O892" i="30"/>
  <c r="O858" i="30"/>
  <c r="O824" i="30"/>
  <c r="O790" i="30"/>
  <c r="O756" i="30"/>
  <c r="O722" i="30"/>
  <c r="O688" i="30"/>
  <c r="O654" i="30"/>
  <c r="O620" i="30"/>
  <c r="O586" i="30"/>
  <c r="O552" i="30"/>
  <c r="O518" i="30"/>
  <c r="O484" i="30"/>
  <c r="O450" i="30"/>
  <c r="O416" i="30"/>
  <c r="O382" i="30"/>
  <c r="O348" i="30"/>
  <c r="O314" i="30"/>
  <c r="O280" i="30"/>
  <c r="O246" i="30"/>
  <c r="O212" i="30"/>
  <c r="O178" i="30"/>
  <c r="O76" i="30"/>
  <c r="I7" i="29" s="1"/>
  <c r="J2" i="25"/>
  <c r="F38" i="29"/>
  <c r="H38" i="29" s="1"/>
  <c r="F30" i="29"/>
  <c r="H30" i="29" s="1"/>
  <c r="M31" i="29"/>
  <c r="I2" i="25"/>
  <c r="D2" i="25"/>
  <c r="G2" i="25"/>
  <c r="E2" i="25"/>
  <c r="F2" i="25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BI4" i="14"/>
  <c r="BI5" i="14"/>
  <c r="BI6" i="14"/>
  <c r="BI7" i="14"/>
  <c r="BI8" i="14"/>
  <c r="BI9" i="14"/>
  <c r="BI10" i="14"/>
  <c r="BI11" i="14"/>
  <c r="BI12" i="14"/>
  <c r="BI13" i="14"/>
  <c r="BI14" i="14"/>
  <c r="BI15" i="14"/>
  <c r="BI16" i="14"/>
  <c r="BI17" i="14"/>
  <c r="BI18" i="14"/>
  <c r="BI19" i="14"/>
  <c r="BI20" i="14"/>
  <c r="BI21" i="14"/>
  <c r="BI22" i="14"/>
  <c r="BI23" i="14"/>
  <c r="BI24" i="14"/>
  <c r="BI25" i="14"/>
  <c r="BI26" i="14"/>
  <c r="BI27" i="14"/>
  <c r="BI28" i="14"/>
  <c r="BI29" i="14"/>
  <c r="BI30" i="14"/>
  <c r="BI31" i="14"/>
  <c r="BI32" i="14"/>
  <c r="BI33" i="14"/>
  <c r="BI34" i="14"/>
  <c r="BI35" i="14"/>
  <c r="BI36" i="14"/>
  <c r="BI37" i="14"/>
  <c r="BI38" i="14"/>
  <c r="BI39" i="14"/>
  <c r="BI40" i="14"/>
  <c r="BI41" i="14"/>
  <c r="BI42" i="14"/>
  <c r="BI43" i="14"/>
  <c r="BI44" i="14"/>
  <c r="BI45" i="14"/>
  <c r="BI46" i="14"/>
  <c r="BI47" i="14"/>
  <c r="BI48" i="14"/>
  <c r="BI49" i="14"/>
  <c r="BI50" i="14"/>
  <c r="BI51" i="14"/>
  <c r="BI52" i="14"/>
  <c r="BI53" i="14"/>
  <c r="BI54" i="14"/>
  <c r="BI55" i="14"/>
  <c r="BI56" i="14"/>
  <c r="BI57" i="14"/>
  <c r="BI58" i="14"/>
  <c r="BI59" i="14"/>
  <c r="BI60" i="14"/>
  <c r="BI61" i="14"/>
  <c r="BI62" i="14"/>
  <c r="BI63" i="14"/>
  <c r="BI64" i="14"/>
  <c r="BI65" i="14"/>
  <c r="BI66" i="14"/>
  <c r="BI67" i="14"/>
  <c r="BI68" i="14"/>
  <c r="BI69" i="14"/>
  <c r="BI70" i="14"/>
  <c r="BI71" i="14"/>
  <c r="BI72" i="14"/>
  <c r="BI73" i="14"/>
  <c r="BI74" i="14"/>
  <c r="BI75" i="14"/>
  <c r="BI76" i="14"/>
  <c r="BI77" i="14"/>
  <c r="BI78" i="14"/>
  <c r="BI79" i="14"/>
  <c r="BI80" i="14"/>
  <c r="BI81" i="14"/>
  <c r="BI82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BL82" i="14"/>
  <c r="BL81" i="14"/>
  <c r="BL80" i="14"/>
  <c r="BL79" i="14"/>
  <c r="BL78" i="14"/>
  <c r="BL77" i="14"/>
  <c r="BL76" i="14"/>
  <c r="BL75" i="14"/>
  <c r="BL74" i="14"/>
  <c r="BL73" i="14"/>
  <c r="BL72" i="14"/>
  <c r="BL71" i="14"/>
  <c r="BL70" i="14"/>
  <c r="BL69" i="14"/>
  <c r="BL68" i="14"/>
  <c r="BL67" i="14"/>
  <c r="BL66" i="14"/>
  <c r="BL65" i="14"/>
  <c r="BL64" i="14"/>
  <c r="BL63" i="14"/>
  <c r="BL62" i="14"/>
  <c r="BL61" i="14"/>
  <c r="BL60" i="14"/>
  <c r="BL59" i="14"/>
  <c r="BL58" i="14"/>
  <c r="BL57" i="14"/>
  <c r="BL56" i="14"/>
  <c r="BL55" i="14"/>
  <c r="BL54" i="14"/>
  <c r="BL53" i="14"/>
  <c r="BL52" i="14"/>
  <c r="BL51" i="14"/>
  <c r="BL50" i="14"/>
  <c r="BL49" i="14"/>
  <c r="BL48" i="14"/>
  <c r="BL47" i="14"/>
  <c r="BL46" i="14"/>
  <c r="BL45" i="14"/>
  <c r="BL44" i="14"/>
  <c r="BL43" i="14"/>
  <c r="BL42" i="14"/>
  <c r="BL41" i="14"/>
  <c r="BL40" i="14"/>
  <c r="BL39" i="14"/>
  <c r="BL38" i="14"/>
  <c r="BL37" i="14"/>
  <c r="BL36" i="14"/>
  <c r="BL35" i="14"/>
  <c r="BL34" i="14"/>
  <c r="BL33" i="14"/>
  <c r="BL32" i="14"/>
  <c r="BL31" i="14"/>
  <c r="BL30" i="14"/>
  <c r="BL29" i="14"/>
  <c r="BL28" i="14"/>
  <c r="BL27" i="14"/>
  <c r="BL26" i="14"/>
  <c r="BL25" i="14"/>
  <c r="BL24" i="14"/>
  <c r="BL23" i="14"/>
  <c r="BL22" i="14"/>
  <c r="BL21" i="14"/>
  <c r="BL20" i="14"/>
  <c r="BL19" i="14"/>
  <c r="BL18" i="14"/>
  <c r="BL17" i="14"/>
  <c r="BL16" i="14"/>
  <c r="BL15" i="14"/>
  <c r="BL14" i="14"/>
  <c r="BL13" i="14"/>
  <c r="BL12" i="14"/>
  <c r="BL11" i="14"/>
  <c r="BL10" i="14"/>
  <c r="BL9" i="14"/>
  <c r="BL8" i="14"/>
  <c r="BL7" i="14"/>
  <c r="BL6" i="14"/>
  <c r="BL5" i="14"/>
  <c r="BL4" i="14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81" i="14"/>
  <c r="T82" i="14"/>
  <c r="AA4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2" i="14"/>
  <c r="AA53" i="14"/>
  <c r="AA54" i="14"/>
  <c r="AA55" i="14"/>
  <c r="AA56" i="14"/>
  <c r="AA57" i="14"/>
  <c r="AA58" i="14"/>
  <c r="AA59" i="14"/>
  <c r="AA60" i="14"/>
  <c r="AA61" i="14"/>
  <c r="AA62" i="14"/>
  <c r="AA63" i="14"/>
  <c r="AA64" i="14"/>
  <c r="AA65" i="14"/>
  <c r="AA66" i="14"/>
  <c r="AA67" i="14"/>
  <c r="AA68" i="14"/>
  <c r="AA69" i="14"/>
  <c r="AA70" i="14"/>
  <c r="AA71" i="14"/>
  <c r="AA72" i="14"/>
  <c r="AA73" i="14"/>
  <c r="AA74" i="14"/>
  <c r="AA75" i="14"/>
  <c r="AA76" i="14"/>
  <c r="AA77" i="14"/>
  <c r="AA78" i="14"/>
  <c r="AA79" i="14"/>
  <c r="AA80" i="14"/>
  <c r="AA81" i="14"/>
  <c r="AA82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73" i="14"/>
  <c r="R74" i="14"/>
  <c r="R75" i="14"/>
  <c r="R76" i="14"/>
  <c r="R77" i="14"/>
  <c r="R78" i="14"/>
  <c r="R79" i="14"/>
  <c r="R80" i="14"/>
  <c r="R81" i="14"/>
  <c r="R82" i="14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BD4" i="13"/>
  <c r="BD5" i="13"/>
  <c r="BD6" i="13"/>
  <c r="BD7" i="13"/>
  <c r="BD8" i="13"/>
  <c r="BD9" i="13"/>
  <c r="BD10" i="13"/>
  <c r="BD11" i="13"/>
  <c r="BD12" i="13"/>
  <c r="BD13" i="13"/>
  <c r="BD14" i="13"/>
  <c r="BD15" i="13"/>
  <c r="BD16" i="13"/>
  <c r="BD17" i="13"/>
  <c r="BD18" i="13"/>
  <c r="BD19" i="13"/>
  <c r="BD20" i="13"/>
  <c r="BD21" i="13"/>
  <c r="BD22" i="13"/>
  <c r="BD23" i="13"/>
  <c r="BD24" i="13"/>
  <c r="BD25" i="13"/>
  <c r="BD26" i="13"/>
  <c r="BD27" i="13"/>
  <c r="BD28" i="13"/>
  <c r="BD29" i="13"/>
  <c r="BD30" i="13"/>
  <c r="BD31" i="13"/>
  <c r="BD32" i="13"/>
  <c r="BD33" i="13"/>
  <c r="BD34" i="13"/>
  <c r="BD35" i="13"/>
  <c r="BD36" i="13"/>
  <c r="BD37" i="13"/>
  <c r="BD38" i="13"/>
  <c r="BD39" i="13"/>
  <c r="BD40" i="13"/>
  <c r="BD41" i="13"/>
  <c r="BD42" i="13"/>
  <c r="BD43" i="13"/>
  <c r="BD44" i="13"/>
  <c r="BD45" i="13"/>
  <c r="BD46" i="13"/>
  <c r="BD47" i="13"/>
  <c r="BD48" i="13"/>
  <c r="BD49" i="13"/>
  <c r="BD50" i="13"/>
  <c r="BD51" i="13"/>
  <c r="BD52" i="13"/>
  <c r="BD53" i="13"/>
  <c r="BD54" i="13"/>
  <c r="BD55" i="13"/>
  <c r="BD56" i="13"/>
  <c r="BD57" i="13"/>
  <c r="BD58" i="13"/>
  <c r="BD59" i="13"/>
  <c r="BD60" i="13"/>
  <c r="BD61" i="13"/>
  <c r="BD62" i="13"/>
  <c r="BD63" i="13"/>
  <c r="BD64" i="13"/>
  <c r="BD65" i="13"/>
  <c r="BD66" i="13"/>
  <c r="BD67" i="13"/>
  <c r="BD68" i="13"/>
  <c r="BD69" i="13"/>
  <c r="BD70" i="13"/>
  <c r="BD71" i="13"/>
  <c r="BD72" i="13"/>
  <c r="BD73" i="13"/>
  <c r="BD74" i="13"/>
  <c r="BD75" i="13"/>
  <c r="BD76" i="13"/>
  <c r="BD77" i="13"/>
  <c r="BD78" i="13"/>
  <c r="BD79" i="13"/>
  <c r="BD80" i="13"/>
  <c r="BD81" i="13"/>
  <c r="BD82" i="13"/>
  <c r="X4" i="13"/>
  <c r="X5" i="13"/>
  <c r="X6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2" i="13"/>
  <c r="X63" i="13"/>
  <c r="X64" i="13"/>
  <c r="X65" i="13"/>
  <c r="X66" i="13"/>
  <c r="X67" i="13"/>
  <c r="X68" i="13"/>
  <c r="X69" i="13"/>
  <c r="X70" i="13"/>
  <c r="X71" i="13"/>
  <c r="X72" i="13"/>
  <c r="X73" i="13"/>
  <c r="X74" i="13"/>
  <c r="X75" i="13"/>
  <c r="X76" i="13"/>
  <c r="X77" i="13"/>
  <c r="X78" i="13"/>
  <c r="X79" i="13"/>
  <c r="X80" i="13"/>
  <c r="X81" i="13"/>
  <c r="X82" i="13"/>
  <c r="BG4" i="13"/>
  <c r="BG5" i="13"/>
  <c r="BG6" i="13"/>
  <c r="BG7" i="13"/>
  <c r="BG8" i="13"/>
  <c r="BG9" i="13"/>
  <c r="BG10" i="13"/>
  <c r="BG11" i="13"/>
  <c r="BG12" i="13"/>
  <c r="BG13" i="13"/>
  <c r="BG14" i="13"/>
  <c r="BG15" i="13"/>
  <c r="BG16" i="13"/>
  <c r="BG17" i="13"/>
  <c r="BG18" i="13"/>
  <c r="BG19" i="13"/>
  <c r="BG20" i="13"/>
  <c r="BG21" i="13"/>
  <c r="BG22" i="13"/>
  <c r="BG23" i="13"/>
  <c r="BG24" i="13"/>
  <c r="BG25" i="13"/>
  <c r="BG26" i="13"/>
  <c r="BG27" i="13"/>
  <c r="BG28" i="13"/>
  <c r="BG29" i="13"/>
  <c r="BG30" i="13"/>
  <c r="BG31" i="13"/>
  <c r="BG32" i="13"/>
  <c r="BG33" i="13"/>
  <c r="BG34" i="13"/>
  <c r="BG35" i="13"/>
  <c r="BG36" i="13"/>
  <c r="BG37" i="13"/>
  <c r="BG38" i="13"/>
  <c r="BG39" i="13"/>
  <c r="BG40" i="13"/>
  <c r="BG41" i="13"/>
  <c r="BG42" i="13"/>
  <c r="BG43" i="13"/>
  <c r="BG44" i="13"/>
  <c r="BG45" i="13"/>
  <c r="BG46" i="13"/>
  <c r="BG47" i="13"/>
  <c r="BG48" i="13"/>
  <c r="BG49" i="13"/>
  <c r="BG50" i="13"/>
  <c r="BG51" i="13"/>
  <c r="BG52" i="13"/>
  <c r="BG53" i="13"/>
  <c r="BG54" i="13"/>
  <c r="BG55" i="13"/>
  <c r="BG56" i="13"/>
  <c r="BG57" i="13"/>
  <c r="BG58" i="13"/>
  <c r="BG59" i="13"/>
  <c r="BG60" i="13"/>
  <c r="BG61" i="13"/>
  <c r="BG62" i="13"/>
  <c r="BG63" i="13"/>
  <c r="BG64" i="13"/>
  <c r="BG65" i="13"/>
  <c r="BG66" i="13"/>
  <c r="BG67" i="13"/>
  <c r="BG68" i="13"/>
  <c r="BG69" i="13"/>
  <c r="BG70" i="13"/>
  <c r="BG71" i="13"/>
  <c r="BG72" i="13"/>
  <c r="BG73" i="13"/>
  <c r="BG74" i="13"/>
  <c r="BG75" i="13"/>
  <c r="BG76" i="13"/>
  <c r="BG77" i="13"/>
  <c r="BG78" i="13"/>
  <c r="BG79" i="13"/>
  <c r="BG80" i="13"/>
  <c r="BG81" i="13"/>
  <c r="BG82" i="13"/>
  <c r="AS4" i="13"/>
  <c r="AS5" i="13"/>
  <c r="AS6" i="13"/>
  <c r="AS7" i="13"/>
  <c r="AS8" i="13"/>
  <c r="AS9" i="13"/>
  <c r="AS10" i="13"/>
  <c r="AS11" i="13"/>
  <c r="AS12" i="13"/>
  <c r="AS13" i="13"/>
  <c r="AS14" i="13"/>
  <c r="AS15" i="13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S60" i="13"/>
  <c r="AS61" i="13"/>
  <c r="AS62" i="13"/>
  <c r="AS63" i="13"/>
  <c r="AS64" i="13"/>
  <c r="AS65" i="13"/>
  <c r="AS66" i="13"/>
  <c r="AS67" i="13"/>
  <c r="AS68" i="13"/>
  <c r="AS69" i="13"/>
  <c r="AS70" i="13"/>
  <c r="AS71" i="13"/>
  <c r="AS72" i="13"/>
  <c r="AS73" i="13"/>
  <c r="AS74" i="13"/>
  <c r="AS75" i="13"/>
  <c r="AS76" i="13"/>
  <c r="AS77" i="13"/>
  <c r="AS78" i="13"/>
  <c r="AS79" i="13"/>
  <c r="AS80" i="13"/>
  <c r="AS81" i="13"/>
  <c r="AS82" i="13"/>
  <c r="AW4" i="13"/>
  <c r="AW5" i="13"/>
  <c r="AW6" i="13"/>
  <c r="AW7" i="13"/>
  <c r="AW8" i="13"/>
  <c r="AW9" i="13"/>
  <c r="AW10" i="13"/>
  <c r="AW11" i="13"/>
  <c r="AW12" i="13"/>
  <c r="AW13" i="13"/>
  <c r="AW14" i="13"/>
  <c r="AW15" i="13"/>
  <c r="AW16" i="13"/>
  <c r="AW17" i="13"/>
  <c r="AW18" i="13"/>
  <c r="AW19" i="13"/>
  <c r="AW20" i="13"/>
  <c r="AW21" i="13"/>
  <c r="AW22" i="13"/>
  <c r="AW23" i="13"/>
  <c r="AW24" i="13"/>
  <c r="AW25" i="13"/>
  <c r="AW26" i="13"/>
  <c r="AW27" i="13"/>
  <c r="AW28" i="13"/>
  <c r="AW29" i="13"/>
  <c r="AW30" i="13"/>
  <c r="AW31" i="13"/>
  <c r="AW32" i="13"/>
  <c r="AW33" i="13"/>
  <c r="AW34" i="13"/>
  <c r="AW35" i="13"/>
  <c r="AW36" i="13"/>
  <c r="AW37" i="13"/>
  <c r="AW38" i="13"/>
  <c r="AW39" i="13"/>
  <c r="AW40" i="13"/>
  <c r="AW41" i="13"/>
  <c r="AW42" i="13"/>
  <c r="AW43" i="13"/>
  <c r="AW44" i="13"/>
  <c r="AW45" i="13"/>
  <c r="AW46" i="13"/>
  <c r="AW47" i="13"/>
  <c r="AW48" i="13"/>
  <c r="AW49" i="13"/>
  <c r="AW50" i="13"/>
  <c r="AW51" i="13"/>
  <c r="AW52" i="13"/>
  <c r="AW53" i="13"/>
  <c r="AW54" i="13"/>
  <c r="AW55" i="13"/>
  <c r="AW56" i="13"/>
  <c r="AW57" i="13"/>
  <c r="AW58" i="13"/>
  <c r="AW59" i="13"/>
  <c r="AW60" i="13"/>
  <c r="AW61" i="13"/>
  <c r="AW62" i="13"/>
  <c r="AW63" i="13"/>
  <c r="AW64" i="13"/>
  <c r="AW65" i="13"/>
  <c r="AW66" i="13"/>
  <c r="AW67" i="13"/>
  <c r="AW68" i="13"/>
  <c r="AW69" i="13"/>
  <c r="AW70" i="13"/>
  <c r="AW71" i="13"/>
  <c r="AW72" i="13"/>
  <c r="AW73" i="13"/>
  <c r="AW74" i="13"/>
  <c r="AW75" i="13"/>
  <c r="AW76" i="13"/>
  <c r="AW77" i="13"/>
  <c r="AW78" i="13"/>
  <c r="AW79" i="13"/>
  <c r="AW80" i="13"/>
  <c r="AW81" i="13"/>
  <c r="AW82" i="13"/>
  <c r="AM4" i="13"/>
  <c r="AM5" i="13"/>
  <c r="AM6" i="13"/>
  <c r="AM7" i="13"/>
  <c r="AM8" i="13"/>
  <c r="AM9" i="13"/>
  <c r="AM10" i="13"/>
  <c r="AM11" i="13"/>
  <c r="AM12" i="13"/>
  <c r="AM13" i="13"/>
  <c r="AM14" i="13"/>
  <c r="AM15" i="13"/>
  <c r="AM16" i="13"/>
  <c r="AM17" i="13"/>
  <c r="AM18" i="13"/>
  <c r="AM19" i="13"/>
  <c r="AM20" i="13"/>
  <c r="AM21" i="13"/>
  <c r="AM22" i="13"/>
  <c r="AM23" i="13"/>
  <c r="AM24" i="13"/>
  <c r="AM25" i="13"/>
  <c r="AM26" i="13"/>
  <c r="AM27" i="13"/>
  <c r="AM28" i="13"/>
  <c r="AM29" i="13"/>
  <c r="AM30" i="13"/>
  <c r="AM31" i="13"/>
  <c r="AM32" i="13"/>
  <c r="AM33" i="13"/>
  <c r="AM34" i="13"/>
  <c r="AM35" i="13"/>
  <c r="AM36" i="13"/>
  <c r="AM37" i="13"/>
  <c r="AM38" i="13"/>
  <c r="AM39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M64" i="13"/>
  <c r="AM65" i="13"/>
  <c r="AM66" i="13"/>
  <c r="AM67" i="13"/>
  <c r="AM68" i="13"/>
  <c r="AM69" i="13"/>
  <c r="AM70" i="13"/>
  <c r="AM71" i="13"/>
  <c r="AM72" i="13"/>
  <c r="AM73" i="13"/>
  <c r="AM74" i="13"/>
  <c r="AM75" i="13"/>
  <c r="AM76" i="13"/>
  <c r="AM77" i="13"/>
  <c r="AM78" i="13"/>
  <c r="AM79" i="13"/>
  <c r="AM80" i="13"/>
  <c r="AM81" i="13"/>
  <c r="AM82" i="13"/>
  <c r="J32" i="39"/>
  <c r="BE4" i="39"/>
  <c r="BD21" i="39"/>
  <c r="BE13" i="39"/>
  <c r="BE18" i="39"/>
  <c r="BE12" i="39"/>
  <c r="N32" i="39"/>
  <c r="N33" i="39" s="1"/>
  <c r="BE10" i="39"/>
  <c r="BE9" i="39"/>
  <c r="K21" i="39"/>
  <c r="O7" i="39" s="1"/>
  <c r="BE8" i="39"/>
  <c r="J31" i="39"/>
  <c r="BE17" i="39"/>
  <c r="BE6" i="39"/>
  <c r="BE16" i="39"/>
  <c r="BC21" i="39"/>
  <c r="L32" i="39"/>
  <c r="L33" i="39" s="1"/>
  <c r="BE5" i="39"/>
  <c r="I32" i="39"/>
  <c r="I33" i="39" s="1"/>
  <c r="K32" i="39"/>
  <c r="K33" i="39" s="1"/>
  <c r="B5" i="19" l="1"/>
  <c r="AH19" i="32"/>
  <c r="G5" i="32"/>
  <c r="F5" i="33" s="1"/>
  <c r="F17" i="35" s="1"/>
  <c r="M5" i="34"/>
  <c r="AH23" i="32"/>
  <c r="R25" i="35"/>
  <c r="AH8" i="32"/>
  <c r="R17" i="35"/>
  <c r="L5" i="34"/>
  <c r="B10" i="19"/>
  <c r="I17" i="32"/>
  <c r="J17" i="33" s="1"/>
  <c r="I20" i="32"/>
  <c r="J20" i="33" s="1"/>
  <c r="G20" i="34" s="1"/>
  <c r="H12" i="29"/>
  <c r="F42" i="29"/>
  <c r="Q6" i="32"/>
  <c r="W6" i="33" s="1"/>
  <c r="W25" i="35" s="1"/>
  <c r="F20" i="32"/>
  <c r="D20" i="33" s="1"/>
  <c r="O19" i="32"/>
  <c r="S19" i="33" s="1"/>
  <c r="M19" i="34" s="1"/>
  <c r="G9" i="32"/>
  <c r="F9" i="33" s="1"/>
  <c r="H13" i="32"/>
  <c r="H13" i="33" s="1"/>
  <c r="F13" i="34" s="1"/>
  <c r="B36" i="19"/>
  <c r="L36" i="19" s="1"/>
  <c r="I14" i="34"/>
  <c r="I12" i="34"/>
  <c r="G7" i="32"/>
  <c r="F7" i="33" s="1"/>
  <c r="G28" i="34"/>
  <c r="AH27" i="32"/>
  <c r="I28" i="34"/>
  <c r="Q51" i="35"/>
  <c r="F6" i="32"/>
  <c r="D6" i="33" s="1"/>
  <c r="D25" i="35" s="1"/>
  <c r="AH11" i="32"/>
  <c r="E2" i="24"/>
  <c r="P30" i="33"/>
  <c r="P35" i="33" s="1"/>
  <c r="H5" i="34"/>
  <c r="O4" i="34"/>
  <c r="L7" i="34"/>
  <c r="D7" i="19"/>
  <c r="D16" i="19"/>
  <c r="G4" i="32"/>
  <c r="F4" i="33" s="1"/>
  <c r="H8" i="32"/>
  <c r="H8" i="33" s="1"/>
  <c r="AH21" i="32"/>
  <c r="P16" i="35"/>
  <c r="P62" i="35"/>
  <c r="G10" i="34"/>
  <c r="J5" i="34"/>
  <c r="P46" i="41"/>
  <c r="AF30" i="32"/>
  <c r="AH9" i="32"/>
  <c r="R24" i="35"/>
  <c r="N30" i="33"/>
  <c r="K10" i="17"/>
  <c r="K62" i="17"/>
  <c r="H2" i="25"/>
  <c r="AE30" i="32"/>
  <c r="C2" i="25"/>
  <c r="M30" i="33"/>
  <c r="M35" i="33" s="1"/>
  <c r="J27" i="34"/>
  <c r="D9" i="19"/>
  <c r="D14" i="19"/>
  <c r="D32" i="19"/>
  <c r="D38" i="19"/>
  <c r="G6" i="32"/>
  <c r="F6" i="33" s="1"/>
  <c r="P8" i="32"/>
  <c r="U8" i="33" s="1"/>
  <c r="N8" i="34" s="1"/>
  <c r="G20" i="32"/>
  <c r="F20" i="33" s="1"/>
  <c r="E20" i="34" s="1"/>
  <c r="H23" i="34"/>
  <c r="G29" i="34"/>
  <c r="Z30" i="32"/>
  <c r="AH6" i="32"/>
  <c r="AH18" i="32"/>
  <c r="J10" i="34"/>
  <c r="D13" i="19"/>
  <c r="I8" i="32"/>
  <c r="J8" i="33" s="1"/>
  <c r="M9" i="34"/>
  <c r="P27" i="35"/>
  <c r="AH28" i="32"/>
  <c r="AH12" i="32"/>
  <c r="AH24" i="32"/>
  <c r="H10" i="34"/>
  <c r="J23" i="34"/>
  <c r="P25" i="35"/>
  <c r="F10" i="32"/>
  <c r="D10" i="33" s="1"/>
  <c r="C75" i="17"/>
  <c r="G37" i="17"/>
  <c r="G4" i="17"/>
  <c r="C71" i="17"/>
  <c r="C27" i="17"/>
  <c r="C50" i="17"/>
  <c r="C82" i="17"/>
  <c r="G52" i="17"/>
  <c r="G36" i="17"/>
  <c r="C39" i="17"/>
  <c r="G82" i="17"/>
  <c r="C31" i="17"/>
  <c r="C59" i="17"/>
  <c r="C35" i="17"/>
  <c r="C66" i="17"/>
  <c r="C47" i="17"/>
  <c r="C68" i="17"/>
  <c r="N12" i="17"/>
  <c r="C81" i="17"/>
  <c r="C48" i="17"/>
  <c r="C80" i="17"/>
  <c r="G56" i="17"/>
  <c r="G8" i="17"/>
  <c r="G68" i="17"/>
  <c r="C33" i="17"/>
  <c r="C15" i="17"/>
  <c r="C12" i="17"/>
  <c r="C79" i="17"/>
  <c r="G17" i="17"/>
  <c r="G80" i="17"/>
  <c r="C65" i="17"/>
  <c r="C77" i="17"/>
  <c r="C73" i="17"/>
  <c r="G54" i="17"/>
  <c r="C51" i="17"/>
  <c r="C5" i="17"/>
  <c r="C49" i="17"/>
  <c r="C72" i="17"/>
  <c r="G72" i="17"/>
  <c r="C62" i="17"/>
  <c r="C10" i="17"/>
  <c r="G16" i="32"/>
  <c r="F16" i="33" s="1"/>
  <c r="E16" i="34" s="1"/>
  <c r="C45" i="17"/>
  <c r="J9" i="32"/>
  <c r="L9" i="33" s="1"/>
  <c r="H9" i="34" s="1"/>
  <c r="Q9" i="32"/>
  <c r="W9" i="33" s="1"/>
  <c r="I9" i="32"/>
  <c r="J9" i="33" s="1"/>
  <c r="G9" i="34" s="1"/>
  <c r="F14" i="32"/>
  <c r="D14" i="33" s="1"/>
  <c r="D14" i="34" s="1"/>
  <c r="G23" i="32"/>
  <c r="F23" i="33" s="1"/>
  <c r="G81" i="17"/>
  <c r="C74" i="17"/>
  <c r="C70" i="17"/>
  <c r="C60" i="17"/>
  <c r="F19" i="32"/>
  <c r="D19" i="33" s="1"/>
  <c r="D19" i="34" s="1"/>
  <c r="H18" i="32"/>
  <c r="H18" i="33" s="1"/>
  <c r="C11" i="17"/>
  <c r="I7" i="21"/>
  <c r="C58" i="17"/>
  <c r="C43" i="17"/>
  <c r="G50" i="17"/>
  <c r="C38" i="17"/>
  <c r="G13" i="32"/>
  <c r="F13" i="33" s="1"/>
  <c r="E4" i="19"/>
  <c r="L6" i="34"/>
  <c r="O5" i="34"/>
  <c r="M4" i="34"/>
  <c r="I6" i="34"/>
  <c r="C25" i="17"/>
  <c r="C19" i="17"/>
  <c r="E25" i="19"/>
  <c r="E21" i="19"/>
  <c r="AE10" i="41"/>
  <c r="AC10" i="41"/>
  <c r="AJ10" i="41"/>
  <c r="D23" i="19"/>
  <c r="D19" i="19"/>
  <c r="B34" i="19"/>
  <c r="P34" i="19" s="1"/>
  <c r="J66" i="17"/>
  <c r="J78" i="17"/>
  <c r="P37" i="41"/>
  <c r="N53" i="17"/>
  <c r="N48" i="17"/>
  <c r="AC15" i="41"/>
  <c r="N66" i="17"/>
  <c r="AH15" i="41"/>
  <c r="N10" i="17"/>
  <c r="N71" i="17"/>
  <c r="AH10" i="41"/>
  <c r="AA15" i="41"/>
  <c r="AG15" i="41"/>
  <c r="B9" i="19"/>
  <c r="R9" i="19" s="1"/>
  <c r="B15" i="19"/>
  <c r="B35" i="19"/>
  <c r="B38" i="19"/>
  <c r="H38" i="19" s="1"/>
  <c r="B57" i="19"/>
  <c r="B58" i="19"/>
  <c r="I58" i="19" s="1"/>
  <c r="K42" i="17"/>
  <c r="K16" i="17"/>
  <c r="AE15" i="41"/>
  <c r="N73" i="17"/>
  <c r="N69" i="17"/>
  <c r="AJ15" i="41"/>
  <c r="AD15" i="41"/>
  <c r="P41" i="41"/>
  <c r="AF18" i="41"/>
  <c r="AJ61" i="41"/>
  <c r="AH51" i="41"/>
  <c r="AJ36" i="41"/>
  <c r="AJ32" i="41"/>
  <c r="AJ24" i="41"/>
  <c r="AJ56" i="41"/>
  <c r="AK10" i="41"/>
  <c r="AF10" i="41"/>
  <c r="AK99" i="41"/>
  <c r="AK50" i="41"/>
  <c r="AJ40" i="41"/>
  <c r="AH29" i="41"/>
  <c r="AG16" i="41"/>
  <c r="T128" i="41"/>
  <c r="R214" i="41"/>
  <c r="AA8" i="41"/>
  <c r="C44" i="17"/>
  <c r="AI221" i="41"/>
  <c r="I11" i="21"/>
  <c r="K78" i="17"/>
  <c r="AC18" i="41"/>
  <c r="F18" i="34"/>
  <c r="AK186" i="41"/>
  <c r="G51" i="17"/>
  <c r="C32" i="17"/>
  <c r="C63" i="17"/>
  <c r="C23" i="17"/>
  <c r="C16" i="17"/>
  <c r="AE12" i="41"/>
  <c r="AI44" i="41"/>
  <c r="G39" i="17"/>
  <c r="C61" i="17"/>
  <c r="C9" i="17"/>
  <c r="C67" i="17"/>
  <c r="C57" i="17"/>
  <c r="C42" i="17"/>
  <c r="AD19" i="41"/>
  <c r="AI71" i="41"/>
  <c r="N67" i="38"/>
  <c r="L76" i="28" s="1"/>
  <c r="L73" i="40" s="1"/>
  <c r="AF61" i="41"/>
  <c r="AD18" i="41"/>
  <c r="C69" i="17"/>
  <c r="P30" i="41"/>
  <c r="AI15" i="41"/>
  <c r="AF15" i="41"/>
  <c r="AF12" i="41"/>
  <c r="AK204" i="41"/>
  <c r="AJ197" i="41"/>
  <c r="AJ193" i="41"/>
  <c r="AK180" i="41"/>
  <c r="AK173" i="41"/>
  <c r="AJ170" i="41"/>
  <c r="AJ144" i="41"/>
  <c r="AJ141" i="41"/>
  <c r="AK123" i="41"/>
  <c r="AK113" i="41"/>
  <c r="AI108" i="41"/>
  <c r="AJ103" i="41"/>
  <c r="AI99" i="41"/>
  <c r="AI95" i="41"/>
  <c r="AJ91" i="41"/>
  <c r="AK86" i="41"/>
  <c r="AC82" i="41"/>
  <c r="AK72" i="41"/>
  <c r="AF66" i="41"/>
  <c r="AC12" i="41"/>
  <c r="AJ147" i="41"/>
  <c r="AI137" i="41"/>
  <c r="AK91" i="41"/>
  <c r="AE86" i="41"/>
  <c r="AJ66" i="41"/>
  <c r="AK55" i="41"/>
  <c r="AI50" i="41"/>
  <c r="C7" i="17"/>
  <c r="G73" i="17"/>
  <c r="C6" i="17"/>
  <c r="C64" i="17"/>
  <c r="AK15" i="41"/>
  <c r="AH12" i="41"/>
  <c r="AE19" i="41"/>
  <c r="AB15" i="41"/>
  <c r="AK183" i="41"/>
  <c r="AK137" i="41"/>
  <c r="AJ130" i="41"/>
  <c r="AJ127" i="41"/>
  <c r="AI40" i="41"/>
  <c r="P35" i="41"/>
  <c r="T35" i="41" s="1"/>
  <c r="P40" i="41"/>
  <c r="P45" i="41"/>
  <c r="AK36" i="41"/>
  <c r="AD61" i="41"/>
  <c r="AJ106" i="41"/>
  <c r="L60" i="17"/>
  <c r="L53" i="17"/>
  <c r="L35" i="17"/>
  <c r="L75" i="17"/>
  <c r="E8" i="19"/>
  <c r="B12" i="19"/>
  <c r="E17" i="19"/>
  <c r="B23" i="19"/>
  <c r="F4" i="32"/>
  <c r="H5" i="32"/>
  <c r="H6" i="32"/>
  <c r="H6" i="33" s="1"/>
  <c r="F8" i="32"/>
  <c r="D8" i="33" s="1"/>
  <c r="D8" i="34" s="1"/>
  <c r="F12" i="32"/>
  <c r="D12" i="33" s="1"/>
  <c r="D12" i="34" s="1"/>
  <c r="I11" i="32"/>
  <c r="J11" i="33" s="1"/>
  <c r="G11" i="34" s="1"/>
  <c r="P13" i="32"/>
  <c r="U13" i="33" s="1"/>
  <c r="N13" i="34" s="1"/>
  <c r="B11" i="19"/>
  <c r="B22" i="19"/>
  <c r="Q7" i="32"/>
  <c r="W7" i="33" s="1"/>
  <c r="P11" i="32"/>
  <c r="U11" i="33" s="1"/>
  <c r="N11" i="34" s="1"/>
  <c r="P26" i="41"/>
  <c r="AG86" i="41"/>
  <c r="F2" i="24"/>
  <c r="AG30" i="32"/>
  <c r="AH17" i="32"/>
  <c r="B6" i="19"/>
  <c r="B13" i="19"/>
  <c r="O13" i="19" s="1"/>
  <c r="D10" i="19"/>
  <c r="B18" i="19"/>
  <c r="B21" i="19"/>
  <c r="H4" i="32"/>
  <c r="H4" i="33" s="1"/>
  <c r="F4" i="34" s="1"/>
  <c r="H7" i="32"/>
  <c r="H7" i="33" s="1"/>
  <c r="F7" i="34" s="1"/>
  <c r="F23" i="32"/>
  <c r="D23" i="33" s="1"/>
  <c r="G24" i="32"/>
  <c r="F24" i="33" s="1"/>
  <c r="F45" i="35" s="1"/>
  <c r="K13" i="17"/>
  <c r="K65" i="17"/>
  <c r="AD11" i="41"/>
  <c r="C14" i="17"/>
  <c r="C78" i="17"/>
  <c r="C37" i="17"/>
  <c r="AG51" i="41"/>
  <c r="AD10" i="41"/>
  <c r="D29" i="19"/>
  <c r="B30" i="19"/>
  <c r="Q30" i="19" s="1"/>
  <c r="D34" i="19"/>
  <c r="D50" i="19"/>
  <c r="P7" i="32"/>
  <c r="U7" i="33" s="1"/>
  <c r="H15" i="32"/>
  <c r="H15" i="33" s="1"/>
  <c r="F15" i="34" s="1"/>
  <c r="AI32" i="41"/>
  <c r="AE51" i="41"/>
  <c r="AK228" i="41"/>
  <c r="AI224" i="41"/>
  <c r="AJ87" i="41"/>
  <c r="AG36" i="41"/>
  <c r="AI24" i="41"/>
  <c r="D12" i="19"/>
  <c r="H12" i="32"/>
  <c r="H12" i="33" s="1"/>
  <c r="F12" i="34" s="1"/>
  <c r="J20" i="32"/>
  <c r="L20" i="33" s="1"/>
  <c r="H20" i="34" s="1"/>
  <c r="O17" i="32"/>
  <c r="S17" i="33" s="1"/>
  <c r="M17" i="34" s="1"/>
  <c r="L25" i="17"/>
  <c r="P23" i="41"/>
  <c r="AJ51" i="41"/>
  <c r="AI10" i="41"/>
  <c r="AG10" i="41"/>
  <c r="AK190" i="41"/>
  <c r="D6" i="19"/>
  <c r="E9" i="34"/>
  <c r="G15" i="32"/>
  <c r="F15" i="33" s="1"/>
  <c r="E15" i="34" s="1"/>
  <c r="J19" i="32"/>
  <c r="L19" i="33" s="1"/>
  <c r="H19" i="34" s="1"/>
  <c r="L10" i="17"/>
  <c r="L62" i="17"/>
  <c r="L9" i="17"/>
  <c r="T23" i="41"/>
  <c r="AG56" i="41"/>
  <c r="B32" i="19"/>
  <c r="L32" i="19" s="1"/>
  <c r="G14" i="32"/>
  <c r="F14" i="33" s="1"/>
  <c r="E14" i="34" s="1"/>
  <c r="J15" i="32"/>
  <c r="L15" i="33" s="1"/>
  <c r="H15" i="34" s="1"/>
  <c r="P29" i="41"/>
  <c r="AH36" i="41"/>
  <c r="AJ67" i="41"/>
  <c r="AK61" i="41"/>
  <c r="AK56" i="41"/>
  <c r="AJ86" i="41"/>
  <c r="AJ17" i="41"/>
  <c r="AH13" i="41"/>
  <c r="AF13" i="41"/>
  <c r="AA61" i="41"/>
  <c r="AK169" i="41"/>
  <c r="AJ82" i="41"/>
  <c r="AI61" i="41"/>
  <c r="AE56" i="41"/>
  <c r="AI185" i="41"/>
  <c r="D25" i="19"/>
  <c r="D21" i="19"/>
  <c r="U135" i="41"/>
  <c r="AK144" i="41"/>
  <c r="AK51" i="41"/>
  <c r="AJ72" i="41"/>
  <c r="AJ14" i="41"/>
  <c r="AI51" i="41"/>
  <c r="AI56" i="41"/>
  <c r="AG14" i="41"/>
  <c r="AD86" i="41"/>
  <c r="AA13" i="41"/>
  <c r="AH93" i="41"/>
  <c r="D8" i="19"/>
  <c r="D17" i="19"/>
  <c r="D30" i="19"/>
  <c r="D26" i="19"/>
  <c r="D31" i="19"/>
  <c r="D58" i="19"/>
  <c r="P36" i="41"/>
  <c r="T36" i="41" s="1"/>
  <c r="AK141" i="41"/>
  <c r="AJ13" i="41"/>
  <c r="AH95" i="41"/>
  <c r="AH56" i="41"/>
  <c r="AE95" i="41"/>
  <c r="AC61" i="41"/>
  <c r="AK208" i="41"/>
  <c r="AJ105" i="41"/>
  <c r="AI101" i="41"/>
  <c r="AK93" i="41"/>
  <c r="AI88" i="41"/>
  <c r="AG80" i="41"/>
  <c r="AF71" i="41"/>
  <c r="D74" i="19"/>
  <c r="D24" i="19"/>
  <c r="D20" i="19"/>
  <c r="D68" i="19"/>
  <c r="L54" i="17"/>
  <c r="P32" i="41"/>
  <c r="AK32" i="41"/>
  <c r="AH61" i="41"/>
  <c r="AG72" i="41"/>
  <c r="AE72" i="41"/>
  <c r="AD51" i="41"/>
  <c r="AI134" i="41"/>
  <c r="AJ128" i="41"/>
  <c r="AJ114" i="41"/>
  <c r="AI104" i="41"/>
  <c r="AD87" i="41"/>
  <c r="AJ73" i="41"/>
  <c r="D60" i="19"/>
  <c r="L34" i="17"/>
  <c r="L55" i="17"/>
  <c r="L46" i="17"/>
  <c r="AK24" i="41"/>
  <c r="AI36" i="41"/>
  <c r="AD32" i="41"/>
  <c r="AC13" i="41"/>
  <c r="D36" i="19"/>
  <c r="AK14" i="41"/>
  <c r="D15" i="19"/>
  <c r="D28" i="19"/>
  <c r="G17" i="34"/>
  <c r="P24" i="41"/>
  <c r="AK13" i="41"/>
  <c r="AH16" i="41"/>
  <c r="AG32" i="41"/>
  <c r="AF16" i="41"/>
  <c r="AB13" i="41"/>
  <c r="D11" i="19"/>
  <c r="D46" i="19"/>
  <c r="D42" i="19"/>
  <c r="D54" i="19"/>
  <c r="H9" i="21"/>
  <c r="H6" i="21"/>
  <c r="I19" i="21"/>
  <c r="G8" i="32"/>
  <c r="F8" i="33" s="1"/>
  <c r="E8" i="34" s="1"/>
  <c r="Q8" i="32"/>
  <c r="W8" i="33" s="1"/>
  <c r="O8" i="34" s="1"/>
  <c r="G18" i="32"/>
  <c r="F18" i="33" s="1"/>
  <c r="E18" i="34" s="1"/>
  <c r="H14" i="32"/>
  <c r="H14" i="33" s="1"/>
  <c r="F14" i="34" s="1"/>
  <c r="P23" i="32"/>
  <c r="U23" i="33" s="1"/>
  <c r="H25" i="32"/>
  <c r="H25" i="33" s="1"/>
  <c r="H50" i="35" s="1"/>
  <c r="J55" i="17"/>
  <c r="K60" i="17"/>
  <c r="K53" i="17"/>
  <c r="K35" i="17"/>
  <c r="J20" i="17"/>
  <c r="K75" i="17"/>
  <c r="Q214" i="41"/>
  <c r="S214" i="41" s="1"/>
  <c r="I229" i="41"/>
  <c r="AI14" i="41"/>
  <c r="AG19" i="41"/>
  <c r="AE14" i="41"/>
  <c r="AD14" i="41"/>
  <c r="D61" i="19"/>
  <c r="O20" i="32"/>
  <c r="S20" i="33" s="1"/>
  <c r="M20" i="34" s="1"/>
  <c r="AK7" i="41"/>
  <c r="AI13" i="41"/>
  <c r="AH14" i="41"/>
  <c r="AG18" i="41"/>
  <c r="AF14" i="41"/>
  <c r="K67" i="17"/>
  <c r="K76" i="17"/>
  <c r="K6" i="17"/>
  <c r="K52" i="17"/>
  <c r="T66" i="41"/>
  <c r="T70" i="41"/>
  <c r="AI151" i="41"/>
  <c r="P42" i="41"/>
  <c r="AF49" i="41"/>
  <c r="K66" i="17"/>
  <c r="N34" i="17"/>
  <c r="K17" i="17"/>
  <c r="K79" i="17"/>
  <c r="AJ19" i="41"/>
  <c r="AH107" i="41"/>
  <c r="AA7" i="41"/>
  <c r="I18" i="32"/>
  <c r="J18" i="33" s="1"/>
  <c r="G18" i="34" s="1"/>
  <c r="J11" i="32"/>
  <c r="L11" i="33" s="1"/>
  <c r="H11" i="34" s="1"/>
  <c r="K12" i="17"/>
  <c r="N13" i="17"/>
  <c r="N74" i="17"/>
  <c r="N70" i="17"/>
  <c r="K64" i="17"/>
  <c r="T71" i="41"/>
  <c r="T99" i="41"/>
  <c r="T115" i="41"/>
  <c r="AJ18" i="41"/>
  <c r="AI149" i="41"/>
  <c r="AI115" i="41"/>
  <c r="AJ110" i="41"/>
  <c r="AG105" i="41"/>
  <c r="AH101" i="41"/>
  <c r="AD93" i="41"/>
  <c r="AG88" i="41"/>
  <c r="AK84" i="41"/>
  <c r="AJ80" i="41"/>
  <c r="AJ74" i="41"/>
  <c r="AK69" i="41"/>
  <c r="AK25" i="41"/>
  <c r="AI19" i="41"/>
  <c r="AJ30" i="41"/>
  <c r="AJ208" i="41"/>
  <c r="AI188" i="41"/>
  <c r="AJ25" i="41"/>
  <c r="AJ71" i="41"/>
  <c r="B42" i="19"/>
  <c r="K42" i="19" s="1"/>
  <c r="D73" i="19"/>
  <c r="I16" i="32"/>
  <c r="J16" i="33" s="1"/>
  <c r="G16" i="34" s="1"/>
  <c r="K11" i="17"/>
  <c r="K57" i="17"/>
  <c r="N33" i="17"/>
  <c r="P211" i="41"/>
  <c r="AK19" i="41"/>
  <c r="AI18" i="41"/>
  <c r="AC8" i="41"/>
  <c r="AH67" i="41"/>
  <c r="AB18" i="41"/>
  <c r="AH224" i="41"/>
  <c r="AK215" i="41"/>
  <c r="AK18" i="41"/>
  <c r="AF7" i="41"/>
  <c r="AE71" i="41"/>
  <c r="F39" i="21"/>
  <c r="AD8" i="41"/>
  <c r="H18" i="21"/>
  <c r="H15" i="21"/>
  <c r="H23" i="21"/>
  <c r="H29" i="21"/>
  <c r="G38" i="38"/>
  <c r="I11" i="34"/>
  <c r="P48" i="35"/>
  <c r="Q48" i="35"/>
  <c r="R48" i="35"/>
  <c r="R84" i="35" s="1"/>
  <c r="R86" i="35" s="1"/>
  <c r="K34" i="17"/>
  <c r="N67" i="17"/>
  <c r="K55" i="17"/>
  <c r="K46" i="17"/>
  <c r="AH19" i="41"/>
  <c r="AC105" i="41"/>
  <c r="AH31" i="41"/>
  <c r="H19" i="21"/>
  <c r="D5" i="34"/>
  <c r="N11" i="17"/>
  <c r="N72" i="17"/>
  <c r="K61" i="17"/>
  <c r="G3" i="29"/>
  <c r="AJ7" i="41"/>
  <c r="AF21" i="41"/>
  <c r="AK197" i="41"/>
  <c r="AI193" i="41"/>
  <c r="AH190" i="41"/>
  <c r="AK176" i="41"/>
  <c r="AK170" i="41"/>
  <c r="AK163" i="41"/>
  <c r="AK159" i="41"/>
  <c r="AF155" i="41"/>
  <c r="AK152" i="41"/>
  <c r="AK147" i="41"/>
  <c r="AJ137" i="41"/>
  <c r="AK130" i="41"/>
  <c r="AK127" i="41"/>
  <c r="AJ120" i="41"/>
  <c r="AC113" i="41"/>
  <c r="AB108" i="41"/>
  <c r="AI103" i="41"/>
  <c r="AG99" i="41"/>
  <c r="AD95" i="41"/>
  <c r="AB86" i="41"/>
  <c r="Z82" i="41"/>
  <c r="AH72" i="41"/>
  <c r="AK66" i="41"/>
  <c r="AK60" i="41"/>
  <c r="AI55" i="41"/>
  <c r="AH50" i="41"/>
  <c r="AI45" i="41"/>
  <c r="AK40" i="41"/>
  <c r="K70" i="17"/>
  <c r="K33" i="17"/>
  <c r="K45" i="17"/>
  <c r="AI7" i="41"/>
  <c r="AF19" i="41"/>
  <c r="AI223" i="41"/>
  <c r="E61" i="19"/>
  <c r="H23" i="38"/>
  <c r="AB21" i="41"/>
  <c r="AI225" i="41"/>
  <c r="AI222" i="41"/>
  <c r="AI219" i="41"/>
  <c r="AK216" i="41"/>
  <c r="AH213" i="41"/>
  <c r="AI206" i="41"/>
  <c r="AK203" i="41"/>
  <c r="AI200" i="41"/>
  <c r="AJ196" i="41"/>
  <c r="AI192" i="41"/>
  <c r="AK189" i="41"/>
  <c r="AJ182" i="41"/>
  <c r="AH179" i="41"/>
  <c r="AI175" i="41"/>
  <c r="AG172" i="41"/>
  <c r="AK161" i="41"/>
  <c r="AI157" i="41"/>
  <c r="AH154" i="41"/>
  <c r="AK146" i="41"/>
  <c r="AI143" i="41"/>
  <c r="AK139" i="41"/>
  <c r="AH136" i="41"/>
  <c r="AK132" i="41"/>
  <c r="AJ129" i="41"/>
  <c r="AH125" i="41"/>
  <c r="AJ122" i="41"/>
  <c r="AK119" i="41"/>
  <c r="AK116" i="41"/>
  <c r="AD111" i="41"/>
  <c r="AG106" i="41"/>
  <c r="AH102" i="41"/>
  <c r="AA98" i="41"/>
  <c r="AJ94" i="41"/>
  <c r="AC90" i="41"/>
  <c r="AK85" i="41"/>
  <c r="AG81" i="41"/>
  <c r="AK75" i="41"/>
  <c r="AJ70" i="41"/>
  <c r="AK65" i="41"/>
  <c r="AK59" i="41"/>
  <c r="AK54" i="41"/>
  <c r="AJ48" i="41"/>
  <c r="AJ44" i="41"/>
  <c r="AH39" i="41"/>
  <c r="AH34" i="41"/>
  <c r="AH5" i="32"/>
  <c r="E30" i="19"/>
  <c r="E26" i="19"/>
  <c r="E41" i="19"/>
  <c r="E49" i="19"/>
  <c r="L61" i="17"/>
  <c r="P208" i="41"/>
  <c r="AK224" i="41"/>
  <c r="AJ175" i="41"/>
  <c r="AJ16" i="41"/>
  <c r="AI8" i="41"/>
  <c r="AH74" i="41"/>
  <c r="AG74" i="41"/>
  <c r="AE9" i="41"/>
  <c r="AC101" i="41"/>
  <c r="AE227" i="41"/>
  <c r="AA44" i="41"/>
  <c r="H7" i="34"/>
  <c r="AA30" i="32"/>
  <c r="E7" i="19"/>
  <c r="E37" i="19"/>
  <c r="E44" i="19"/>
  <c r="E69" i="19"/>
  <c r="J48" i="38"/>
  <c r="L70" i="17"/>
  <c r="L33" i="17"/>
  <c r="J54" i="17"/>
  <c r="L45" i="17"/>
  <c r="N76" i="17"/>
  <c r="P33" i="41"/>
  <c r="T33" i="41" s="1"/>
  <c r="P205" i="41"/>
  <c r="T205" i="41" s="1"/>
  <c r="AK88" i="41"/>
  <c r="AJ101" i="41"/>
  <c r="AI179" i="41"/>
  <c r="AI93" i="41"/>
  <c r="AF17" i="41"/>
  <c r="AE8" i="41"/>
  <c r="AD21" i="41"/>
  <c r="AG53" i="41"/>
  <c r="AB17" i="41"/>
  <c r="AJ228" i="41"/>
  <c r="AE224" i="41"/>
  <c r="AC221" i="41"/>
  <c r="AK218" i="41"/>
  <c r="AJ215" i="41"/>
  <c r="L212" i="41"/>
  <c r="AK212" i="41" s="1"/>
  <c r="AH188" i="41"/>
  <c r="AK175" i="41"/>
  <c r="AI172" i="41"/>
  <c r="AD169" i="41"/>
  <c r="AI161" i="41"/>
  <c r="AK154" i="41"/>
  <c r="AJ151" i="41"/>
  <c r="AK143" i="41"/>
  <c r="AJ136" i="41"/>
  <c r="AJ132" i="41"/>
  <c r="AH119" i="41"/>
  <c r="AH115" i="41"/>
  <c r="AF105" i="41"/>
  <c r="AD101" i="41"/>
  <c r="AC93" i="41"/>
  <c r="AJ88" i="41"/>
  <c r="AJ84" i="41"/>
  <c r="AH80" i="41"/>
  <c r="AJ69" i="41"/>
  <c r="AI25" i="41"/>
  <c r="H8" i="21"/>
  <c r="H5" i="21"/>
  <c r="H14" i="21"/>
  <c r="H25" i="21"/>
  <c r="AK8" i="41"/>
  <c r="AG8" i="41"/>
  <c r="M7" i="34"/>
  <c r="E5" i="19"/>
  <c r="E24" i="19"/>
  <c r="W30" i="32"/>
  <c r="G6" i="34"/>
  <c r="K14" i="34"/>
  <c r="K30" i="34" s="1"/>
  <c r="E12" i="19"/>
  <c r="B20" i="19"/>
  <c r="E29" i="19"/>
  <c r="B41" i="19"/>
  <c r="H41" i="19" s="1"/>
  <c r="E63" i="19"/>
  <c r="E74" i="19"/>
  <c r="I26" i="21"/>
  <c r="I43" i="21"/>
  <c r="L67" i="17"/>
  <c r="L76" i="17"/>
  <c r="L44" i="17"/>
  <c r="L6" i="17"/>
  <c r="L52" i="17"/>
  <c r="P25" i="41"/>
  <c r="R25" i="41" s="1"/>
  <c r="P47" i="41"/>
  <c r="AI74" i="41"/>
  <c r="AI21" i="41"/>
  <c r="AG221" i="41"/>
  <c r="AI218" i="41"/>
  <c r="AH215" i="41"/>
  <c r="AG202" i="41"/>
  <c r="AH198" i="41"/>
  <c r="AD188" i="41"/>
  <c r="AH177" i="41"/>
  <c r="L13" i="17"/>
  <c r="L65" i="17"/>
  <c r="L59" i="17"/>
  <c r="J19" i="17"/>
  <c r="N65" i="17"/>
  <c r="N61" i="17"/>
  <c r="L29" i="17"/>
  <c r="L22" i="17"/>
  <c r="J51" i="17"/>
  <c r="P43" i="41"/>
  <c r="T43" i="41" s="1"/>
  <c r="U157" i="41"/>
  <c r="U160" i="41"/>
  <c r="S169" i="41"/>
  <c r="U178" i="41"/>
  <c r="U196" i="41"/>
  <c r="U199" i="41"/>
  <c r="U202" i="41"/>
  <c r="P209" i="41"/>
  <c r="T209" i="41" s="1"/>
  <c r="AK202" i="41"/>
  <c r="AK115" i="41"/>
  <c r="AK80" i="41"/>
  <c r="AK71" i="41"/>
  <c r="AI73" i="41"/>
  <c r="AH8" i="41"/>
  <c r="AF188" i="41"/>
  <c r="AD115" i="41"/>
  <c r="AD17" i="41"/>
  <c r="AB8" i="41"/>
  <c r="E23" i="19"/>
  <c r="H40" i="21"/>
  <c r="H42" i="21"/>
  <c r="O15" i="38"/>
  <c r="G67" i="38"/>
  <c r="I67" i="38"/>
  <c r="L66" i="17"/>
  <c r="L43" i="17"/>
  <c r="L17" i="17"/>
  <c r="L79" i="17"/>
  <c r="L56" i="17"/>
  <c r="P206" i="41"/>
  <c r="R206" i="41" s="1"/>
  <c r="AK74" i="41"/>
  <c r="AK21" i="41"/>
  <c r="AJ8" i="41"/>
  <c r="AI69" i="41"/>
  <c r="AH218" i="41"/>
  <c r="AH71" i="41"/>
  <c r="AF101" i="41"/>
  <c r="AE21" i="41"/>
  <c r="AD105" i="41"/>
  <c r="AD16" i="41"/>
  <c r="AC17" i="41"/>
  <c r="E6" i="19"/>
  <c r="E15" i="19"/>
  <c r="E33" i="19"/>
  <c r="H16" i="21"/>
  <c r="H22" i="21"/>
  <c r="I20" i="21"/>
  <c r="N27" i="35"/>
  <c r="L12" i="17"/>
  <c r="M12" i="17" s="1"/>
  <c r="L64" i="17"/>
  <c r="L58" i="17"/>
  <c r="L21" i="17"/>
  <c r="L15" i="17"/>
  <c r="S26" i="41"/>
  <c r="AK110" i="41"/>
  <c r="AI119" i="41"/>
  <c r="AI17" i="41"/>
  <c r="AH172" i="41"/>
  <c r="AG21" i="41"/>
  <c r="AC16" i="41"/>
  <c r="AJ168" i="41"/>
  <c r="BE14" i="39"/>
  <c r="E11" i="19"/>
  <c r="Y30" i="32"/>
  <c r="G5" i="34"/>
  <c r="B27" i="19"/>
  <c r="Q27" i="19" s="1"/>
  <c r="B33" i="19"/>
  <c r="B66" i="19"/>
  <c r="N66" i="19" s="1"/>
  <c r="F8" i="34"/>
  <c r="L42" i="17"/>
  <c r="L16" i="17"/>
  <c r="L78" i="17"/>
  <c r="L27" i="17"/>
  <c r="R80" i="41"/>
  <c r="AK105" i="41"/>
  <c r="AI16" i="41"/>
  <c r="AH21" i="41"/>
  <c r="AG157" i="41"/>
  <c r="AE16" i="41"/>
  <c r="AA220" i="41"/>
  <c r="AH14" i="32"/>
  <c r="AH10" i="32"/>
  <c r="AH7" i="32"/>
  <c r="H24" i="34"/>
  <c r="I5" i="34"/>
  <c r="N4" i="34"/>
  <c r="I23" i="34"/>
  <c r="E18" i="19"/>
  <c r="B39" i="19"/>
  <c r="K39" i="19" s="1"/>
  <c r="B63" i="19"/>
  <c r="I13" i="21"/>
  <c r="I10" i="21"/>
  <c r="H46" i="38"/>
  <c r="L11" i="17"/>
  <c r="L69" i="17"/>
  <c r="L63" i="17"/>
  <c r="L57" i="17"/>
  <c r="L14" i="17"/>
  <c r="AK104" i="41"/>
  <c r="AK17" i="41"/>
  <c r="AJ203" i="41"/>
  <c r="AJ21" i="41"/>
  <c r="AH105" i="41"/>
  <c r="AF9" i="41"/>
  <c r="AC30" i="41"/>
  <c r="AA21" i="41"/>
  <c r="AF29" i="41"/>
  <c r="V30" i="32"/>
  <c r="E19" i="19"/>
  <c r="R30" i="33"/>
  <c r="R32" i="33" s="1"/>
  <c r="AH20" i="32"/>
  <c r="AH4" i="32"/>
  <c r="E13" i="19"/>
  <c r="E27" i="19"/>
  <c r="I6" i="21"/>
  <c r="B6" i="21"/>
  <c r="I15" i="21"/>
  <c r="I36" i="21"/>
  <c r="L47" i="17"/>
  <c r="L77" i="17"/>
  <c r="L50" i="17"/>
  <c r="AK177" i="41"/>
  <c r="AK101" i="41"/>
  <c r="AK16" i="41"/>
  <c r="AJ202" i="41"/>
  <c r="AJ22" i="41"/>
  <c r="AH17" i="41"/>
  <c r="AG17" i="41"/>
  <c r="AF8" i="41"/>
  <c r="AJ183" i="41"/>
  <c r="AI166" i="41"/>
  <c r="AJ163" i="41"/>
  <c r="AJ159" i="41"/>
  <c r="AE141" i="41"/>
  <c r="AI133" i="41"/>
  <c r="AI130" i="41"/>
  <c r="AD127" i="41"/>
  <c r="O16" i="35"/>
  <c r="I15" i="38" s="1"/>
  <c r="I4" i="34"/>
  <c r="I16" i="21"/>
  <c r="I24" i="21"/>
  <c r="I30" i="21"/>
  <c r="H59" i="21"/>
  <c r="T73" i="41"/>
  <c r="T77" i="41"/>
  <c r="R81" i="41"/>
  <c r="T97" i="41"/>
  <c r="T113" i="41"/>
  <c r="U120" i="41"/>
  <c r="AK206" i="41"/>
  <c r="AK185" i="41"/>
  <c r="AK70" i="41"/>
  <c r="AK48" i="41"/>
  <c r="AJ172" i="41"/>
  <c r="AJ146" i="41"/>
  <c r="AJ125" i="41"/>
  <c r="AJ39" i="41"/>
  <c r="AI228" i="41"/>
  <c r="AI176" i="41"/>
  <c r="AI116" i="41"/>
  <c r="AI94" i="41"/>
  <c r="AI66" i="41"/>
  <c r="AI22" i="41"/>
  <c r="AH169" i="41"/>
  <c r="AH99" i="41"/>
  <c r="AH66" i="41"/>
  <c r="AG154" i="41"/>
  <c r="AF39" i="41"/>
  <c r="AC22" i="41"/>
  <c r="AA22" i="41"/>
  <c r="AG222" i="41"/>
  <c r="Z200" i="41"/>
  <c r="F11" i="21"/>
  <c r="H20" i="21"/>
  <c r="H27" i="21"/>
  <c r="AK90" i="41"/>
  <c r="AK44" i="41"/>
  <c r="AK22" i="41"/>
  <c r="AJ85" i="41"/>
  <c r="AJ65" i="41"/>
  <c r="AI65" i="41"/>
  <c r="AI39" i="41"/>
  <c r="AH157" i="41"/>
  <c r="AG125" i="41"/>
  <c r="AF125" i="41"/>
  <c r="AE59" i="41"/>
  <c r="AB182" i="41"/>
  <c r="AJ162" i="41"/>
  <c r="AE185" i="41"/>
  <c r="AG182" i="41"/>
  <c r="AF179" i="41"/>
  <c r="AE139" i="41"/>
  <c r="AB129" i="41"/>
  <c r="G5" i="29"/>
  <c r="M5" i="29" s="1"/>
  <c r="P34" i="41"/>
  <c r="T34" i="41" s="1"/>
  <c r="R130" i="41"/>
  <c r="S192" i="41"/>
  <c r="AK225" i="41"/>
  <c r="AK182" i="41"/>
  <c r="AK136" i="41"/>
  <c r="AK108" i="41"/>
  <c r="AJ169" i="41"/>
  <c r="AJ143" i="41"/>
  <c r="AJ102" i="41"/>
  <c r="AJ34" i="41"/>
  <c r="AI139" i="41"/>
  <c r="AI113" i="41"/>
  <c r="AI90" i="41"/>
  <c r="AH221" i="41"/>
  <c r="AH139" i="41"/>
  <c r="AH94" i="41"/>
  <c r="AH18" i="41"/>
  <c r="AG108" i="41"/>
  <c r="AG70" i="41"/>
  <c r="AF115" i="41"/>
  <c r="AD82" i="41"/>
  <c r="AD12" i="41"/>
  <c r="AC44" i="41"/>
  <c r="AA116" i="41"/>
  <c r="AH62" i="41"/>
  <c r="AH33" i="41"/>
  <c r="AK157" i="41"/>
  <c r="AK106" i="41"/>
  <c r="AK39" i="41"/>
  <c r="AJ225" i="41"/>
  <c r="AJ119" i="41"/>
  <c r="AI170" i="41"/>
  <c r="AI34" i="41"/>
  <c r="AH59" i="41"/>
  <c r="AH22" i="41"/>
  <c r="AF22" i="41"/>
  <c r="AE22" i="41"/>
  <c r="AH228" i="41"/>
  <c r="E13" i="34"/>
  <c r="E8" i="17"/>
  <c r="P39" i="41"/>
  <c r="T39" i="41" s="1"/>
  <c r="R139" i="41"/>
  <c r="T142" i="41"/>
  <c r="R151" i="41"/>
  <c r="T175" i="41"/>
  <c r="T190" i="41"/>
  <c r="AK222" i="41"/>
  <c r="AK200" i="41"/>
  <c r="AK179" i="41"/>
  <c r="AJ224" i="41"/>
  <c r="AJ190" i="41"/>
  <c r="AJ166" i="41"/>
  <c r="AJ139" i="41"/>
  <c r="AJ116" i="41"/>
  <c r="AJ99" i="41"/>
  <c r="AJ60" i="41"/>
  <c r="AJ12" i="41"/>
  <c r="AI169" i="41"/>
  <c r="AI136" i="41"/>
  <c r="AI106" i="41"/>
  <c r="AI86" i="41"/>
  <c r="AI60" i="41"/>
  <c r="AH129" i="41"/>
  <c r="AH88" i="41"/>
  <c r="AH54" i="41"/>
  <c r="AG228" i="41"/>
  <c r="AG103" i="41"/>
  <c r="AG59" i="41"/>
  <c r="AF90" i="41"/>
  <c r="AE182" i="41"/>
  <c r="F13" i="21"/>
  <c r="F10" i="21"/>
  <c r="J61" i="17"/>
  <c r="S118" i="41"/>
  <c r="AK221" i="41"/>
  <c r="AK129" i="41"/>
  <c r="AK34" i="41"/>
  <c r="AJ221" i="41"/>
  <c r="AJ188" i="41"/>
  <c r="AJ115" i="41"/>
  <c r="AJ95" i="41"/>
  <c r="AJ75" i="41"/>
  <c r="AJ59" i="41"/>
  <c r="AJ29" i="41"/>
  <c r="AI202" i="41"/>
  <c r="AI105" i="41"/>
  <c r="AI82" i="41"/>
  <c r="AI59" i="41"/>
  <c r="AI29" i="41"/>
  <c r="AI12" i="41"/>
  <c r="AH86" i="41"/>
  <c r="AG101" i="41"/>
  <c r="AG9" i="41"/>
  <c r="AF88" i="41"/>
  <c r="AE18" i="41"/>
  <c r="AD9" i="41"/>
  <c r="AJ178" i="41"/>
  <c r="AJ150" i="41"/>
  <c r="AB95" i="41"/>
  <c r="AB16" i="41"/>
  <c r="AB49" i="41"/>
  <c r="AA149" i="41"/>
  <c r="AB121" i="41"/>
  <c r="AE61" i="41"/>
  <c r="AF51" i="41"/>
  <c r="AD36" i="41"/>
  <c r="F6" i="21"/>
  <c r="I12" i="21"/>
  <c r="F36" i="21"/>
  <c r="AK219" i="41"/>
  <c r="AK193" i="41"/>
  <c r="AK151" i="41"/>
  <c r="AK103" i="41"/>
  <c r="AK82" i="41"/>
  <c r="AK12" i="41"/>
  <c r="AJ218" i="41"/>
  <c r="AJ185" i="41"/>
  <c r="AJ161" i="41"/>
  <c r="AJ55" i="41"/>
  <c r="AJ9" i="41"/>
  <c r="AI162" i="41"/>
  <c r="AI80" i="41"/>
  <c r="AH192" i="41"/>
  <c r="AH82" i="41"/>
  <c r="AG39" i="41"/>
  <c r="AF86" i="41"/>
  <c r="AE127" i="41"/>
  <c r="AD129" i="41"/>
  <c r="AA105" i="41"/>
  <c r="AA18" i="41"/>
  <c r="O17" i="39"/>
  <c r="P17" i="39" s="1"/>
  <c r="Q17" i="39" s="1"/>
  <c r="BJ80" i="14"/>
  <c r="I8" i="21"/>
  <c r="I4" i="21"/>
  <c r="I14" i="21"/>
  <c r="I25" i="21"/>
  <c r="F35" i="21"/>
  <c r="I38" i="21"/>
  <c r="P27" i="41"/>
  <c r="P44" i="41"/>
  <c r="R44" i="41" s="1"/>
  <c r="U224" i="41"/>
  <c r="S227" i="41"/>
  <c r="AK192" i="41"/>
  <c r="AK125" i="41"/>
  <c r="AK81" i="41"/>
  <c r="AK29" i="41"/>
  <c r="AJ113" i="41"/>
  <c r="AJ93" i="41"/>
  <c r="AJ54" i="41"/>
  <c r="AI75" i="41"/>
  <c r="AI54" i="41"/>
  <c r="AI9" i="41"/>
  <c r="AH108" i="41"/>
  <c r="AH44" i="41"/>
  <c r="AG200" i="41"/>
  <c r="AG93" i="41"/>
  <c r="AG7" i="41"/>
  <c r="AF82" i="41"/>
  <c r="AE105" i="41"/>
  <c r="AI140" i="41"/>
  <c r="AA86" i="41"/>
  <c r="AA16" i="41"/>
  <c r="AD226" i="41"/>
  <c r="AG210" i="41"/>
  <c r="AK9" i="41"/>
  <c r="AJ157" i="41"/>
  <c r="AJ111" i="41"/>
  <c r="AI129" i="41"/>
  <c r="AH185" i="41"/>
  <c r="AH75" i="41"/>
  <c r="AG185" i="41"/>
  <c r="T104" i="41"/>
  <c r="S119" i="41"/>
  <c r="S131" i="41"/>
  <c r="U134" i="41"/>
  <c r="AK213" i="41"/>
  <c r="AK172" i="41"/>
  <c r="AK98" i="41"/>
  <c r="AJ179" i="41"/>
  <c r="AJ154" i="41"/>
  <c r="AJ90" i="41"/>
  <c r="AI154" i="41"/>
  <c r="AI125" i="41"/>
  <c r="AI20" i="41"/>
  <c r="AG22" i="41"/>
  <c r="AE140" i="41"/>
  <c r="AB22" i="41"/>
  <c r="AI148" i="41"/>
  <c r="AD200" i="41"/>
  <c r="AK196" i="41"/>
  <c r="AJ192" i="41"/>
  <c r="AI189" i="41"/>
  <c r="AI186" i="41"/>
  <c r="AI180" i="41"/>
  <c r="AH176" i="41"/>
  <c r="AH173" i="41"/>
  <c r="AF170" i="41"/>
  <c r="AE166" i="41"/>
  <c r="AC163" i="41"/>
  <c r="AK155" i="41"/>
  <c r="AH152" i="41"/>
  <c r="AG147" i="41"/>
  <c r="AI141" i="41"/>
  <c r="AH137" i="41"/>
  <c r="AE133" i="41"/>
  <c r="AH130" i="41"/>
  <c r="AF127" i="41"/>
  <c r="AF123" i="41"/>
  <c r="AH120" i="41"/>
  <c r="AF116" i="41"/>
  <c r="AH111" i="41"/>
  <c r="AI102" i="41"/>
  <c r="AG98" i="41"/>
  <c r="AK94" i="41"/>
  <c r="AD90" i="41"/>
  <c r="AH85" i="41"/>
  <c r="AI81" i="41"/>
  <c r="AF75" i="41"/>
  <c r="AH70" i="41"/>
  <c r="AA55" i="41"/>
  <c r="AC50" i="41"/>
  <c r="H68" i="21"/>
  <c r="D20" i="34"/>
  <c r="H44" i="38"/>
  <c r="J40" i="17"/>
  <c r="AK188" i="41"/>
  <c r="AK95" i="41"/>
  <c r="AJ206" i="41"/>
  <c r="AJ176" i="41"/>
  <c r="AJ108" i="41"/>
  <c r="AI182" i="41"/>
  <c r="AI152" i="41"/>
  <c r="AI123" i="41"/>
  <c r="AI98" i="41"/>
  <c r="AI72" i="41"/>
  <c r="AH9" i="41"/>
  <c r="AG170" i="41"/>
  <c r="AF228" i="41"/>
  <c r="AE82" i="41"/>
  <c r="AC9" i="41"/>
  <c r="AE194" i="41"/>
  <c r="AI135" i="41"/>
  <c r="AF205" i="41"/>
  <c r="AJ205" i="41"/>
  <c r="AI205" i="41"/>
  <c r="AH205" i="41"/>
  <c r="AK205" i="41"/>
  <c r="H66" i="21"/>
  <c r="E74" i="28"/>
  <c r="E71" i="40" s="1"/>
  <c r="E80" i="17"/>
  <c r="AG141" i="41"/>
  <c r="AF111" i="41"/>
  <c r="AE192" i="41"/>
  <c r="AE90" i="41"/>
  <c r="AG168" i="41"/>
  <c r="AE89" i="41"/>
  <c r="M229" i="41"/>
  <c r="AK27" i="41"/>
  <c r="K3" i="29"/>
  <c r="F12" i="21"/>
  <c r="F32" i="21"/>
  <c r="E45" i="21"/>
  <c r="Q45" i="21" s="1"/>
  <c r="H48" i="21"/>
  <c r="U94" i="41"/>
  <c r="R106" i="41"/>
  <c r="S223" i="41"/>
  <c r="AK166" i="41"/>
  <c r="AK120" i="41"/>
  <c r="AK102" i="41"/>
  <c r="AJ222" i="41"/>
  <c r="AJ180" i="41"/>
  <c r="AJ123" i="41"/>
  <c r="AJ50" i="41"/>
  <c r="AI216" i="41"/>
  <c r="AI111" i="41"/>
  <c r="AI70" i="41"/>
  <c r="AI49" i="41"/>
  <c r="AH200" i="41"/>
  <c r="AH170" i="41"/>
  <c r="AH49" i="41"/>
  <c r="AG139" i="41"/>
  <c r="AG50" i="41"/>
  <c r="AG12" i="41"/>
  <c r="AD137" i="41"/>
  <c r="AJ199" i="41"/>
  <c r="AB9" i="41"/>
  <c r="AA19" i="41"/>
  <c r="AD228" i="41"/>
  <c r="Z101" i="41"/>
  <c r="AF93" i="41"/>
  <c r="Z88" i="41"/>
  <c r="AH69" i="41"/>
  <c r="AJ38" i="41"/>
  <c r="O18" i="39"/>
  <c r="F5" i="21"/>
  <c r="F14" i="21"/>
  <c r="F25" i="21"/>
  <c r="H41" i="21"/>
  <c r="E68" i="17"/>
  <c r="AJ200" i="41"/>
  <c r="AI213" i="41"/>
  <c r="AI155" i="41"/>
  <c r="AH123" i="41"/>
  <c r="AH98" i="41"/>
  <c r="AG137" i="41"/>
  <c r="AF50" i="41"/>
  <c r="AE85" i="41"/>
  <c r="AD133" i="41"/>
  <c r="AD75" i="41"/>
  <c r="AJ79" i="41"/>
  <c r="AH202" i="41"/>
  <c r="AB78" i="41"/>
  <c r="AH73" i="41"/>
  <c r="AA68" i="41"/>
  <c r="AB63" i="41"/>
  <c r="AB58" i="41"/>
  <c r="AI47" i="41"/>
  <c r="O8" i="39"/>
  <c r="P8" i="39" s="1"/>
  <c r="Q8" i="39" s="1"/>
  <c r="O16" i="39"/>
  <c r="BJ72" i="14"/>
  <c r="BJ48" i="14"/>
  <c r="BJ36" i="14"/>
  <c r="BJ24" i="14"/>
  <c r="BJ12" i="14"/>
  <c r="E24" i="21"/>
  <c r="F21" i="21"/>
  <c r="F28" i="21"/>
  <c r="H26" i="21"/>
  <c r="X27" i="35"/>
  <c r="G22" i="32"/>
  <c r="F22" i="33" s="1"/>
  <c r="E22" i="34" s="1"/>
  <c r="U91" i="41"/>
  <c r="AJ219" i="41"/>
  <c r="AH196" i="41"/>
  <c r="AH163" i="41"/>
  <c r="AG127" i="41"/>
  <c r="AG85" i="41"/>
  <c r="AF166" i="41"/>
  <c r="AF98" i="41"/>
  <c r="AF199" i="41"/>
  <c r="AI126" i="41"/>
  <c r="AH76" i="41"/>
  <c r="AE226" i="41"/>
  <c r="AG223" i="41"/>
  <c r="AF220" i="41"/>
  <c r="AI217" i="41"/>
  <c r="AJ214" i="41"/>
  <c r="AF210" i="41"/>
  <c r="AH204" i="41"/>
  <c r="AC201" i="41"/>
  <c r="AI198" i="41"/>
  <c r="AJ195" i="41"/>
  <c r="AH191" i="41"/>
  <c r="AH187" i="41"/>
  <c r="AK184" i="41"/>
  <c r="AI181" i="41"/>
  <c r="AJ177" i="41"/>
  <c r="AJ174" i="41"/>
  <c r="AK171" i="41"/>
  <c r="AJ167" i="41"/>
  <c r="AJ164" i="41"/>
  <c r="AJ160" i="41"/>
  <c r="AI156" i="41"/>
  <c r="AJ153" i="41"/>
  <c r="AH149" i="41"/>
  <c r="AH145" i="41"/>
  <c r="AI142" i="41"/>
  <c r="AJ138" i="41"/>
  <c r="AD134" i="41"/>
  <c r="AF131" i="41"/>
  <c r="AH128" i="41"/>
  <c r="AJ124" i="41"/>
  <c r="AA121" i="41"/>
  <c r="AC118" i="41"/>
  <c r="AI114" i="41"/>
  <c r="AD109" i="41"/>
  <c r="AD104" i="41"/>
  <c r="AI100" i="41"/>
  <c r="AI96" i="41"/>
  <c r="AH92" i="41"/>
  <c r="AK87" i="41"/>
  <c r="AK83" i="41"/>
  <c r="AA71" i="41"/>
  <c r="E8" i="21"/>
  <c r="E11" i="21"/>
  <c r="V11" i="21" s="1"/>
  <c r="E16" i="21"/>
  <c r="O16" i="21" s="1"/>
  <c r="E35" i="21"/>
  <c r="W35" i="21" s="1"/>
  <c r="E41" i="21"/>
  <c r="V41" i="21" s="1"/>
  <c r="E7" i="21"/>
  <c r="W7" i="21" s="1"/>
  <c r="R72" i="41"/>
  <c r="R119" i="41"/>
  <c r="AJ216" i="41"/>
  <c r="AJ155" i="41"/>
  <c r="AI85" i="41"/>
  <c r="AH155" i="41"/>
  <c r="AH116" i="41"/>
  <c r="AG29" i="41"/>
  <c r="AF141" i="41"/>
  <c r="AF150" i="41"/>
  <c r="AI67" i="41"/>
  <c r="AE76" i="41"/>
  <c r="AB210" i="41"/>
  <c r="AE36" i="41"/>
  <c r="E6" i="21"/>
  <c r="Q6" i="21" s="1"/>
  <c r="E14" i="21"/>
  <c r="M14" i="21" s="1"/>
  <c r="H34" i="21"/>
  <c r="H49" i="21"/>
  <c r="H62" i="21"/>
  <c r="H70" i="28"/>
  <c r="I70" i="28"/>
  <c r="T170" i="41"/>
  <c r="T182" i="41"/>
  <c r="R188" i="41"/>
  <c r="S209" i="41"/>
  <c r="AK133" i="41"/>
  <c r="AK111" i="41"/>
  <c r="AJ173" i="41"/>
  <c r="AJ133" i="41"/>
  <c r="AJ98" i="41"/>
  <c r="AJ81" i="41"/>
  <c r="AI173" i="41"/>
  <c r="AI127" i="41"/>
  <c r="AH89" i="41"/>
  <c r="AH30" i="41"/>
  <c r="AF137" i="41"/>
  <c r="AH112" i="41"/>
  <c r="AE30" i="41"/>
  <c r="AA9" i="41"/>
  <c r="AF72" i="41"/>
  <c r="E4" i="21"/>
  <c r="U4" i="21" s="1"/>
  <c r="K43" i="28" s="1"/>
  <c r="K42" i="40" s="1"/>
  <c r="E29" i="21"/>
  <c r="O29" i="21" s="1"/>
  <c r="H39" i="21"/>
  <c r="AJ213" i="41"/>
  <c r="AJ152" i="41"/>
  <c r="AI147" i="41"/>
  <c r="AF85" i="41"/>
  <c r="AD112" i="41"/>
  <c r="AF194" i="41"/>
  <c r="AH135" i="41"/>
  <c r="AG216" i="41"/>
  <c r="AG213" i="41"/>
  <c r="AB206" i="41"/>
  <c r="AI203" i="41"/>
  <c r="AG197" i="41"/>
  <c r="AF190" i="41"/>
  <c r="AC183" i="41"/>
  <c r="AC180" i="41"/>
  <c r="AC170" i="41"/>
  <c r="AH166" i="41"/>
  <c r="AI163" i="41"/>
  <c r="AA155" i="41"/>
  <c r="AD152" i="41"/>
  <c r="AH147" i="41"/>
  <c r="AA141" i="41"/>
  <c r="AA137" i="41"/>
  <c r="AB133" i="41"/>
  <c r="AA127" i="41"/>
  <c r="AA29" i="41"/>
  <c r="H47" i="21"/>
  <c r="E47" i="21"/>
  <c r="Q47" i="21" s="1"/>
  <c r="H51" i="21"/>
  <c r="BJ40" i="14"/>
  <c r="BJ47" i="14"/>
  <c r="E33" i="21"/>
  <c r="Q33" i="21" s="1"/>
  <c r="H36" i="21"/>
  <c r="G33" i="17"/>
  <c r="R50" i="41"/>
  <c r="T62" i="41"/>
  <c r="R93" i="41"/>
  <c r="AJ186" i="41"/>
  <c r="AI30" i="41"/>
  <c r="AH55" i="41"/>
  <c r="AF221" i="41"/>
  <c r="AF70" i="41"/>
  <c r="AE116" i="41"/>
  <c r="AI211" i="41"/>
  <c r="AB62" i="41"/>
  <c r="AE218" i="41"/>
  <c r="AI215" i="41"/>
  <c r="AH203" i="41"/>
  <c r="AC200" i="41"/>
  <c r="AB196" i="41"/>
  <c r="AD192" i="41"/>
  <c r="AC182" i="41"/>
  <c r="AD172" i="41"/>
  <c r="AD157" i="41"/>
  <c r="AC154" i="41"/>
  <c r="AD143" i="41"/>
  <c r="AB139" i="41"/>
  <c r="AG119" i="41"/>
  <c r="AB116" i="41"/>
  <c r="AH106" i="41"/>
  <c r="AC102" i="41"/>
  <c r="AB98" i="41"/>
  <c r="AB90" i="41"/>
  <c r="AC85" i="41"/>
  <c r="AE31" i="41"/>
  <c r="BJ64" i="14"/>
  <c r="BJ28" i="14"/>
  <c r="BJ4" i="14"/>
  <c r="BJ11" i="14"/>
  <c r="E19" i="21"/>
  <c r="R19" i="21" s="1"/>
  <c r="H35" i="21"/>
  <c r="AF213" i="41"/>
  <c r="AE200" i="41"/>
  <c r="AG158" i="41"/>
  <c r="AA196" i="41"/>
  <c r="BJ76" i="14"/>
  <c r="BJ52" i="14"/>
  <c r="BJ16" i="14"/>
  <c r="BJ35" i="14"/>
  <c r="C7" i="29"/>
  <c r="E38" i="19"/>
  <c r="H12" i="21"/>
  <c r="Q15" i="32"/>
  <c r="W15" i="33" s="1"/>
  <c r="O15" i="34" s="1"/>
  <c r="M74" i="38"/>
  <c r="R70" i="41"/>
  <c r="AJ53" i="41"/>
  <c r="AB50" i="41"/>
  <c r="Z39" i="41"/>
  <c r="O62" i="35"/>
  <c r="I27" i="34"/>
  <c r="O30" i="33"/>
  <c r="O35" i="33" s="1"/>
  <c r="T47" i="35"/>
  <c r="M23" i="34"/>
  <c r="S62" i="35"/>
  <c r="M27" i="34"/>
  <c r="E25" i="35"/>
  <c r="D24" i="38" s="1"/>
  <c r="D6" i="34"/>
  <c r="O14" i="39"/>
  <c r="P14" i="39" s="1"/>
  <c r="Q14" i="39" s="1"/>
  <c r="U14" i="39" s="1"/>
  <c r="BH29" i="13"/>
  <c r="BJ67" i="14"/>
  <c r="BJ43" i="14"/>
  <c r="BJ19" i="14"/>
  <c r="BJ69" i="14"/>
  <c r="BJ57" i="14"/>
  <c r="BJ9" i="14"/>
  <c r="E20" i="19"/>
  <c r="E32" i="19"/>
  <c r="D39" i="19"/>
  <c r="E36" i="19"/>
  <c r="E56" i="19"/>
  <c r="D81" i="19"/>
  <c r="H7" i="21"/>
  <c r="E13" i="21"/>
  <c r="Q13" i="21" s="1"/>
  <c r="E18" i="21"/>
  <c r="O18" i="21" s="1"/>
  <c r="H21" i="21"/>
  <c r="H28" i="21"/>
  <c r="E32" i="21"/>
  <c r="B39" i="21"/>
  <c r="H37" i="21"/>
  <c r="H45" i="21"/>
  <c r="H75" i="21"/>
  <c r="E76" i="21"/>
  <c r="Q76" i="21" s="1"/>
  <c r="F16" i="32"/>
  <c r="D16" i="33" s="1"/>
  <c r="D16" i="34" s="1"/>
  <c r="G11" i="32"/>
  <c r="F11" i="33" s="1"/>
  <c r="E11" i="34" s="1"/>
  <c r="H19" i="32"/>
  <c r="H19" i="33" s="1"/>
  <c r="F19" i="34" s="1"/>
  <c r="H23" i="32"/>
  <c r="I13" i="32"/>
  <c r="J13" i="33" s="1"/>
  <c r="G13" i="34" s="1"/>
  <c r="J17" i="32"/>
  <c r="L17" i="33" s="1"/>
  <c r="H17" i="34" s="1"/>
  <c r="O13" i="32"/>
  <c r="S13" i="33" s="1"/>
  <c r="M13" i="34" s="1"/>
  <c r="P20" i="32"/>
  <c r="U20" i="33" s="1"/>
  <c r="N20" i="34" s="1"/>
  <c r="P24" i="32"/>
  <c r="U24" i="33" s="1"/>
  <c r="F21" i="32"/>
  <c r="D21" i="33" s="1"/>
  <c r="D21" i="34" s="1"/>
  <c r="I22" i="32"/>
  <c r="J22" i="33" s="1"/>
  <c r="G22" i="34" s="1"/>
  <c r="BJ79" i="14"/>
  <c r="BJ55" i="14"/>
  <c r="BJ31" i="14"/>
  <c r="BJ7" i="14"/>
  <c r="BJ81" i="14"/>
  <c r="BJ49" i="14"/>
  <c r="BJ68" i="14"/>
  <c r="BJ20" i="14"/>
  <c r="E50" i="19"/>
  <c r="D56" i="19"/>
  <c r="E52" i="19"/>
  <c r="E58" i="19"/>
  <c r="B7" i="21"/>
  <c r="E9" i="21"/>
  <c r="Q9" i="21" s="1"/>
  <c r="E12" i="21"/>
  <c r="V12" i="21" s="1"/>
  <c r="H11" i="21"/>
  <c r="E17" i="21"/>
  <c r="M17" i="21" s="1"/>
  <c r="E25" i="21"/>
  <c r="V25" i="21" s="1"/>
  <c r="E26" i="21"/>
  <c r="V26" i="21" s="1"/>
  <c r="H33" i="21"/>
  <c r="H38" i="21"/>
  <c r="H50" i="21"/>
  <c r="H73" i="21"/>
  <c r="F27" i="35"/>
  <c r="F15" i="32"/>
  <c r="D15" i="33" s="1"/>
  <c r="D15" i="34" s="1"/>
  <c r="I12" i="32"/>
  <c r="J12" i="33" s="1"/>
  <c r="G12" i="34" s="1"/>
  <c r="J16" i="32"/>
  <c r="L16" i="33" s="1"/>
  <c r="H16" i="34" s="1"/>
  <c r="O12" i="32"/>
  <c r="S12" i="33" s="1"/>
  <c r="M12" i="34" s="1"/>
  <c r="P19" i="32"/>
  <c r="U19" i="33" s="1"/>
  <c r="N19" i="34" s="1"/>
  <c r="I21" i="32"/>
  <c r="J21" i="33" s="1"/>
  <c r="G21" i="34" s="1"/>
  <c r="B20" i="21"/>
  <c r="I24" i="38"/>
  <c r="O11" i="32"/>
  <c r="S11" i="33" s="1"/>
  <c r="M11" i="34" s="1"/>
  <c r="P18" i="32"/>
  <c r="U18" i="33" s="1"/>
  <c r="N18" i="34" s="1"/>
  <c r="Q20" i="32"/>
  <c r="W20" i="33" s="1"/>
  <c r="O20" i="34" s="1"/>
  <c r="E10" i="21"/>
  <c r="Q10" i="21" s="1"/>
  <c r="E15" i="21"/>
  <c r="V15" i="21" s="1"/>
  <c r="B23" i="21"/>
  <c r="E23" i="21"/>
  <c r="V23" i="21" s="1"/>
  <c r="H24" i="21"/>
  <c r="H30" i="21"/>
  <c r="E36" i="21"/>
  <c r="E44" i="21"/>
  <c r="F13" i="32"/>
  <c r="D13" i="33" s="1"/>
  <c r="D13" i="34" s="1"/>
  <c r="G19" i="32"/>
  <c r="H17" i="32"/>
  <c r="H17" i="33" s="1"/>
  <c r="F17" i="34" s="1"/>
  <c r="H24" i="32"/>
  <c r="H24" i="33" s="1"/>
  <c r="J14" i="32"/>
  <c r="L14" i="33" s="1"/>
  <c r="H14" i="34" s="1"/>
  <c r="P17" i="32"/>
  <c r="U17" i="33" s="1"/>
  <c r="N17" i="34" s="1"/>
  <c r="Q19" i="32"/>
  <c r="W19" i="33" s="1"/>
  <c r="O19" i="34" s="1"/>
  <c r="Q24" i="32"/>
  <c r="W24" i="33" s="1"/>
  <c r="J13" i="32"/>
  <c r="L13" i="33" s="1"/>
  <c r="H13" i="34" s="1"/>
  <c r="P15" i="32"/>
  <c r="U15" i="33" s="1"/>
  <c r="N15" i="34" s="1"/>
  <c r="Q18" i="32"/>
  <c r="W18" i="33" s="1"/>
  <c r="O18" i="34" s="1"/>
  <c r="F25" i="32"/>
  <c r="D25" i="33" s="1"/>
  <c r="H22" i="32"/>
  <c r="H22" i="33" s="1"/>
  <c r="F22" i="34" s="1"/>
  <c r="H27" i="32"/>
  <c r="H27" i="33" s="1"/>
  <c r="AE41" i="41"/>
  <c r="AG41" i="41"/>
  <c r="AH41" i="41"/>
  <c r="AD41" i="41"/>
  <c r="AJ41" i="41"/>
  <c r="AI41" i="41"/>
  <c r="AK41" i="41"/>
  <c r="E5" i="21"/>
  <c r="W5" i="21" s="1"/>
  <c r="B12" i="21"/>
  <c r="H13" i="21"/>
  <c r="H10" i="21"/>
  <c r="E30" i="21"/>
  <c r="O30" i="21" s="1"/>
  <c r="H31" i="21"/>
  <c r="E40" i="21"/>
  <c r="W40" i="21" s="1"/>
  <c r="E46" i="21"/>
  <c r="P6" i="32"/>
  <c r="F9" i="32"/>
  <c r="J8" i="32"/>
  <c r="H10" i="32"/>
  <c r="H10" i="33" s="1"/>
  <c r="F11" i="32"/>
  <c r="G17" i="32"/>
  <c r="F17" i="33" s="1"/>
  <c r="E17" i="34" s="1"/>
  <c r="H16" i="32"/>
  <c r="H16" i="33" s="1"/>
  <c r="F16" i="34" s="1"/>
  <c r="I19" i="32"/>
  <c r="J19" i="33" s="1"/>
  <c r="G19" i="34" s="1"/>
  <c r="J12" i="32"/>
  <c r="L12" i="33" s="1"/>
  <c r="H12" i="34" s="1"/>
  <c r="P14" i="32"/>
  <c r="U14" i="33" s="1"/>
  <c r="N14" i="34" s="1"/>
  <c r="Q17" i="32"/>
  <c r="W17" i="33" s="1"/>
  <c r="O17" i="34" s="1"/>
  <c r="J33" i="39"/>
  <c r="E71" i="21"/>
  <c r="W71" i="21" s="1"/>
  <c r="I3" i="29"/>
  <c r="BJ61" i="14"/>
  <c r="E21" i="21"/>
  <c r="V21" i="21" s="1"/>
  <c r="E34" i="21"/>
  <c r="V34" i="21" s="1"/>
  <c r="E49" i="21"/>
  <c r="Q14" i="32"/>
  <c r="W14" i="33" s="1"/>
  <c r="O14" i="34" s="1"/>
  <c r="J21" i="32"/>
  <c r="L21" i="33" s="1"/>
  <c r="H21" i="34" s="1"/>
  <c r="H26" i="32"/>
  <c r="H26" i="33" s="1"/>
  <c r="E20" i="21"/>
  <c r="Q20" i="21" s="1"/>
  <c r="E48" i="21"/>
  <c r="Q48" i="21" s="1"/>
  <c r="L26" i="38"/>
  <c r="J67" i="28" s="1"/>
  <c r="J65" i="40" s="1"/>
  <c r="O18" i="32"/>
  <c r="S18" i="33" s="1"/>
  <c r="M18" i="34" s="1"/>
  <c r="Q12" i="32"/>
  <c r="W12" i="33" s="1"/>
  <c r="O12" i="34" s="1"/>
  <c r="P26" i="32"/>
  <c r="U26" i="33" s="1"/>
  <c r="F28" i="32"/>
  <c r="D28" i="33" s="1"/>
  <c r="G26" i="32"/>
  <c r="F26" i="33" s="1"/>
  <c r="P22" i="32"/>
  <c r="U22" i="33" s="1"/>
  <c r="N22" i="34" s="1"/>
  <c r="H21" i="32"/>
  <c r="H21" i="33" s="1"/>
  <c r="F21" i="34" s="1"/>
  <c r="Q16" i="32"/>
  <c r="W16" i="33" s="1"/>
  <c r="O16" i="34" s="1"/>
  <c r="P12" i="32"/>
  <c r="U12" i="33" s="1"/>
  <c r="N12" i="34" s="1"/>
  <c r="BJ21" i="14"/>
  <c r="E9" i="19"/>
  <c r="E16" i="19"/>
  <c r="D57" i="19"/>
  <c r="D66" i="19"/>
  <c r="D79" i="19"/>
  <c r="B69" i="19"/>
  <c r="H69" i="19" s="1"/>
  <c r="H4" i="21"/>
  <c r="G12" i="21"/>
  <c r="H17" i="21"/>
  <c r="E22" i="21"/>
  <c r="Q22" i="21" s="1"/>
  <c r="E28" i="21"/>
  <c r="W28" i="21" s="1"/>
  <c r="G10" i="32"/>
  <c r="F18" i="32"/>
  <c r="F24" i="32"/>
  <c r="G12" i="32"/>
  <c r="H11" i="32"/>
  <c r="H11" i="33" s="1"/>
  <c r="F11" i="34" s="1"/>
  <c r="I15" i="32"/>
  <c r="J15" i="33" s="1"/>
  <c r="G15" i="34" s="1"/>
  <c r="O16" i="32"/>
  <c r="S16" i="33" s="1"/>
  <c r="M16" i="34" s="1"/>
  <c r="F22" i="32"/>
  <c r="D22" i="33" s="1"/>
  <c r="D22" i="34" s="1"/>
  <c r="BJ44" i="14"/>
  <c r="E47" i="19"/>
  <c r="D51" i="19"/>
  <c r="E27" i="21"/>
  <c r="W27" i="21" s="1"/>
  <c r="H32" i="21"/>
  <c r="B44" i="21"/>
  <c r="H46" i="21"/>
  <c r="E62" i="21"/>
  <c r="E77" i="21"/>
  <c r="W77" i="21" s="1"/>
  <c r="F74" i="21"/>
  <c r="H9" i="32"/>
  <c r="H9" i="33" s="1"/>
  <c r="F9" i="34" s="1"/>
  <c r="P9" i="32"/>
  <c r="U9" i="33" s="1"/>
  <c r="N9" i="34" s="1"/>
  <c r="F17" i="32"/>
  <c r="H20" i="32"/>
  <c r="I14" i="32"/>
  <c r="J18" i="32"/>
  <c r="L18" i="33" s="1"/>
  <c r="H18" i="34" s="1"/>
  <c r="O14" i="32"/>
  <c r="S14" i="33" s="1"/>
  <c r="M14" i="34" s="1"/>
  <c r="Q23" i="32"/>
  <c r="W23" i="33" s="1"/>
  <c r="W47" i="35" s="1"/>
  <c r="G25" i="32"/>
  <c r="F25" i="33" s="1"/>
  <c r="Q21" i="32"/>
  <c r="W21" i="33" s="1"/>
  <c r="O21" i="34" s="1"/>
  <c r="AE27" i="41"/>
  <c r="AF27" i="41"/>
  <c r="L48" i="38"/>
  <c r="S34" i="41"/>
  <c r="R67" i="41"/>
  <c r="R78" i="41"/>
  <c r="T89" i="41"/>
  <c r="S132" i="41"/>
  <c r="T195" i="41"/>
  <c r="P210" i="41"/>
  <c r="AK223" i="41"/>
  <c r="AK210" i="41"/>
  <c r="AK195" i="41"/>
  <c r="AK153" i="41"/>
  <c r="AK138" i="41"/>
  <c r="AK124" i="41"/>
  <c r="AK109" i="41"/>
  <c r="AK47" i="41"/>
  <c r="AK11" i="41"/>
  <c r="AJ198" i="41"/>
  <c r="AJ184" i="41"/>
  <c r="AJ145" i="41"/>
  <c r="AJ92" i="41"/>
  <c r="AJ47" i="41"/>
  <c r="AI227" i="41"/>
  <c r="AI197" i="41"/>
  <c r="AI184" i="41"/>
  <c r="AI171" i="41"/>
  <c r="AI109" i="41"/>
  <c r="AI78" i="41"/>
  <c r="AI27" i="41"/>
  <c r="AH143" i="41"/>
  <c r="AH124" i="41"/>
  <c r="AH90" i="41"/>
  <c r="AG121" i="41"/>
  <c r="AG92" i="41"/>
  <c r="AG63" i="41"/>
  <c r="AG20" i="41"/>
  <c r="AF145" i="41"/>
  <c r="AF109" i="41"/>
  <c r="AF38" i="41"/>
  <c r="AE149" i="41"/>
  <c r="AE108" i="41"/>
  <c r="AE62" i="41"/>
  <c r="AE17" i="41"/>
  <c r="AD149" i="41"/>
  <c r="AC198" i="41"/>
  <c r="AB20" i="41"/>
  <c r="AI107" i="41"/>
  <c r="AI37" i="41"/>
  <c r="AD202" i="41"/>
  <c r="AA200" i="41"/>
  <c r="AG196" i="41"/>
  <c r="AG192" i="41"/>
  <c r="AH182" i="41"/>
  <c r="AB172" i="41"/>
  <c r="AA169" i="41"/>
  <c r="AE101" i="41"/>
  <c r="AC80" i="41"/>
  <c r="AA75" i="41"/>
  <c r="AD70" i="41"/>
  <c r="AB65" i="41"/>
  <c r="AF54" i="41"/>
  <c r="AF56" i="41"/>
  <c r="U53" i="41"/>
  <c r="S86" i="41"/>
  <c r="R121" i="41"/>
  <c r="AK181" i="41"/>
  <c r="AK167" i="41"/>
  <c r="AJ171" i="41"/>
  <c r="AJ131" i="41"/>
  <c r="AJ118" i="41"/>
  <c r="AJ104" i="41"/>
  <c r="AJ78" i="41"/>
  <c r="AJ63" i="41"/>
  <c r="AJ27" i="41"/>
  <c r="AI226" i="41"/>
  <c r="AI214" i="41"/>
  <c r="AI196" i="41"/>
  <c r="AI183" i="41"/>
  <c r="AI153" i="41"/>
  <c r="AI124" i="41"/>
  <c r="AI76" i="41"/>
  <c r="AI63" i="41"/>
  <c r="AI11" i="41"/>
  <c r="AH223" i="41"/>
  <c r="AH184" i="41"/>
  <c r="AH164" i="41"/>
  <c r="AH142" i="41"/>
  <c r="AH20" i="41"/>
  <c r="AG90" i="41"/>
  <c r="AG71" i="41"/>
  <c r="AF192" i="41"/>
  <c r="AF143" i="41"/>
  <c r="AF108" i="41"/>
  <c r="AF33" i="41"/>
  <c r="AE220" i="41"/>
  <c r="AE147" i="41"/>
  <c r="AD147" i="41"/>
  <c r="AD58" i="41"/>
  <c r="AC196" i="41"/>
  <c r="AC98" i="41"/>
  <c r="AC21" i="41"/>
  <c r="AC71" i="41"/>
  <c r="AD150" i="41"/>
  <c r="AI89" i="41"/>
  <c r="AA17" i="41"/>
  <c r="Z105" i="41"/>
  <c r="AB84" i="41"/>
  <c r="AD44" i="41"/>
  <c r="BE15" i="39"/>
  <c r="G49" i="17"/>
  <c r="G63" i="17"/>
  <c r="P38" i="41"/>
  <c r="R38" i="41" s="1"/>
  <c r="U82" i="41"/>
  <c r="S97" i="41"/>
  <c r="AK121" i="41"/>
  <c r="AK63" i="41"/>
  <c r="AJ223" i="41"/>
  <c r="AJ210" i="41"/>
  <c r="AJ156" i="41"/>
  <c r="AJ42" i="41"/>
  <c r="AJ11" i="41"/>
  <c r="AI195" i="41"/>
  <c r="AH201" i="41"/>
  <c r="AH181" i="41"/>
  <c r="AH140" i="41"/>
  <c r="AH121" i="41"/>
  <c r="AH104" i="41"/>
  <c r="AH68" i="41"/>
  <c r="AG204" i="41"/>
  <c r="AG118" i="41"/>
  <c r="AF30" i="41"/>
  <c r="AE210" i="41"/>
  <c r="AE143" i="41"/>
  <c r="AE98" i="41"/>
  <c r="AD220" i="41"/>
  <c r="AC20" i="41"/>
  <c r="AB200" i="41"/>
  <c r="AB142" i="41"/>
  <c r="AI62" i="41"/>
  <c r="AD195" i="41"/>
  <c r="S24" i="41"/>
  <c r="P31" i="41"/>
  <c r="T31" i="41" s="1"/>
  <c r="R54" i="41"/>
  <c r="U61" i="41"/>
  <c r="T72" i="41"/>
  <c r="S101" i="41"/>
  <c r="R104" i="41"/>
  <c r="T108" i="41"/>
  <c r="T151" i="41"/>
  <c r="T157" i="41"/>
  <c r="T163" i="41"/>
  <c r="T166" i="41"/>
  <c r="T181" i="41"/>
  <c r="R199" i="41"/>
  <c r="AK220" i="41"/>
  <c r="AK191" i="41"/>
  <c r="AK164" i="41"/>
  <c r="AK149" i="41"/>
  <c r="AK134" i="41"/>
  <c r="AK92" i="41"/>
  <c r="AK78" i="41"/>
  <c r="AK20" i="41"/>
  <c r="AJ181" i="41"/>
  <c r="AJ142" i="41"/>
  <c r="AI210" i="41"/>
  <c r="AI194" i="41"/>
  <c r="AI167" i="41"/>
  <c r="AI121" i="41"/>
  <c r="AH220" i="41"/>
  <c r="AH160" i="41"/>
  <c r="AG109" i="41"/>
  <c r="AF187" i="41"/>
  <c r="AF140" i="41"/>
  <c r="AF11" i="41"/>
  <c r="AE58" i="41"/>
  <c r="AD210" i="41"/>
  <c r="AD49" i="41"/>
  <c r="AC174" i="41"/>
  <c r="AB227" i="41"/>
  <c r="AB114" i="41"/>
  <c r="AH79" i="41"/>
  <c r="AH148" i="41"/>
  <c r="AJ28" i="41"/>
  <c r="Z78" i="41"/>
  <c r="AE63" i="41"/>
  <c r="AG58" i="41"/>
  <c r="AA38" i="41"/>
  <c r="Z11" i="41"/>
  <c r="U7" i="41"/>
  <c r="U17" i="41"/>
  <c r="U54" i="41"/>
  <c r="U72" i="41"/>
  <c r="U108" i="41"/>
  <c r="T112" i="41"/>
  <c r="R125" i="41"/>
  <c r="U139" i="41"/>
  <c r="S145" i="41"/>
  <c r="S181" i="41"/>
  <c r="S205" i="41"/>
  <c r="R223" i="41"/>
  <c r="T226" i="41"/>
  <c r="AK118" i="41"/>
  <c r="AK38" i="41"/>
  <c r="AJ220" i="41"/>
  <c r="AJ140" i="41"/>
  <c r="AJ100" i="41"/>
  <c r="AJ58" i="41"/>
  <c r="AJ20" i="41"/>
  <c r="AI164" i="41"/>
  <c r="AI118" i="41"/>
  <c r="AI87" i="41"/>
  <c r="AI58" i="41"/>
  <c r="AI38" i="41"/>
  <c r="AH217" i="41"/>
  <c r="AH156" i="41"/>
  <c r="AH118" i="41"/>
  <c r="AH83" i="41"/>
  <c r="AG194" i="41"/>
  <c r="AG145" i="41"/>
  <c r="AG49" i="41"/>
  <c r="AF174" i="41"/>
  <c r="AF135" i="41"/>
  <c r="AF92" i="41"/>
  <c r="AF63" i="41"/>
  <c r="AE49" i="41"/>
  <c r="AE11" i="41"/>
  <c r="AD196" i="41"/>
  <c r="AC157" i="41"/>
  <c r="AC78" i="41"/>
  <c r="AH199" i="41"/>
  <c r="AH42" i="41"/>
  <c r="AA192" i="41"/>
  <c r="AA58" i="41"/>
  <c r="AA11" i="41"/>
  <c r="AA187" i="41"/>
  <c r="AC177" i="41"/>
  <c r="AD171" i="41"/>
  <c r="AH167" i="41"/>
  <c r="AA164" i="41"/>
  <c r="AE160" i="41"/>
  <c r="AF156" i="41"/>
  <c r="AF153" i="41"/>
  <c r="AE134" i="41"/>
  <c r="AI92" i="41"/>
  <c r="G29" i="17"/>
  <c r="P28" i="41"/>
  <c r="R28" i="41" s="1"/>
  <c r="S66" i="41"/>
  <c r="U131" i="41"/>
  <c r="H229" i="41"/>
  <c r="AK217" i="41"/>
  <c r="AK160" i="41"/>
  <c r="AK145" i="41"/>
  <c r="AK131" i="41"/>
  <c r="AK73" i="41"/>
  <c r="AK58" i="41"/>
  <c r="AJ204" i="41"/>
  <c r="AJ191" i="41"/>
  <c r="AJ112" i="41"/>
  <c r="AI204" i="41"/>
  <c r="AI191" i="41"/>
  <c r="AI177" i="41"/>
  <c r="AI131" i="41"/>
  <c r="AH194" i="41"/>
  <c r="AH174" i="41"/>
  <c r="AH63" i="41"/>
  <c r="AG187" i="41"/>
  <c r="AF217" i="41"/>
  <c r="AF172" i="41"/>
  <c r="AF62" i="41"/>
  <c r="AF20" i="41"/>
  <c r="AE187" i="41"/>
  <c r="AC68" i="41"/>
  <c r="AD140" i="41"/>
  <c r="AB68" i="41"/>
  <c r="AB11" i="41"/>
  <c r="AA177" i="41"/>
  <c r="AA82" i="41"/>
  <c r="AF226" i="41"/>
  <c r="AF99" i="41"/>
  <c r="U8" i="41"/>
  <c r="T25" i="41"/>
  <c r="T28" i="41"/>
  <c r="R59" i="41"/>
  <c r="T91" i="41"/>
  <c r="S102" i="41"/>
  <c r="R137" i="41"/>
  <c r="T146" i="41"/>
  <c r="S211" i="41"/>
  <c r="U226" i="41"/>
  <c r="AK201" i="41"/>
  <c r="AK187" i="41"/>
  <c r="AK174" i="41"/>
  <c r="AK31" i="41"/>
  <c r="AI220" i="41"/>
  <c r="AI145" i="41"/>
  <c r="AH214" i="41"/>
  <c r="AH134" i="41"/>
  <c r="AH96" i="41"/>
  <c r="AG227" i="41"/>
  <c r="AG140" i="41"/>
  <c r="AG78" i="41"/>
  <c r="AF214" i="41"/>
  <c r="AF171" i="41"/>
  <c r="AD121" i="41"/>
  <c r="AD78" i="41"/>
  <c r="AC147" i="41"/>
  <c r="AF227" i="41"/>
  <c r="AA172" i="41"/>
  <c r="AA78" i="41"/>
  <c r="AH216" i="41"/>
  <c r="AC213" i="41"/>
  <c r="AE204" i="41"/>
  <c r="AA201" i="41"/>
  <c r="AC141" i="41"/>
  <c r="AE137" i="41"/>
  <c r="AF133" i="41"/>
  <c r="AH127" i="41"/>
  <c r="AE123" i="41"/>
  <c r="AI120" i="41"/>
  <c r="AE113" i="41"/>
  <c r="AB82" i="41"/>
  <c r="AG61" i="41"/>
  <c r="AH6" i="41"/>
  <c r="K4" i="42" s="1"/>
  <c r="J229" i="41"/>
  <c r="AK114" i="41"/>
  <c r="AK100" i="41"/>
  <c r="AK33" i="41"/>
  <c r="AJ217" i="41"/>
  <c r="AJ96" i="41"/>
  <c r="AJ83" i="41"/>
  <c r="AJ68" i="41"/>
  <c r="AI201" i="41"/>
  <c r="AI160" i="41"/>
  <c r="AI83" i="41"/>
  <c r="AI68" i="41"/>
  <c r="AI33" i="41"/>
  <c r="AH78" i="41"/>
  <c r="AG11" i="41"/>
  <c r="AE121" i="41"/>
  <c r="AE78" i="41"/>
  <c r="AD187" i="41"/>
  <c r="AD20" i="41"/>
  <c r="AC128" i="41"/>
  <c r="AC63" i="41"/>
  <c r="AB220" i="41"/>
  <c r="AB104" i="41"/>
  <c r="AB186" i="41"/>
  <c r="K58" i="17"/>
  <c r="M58" i="17" s="1"/>
  <c r="R77" i="41"/>
  <c r="R88" i="41"/>
  <c r="T102" i="41"/>
  <c r="T129" i="41"/>
  <c r="S146" i="41"/>
  <c r="S170" i="41"/>
  <c r="S194" i="41"/>
  <c r="S206" i="41"/>
  <c r="T215" i="41"/>
  <c r="K229" i="41"/>
  <c r="AK226" i="41"/>
  <c r="AK214" i="41"/>
  <c r="AK198" i="41"/>
  <c r="AK156" i="41"/>
  <c r="AK142" i="41"/>
  <c r="AK128" i="41"/>
  <c r="AJ201" i="41"/>
  <c r="AJ187" i="41"/>
  <c r="AJ149" i="41"/>
  <c r="AJ109" i="41"/>
  <c r="AJ33" i="41"/>
  <c r="AJ31" i="41"/>
  <c r="AI187" i="41"/>
  <c r="AI174" i="41"/>
  <c r="AI128" i="41"/>
  <c r="AH210" i="41"/>
  <c r="AH171" i="41"/>
  <c r="AH150" i="41"/>
  <c r="AH109" i="41"/>
  <c r="AG174" i="41"/>
  <c r="AE174" i="41"/>
  <c r="AE118" i="41"/>
  <c r="AE20" i="41"/>
  <c r="AD68" i="41"/>
  <c r="AC220" i="41"/>
  <c r="AC11" i="41"/>
  <c r="AB155" i="41"/>
  <c r="AE67" i="41"/>
  <c r="AB71" i="41"/>
  <c r="AF76" i="41"/>
  <c r="AC49" i="41"/>
  <c r="AC216" i="41"/>
  <c r="AE213" i="41"/>
  <c r="AD166" i="41"/>
  <c r="AB147" i="41"/>
  <c r="AD98" i="41"/>
  <c r="AA90" i="41"/>
  <c r="AA66" i="41"/>
  <c r="AB55" i="41"/>
  <c r="AA50" i="41"/>
  <c r="Z71" i="41"/>
  <c r="AK68" i="41"/>
  <c r="AJ227" i="41"/>
  <c r="AJ134" i="41"/>
  <c r="AJ121" i="41"/>
  <c r="AI199" i="41"/>
  <c r="AI112" i="41"/>
  <c r="AH227" i="41"/>
  <c r="AH58" i="41"/>
  <c r="AG220" i="41"/>
  <c r="AC58" i="41"/>
  <c r="AG30" i="41"/>
  <c r="AA20" i="41"/>
  <c r="AB225" i="41"/>
  <c r="R56" i="41"/>
  <c r="S120" i="41"/>
  <c r="U123" i="41"/>
  <c r="S126" i="41"/>
  <c r="P207" i="41"/>
  <c r="T207" i="41" s="1"/>
  <c r="U209" i="41"/>
  <c r="U212" i="41"/>
  <c r="U221" i="41"/>
  <c r="AK96" i="41"/>
  <c r="AJ226" i="41"/>
  <c r="AH226" i="41"/>
  <c r="AF200" i="41"/>
  <c r="AF78" i="41"/>
  <c r="AE157" i="41"/>
  <c r="AE109" i="41"/>
  <c r="AD62" i="41"/>
  <c r="AH178" i="41"/>
  <c r="AA109" i="41"/>
  <c r="AD218" i="41"/>
  <c r="AE215" i="41"/>
  <c r="AE129" i="41"/>
  <c r="AC106" i="41"/>
  <c r="Z98" i="41"/>
  <c r="K27" i="35"/>
  <c r="G8" i="34"/>
  <c r="O9" i="34"/>
  <c r="H16" i="35"/>
  <c r="F15" i="38" s="1"/>
  <c r="I30" i="33"/>
  <c r="I35" i="33" s="1"/>
  <c r="I50" i="35"/>
  <c r="F51" i="38" s="1"/>
  <c r="D72" i="28" s="1"/>
  <c r="F25" i="34"/>
  <c r="H25" i="35"/>
  <c r="F24" i="38" s="1"/>
  <c r="F6" i="34"/>
  <c r="K16" i="35"/>
  <c r="G15" i="38" s="1"/>
  <c r="K30" i="33"/>
  <c r="K35" i="33" s="1"/>
  <c r="G4" i="34"/>
  <c r="F25" i="35"/>
  <c r="E24" i="38" s="1"/>
  <c r="E6" i="34"/>
  <c r="F47" i="35"/>
  <c r="E46" i="38" s="1"/>
  <c r="E23" i="34"/>
  <c r="T30" i="33"/>
  <c r="T35" i="33" s="1"/>
  <c r="X51" i="35"/>
  <c r="E24" i="35"/>
  <c r="D23" i="38" s="1"/>
  <c r="D7" i="34"/>
  <c r="G45" i="35"/>
  <c r="E44" i="38" s="1"/>
  <c r="G30" i="33"/>
  <c r="G35" i="33" s="1"/>
  <c r="E24" i="34"/>
  <c r="V30" i="33"/>
  <c r="B62" i="19"/>
  <c r="R62" i="19" s="1"/>
  <c r="B78" i="19"/>
  <c r="R78" i="19" s="1"/>
  <c r="B4" i="21"/>
  <c r="B13" i="21"/>
  <c r="F19" i="21"/>
  <c r="F34" i="21"/>
  <c r="E39" i="21"/>
  <c r="M39" i="21" s="1"/>
  <c r="F44" i="21"/>
  <c r="F48" i="21"/>
  <c r="H60" i="21"/>
  <c r="E61" i="21"/>
  <c r="W61" i="21" s="1"/>
  <c r="G30" i="21"/>
  <c r="J26" i="38"/>
  <c r="H67" i="28" s="1"/>
  <c r="H65" i="40" s="1"/>
  <c r="S27" i="35"/>
  <c r="K47" i="38"/>
  <c r="L47" i="38"/>
  <c r="G29" i="32"/>
  <c r="F29" i="33" s="1"/>
  <c r="K69" i="17"/>
  <c r="AG23" i="41"/>
  <c r="AH23" i="41"/>
  <c r="AK23" i="41"/>
  <c r="AD23" i="41"/>
  <c r="AI23" i="41"/>
  <c r="AJ23" i="41"/>
  <c r="BJ56" i="14"/>
  <c r="K4" i="29"/>
  <c r="B44" i="19"/>
  <c r="Q44" i="19" s="1"/>
  <c r="D52" i="19"/>
  <c r="F9" i="21"/>
  <c r="F17" i="21"/>
  <c r="B24" i="21"/>
  <c r="H77" i="21"/>
  <c r="J22" i="32"/>
  <c r="L22" i="33" s="1"/>
  <c r="H22" i="34" s="1"/>
  <c r="I27" i="35"/>
  <c r="K43" i="17"/>
  <c r="M43" i="17" s="1"/>
  <c r="Z43" i="17" s="1"/>
  <c r="F47" i="21"/>
  <c r="F42" i="21"/>
  <c r="F63" i="21"/>
  <c r="K51" i="35"/>
  <c r="AJ207" i="41"/>
  <c r="AI207" i="41"/>
  <c r="AK207" i="41"/>
  <c r="BH31" i="13"/>
  <c r="BJ66" i="14"/>
  <c r="BJ18" i="14"/>
  <c r="M51" i="38"/>
  <c r="K72" i="28" s="1"/>
  <c r="BH75" i="13"/>
  <c r="BH19" i="13"/>
  <c r="BH33" i="13"/>
  <c r="BJ54" i="14"/>
  <c r="BJ30" i="14"/>
  <c r="O20" i="39"/>
  <c r="P20" i="39" s="1"/>
  <c r="Q20" i="39" s="1"/>
  <c r="O9" i="39"/>
  <c r="P9" i="39" s="1"/>
  <c r="Q9" i="39" s="1"/>
  <c r="M41" i="29"/>
  <c r="B70" i="19"/>
  <c r="N70" i="19" s="1"/>
  <c r="F8" i="21"/>
  <c r="F16" i="21"/>
  <c r="F22" i="21"/>
  <c r="F26" i="21"/>
  <c r="F33" i="21"/>
  <c r="B31" i="21"/>
  <c r="E69" i="21"/>
  <c r="W69" i="21" s="1"/>
  <c r="L74" i="28"/>
  <c r="L71" i="40" s="1"/>
  <c r="G28" i="32"/>
  <c r="F28" i="33" s="1"/>
  <c r="N37" i="17"/>
  <c r="N75" i="17"/>
  <c r="N78" i="17"/>
  <c r="N22" i="17"/>
  <c r="N77" i="17"/>
  <c r="N6" i="17"/>
  <c r="N47" i="17"/>
  <c r="N44" i="17"/>
  <c r="AA46" i="41"/>
  <c r="AH46" i="41"/>
  <c r="AI46" i="41"/>
  <c r="AD46" i="41"/>
  <c r="AJ46" i="41"/>
  <c r="AE46" i="41"/>
  <c r="AG46" i="41"/>
  <c r="AK46" i="41"/>
  <c r="AF46" i="41"/>
  <c r="BH43" i="13"/>
  <c r="BH50" i="13"/>
  <c r="BJ42" i="14"/>
  <c r="BJ62" i="14"/>
  <c r="BJ26" i="14"/>
  <c r="BJ14" i="14"/>
  <c r="B21" i="21"/>
  <c r="F24" i="21"/>
  <c r="F30" i="21"/>
  <c r="F38" i="21"/>
  <c r="F37" i="21"/>
  <c r="F45" i="21"/>
  <c r="F51" i="21"/>
  <c r="K48" i="38"/>
  <c r="K56" i="17"/>
  <c r="M56" i="17" s="1"/>
  <c r="AA56" i="17" s="1"/>
  <c r="AE26" i="41"/>
  <c r="AH26" i="41"/>
  <c r="AF26" i="41"/>
  <c r="AD26" i="41"/>
  <c r="AB26" i="41"/>
  <c r="AC26" i="41"/>
  <c r="AI26" i="41"/>
  <c r="BH67" i="13"/>
  <c r="BH74" i="13"/>
  <c r="BH26" i="13"/>
  <c r="BJ78" i="14"/>
  <c r="BJ6" i="14"/>
  <c r="BJ73" i="14"/>
  <c r="J30" i="34"/>
  <c r="B53" i="19"/>
  <c r="Q53" i="19" s="1"/>
  <c r="B8" i="21"/>
  <c r="B15" i="21"/>
  <c r="F20" i="21"/>
  <c r="F27" i="21"/>
  <c r="E68" i="21"/>
  <c r="U68" i="21" s="1"/>
  <c r="AJ209" i="41"/>
  <c r="AI209" i="41"/>
  <c r="AK209" i="41"/>
  <c r="BH55" i="13"/>
  <c r="BH7" i="13"/>
  <c r="BH38" i="13"/>
  <c r="BH14" i="13"/>
  <c r="B35" i="21"/>
  <c r="F41" i="21"/>
  <c r="F79" i="21"/>
  <c r="J47" i="38"/>
  <c r="K82" i="17"/>
  <c r="K15" i="17"/>
  <c r="M15" i="17" s="1"/>
  <c r="K20" i="17"/>
  <c r="BH79" i="13"/>
  <c r="BH62" i="13"/>
  <c r="B67" i="19"/>
  <c r="H67" i="19" s="1"/>
  <c r="F4" i="21"/>
  <c r="B10" i="21"/>
  <c r="F15" i="21"/>
  <c r="B25" i="21"/>
  <c r="F31" i="21"/>
  <c r="F40" i="21"/>
  <c r="E57" i="21"/>
  <c r="R57" i="21" s="1"/>
  <c r="E73" i="21"/>
  <c r="I16" i="38"/>
  <c r="G24" i="38"/>
  <c r="T27" i="35"/>
  <c r="M74" i="28"/>
  <c r="M71" i="40" s="1"/>
  <c r="BH56" i="13"/>
  <c r="B71" i="19"/>
  <c r="K71" i="19" s="1"/>
  <c r="E73" i="19"/>
  <c r="B18" i="21"/>
  <c r="F23" i="21"/>
  <c r="F29" i="21"/>
  <c r="B40" i="21"/>
  <c r="F50" i="21"/>
  <c r="F64" i="21"/>
  <c r="K63" i="17"/>
  <c r="K54" i="17"/>
  <c r="M54" i="17" s="1"/>
  <c r="AA54" i="17" s="1"/>
  <c r="N49" i="17"/>
  <c r="E49" i="17"/>
  <c r="C21" i="17"/>
  <c r="U21" i="41"/>
  <c r="S52" i="41"/>
  <c r="U58" i="41"/>
  <c r="R68" i="41"/>
  <c r="T87" i="41"/>
  <c r="U99" i="41"/>
  <c r="U128" i="41"/>
  <c r="T154" i="41"/>
  <c r="R163" i="41"/>
  <c r="R175" i="41"/>
  <c r="U217" i="41"/>
  <c r="U220" i="41"/>
  <c r="T223" i="41"/>
  <c r="AI42" i="41"/>
  <c r="AH141" i="41"/>
  <c r="AG218" i="41"/>
  <c r="AG150" i="41"/>
  <c r="AG120" i="41"/>
  <c r="AG76" i="41"/>
  <c r="AF216" i="41"/>
  <c r="AF182" i="41"/>
  <c r="AF147" i="41"/>
  <c r="AF121" i="41"/>
  <c r="AE196" i="41"/>
  <c r="AE155" i="41"/>
  <c r="AD204" i="41"/>
  <c r="AD131" i="41"/>
  <c r="AD13" i="41"/>
  <c r="AC172" i="41"/>
  <c r="AC109" i="41"/>
  <c r="AC76" i="41"/>
  <c r="AC27" i="41"/>
  <c r="AB215" i="41"/>
  <c r="AB194" i="41"/>
  <c r="AB141" i="41"/>
  <c r="AB101" i="41"/>
  <c r="AB53" i="41"/>
  <c r="AB27" i="41"/>
  <c r="AB10" i="41"/>
  <c r="AA92" i="41"/>
  <c r="AA63" i="41"/>
  <c r="AA10" i="41"/>
  <c r="AC214" i="41"/>
  <c r="AC121" i="41"/>
  <c r="Z85" i="41"/>
  <c r="Z32" i="41"/>
  <c r="AK6" i="41"/>
  <c r="N68" i="17"/>
  <c r="N62" i="17"/>
  <c r="N58" i="17"/>
  <c r="N32" i="17"/>
  <c r="K41" i="17"/>
  <c r="N20" i="17"/>
  <c r="C54" i="17"/>
  <c r="U6" i="41"/>
  <c r="U14" i="41"/>
  <c r="U35" i="41"/>
  <c r="S39" i="41"/>
  <c r="U49" i="41"/>
  <c r="S75" i="41"/>
  <c r="T78" i="41"/>
  <c r="R91" i="41"/>
  <c r="S109" i="41"/>
  <c r="U118" i="41"/>
  <c r="S221" i="41"/>
  <c r="R226" i="41"/>
  <c r="U228" i="41"/>
  <c r="AH225" i="41"/>
  <c r="AG183" i="41"/>
  <c r="AD163" i="41"/>
  <c r="AD63" i="41"/>
  <c r="AD27" i="41"/>
  <c r="AB192" i="41"/>
  <c r="AF126" i="41"/>
  <c r="AB76" i="41"/>
  <c r="AA133" i="41"/>
  <c r="AA167" i="41"/>
  <c r="AI6" i="41"/>
  <c r="L4" i="42" s="1"/>
  <c r="N12" i="43"/>
  <c r="N38" i="17"/>
  <c r="S59" i="41"/>
  <c r="U93" i="41"/>
  <c r="U106" i="41"/>
  <c r="U112" i="41"/>
  <c r="U115" i="41"/>
  <c r="T178" i="41"/>
  <c r="T221" i="41"/>
  <c r="R23" i="41"/>
  <c r="AG112" i="41"/>
  <c r="AF112" i="41"/>
  <c r="AF89" i="41"/>
  <c r="AA147" i="41"/>
  <c r="Z141" i="41"/>
  <c r="Z109" i="41"/>
  <c r="AB44" i="41"/>
  <c r="Z6" i="41"/>
  <c r="N57" i="17"/>
  <c r="N43" i="17"/>
  <c r="N27" i="17"/>
  <c r="N4" i="17"/>
  <c r="U16" i="41"/>
  <c r="R36" i="41"/>
  <c r="T47" i="41"/>
  <c r="T63" i="41"/>
  <c r="U88" i="41"/>
  <c r="R94" i="41"/>
  <c r="R113" i="41"/>
  <c r="T127" i="41"/>
  <c r="T135" i="41"/>
  <c r="U149" i="41"/>
  <c r="T152" i="41"/>
  <c r="T158" i="41"/>
  <c r="T187" i="41"/>
  <c r="T193" i="41"/>
  <c r="U210" i="41"/>
  <c r="S215" i="41"/>
  <c r="S218" i="41"/>
  <c r="AG89" i="41"/>
  <c r="AG67" i="41"/>
  <c r="AC199" i="41"/>
  <c r="AC62" i="41"/>
  <c r="AB160" i="41"/>
  <c r="AA182" i="41"/>
  <c r="AD159" i="41"/>
  <c r="AB34" i="41"/>
  <c r="M84" i="44"/>
  <c r="K150" i="44"/>
  <c r="P11" i="42"/>
  <c r="K51" i="17"/>
  <c r="AH209" i="41"/>
  <c r="N46" i="17"/>
  <c r="N31" i="17"/>
  <c r="S37" i="41"/>
  <c r="R79" i="41"/>
  <c r="S89" i="41"/>
  <c r="U127" i="41"/>
  <c r="T130" i="41"/>
  <c r="S158" i="41"/>
  <c r="S161" i="41"/>
  <c r="U181" i="41"/>
  <c r="U184" i="41"/>
  <c r="T199" i="41"/>
  <c r="T202" i="41"/>
  <c r="T224" i="41"/>
  <c r="AB137" i="41"/>
  <c r="AA216" i="41"/>
  <c r="Z170" i="41"/>
  <c r="Z155" i="41"/>
  <c r="Z108" i="41"/>
  <c r="Z56" i="41"/>
  <c r="K75" i="44"/>
  <c r="K86" i="44" s="1"/>
  <c r="N64" i="17"/>
  <c r="N60" i="17"/>
  <c r="N42" i="17"/>
  <c r="N79" i="17"/>
  <c r="U9" i="41"/>
  <c r="T40" i="41"/>
  <c r="S51" i="41"/>
  <c r="R57" i="41"/>
  <c r="T60" i="41"/>
  <c r="U79" i="41"/>
  <c r="R108" i="41"/>
  <c r="R110" i="41"/>
  <c r="T122" i="41"/>
  <c r="R128" i="41"/>
  <c r="U138" i="41"/>
  <c r="U141" i="41"/>
  <c r="S144" i="41"/>
  <c r="U173" i="41"/>
  <c r="T176" i="41"/>
  <c r="S193" i="41"/>
  <c r="AI150" i="41"/>
  <c r="AI79" i="41"/>
  <c r="AH133" i="41"/>
  <c r="AG225" i="41"/>
  <c r="AG199" i="41"/>
  <c r="AG164" i="41"/>
  <c r="AG133" i="41"/>
  <c r="AG62" i="41"/>
  <c r="AF196" i="41"/>
  <c r="AF164" i="41"/>
  <c r="AF58" i="41"/>
  <c r="AE172" i="41"/>
  <c r="AE104" i="41"/>
  <c r="AE39" i="41"/>
  <c r="AD225" i="41"/>
  <c r="AD182" i="41"/>
  <c r="AD141" i="41"/>
  <c r="AD71" i="41"/>
  <c r="AC194" i="41"/>
  <c r="AC137" i="41"/>
  <c r="AC86" i="41"/>
  <c r="AB134" i="41"/>
  <c r="AB39" i="41"/>
  <c r="AA221" i="41"/>
  <c r="L150" i="44"/>
  <c r="M32" i="39"/>
  <c r="M33" i="39" s="1"/>
  <c r="N35" i="17"/>
  <c r="K23" i="17"/>
  <c r="R24" i="41"/>
  <c r="U48" i="41"/>
  <c r="S92" i="41"/>
  <c r="T95" i="41"/>
  <c r="T139" i="41"/>
  <c r="AJ89" i="41"/>
  <c r="AI190" i="41"/>
  <c r="AH131" i="41"/>
  <c r="AH27" i="41"/>
  <c r="AG160" i="41"/>
  <c r="AG131" i="41"/>
  <c r="AG104" i="41"/>
  <c r="AG82" i="41"/>
  <c r="AG13" i="41"/>
  <c r="AF104" i="41"/>
  <c r="AF80" i="41"/>
  <c r="AE170" i="41"/>
  <c r="AE66" i="41"/>
  <c r="AE13" i="41"/>
  <c r="AD221" i="41"/>
  <c r="AD177" i="41"/>
  <c r="AD108" i="41"/>
  <c r="AD76" i="41"/>
  <c r="AD22" i="41"/>
  <c r="AC192" i="41"/>
  <c r="AC133" i="41"/>
  <c r="AC14" i="41"/>
  <c r="AC150" i="41"/>
  <c r="AB109" i="41"/>
  <c r="AB14" i="41"/>
  <c r="AA27" i="41"/>
  <c r="AA14" i="41"/>
  <c r="AH208" i="41"/>
  <c r="AF189" i="41"/>
  <c r="Z95" i="41"/>
  <c r="AB61" i="41"/>
  <c r="AK57" i="41"/>
  <c r="AC51" i="41"/>
  <c r="K59" i="17"/>
  <c r="M59" i="17" s="1"/>
  <c r="Z59" i="17" s="1"/>
  <c r="K9" i="17"/>
  <c r="M9" i="17" s="1"/>
  <c r="Z9" i="17" s="1"/>
  <c r="N55" i="17"/>
  <c r="N45" i="17"/>
  <c r="N25" i="17"/>
  <c r="AC225" i="41"/>
  <c r="N63" i="17"/>
  <c r="N59" i="17"/>
  <c r="K29" i="17"/>
  <c r="M29" i="17" s="1"/>
  <c r="AA29" i="17" s="1"/>
  <c r="U20" i="41"/>
  <c r="R41" i="41"/>
  <c r="R61" i="41"/>
  <c r="U67" i="41"/>
  <c r="S87" i="41"/>
  <c r="R90" i="41"/>
  <c r="S125" i="41"/>
  <c r="S134" i="41"/>
  <c r="S185" i="41"/>
  <c r="T200" i="41"/>
  <c r="S212" i="41"/>
  <c r="T214" i="41"/>
  <c r="T217" i="41"/>
  <c r="U222" i="41"/>
  <c r="AH197" i="41"/>
  <c r="AH113" i="41"/>
  <c r="AG27" i="41"/>
  <c r="AD39" i="41"/>
  <c r="AC39" i="41"/>
  <c r="AB168" i="41"/>
  <c r="AB105" i="41"/>
  <c r="AB12" i="41"/>
  <c r="AA101" i="41"/>
  <c r="AA12" i="41"/>
  <c r="Z182" i="41"/>
  <c r="AB169" i="41"/>
  <c r="AJ165" i="41"/>
  <c r="Z161" i="41"/>
  <c r="O10" i="43"/>
  <c r="N52" i="17"/>
  <c r="S32" i="41"/>
  <c r="S65" i="41"/>
  <c r="S96" i="41"/>
  <c r="AD30" i="41"/>
  <c r="AA136" i="41"/>
  <c r="AH77" i="41"/>
  <c r="O8" i="43"/>
  <c r="BE7" i="39"/>
  <c r="BH27" i="13"/>
  <c r="BH70" i="13"/>
  <c r="BH77" i="13"/>
  <c r="BH81" i="13"/>
  <c r="BH21" i="13"/>
  <c r="D81" i="21"/>
  <c r="D60" i="21"/>
  <c r="D14" i="21"/>
  <c r="D38" i="21"/>
  <c r="D48" i="21"/>
  <c r="D41" i="21"/>
  <c r="D40" i="21"/>
  <c r="D10" i="21"/>
  <c r="D68" i="21"/>
  <c r="D42" i="21"/>
  <c r="D27" i="21"/>
  <c r="D29" i="21"/>
  <c r="D7" i="21"/>
  <c r="E5" i="34"/>
  <c r="G17" i="35"/>
  <c r="E16" i="38" s="1"/>
  <c r="BH46" i="13"/>
  <c r="BH17" i="13"/>
  <c r="P16" i="39"/>
  <c r="Q16" i="39" s="1"/>
  <c r="U16" i="39" s="1"/>
  <c r="BH76" i="13"/>
  <c r="BH52" i="13"/>
  <c r="BH40" i="13"/>
  <c r="BH16" i="13"/>
  <c r="BH4" i="13"/>
  <c r="BH71" i="13"/>
  <c r="BH23" i="13"/>
  <c r="BH78" i="13"/>
  <c r="BH66" i="13"/>
  <c r="BH54" i="13"/>
  <c r="BH42" i="13"/>
  <c r="BH30" i="13"/>
  <c r="BH18" i="13"/>
  <c r="BH6" i="13"/>
  <c r="BH73" i="13"/>
  <c r="BH61" i="13"/>
  <c r="BH49" i="13"/>
  <c r="BH37" i="13"/>
  <c r="BH25" i="13"/>
  <c r="BH13" i="13"/>
  <c r="BH80" i="13"/>
  <c r="BH68" i="13"/>
  <c r="BH44" i="13"/>
  <c r="BH32" i="13"/>
  <c r="BH20" i="13"/>
  <c r="BH8" i="13"/>
  <c r="BJ75" i="14"/>
  <c r="BJ63" i="14"/>
  <c r="BJ51" i="14"/>
  <c r="BJ39" i="14"/>
  <c r="BJ27" i="14"/>
  <c r="BJ15" i="14"/>
  <c r="BJ82" i="14"/>
  <c r="BJ70" i="14"/>
  <c r="BJ58" i="14"/>
  <c r="BJ46" i="14"/>
  <c r="BJ22" i="14"/>
  <c r="BJ10" i="14"/>
  <c r="BJ77" i="14"/>
  <c r="BJ65" i="14"/>
  <c r="BJ53" i="14"/>
  <c r="BJ41" i="14"/>
  <c r="BJ29" i="14"/>
  <c r="BJ17" i="14"/>
  <c r="BJ5" i="14"/>
  <c r="BH51" i="13"/>
  <c r="BH58" i="13"/>
  <c r="BH53" i="13"/>
  <c r="BJ38" i="14"/>
  <c r="Q32" i="33"/>
  <c r="C30" i="21"/>
  <c r="C12" i="21"/>
  <c r="C15" i="21"/>
  <c r="C23" i="21"/>
  <c r="C6" i="21"/>
  <c r="C13" i="21"/>
  <c r="C16" i="21"/>
  <c r="C44" i="21"/>
  <c r="C35" i="21"/>
  <c r="F24" i="35"/>
  <c r="E7" i="34"/>
  <c r="BH39" i="13"/>
  <c r="BH34" i="13"/>
  <c r="BH5" i="13"/>
  <c r="BJ37" i="14"/>
  <c r="BJ25" i="14"/>
  <c r="BJ13" i="14"/>
  <c r="BH82" i="13"/>
  <c r="BH10" i="13"/>
  <c r="BJ50" i="14"/>
  <c r="BJ60" i="14"/>
  <c r="E17" i="35"/>
  <c r="BH65" i="13"/>
  <c r="BJ74" i="14"/>
  <c r="BJ45" i="14"/>
  <c r="P7" i="39"/>
  <c r="Q7" i="39" s="1"/>
  <c r="U7" i="39" s="1"/>
  <c r="BJ32" i="14"/>
  <c r="BJ8" i="14"/>
  <c r="P18" i="39"/>
  <c r="Q18" i="39" s="1"/>
  <c r="U18" i="39" s="1"/>
  <c r="I5" i="29"/>
  <c r="K5" i="29"/>
  <c r="L33" i="19"/>
  <c r="P33" i="19"/>
  <c r="O4" i="39"/>
  <c r="P4" i="39" s="1"/>
  <c r="I4" i="29"/>
  <c r="D45" i="19"/>
  <c r="D43" i="19"/>
  <c r="B46" i="19"/>
  <c r="Q46" i="19" s="1"/>
  <c r="C17" i="21"/>
  <c r="C14" i="21"/>
  <c r="D22" i="21"/>
  <c r="E31" i="21"/>
  <c r="Q31" i="21" s="1"/>
  <c r="E38" i="21"/>
  <c r="W38" i="21" s="1"/>
  <c r="E42" i="21"/>
  <c r="V42" i="21" s="1"/>
  <c r="D51" i="21"/>
  <c r="F62" i="21"/>
  <c r="N51" i="38"/>
  <c r="L72" i="28" s="1"/>
  <c r="M54" i="38"/>
  <c r="K73" i="28" s="1"/>
  <c r="K70" i="40" s="1"/>
  <c r="O5" i="17"/>
  <c r="O58" i="17"/>
  <c r="O59" i="17"/>
  <c r="O48" i="17"/>
  <c r="O24" i="17"/>
  <c r="O56" i="17"/>
  <c r="O61" i="17"/>
  <c r="Q84" i="35"/>
  <c r="Q86" i="35" s="1"/>
  <c r="B74" i="19"/>
  <c r="K74" i="19" s="1"/>
  <c r="D11" i="21"/>
  <c r="D74" i="21"/>
  <c r="M24" i="38"/>
  <c r="D4" i="21"/>
  <c r="C11" i="21"/>
  <c r="D16" i="21"/>
  <c r="D24" i="21"/>
  <c r="D20" i="21"/>
  <c r="H64" i="17"/>
  <c r="H70" i="17"/>
  <c r="H82" i="17"/>
  <c r="H59" i="17"/>
  <c r="C4" i="21"/>
  <c r="C7" i="21"/>
  <c r="C27" i="21"/>
  <c r="G38" i="21"/>
  <c r="D63" i="21"/>
  <c r="G16" i="38"/>
  <c r="O24" i="38"/>
  <c r="D13" i="21"/>
  <c r="D33" i="21"/>
  <c r="O16" i="38"/>
  <c r="E27" i="35"/>
  <c r="D6" i="21"/>
  <c r="D23" i="21"/>
  <c r="D26" i="21"/>
  <c r="D34" i="21"/>
  <c r="C33" i="21"/>
  <c r="M23" i="38"/>
  <c r="J27" i="35"/>
  <c r="K26" i="38"/>
  <c r="I67" i="28" s="1"/>
  <c r="I65" i="40" s="1"/>
  <c r="M38" i="38"/>
  <c r="K69" i="28" s="1"/>
  <c r="K67" i="40" s="1"/>
  <c r="BJ33" i="14"/>
  <c r="B55" i="19"/>
  <c r="Q55" i="19" s="1"/>
  <c r="D64" i="19"/>
  <c r="B79" i="19"/>
  <c r="L79" i="19" s="1"/>
  <c r="C10" i="21"/>
  <c r="D15" i="21"/>
  <c r="D19" i="21"/>
  <c r="C34" i="21"/>
  <c r="E67" i="21"/>
  <c r="Q67" i="21" s="1"/>
  <c r="F32" i="17"/>
  <c r="F17" i="17"/>
  <c r="F4" i="17"/>
  <c r="F81" i="17"/>
  <c r="F82" i="17"/>
  <c r="D9" i="21"/>
  <c r="C19" i="21"/>
  <c r="D36" i="21"/>
  <c r="D57" i="21"/>
  <c r="L27" i="19"/>
  <c r="C9" i="21"/>
  <c r="D12" i="21"/>
  <c r="D18" i="21"/>
  <c r="D32" i="21"/>
  <c r="C36" i="21"/>
  <c r="D50" i="21"/>
  <c r="C48" i="21"/>
  <c r="E72" i="21"/>
  <c r="W72" i="21" s="1"/>
  <c r="J65" i="28"/>
  <c r="J63" i="40" s="1"/>
  <c r="D5" i="21"/>
  <c r="C18" i="21"/>
  <c r="D30" i="21"/>
  <c r="D31" i="21"/>
  <c r="D39" i="21"/>
  <c r="G50" i="21"/>
  <c r="D65" i="21"/>
  <c r="D61" i="21"/>
  <c r="O27" i="35"/>
  <c r="I26" i="38" s="1"/>
  <c r="G67" i="28" s="1"/>
  <c r="G65" i="40" s="1"/>
  <c r="G48" i="35"/>
  <c r="D8" i="21"/>
  <c r="C5" i="21"/>
  <c r="D25" i="21"/>
  <c r="D21" i="21"/>
  <c r="D28" i="21"/>
  <c r="C39" i="21"/>
  <c r="D45" i="21"/>
  <c r="D55" i="21"/>
  <c r="C65" i="21"/>
  <c r="K64" i="28"/>
  <c r="K62" i="40" s="1"/>
  <c r="H16" i="38"/>
  <c r="V27" i="35"/>
  <c r="P54" i="17"/>
  <c r="P65" i="17"/>
  <c r="P62" i="17"/>
  <c r="P43" i="17"/>
  <c r="P71" i="17"/>
  <c r="P67" i="17"/>
  <c r="C8" i="21"/>
  <c r="D17" i="21"/>
  <c r="C25" i="21"/>
  <c r="C28" i="21"/>
  <c r="D35" i="21"/>
  <c r="D46" i="21"/>
  <c r="N48" i="35"/>
  <c r="H54" i="38"/>
  <c r="F73" i="28" s="1"/>
  <c r="F70" i="40" s="1"/>
  <c r="Q28" i="32"/>
  <c r="W28" i="33" s="1"/>
  <c r="H54" i="17"/>
  <c r="F50" i="17"/>
  <c r="K14" i="17"/>
  <c r="K40" i="17"/>
  <c r="K28" i="17"/>
  <c r="P15" i="17"/>
  <c r="K50" i="17"/>
  <c r="U10" i="41"/>
  <c r="U18" i="41"/>
  <c r="U25" i="41"/>
  <c r="R66" i="41"/>
  <c r="T137" i="41"/>
  <c r="R166" i="41"/>
  <c r="R200" i="41"/>
  <c r="S220" i="41"/>
  <c r="AF34" i="41"/>
  <c r="AB67" i="41"/>
  <c r="AD67" i="41"/>
  <c r="AF67" i="41"/>
  <c r="AC67" i="41"/>
  <c r="AG42" i="41"/>
  <c r="AF42" i="41"/>
  <c r="AC226" i="41"/>
  <c r="Z226" i="41"/>
  <c r="AB226" i="41"/>
  <c r="AG226" i="41"/>
  <c r="AC223" i="41"/>
  <c r="AF223" i="41"/>
  <c r="AB223" i="41"/>
  <c r="AE223" i="41"/>
  <c r="AA223" i="41"/>
  <c r="AD223" i="41"/>
  <c r="AB164" i="41"/>
  <c r="AC164" i="41"/>
  <c r="AD164" i="41"/>
  <c r="AE164" i="41"/>
  <c r="Z160" i="41"/>
  <c r="AC160" i="41"/>
  <c r="AF160" i="41"/>
  <c r="AA160" i="41"/>
  <c r="AD160" i="41"/>
  <c r="Z156" i="41"/>
  <c r="AA156" i="41"/>
  <c r="AD156" i="41"/>
  <c r="AG156" i="41"/>
  <c r="AB156" i="41"/>
  <c r="AE156" i="41"/>
  <c r="AC156" i="41"/>
  <c r="AB70" i="41"/>
  <c r="AE70" i="41"/>
  <c r="AC70" i="41"/>
  <c r="Z70" i="41"/>
  <c r="AD24" i="41"/>
  <c r="AG24" i="41"/>
  <c r="G51" i="35"/>
  <c r="M42" i="17"/>
  <c r="Z42" i="17" s="1"/>
  <c r="P33" i="17"/>
  <c r="O79" i="17"/>
  <c r="F73" i="17"/>
  <c r="K80" i="17"/>
  <c r="E3" i="29"/>
  <c r="M3" i="29" s="1"/>
  <c r="T48" i="41"/>
  <c r="T50" i="41"/>
  <c r="T56" i="41"/>
  <c r="T61" i="41"/>
  <c r="U73" i="41"/>
  <c r="U76" i="41"/>
  <c r="R85" i="41"/>
  <c r="T90" i="41"/>
  <c r="T103" i="41"/>
  <c r="S122" i="41"/>
  <c r="U129" i="41"/>
  <c r="T132" i="41"/>
  <c r="R135" i="41"/>
  <c r="R142" i="41"/>
  <c r="S168" i="41"/>
  <c r="R190" i="41"/>
  <c r="U197" i="41"/>
  <c r="AG190" i="41"/>
  <c r="AE190" i="41"/>
  <c r="AD227" i="41"/>
  <c r="AC227" i="41"/>
  <c r="AB89" i="41"/>
  <c r="AC89" i="41"/>
  <c r="AD89" i="41"/>
  <c r="AA226" i="41"/>
  <c r="AD207" i="41"/>
  <c r="AG207" i="41"/>
  <c r="AA204" i="41"/>
  <c r="AB204" i="41"/>
  <c r="AC204" i="41"/>
  <c r="AF204" i="41"/>
  <c r="Z201" i="41"/>
  <c r="AB201" i="41"/>
  <c r="AD201" i="41"/>
  <c r="AB187" i="41"/>
  <c r="AC187" i="41"/>
  <c r="AA181" i="41"/>
  <c r="Z177" i="41"/>
  <c r="AF177" i="41"/>
  <c r="AB177" i="41"/>
  <c r="AE177" i="41"/>
  <c r="AG177" i="41"/>
  <c r="AB174" i="41"/>
  <c r="AA174" i="41"/>
  <c r="AD174" i="41"/>
  <c r="AE171" i="41"/>
  <c r="AG171" i="41"/>
  <c r="AA171" i="41"/>
  <c r="AC171" i="41"/>
  <c r="AB171" i="41"/>
  <c r="AF134" i="41"/>
  <c r="AG134" i="41"/>
  <c r="AA134" i="41"/>
  <c r="AC134" i="41"/>
  <c r="AA131" i="41"/>
  <c r="AE131" i="41"/>
  <c r="AB131" i="41"/>
  <c r="AC131" i="41"/>
  <c r="Z128" i="41"/>
  <c r="AA128" i="41"/>
  <c r="AB128" i="41"/>
  <c r="AD128" i="41"/>
  <c r="AA93" i="41"/>
  <c r="AE93" i="41"/>
  <c r="AB93" i="41"/>
  <c r="Z7" i="41"/>
  <c r="AB7" i="41"/>
  <c r="AC7" i="41"/>
  <c r="AH7" i="41"/>
  <c r="AE7" i="41"/>
  <c r="I46" i="38"/>
  <c r="F54" i="17"/>
  <c r="O72" i="17"/>
  <c r="F8" i="17"/>
  <c r="H39" i="17"/>
  <c r="P17" i="17"/>
  <c r="P9" i="17"/>
  <c r="F61" i="17"/>
  <c r="K73" i="17"/>
  <c r="J4" i="17"/>
  <c r="U23" i="41"/>
  <c r="U31" i="41"/>
  <c r="U63" i="41"/>
  <c r="U68" i="41"/>
  <c r="U95" i="41"/>
  <c r="U103" i="41"/>
  <c r="T145" i="41"/>
  <c r="U215" i="41"/>
  <c r="AF107" i="41"/>
  <c r="AB112" i="41"/>
  <c r="AE112" i="41"/>
  <c r="AC112" i="41"/>
  <c r="AD213" i="41"/>
  <c r="AA213" i="41"/>
  <c r="AB213" i="41"/>
  <c r="AD155" i="41"/>
  <c r="AG155" i="41"/>
  <c r="AC155" i="41"/>
  <c r="AB152" i="41"/>
  <c r="AC152" i="41"/>
  <c r="AA152" i="41"/>
  <c r="AC104" i="41"/>
  <c r="AA104" i="41"/>
  <c r="AD80" i="41"/>
  <c r="AA80" i="41"/>
  <c r="AE80" i="41"/>
  <c r="AB80" i="41"/>
  <c r="Z75" i="41"/>
  <c r="AB75" i="41"/>
  <c r="AE75" i="41"/>
  <c r="AC75" i="41"/>
  <c r="AG75" i="41"/>
  <c r="AF59" i="41"/>
  <c r="AB59" i="41"/>
  <c r="AC59" i="41"/>
  <c r="AD59" i="41"/>
  <c r="AA59" i="41"/>
  <c r="AC54" i="41"/>
  <c r="AE54" i="41"/>
  <c r="AD54" i="41"/>
  <c r="AA54" i="41"/>
  <c r="AG54" i="41"/>
  <c r="AB54" i="41"/>
  <c r="AA48" i="41"/>
  <c r="AF48" i="41"/>
  <c r="V51" i="35"/>
  <c r="H28" i="32"/>
  <c r="H29" i="32"/>
  <c r="H29" i="33" s="1"/>
  <c r="H74" i="38"/>
  <c r="F77" i="28" s="1"/>
  <c r="F74" i="40" s="1"/>
  <c r="N74" i="38"/>
  <c r="L77" i="28" s="1"/>
  <c r="L74" i="40" s="1"/>
  <c r="K39" i="17"/>
  <c r="P30" i="17"/>
  <c r="H83" i="22"/>
  <c r="C15" i="29" s="1"/>
  <c r="L15" i="29" s="1"/>
  <c r="P51" i="17"/>
  <c r="T153" i="41"/>
  <c r="U163" i="41"/>
  <c r="T169" i="41"/>
  <c r="T177" i="41"/>
  <c r="S182" i="41"/>
  <c r="U187" i="41"/>
  <c r="R198" i="41"/>
  <c r="U205" i="41"/>
  <c r="U208" i="41"/>
  <c r="U213" i="41"/>
  <c r="S224" i="41"/>
  <c r="AE199" i="41"/>
  <c r="AD199" i="41"/>
  <c r="AF225" i="41"/>
  <c r="AE225" i="41"/>
  <c r="AA225" i="41"/>
  <c r="Z219" i="41"/>
  <c r="AG219" i="41"/>
  <c r="AD219" i="41"/>
  <c r="Z216" i="41"/>
  <c r="AB216" i="41"/>
  <c r="AE216" i="41"/>
  <c r="AD216" i="41"/>
  <c r="AA170" i="41"/>
  <c r="AD170" i="41"/>
  <c r="AB170" i="41"/>
  <c r="Z166" i="41"/>
  <c r="AB166" i="41"/>
  <c r="AC166" i="41"/>
  <c r="AA166" i="41"/>
  <c r="AG166" i="41"/>
  <c r="AB163" i="41"/>
  <c r="AA163" i="41"/>
  <c r="Z104" i="41"/>
  <c r="AE92" i="41"/>
  <c r="AC92" i="41"/>
  <c r="Z92" i="41"/>
  <c r="AB92" i="41"/>
  <c r="AD92" i="41"/>
  <c r="AE88" i="41"/>
  <c r="AC88" i="41"/>
  <c r="AB88" i="41"/>
  <c r="AD88" i="41"/>
  <c r="AA88" i="41"/>
  <c r="AC69" i="41"/>
  <c r="AA69" i="41"/>
  <c r="AE29" i="41"/>
  <c r="AD29" i="41"/>
  <c r="Z29" i="41"/>
  <c r="AB29" i="41"/>
  <c r="AC29" i="41"/>
  <c r="AA23" i="41"/>
  <c r="AF23" i="41"/>
  <c r="AB23" i="41"/>
  <c r="AC23" i="41"/>
  <c r="AE23" i="41"/>
  <c r="D74" i="28"/>
  <c r="D71" i="40" s="1"/>
  <c r="J27" i="32"/>
  <c r="F29" i="32"/>
  <c r="L79" i="28"/>
  <c r="L76" i="40" s="1"/>
  <c r="F37" i="17"/>
  <c r="F39" i="17"/>
  <c r="K22" i="17"/>
  <c r="M22" i="17" s="1"/>
  <c r="K4" i="17"/>
  <c r="K38" i="17"/>
  <c r="K30" i="17"/>
  <c r="O23" i="17"/>
  <c r="F69" i="17"/>
  <c r="O30" i="17"/>
  <c r="T74" i="41"/>
  <c r="T109" i="41"/>
  <c r="T123" i="41"/>
  <c r="U125" i="41"/>
  <c r="U137" i="41"/>
  <c r="U142" i="41"/>
  <c r="AG79" i="41"/>
  <c r="AE79" i="41"/>
  <c r="AC79" i="41"/>
  <c r="AE107" i="41"/>
  <c r="AD107" i="41"/>
  <c r="AG107" i="41"/>
  <c r="Z193" i="41"/>
  <c r="AE193" i="41"/>
  <c r="AG193" i="41"/>
  <c r="AD193" i="41"/>
  <c r="AA193" i="41"/>
  <c r="AB193" i="41"/>
  <c r="AC193" i="41"/>
  <c r="AF193" i="41"/>
  <c r="Z190" i="41"/>
  <c r="AD190" i="41"/>
  <c r="AA190" i="41"/>
  <c r="AB190" i="41"/>
  <c r="Z183" i="41"/>
  <c r="AF183" i="41"/>
  <c r="AE183" i="41"/>
  <c r="AA183" i="41"/>
  <c r="AB183" i="41"/>
  <c r="AA180" i="41"/>
  <c r="AD180" i="41"/>
  <c r="AB180" i="41"/>
  <c r="AB176" i="41"/>
  <c r="AE176" i="41"/>
  <c r="AG176" i="41"/>
  <c r="AA176" i="41"/>
  <c r="AD176" i="41"/>
  <c r="AC176" i="41"/>
  <c r="AD113" i="41"/>
  <c r="AF113" i="41"/>
  <c r="AB113" i="41"/>
  <c r="AA113" i="41"/>
  <c r="AB74" i="41"/>
  <c r="AE74" i="41"/>
  <c r="AC74" i="41"/>
  <c r="AD74" i="41"/>
  <c r="AF74" i="41"/>
  <c r="AA74" i="41"/>
  <c r="AA34" i="41"/>
  <c r="AC34" i="41"/>
  <c r="AE34" i="41"/>
  <c r="AD34" i="41"/>
  <c r="V48" i="35"/>
  <c r="T51" i="35"/>
  <c r="Q26" i="32"/>
  <c r="W26" i="33" s="1"/>
  <c r="G27" i="32"/>
  <c r="F27" i="33" s="1"/>
  <c r="Q27" i="32"/>
  <c r="W27" i="33" s="1"/>
  <c r="P46" i="17"/>
  <c r="E60" i="17"/>
  <c r="F83" i="22"/>
  <c r="C17" i="29" s="1"/>
  <c r="L17" i="29" s="1"/>
  <c r="R29" i="41"/>
  <c r="T59" i="41"/>
  <c r="R69" i="41"/>
  <c r="R99" i="41"/>
  <c r="R115" i="41"/>
  <c r="T140" i="41"/>
  <c r="U145" i="41"/>
  <c r="U153" i="41"/>
  <c r="U161" i="41"/>
  <c r="T164" i="41"/>
  <c r="U166" i="41"/>
  <c r="U185" i="41"/>
  <c r="S198" i="41"/>
  <c r="T206" i="41"/>
  <c r="U211" i="41"/>
  <c r="AF79" i="41"/>
  <c r="AB79" i="41"/>
  <c r="AC107" i="41"/>
  <c r="AC123" i="41"/>
  <c r="AD123" i="41"/>
  <c r="AA123" i="41"/>
  <c r="AB123" i="41"/>
  <c r="AG123" i="41"/>
  <c r="AC120" i="41"/>
  <c r="AD120" i="41"/>
  <c r="AF120" i="41"/>
  <c r="AA120" i="41"/>
  <c r="AB120" i="41"/>
  <c r="AE120" i="41"/>
  <c r="AB99" i="41"/>
  <c r="AD99" i="41"/>
  <c r="AA99" i="41"/>
  <c r="AE99" i="41"/>
  <c r="AC99" i="41"/>
  <c r="Z96" i="41"/>
  <c r="AB96" i="41"/>
  <c r="AD96" i="41"/>
  <c r="AA96" i="41"/>
  <c r="AC96" i="41"/>
  <c r="AB83" i="41"/>
  <c r="AD83" i="41"/>
  <c r="AF83" i="41"/>
  <c r="AG83" i="41"/>
  <c r="AA83" i="41"/>
  <c r="AE83" i="41"/>
  <c r="AC83" i="41"/>
  <c r="Z74" i="41"/>
  <c r="Q13" i="32"/>
  <c r="G21" i="32"/>
  <c r="I25" i="32"/>
  <c r="O22" i="32"/>
  <c r="P21" i="32"/>
  <c r="U21" i="33" s="1"/>
  <c r="Q22" i="32"/>
  <c r="W22" i="33" s="1"/>
  <c r="O22" i="34" s="1"/>
  <c r="I26" i="32"/>
  <c r="J26" i="33" s="1"/>
  <c r="F52" i="17"/>
  <c r="P12" i="17"/>
  <c r="I83" i="22"/>
  <c r="C18" i="29" s="1"/>
  <c r="L18" i="29" s="1"/>
  <c r="P59" i="17"/>
  <c r="K27" i="17"/>
  <c r="K21" i="17"/>
  <c r="M21" i="17" s="1"/>
  <c r="P52" i="17"/>
  <c r="P41" i="17"/>
  <c r="R32" i="41"/>
  <c r="S62" i="41"/>
  <c r="T107" i="41"/>
  <c r="R126" i="41"/>
  <c r="U130" i="41"/>
  <c r="S135" i="41"/>
  <c r="T143" i="41"/>
  <c r="U148" i="41"/>
  <c r="S156" i="41"/>
  <c r="U169" i="41"/>
  <c r="U172" i="41"/>
  <c r="R178" i="41"/>
  <c r="T188" i="41"/>
  <c r="U190" i="41"/>
  <c r="T201" i="41"/>
  <c r="U203" i="41"/>
  <c r="U227" i="41"/>
  <c r="AG113" i="41"/>
  <c r="Z221" i="41"/>
  <c r="AB221" i="41"/>
  <c r="AE221" i="41"/>
  <c r="AF218" i="41"/>
  <c r="AB218" i="41"/>
  <c r="AA218" i="41"/>
  <c r="AC218" i="41"/>
  <c r="Z215" i="41"/>
  <c r="AG215" i="41"/>
  <c r="AD215" i="41"/>
  <c r="AA215" i="41"/>
  <c r="AC215" i="41"/>
  <c r="AF215" i="41"/>
  <c r="Z127" i="41"/>
  <c r="AB127" i="41"/>
  <c r="AC127" i="41"/>
  <c r="AG111" i="41"/>
  <c r="AA111" i="41"/>
  <c r="AE111" i="41"/>
  <c r="AC111" i="41"/>
  <c r="Z111" i="41"/>
  <c r="AB111" i="41"/>
  <c r="AA108" i="41"/>
  <c r="AC108" i="41"/>
  <c r="O21" i="32"/>
  <c r="S21" i="33" s="1"/>
  <c r="M21" i="34" s="1"/>
  <c r="F26" i="32"/>
  <c r="G79" i="28"/>
  <c r="G76" i="40" s="1"/>
  <c r="F36" i="17"/>
  <c r="M83" i="22"/>
  <c r="C21" i="29" s="1"/>
  <c r="M21" i="29" s="1"/>
  <c r="K44" i="17"/>
  <c r="P55" i="17"/>
  <c r="K37" i="17"/>
  <c r="O52" i="17"/>
  <c r="K26" i="17"/>
  <c r="K71" i="17"/>
  <c r="C4" i="17"/>
  <c r="G4" i="29"/>
  <c r="M4" i="29" s="1"/>
  <c r="I38" i="29" s="1"/>
  <c r="U22" i="41"/>
  <c r="S27" i="41"/>
  <c r="U57" i="41"/>
  <c r="S70" i="41"/>
  <c r="T80" i="41"/>
  <c r="U104" i="41"/>
  <c r="S123" i="41"/>
  <c r="U133" i="41"/>
  <c r="S140" i="41"/>
  <c r="S149" i="41"/>
  <c r="R154" i="41"/>
  <c r="S157" i="41"/>
  <c r="R162" i="41"/>
  <c r="S173" i="41"/>
  <c r="S180" i="41"/>
  <c r="R186" i="41"/>
  <c r="U193" i="41"/>
  <c r="T212" i="41"/>
  <c r="U218" i="41"/>
  <c r="AH183" i="41"/>
  <c r="AD183" i="41"/>
  <c r="AA70" i="41"/>
  <c r="Z228" i="41"/>
  <c r="AA228" i="41"/>
  <c r="AB228" i="41"/>
  <c r="AC228" i="41"/>
  <c r="AE228" i="41"/>
  <c r="AF95" i="41"/>
  <c r="AG95" i="41"/>
  <c r="AA95" i="41"/>
  <c r="AC95" i="41"/>
  <c r="AG38" i="41"/>
  <c r="AC38" i="41"/>
  <c r="AH38" i="41"/>
  <c r="AE38" i="41"/>
  <c r="AB38" i="41"/>
  <c r="AD38" i="41"/>
  <c r="Z38" i="41"/>
  <c r="AA33" i="41"/>
  <c r="AC33" i="41"/>
  <c r="AE33" i="41"/>
  <c r="AB33" i="41"/>
  <c r="AD33" i="41"/>
  <c r="AG33" i="41"/>
  <c r="I54" i="38"/>
  <c r="G73" i="28" s="1"/>
  <c r="G70" i="40" s="1"/>
  <c r="F80" i="17"/>
  <c r="H74" i="17"/>
  <c r="K8" i="17"/>
  <c r="F59" i="17"/>
  <c r="F33" i="17"/>
  <c r="E28" i="17"/>
  <c r="L5" i="17"/>
  <c r="AF176" i="41"/>
  <c r="AD79" i="41"/>
  <c r="AF154" i="41"/>
  <c r="AD154" i="41"/>
  <c r="AB154" i="41"/>
  <c r="AE154" i="41"/>
  <c r="AA154" i="41"/>
  <c r="AA143" i="41"/>
  <c r="AC143" i="41"/>
  <c r="AB143" i="41"/>
  <c r="AG143" i="41"/>
  <c r="AE125" i="41"/>
  <c r="AC125" i="41"/>
  <c r="AD125" i="41"/>
  <c r="Z125" i="41"/>
  <c r="AA125" i="41"/>
  <c r="AB125" i="41"/>
  <c r="Z116" i="41"/>
  <c r="AD116" i="41"/>
  <c r="AG116" i="41"/>
  <c r="AC116" i="41"/>
  <c r="AB102" i="41"/>
  <c r="AD102" i="41"/>
  <c r="AF102" i="41"/>
  <c r="AG102" i="41"/>
  <c r="AA102" i="41"/>
  <c r="AE102" i="41"/>
  <c r="C68" i="28"/>
  <c r="C66" i="40" s="1"/>
  <c r="G46" i="38"/>
  <c r="M48" i="35"/>
  <c r="O51" i="35"/>
  <c r="F27" i="32"/>
  <c r="I27" i="32"/>
  <c r="J27" i="33" s="1"/>
  <c r="Q29" i="32"/>
  <c r="W29" i="33" s="1"/>
  <c r="F51" i="17"/>
  <c r="K36" i="17"/>
  <c r="J83" i="22"/>
  <c r="C19" i="29" s="1"/>
  <c r="L19" i="29" s="1"/>
  <c r="O6" i="17"/>
  <c r="T27" i="41"/>
  <c r="R40" i="41"/>
  <c r="U43" i="41"/>
  <c r="R60" i="41"/>
  <c r="T67" i="41"/>
  <c r="T94" i="41"/>
  <c r="R97" i="41"/>
  <c r="T110" i="41"/>
  <c r="R116" i="41"/>
  <c r="R127" i="41"/>
  <c r="S128" i="41"/>
  <c r="S138" i="41"/>
  <c r="T141" i="41"/>
  <c r="U151" i="41"/>
  <c r="T165" i="41"/>
  <c r="U175" i="41"/>
  <c r="S197" i="41"/>
  <c r="R202" i="41"/>
  <c r="R217" i="41"/>
  <c r="U223" i="41"/>
  <c r="AA26" i="41"/>
  <c r="AG26" i="41"/>
  <c r="Z169" i="41"/>
  <c r="AC169" i="41"/>
  <c r="Z157" i="41"/>
  <c r="AA157" i="41"/>
  <c r="AF157" i="41"/>
  <c r="AB157" i="41"/>
  <c r="Z41" i="41"/>
  <c r="AF41" i="41"/>
  <c r="AC41" i="41"/>
  <c r="AB41" i="41"/>
  <c r="AA41" i="41"/>
  <c r="F56" i="17"/>
  <c r="M65" i="17"/>
  <c r="Z65" i="17" s="1"/>
  <c r="R105" i="41"/>
  <c r="T119" i="41"/>
  <c r="T134" i="41"/>
  <c r="U146" i="41"/>
  <c r="U154" i="41"/>
  <c r="R187" i="41"/>
  <c r="T189" i="41"/>
  <c r="T194" i="41"/>
  <c r="S204" i="41"/>
  <c r="U219" i="41"/>
  <c r="R224" i="41"/>
  <c r="AH180" i="41"/>
  <c r="AA194" i="41"/>
  <c r="AD194" i="41"/>
  <c r="AA135" i="41"/>
  <c r="AD135" i="41"/>
  <c r="AG135" i="41"/>
  <c r="AE135" i="41"/>
  <c r="AB135" i="41"/>
  <c r="AC135" i="41"/>
  <c r="AA210" i="41"/>
  <c r="AC210" i="41"/>
  <c r="AA202" i="41"/>
  <c r="AB202" i="41"/>
  <c r="AC202" i="41"/>
  <c r="AF202" i="41"/>
  <c r="AE202" i="41"/>
  <c r="AF198" i="41"/>
  <c r="AE198" i="41"/>
  <c r="AG198" i="41"/>
  <c r="AD198" i="41"/>
  <c r="AB198" i="41"/>
  <c r="AA198" i="41"/>
  <c r="AA188" i="41"/>
  <c r="AB188" i="41"/>
  <c r="AC188" i="41"/>
  <c r="AE188" i="41"/>
  <c r="AG188" i="41"/>
  <c r="AC185" i="41"/>
  <c r="AF185" i="41"/>
  <c r="AD185" i="41"/>
  <c r="AA185" i="41"/>
  <c r="AB185" i="41"/>
  <c r="Z139" i="41"/>
  <c r="AC139" i="41"/>
  <c r="AF139" i="41"/>
  <c r="AD139" i="41"/>
  <c r="AA139" i="41"/>
  <c r="Z129" i="41"/>
  <c r="AG129" i="41"/>
  <c r="AA129" i="41"/>
  <c r="AC129" i="41"/>
  <c r="AF129" i="41"/>
  <c r="AG115" i="41"/>
  <c r="AA115" i="41"/>
  <c r="AB115" i="41"/>
  <c r="AE115" i="41"/>
  <c r="Z115" i="41"/>
  <c r="AC115" i="41"/>
  <c r="AB72" i="41"/>
  <c r="AC72" i="41"/>
  <c r="AD72" i="41"/>
  <c r="AA72" i="41"/>
  <c r="AF36" i="41"/>
  <c r="AA36" i="41"/>
  <c r="AC36" i="41"/>
  <c r="Z36" i="41"/>
  <c r="AB36" i="41"/>
  <c r="L64" i="28"/>
  <c r="L62" i="40" s="1"/>
  <c r="H15" i="38"/>
  <c r="N15" i="38"/>
  <c r="M27" i="35"/>
  <c r="J70" i="28"/>
  <c r="J68" i="40" s="1"/>
  <c r="O15" i="32"/>
  <c r="P16" i="32"/>
  <c r="M51" i="35"/>
  <c r="N51" i="35"/>
  <c r="O51" i="38"/>
  <c r="M72" i="28" s="1"/>
  <c r="P27" i="32"/>
  <c r="U27" i="33" s="1"/>
  <c r="M67" i="38"/>
  <c r="K76" i="28" s="1"/>
  <c r="K73" i="40" s="1"/>
  <c r="H8" i="17"/>
  <c r="K24" i="17"/>
  <c r="K19" i="17"/>
  <c r="O21" i="17"/>
  <c r="C83" i="22"/>
  <c r="C12" i="29" s="1"/>
  <c r="M12" i="29" s="1"/>
  <c r="K81" i="17"/>
  <c r="F62" i="17"/>
  <c r="E78" i="17"/>
  <c r="Z78" i="17" s="1"/>
  <c r="S28" i="41"/>
  <c r="T44" i="41"/>
  <c r="R47" i="41"/>
  <c r="S50" i="41"/>
  <c r="T58" i="41"/>
  <c r="T81" i="41"/>
  <c r="S90" i="41"/>
  <c r="T100" i="41"/>
  <c r="R103" i="41"/>
  <c r="R117" i="41"/>
  <c r="S137" i="41"/>
  <c r="R215" i="41"/>
  <c r="AH193" i="41"/>
  <c r="AG34" i="41"/>
  <c r="AC190" i="41"/>
  <c r="AG149" i="41"/>
  <c r="AC149" i="41"/>
  <c r="AB149" i="41"/>
  <c r="AF149" i="41"/>
  <c r="AE145" i="41"/>
  <c r="AA145" i="41"/>
  <c r="AC145" i="41"/>
  <c r="AB145" i="41"/>
  <c r="AD145" i="41"/>
  <c r="Z142" i="41"/>
  <c r="AA142" i="41"/>
  <c r="AC142" i="41"/>
  <c r="AD142" i="41"/>
  <c r="Z118" i="41"/>
  <c r="AD118" i="41"/>
  <c r="AF118" i="41"/>
  <c r="AA118" i="41"/>
  <c r="AB118" i="41"/>
  <c r="AB85" i="41"/>
  <c r="AD85" i="41"/>
  <c r="AA85" i="41"/>
  <c r="AD66" i="41"/>
  <c r="AG66" i="41"/>
  <c r="AB66" i="41"/>
  <c r="AC66" i="41"/>
  <c r="Z66" i="41"/>
  <c r="AC55" i="41"/>
  <c r="AD55" i="41"/>
  <c r="AE50" i="41"/>
  <c r="AD50" i="41"/>
  <c r="AA32" i="41"/>
  <c r="AC32" i="41"/>
  <c r="AH32" i="41"/>
  <c r="AE32" i="41"/>
  <c r="AB32" i="41"/>
  <c r="AF32" i="41"/>
  <c r="AB42" i="41"/>
  <c r="Z202" i="41"/>
  <c r="Z188" i="41"/>
  <c r="Z154" i="41"/>
  <c r="Z143" i="41"/>
  <c r="Z120" i="41"/>
  <c r="Z113" i="41"/>
  <c r="Z93" i="41"/>
  <c r="Z72" i="41"/>
  <c r="Z61" i="41"/>
  <c r="Z51" i="41"/>
  <c r="AE42" i="41"/>
  <c r="AC46" i="41"/>
  <c r="AB199" i="41"/>
  <c r="AA107" i="41"/>
  <c r="AA39" i="41"/>
  <c r="AA56" i="41"/>
  <c r="Z210" i="41"/>
  <c r="Z198" i="41"/>
  <c r="Z174" i="41"/>
  <c r="Z171" i="41"/>
  <c r="Z145" i="41"/>
  <c r="Z46" i="41"/>
  <c r="AC42" i="41"/>
  <c r="AB107" i="41"/>
  <c r="Z225" i="41"/>
  <c r="Z213" i="41"/>
  <c r="Z187" i="41"/>
  <c r="Z164" i="41"/>
  <c r="Z55" i="41"/>
  <c r="Z50" i="41"/>
  <c r="Z45" i="41"/>
  <c r="Z34" i="41"/>
  <c r="BE11" i="39"/>
  <c r="AD56" i="41"/>
  <c r="AB51" i="41"/>
  <c r="AA51" i="41"/>
  <c r="Z218" i="41"/>
  <c r="Z204" i="41"/>
  <c r="Z180" i="41"/>
  <c r="Z149" i="41"/>
  <c r="AK122" i="41"/>
  <c r="Z119" i="41"/>
  <c r="Z99" i="41"/>
  <c r="Z80" i="41"/>
  <c r="O9" i="43"/>
  <c r="M80" i="44"/>
  <c r="M150" i="44"/>
  <c r="AC19" i="41"/>
  <c r="AB19" i="41"/>
  <c r="Z209" i="41"/>
  <c r="Z186" i="41"/>
  <c r="Z176" i="41"/>
  <c r="AI159" i="41"/>
  <c r="Z152" i="41"/>
  <c r="Z134" i="41"/>
  <c r="Z131" i="41"/>
  <c r="Z102" i="41"/>
  <c r="Z83" i="41"/>
  <c r="Z59" i="41"/>
  <c r="Z54" i="41"/>
  <c r="AE150" i="41"/>
  <c r="AE57" i="41"/>
  <c r="AC140" i="41"/>
  <c r="AB46" i="41"/>
  <c r="AA49" i="41"/>
  <c r="Z196" i="41"/>
  <c r="Z163" i="41"/>
  <c r="Z33" i="41"/>
  <c r="Z23" i="41"/>
  <c r="AC56" i="41"/>
  <c r="AB150" i="41"/>
  <c r="AB56" i="41"/>
  <c r="AH161" i="41"/>
  <c r="Z147" i="41"/>
  <c r="Z137" i="41"/>
  <c r="Z121" i="41"/>
  <c r="Z86" i="41"/>
  <c r="AJ52" i="41"/>
  <c r="Z44" i="41"/>
  <c r="AG40" i="41"/>
  <c r="AB30" i="41"/>
  <c r="AA76" i="41"/>
  <c r="Z223" i="41"/>
  <c r="Z192" i="41"/>
  <c r="Z185" i="41"/>
  <c r="AC130" i="41"/>
  <c r="AC94" i="41"/>
  <c r="Z63" i="41"/>
  <c r="Z58" i="41"/>
  <c r="Z27" i="41"/>
  <c r="N10" i="43"/>
  <c r="AD42" i="41"/>
  <c r="AB140" i="41"/>
  <c r="AA62" i="41"/>
  <c r="Z220" i="41"/>
  <c r="Z214" i="41"/>
  <c r="Z175" i="41"/>
  <c r="Z172" i="41"/>
  <c r="Z133" i="41"/>
  <c r="Z123" i="41"/>
  <c r="Z90" i="41"/>
  <c r="Z68" i="41"/>
  <c r="AJ35" i="41"/>
  <c r="BE19" i="39"/>
  <c r="V46" i="21"/>
  <c r="Q46" i="21"/>
  <c r="W45" i="21"/>
  <c r="W33" i="21"/>
  <c r="E75" i="19"/>
  <c r="M11" i="17"/>
  <c r="S11" i="17" s="1"/>
  <c r="E50" i="17"/>
  <c r="E18" i="17"/>
  <c r="E66" i="17"/>
  <c r="S66" i="17" s="1"/>
  <c r="E43" i="17"/>
  <c r="P18" i="17"/>
  <c r="H17" i="17"/>
  <c r="J64" i="17"/>
  <c r="J44" i="17"/>
  <c r="O67" i="17"/>
  <c r="M46" i="17"/>
  <c r="T46" i="17" s="1"/>
  <c r="O33" i="17"/>
  <c r="O62" i="17"/>
  <c r="O55" i="17"/>
  <c r="O46" i="17"/>
  <c r="P32" i="17"/>
  <c r="O17" i="17"/>
  <c r="O9" i="17"/>
  <c r="H5" i="17"/>
  <c r="J80" i="17"/>
  <c r="P77" i="17"/>
  <c r="P37" i="17"/>
  <c r="P27" i="17"/>
  <c r="P20" i="17"/>
  <c r="O15" i="17"/>
  <c r="E72" i="17"/>
  <c r="E48" i="17"/>
  <c r="O41" i="17"/>
  <c r="E7" i="17"/>
  <c r="P81" i="17"/>
  <c r="E63" i="17"/>
  <c r="E56" i="17"/>
  <c r="E53" i="17"/>
  <c r="J53" i="17"/>
  <c r="P11" i="17"/>
  <c r="P74" i="17"/>
  <c r="O71" i="17"/>
  <c r="J37" i="17"/>
  <c r="O65" i="17"/>
  <c r="H51" i="17"/>
  <c r="O43" i="17"/>
  <c r="J38" i="17"/>
  <c r="O32" i="17"/>
  <c r="J28" i="17"/>
  <c r="O77" i="17"/>
  <c r="O37" i="17"/>
  <c r="P23" i="17"/>
  <c r="O20" i="17"/>
  <c r="J48" i="17"/>
  <c r="P38" i="17"/>
  <c r="E69" i="17"/>
  <c r="F60" i="17"/>
  <c r="E45" i="17"/>
  <c r="S45" i="17" s="1"/>
  <c r="E21" i="17"/>
  <c r="J63" i="17"/>
  <c r="J43" i="17"/>
  <c r="O11" i="17"/>
  <c r="O74" i="17"/>
  <c r="M62" i="17"/>
  <c r="Z62" i="17" s="1"/>
  <c r="J52" i="17"/>
  <c r="E36" i="17"/>
  <c r="M6" i="17"/>
  <c r="H81" i="17"/>
  <c r="P61" i="17"/>
  <c r="P58" i="17"/>
  <c r="P79" i="17"/>
  <c r="P56" i="17"/>
  <c r="O27" i="17"/>
  <c r="E5" i="17"/>
  <c r="H62" i="17"/>
  <c r="J7" i="17"/>
  <c r="O81" i="17"/>
  <c r="E77" i="17"/>
  <c r="E59" i="17"/>
  <c r="E30" i="17"/>
  <c r="J60" i="17"/>
  <c r="H52" i="17"/>
  <c r="J17" i="17"/>
  <c r="P70" i="17"/>
  <c r="P66" i="17"/>
  <c r="J36" i="17"/>
  <c r="J25" i="17"/>
  <c r="P69" i="17"/>
  <c r="P64" i="17"/>
  <c r="P49" i="17"/>
  <c r="P45" i="17"/>
  <c r="P42" i="17"/>
  <c r="P29" i="17"/>
  <c r="P19" i="17"/>
  <c r="E71" i="17"/>
  <c r="E32" i="17"/>
  <c r="P26" i="17"/>
  <c r="E55" i="17"/>
  <c r="Y55" i="17" s="1"/>
  <c r="J27" i="17"/>
  <c r="P16" i="17"/>
  <c r="J76" i="17"/>
  <c r="J58" i="17"/>
  <c r="J42" i="17"/>
  <c r="P10" i="17"/>
  <c r="O70" i="17"/>
  <c r="M16" i="17"/>
  <c r="T16" i="17" s="1"/>
  <c r="P76" i="17"/>
  <c r="O69" i="17"/>
  <c r="O64" i="17"/>
  <c r="H50" i="17"/>
  <c r="O45" i="17"/>
  <c r="J26" i="17"/>
  <c r="J8" i="17"/>
  <c r="P36" i="17"/>
  <c r="O19" i="17"/>
  <c r="P14" i="17"/>
  <c r="H79" i="17"/>
  <c r="P40" i="17"/>
  <c r="O26" i="17"/>
  <c r="E76" i="17"/>
  <c r="E65" i="17"/>
  <c r="E58" i="17"/>
  <c r="E34" i="17"/>
  <c r="E17" i="17"/>
  <c r="E10" i="17"/>
  <c r="P8" i="17"/>
  <c r="J70" i="17"/>
  <c r="J57" i="17"/>
  <c r="H37" i="17"/>
  <c r="J16" i="17"/>
  <c r="O10" i="17"/>
  <c r="P73" i="17"/>
  <c r="O66" i="17"/>
  <c r="J23" i="17"/>
  <c r="O76" i="17"/>
  <c r="O49" i="17"/>
  <c r="O42" i="17"/>
  <c r="P31" i="17"/>
  <c r="H48" i="17"/>
  <c r="O36" i="17"/>
  <c r="O29" i="17"/>
  <c r="P22" i="17"/>
  <c r="O14" i="17"/>
  <c r="P4" i="17"/>
  <c r="O40" i="17"/>
  <c r="E31" i="17"/>
  <c r="P80" i="17"/>
  <c r="E52" i="17"/>
  <c r="E47" i="17"/>
  <c r="E23" i="17"/>
  <c r="P7" i="17"/>
  <c r="H56" i="17"/>
  <c r="P13" i="17"/>
  <c r="O73" i="17"/>
  <c r="J22" i="17"/>
  <c r="H80" i="17"/>
  <c r="P60" i="17"/>
  <c r="P57" i="17"/>
  <c r="P53" i="17"/>
  <c r="O31" i="17"/>
  <c r="E82" i="17"/>
  <c r="P78" i="17"/>
  <c r="P75" i="17"/>
  <c r="E39" i="17"/>
  <c r="P25" i="17"/>
  <c r="O22" i="17"/>
  <c r="H18" i="17"/>
  <c r="E74" i="17"/>
  <c r="H65" i="17"/>
  <c r="E67" i="17"/>
  <c r="E62" i="17"/>
  <c r="E44" i="17"/>
  <c r="E6" i="17"/>
  <c r="J67" i="17"/>
  <c r="M13" i="17"/>
  <c r="X13" i="17" s="1"/>
  <c r="J47" i="17"/>
  <c r="O13" i="17"/>
  <c r="J56" i="17"/>
  <c r="P34" i="17"/>
  <c r="P68" i="17"/>
  <c r="P63" i="17"/>
  <c r="O60" i="17"/>
  <c r="O57" i="17"/>
  <c r="O53" i="17"/>
  <c r="P47" i="17"/>
  <c r="P44" i="17"/>
  <c r="P35" i="17"/>
  <c r="O78" i="17"/>
  <c r="O75" i="17"/>
  <c r="O25" i="17"/>
  <c r="O4" i="17"/>
  <c r="J31" i="17"/>
  <c r="P28" i="17"/>
  <c r="E64" i="17"/>
  <c r="E33" i="17"/>
  <c r="E29" i="17"/>
  <c r="J46" i="17"/>
  <c r="H36" i="17"/>
  <c r="H4" i="17"/>
  <c r="P72" i="17"/>
  <c r="O34" i="17"/>
  <c r="J21" i="17"/>
  <c r="O68" i="17"/>
  <c r="O63" i="17"/>
  <c r="O47" i="17"/>
  <c r="O44" i="17"/>
  <c r="J41" i="17"/>
  <c r="O35" i="17"/>
  <c r="J30" i="17"/>
  <c r="P6" i="17"/>
  <c r="E81" i="17"/>
  <c r="H71" i="17"/>
  <c r="O54" i="17"/>
  <c r="E51" i="17"/>
  <c r="AB51" i="17" s="1"/>
  <c r="J39" i="17"/>
  <c r="H7" i="17"/>
  <c r="H34" i="17"/>
  <c r="O28" i="17"/>
  <c r="E79" i="17"/>
  <c r="E75" i="17"/>
  <c r="E70" i="17"/>
  <c r="E61" i="17"/>
  <c r="Y61" i="17" s="1"/>
  <c r="E54" i="17"/>
  <c r="Z54" i="17" s="1"/>
  <c r="P48" i="17"/>
  <c r="P24" i="17"/>
  <c r="P21" i="17"/>
  <c r="E73" i="17"/>
  <c r="P82" i="17"/>
  <c r="E22" i="17"/>
  <c r="H119" i="28"/>
  <c r="H114" i="40" s="1"/>
  <c r="D111" i="28"/>
  <c r="D107" i="40" s="1"/>
  <c r="P18" i="42"/>
  <c r="F119" i="28"/>
  <c r="F114" i="40" s="1"/>
  <c r="M110" i="28"/>
  <c r="M106" i="40" s="1"/>
  <c r="M104" i="28"/>
  <c r="M100" i="40" s="1"/>
  <c r="C119" i="28"/>
  <c r="C114" i="40" s="1"/>
  <c r="G117" i="28"/>
  <c r="G112" i="40" s="1"/>
  <c r="G115" i="28"/>
  <c r="G110" i="40" s="1"/>
  <c r="L110" i="28"/>
  <c r="L106" i="40" s="1"/>
  <c r="I104" i="28"/>
  <c r="I100" i="40" s="1"/>
  <c r="P16" i="42"/>
  <c r="M114" i="28"/>
  <c r="M109" i="40" s="1"/>
  <c r="J110" i="28"/>
  <c r="J106" i="40" s="1"/>
  <c r="G104" i="28"/>
  <c r="G100" i="40" s="1"/>
  <c r="O20" i="43"/>
  <c r="J114" i="28"/>
  <c r="J109" i="40" s="1"/>
  <c r="G110" i="28"/>
  <c r="G106" i="40" s="1"/>
  <c r="F104" i="28"/>
  <c r="F100" i="40" s="1"/>
  <c r="P13" i="42"/>
  <c r="F114" i="28"/>
  <c r="F109" i="40" s="1"/>
  <c r="C110" i="28"/>
  <c r="C106" i="40" s="1"/>
  <c r="D104" i="28"/>
  <c r="D100" i="40" s="1"/>
  <c r="D114" i="28"/>
  <c r="D109" i="40" s="1"/>
  <c r="O17" i="43"/>
  <c r="M21" i="43"/>
  <c r="M25" i="43" s="1"/>
  <c r="P10" i="42"/>
  <c r="B112" i="28"/>
  <c r="B108" i="40" s="1"/>
  <c r="C114" i="28"/>
  <c r="C109" i="40" s="1"/>
  <c r="I112" i="28"/>
  <c r="I108" i="40" s="1"/>
  <c r="O15" i="43"/>
  <c r="N20" i="43"/>
  <c r="M111" i="28"/>
  <c r="M107" i="40" s="1"/>
  <c r="K119" i="28"/>
  <c r="K114" i="40" s="1"/>
  <c r="K111" i="28"/>
  <c r="K107" i="40" s="1"/>
  <c r="O12" i="43"/>
  <c r="N8" i="43"/>
  <c r="P3" i="42"/>
  <c r="I119" i="28"/>
  <c r="I114" i="40" s="1"/>
  <c r="H111" i="28"/>
  <c r="H107" i="40" s="1"/>
  <c r="M64" i="17"/>
  <c r="T64" i="17" s="1"/>
  <c r="O12" i="17"/>
  <c r="M35" i="17"/>
  <c r="S35" i="17" s="1"/>
  <c r="J24" i="17"/>
  <c r="K25" i="17"/>
  <c r="M25" i="17" s="1"/>
  <c r="K68" i="17"/>
  <c r="K83" i="22"/>
  <c r="C20" i="29" s="1"/>
  <c r="M20" i="29" s="1"/>
  <c r="M45" i="17"/>
  <c r="G83" i="22"/>
  <c r="C16" i="29" s="1"/>
  <c r="L16" i="29" s="1"/>
  <c r="M70" i="17"/>
  <c r="Y70" i="17" s="1"/>
  <c r="M78" i="17"/>
  <c r="M52" i="17"/>
  <c r="G65" i="17"/>
  <c r="M61" i="17"/>
  <c r="N83" i="22"/>
  <c r="C23" i="29" s="1"/>
  <c r="M23" i="29" s="1"/>
  <c r="H36" i="19"/>
  <c r="D76" i="19"/>
  <c r="Q4" i="19"/>
  <c r="F68" i="28"/>
  <c r="F66" i="40" s="1"/>
  <c r="F74" i="28"/>
  <c r="F71" i="40" s="1"/>
  <c r="C74" i="28"/>
  <c r="C71" i="40" s="1"/>
  <c r="L68" i="28"/>
  <c r="L66" i="40" s="1"/>
  <c r="H69" i="40"/>
  <c r="D63" i="28"/>
  <c r="D61" i="40" s="1"/>
  <c r="M79" i="28"/>
  <c r="M76" i="40" s="1"/>
  <c r="K63" i="28"/>
  <c r="K61" i="40" s="1"/>
  <c r="D79" i="28"/>
  <c r="D76" i="40" s="1"/>
  <c r="E63" i="28"/>
  <c r="E61" i="40" s="1"/>
  <c r="F78" i="28"/>
  <c r="F75" i="40" s="1"/>
  <c r="G63" i="28"/>
  <c r="G61" i="40" s="1"/>
  <c r="K68" i="28"/>
  <c r="K66" i="40" s="1"/>
  <c r="M68" i="28"/>
  <c r="M66" i="40" s="1"/>
  <c r="B74" i="28"/>
  <c r="B71" i="40" s="1"/>
  <c r="K77" i="28"/>
  <c r="K74" i="40" s="1"/>
  <c r="E79" i="28"/>
  <c r="E76" i="40" s="1"/>
  <c r="B64" i="28"/>
  <c r="B62" i="40" s="1"/>
  <c r="E64" i="28"/>
  <c r="E62" i="40" s="1"/>
  <c r="B68" i="28"/>
  <c r="B66" i="40" s="1"/>
  <c r="K74" i="28"/>
  <c r="K71" i="40" s="1"/>
  <c r="K78" i="28"/>
  <c r="K75" i="40" s="1"/>
  <c r="L63" i="28"/>
  <c r="L61" i="40" s="1"/>
  <c r="I65" i="28"/>
  <c r="I63" i="40" s="1"/>
  <c r="G78" i="28"/>
  <c r="G75" i="40" s="1"/>
  <c r="C64" i="28"/>
  <c r="C62" i="40" s="1"/>
  <c r="F64" i="28"/>
  <c r="F62" i="40" s="1"/>
  <c r="E68" i="28"/>
  <c r="E66" i="40" s="1"/>
  <c r="G68" i="28"/>
  <c r="G66" i="40" s="1"/>
  <c r="M63" i="28"/>
  <c r="M61" i="40" s="1"/>
  <c r="G74" i="28"/>
  <c r="G71" i="40" s="1"/>
  <c r="L78" i="28"/>
  <c r="L75" i="40" s="1"/>
  <c r="V13" i="21"/>
  <c r="Q44" i="21"/>
  <c r="W44" i="21"/>
  <c r="V17" i="21"/>
  <c r="O39" i="21"/>
  <c r="W62" i="21"/>
  <c r="Q62" i="21"/>
  <c r="G16" i="21"/>
  <c r="P16" i="21" s="1"/>
  <c r="Q21" i="21"/>
  <c r="C49" i="21"/>
  <c r="F78" i="21"/>
  <c r="Q5" i="21"/>
  <c r="Q35" i="21"/>
  <c r="B27" i="21"/>
  <c r="E74" i="21"/>
  <c r="W74" i="21" s="1"/>
  <c r="H82" i="21"/>
  <c r="N113" i="40"/>
  <c r="N120" i="28"/>
  <c r="N109" i="28"/>
  <c r="N118" i="28"/>
  <c r="N107" i="28"/>
  <c r="N104" i="40"/>
  <c r="N101" i="40"/>
  <c r="N106" i="28"/>
  <c r="N111" i="40"/>
  <c r="D105" i="40"/>
  <c r="N105" i="40" s="1"/>
  <c r="N102" i="40"/>
  <c r="I115" i="40"/>
  <c r="N115" i="40" s="1"/>
  <c r="B2" i="16"/>
  <c r="C2" i="22" s="1"/>
  <c r="B2" i="17" s="1"/>
  <c r="B35" i="17" s="1"/>
  <c r="D35" i="17" s="1"/>
  <c r="U25" i="29"/>
  <c r="BD23" i="39"/>
  <c r="BJ34" i="14"/>
  <c r="J23" i="19"/>
  <c r="Q23" i="19"/>
  <c r="BH15" i="13"/>
  <c r="BH41" i="13"/>
  <c r="BH63" i="13"/>
  <c r="BH64" i="13"/>
  <c r="BH28" i="13"/>
  <c r="F83" i="24"/>
  <c r="C28" i="29" s="1"/>
  <c r="M28" i="29" s="1"/>
  <c r="D4" i="19"/>
  <c r="E83" i="24"/>
  <c r="C27" i="29" s="1"/>
  <c r="M27" i="29" s="1"/>
  <c r="BH72" i="13"/>
  <c r="BH48" i="13"/>
  <c r="BH36" i="13"/>
  <c r="BH24" i="13"/>
  <c r="BH12" i="13"/>
  <c r="D83" i="24"/>
  <c r="C26" i="29" s="1"/>
  <c r="M26" i="29" s="1"/>
  <c r="L26" i="19"/>
  <c r="Q26" i="19"/>
  <c r="F18" i="21"/>
  <c r="BH59" i="13"/>
  <c r="BH47" i="13"/>
  <c r="BH35" i="13"/>
  <c r="BH11" i="13"/>
  <c r="BH60" i="13"/>
  <c r="BH22" i="13"/>
  <c r="N32" i="33"/>
  <c r="N35" i="33"/>
  <c r="L30" i="34"/>
  <c r="H26" i="29"/>
  <c r="K8" i="19"/>
  <c r="R8" i="19"/>
  <c r="BH69" i="13"/>
  <c r="BH57" i="13"/>
  <c r="BH45" i="13"/>
  <c r="BH9" i="13"/>
  <c r="BJ71" i="14"/>
  <c r="BJ59" i="14"/>
  <c r="BJ23" i="14"/>
  <c r="O12" i="39"/>
  <c r="P12" i="39" s="1"/>
  <c r="Q12" i="39" s="1"/>
  <c r="O13" i="39"/>
  <c r="P13" i="39" s="1"/>
  <c r="Q13" i="39" s="1"/>
  <c r="O6" i="39"/>
  <c r="P6" i="39" s="1"/>
  <c r="Q6" i="39" s="1"/>
  <c r="P32" i="33"/>
  <c r="R7" i="19"/>
  <c r="K7" i="19"/>
  <c r="I11" i="19"/>
  <c r="N11" i="19"/>
  <c r="H24" i="28" s="1"/>
  <c r="H24" i="40" s="1"/>
  <c r="K15" i="19"/>
  <c r="Q15" i="19"/>
  <c r="V24" i="21"/>
  <c r="Q24" i="21"/>
  <c r="X47" i="35"/>
  <c r="X30" i="33"/>
  <c r="X35" i="33" s="1"/>
  <c r="E51" i="35"/>
  <c r="E30" i="33"/>
  <c r="E35" i="33" s="1"/>
  <c r="K14" i="19"/>
  <c r="Q14" i="19"/>
  <c r="J22" i="19"/>
  <c r="Q22" i="19"/>
  <c r="Q8" i="21"/>
  <c r="W8" i="21"/>
  <c r="Q21" i="19"/>
  <c r="J21" i="19"/>
  <c r="L30" i="19"/>
  <c r="O21" i="39"/>
  <c r="O11" i="39"/>
  <c r="P11" i="39" s="1"/>
  <c r="Q11" i="39" s="1"/>
  <c r="O15" i="39"/>
  <c r="P15" i="39" s="1"/>
  <c r="Q15" i="39" s="1"/>
  <c r="L83" i="22"/>
  <c r="C22" i="29" s="1"/>
  <c r="N22" i="29" s="1"/>
  <c r="V35" i="33"/>
  <c r="K9" i="19"/>
  <c r="I10" i="19"/>
  <c r="O10" i="19"/>
  <c r="Q20" i="19"/>
  <c r="J20" i="19"/>
  <c r="P32" i="19"/>
  <c r="O19" i="39"/>
  <c r="P19" i="39" s="1"/>
  <c r="Q19" i="39" s="1"/>
  <c r="O10" i="39"/>
  <c r="P10" i="39" s="1"/>
  <c r="Q10" i="39" s="1"/>
  <c r="K19" i="19"/>
  <c r="E26" i="28" s="1"/>
  <c r="E26" i="40" s="1"/>
  <c r="Q19" i="19"/>
  <c r="Q57" i="19"/>
  <c r="K57" i="19"/>
  <c r="O58" i="19"/>
  <c r="O5" i="39"/>
  <c r="P5" i="39" s="1"/>
  <c r="Q5" i="39" s="1"/>
  <c r="K6" i="19"/>
  <c r="Q6" i="19"/>
  <c r="K18" i="19"/>
  <c r="Q18" i="19"/>
  <c r="P35" i="19"/>
  <c r="L35" i="19"/>
  <c r="I5" i="19"/>
  <c r="Q5" i="19"/>
  <c r="M12" i="19"/>
  <c r="I12" i="19"/>
  <c r="R63" i="19"/>
  <c r="C83" i="24"/>
  <c r="C25" i="29" s="1"/>
  <c r="M25" i="29" s="1"/>
  <c r="S31" i="32"/>
  <c r="Q24" i="19"/>
  <c r="J24" i="19"/>
  <c r="E57" i="19"/>
  <c r="E53" i="19"/>
  <c r="E64" i="19"/>
  <c r="E68" i="19"/>
  <c r="W9" i="21"/>
  <c r="W6" i="21"/>
  <c r="V20" i="21"/>
  <c r="W36" i="21"/>
  <c r="U36" i="21"/>
  <c r="Q36" i="21"/>
  <c r="G82" i="21"/>
  <c r="G75" i="21"/>
  <c r="G74" i="21"/>
  <c r="G68" i="21"/>
  <c r="G80" i="21"/>
  <c r="G79" i="21"/>
  <c r="G61" i="21"/>
  <c r="G65" i="21"/>
  <c r="G81" i="21"/>
  <c r="G76" i="21"/>
  <c r="G71" i="21"/>
  <c r="G69" i="21"/>
  <c r="G60" i="21"/>
  <c r="G78" i="21"/>
  <c r="G64" i="21"/>
  <c r="G77" i="21"/>
  <c r="G72" i="21"/>
  <c r="G66" i="21"/>
  <c r="G70" i="21"/>
  <c r="G55" i="21"/>
  <c r="G63" i="21"/>
  <c r="G73" i="21"/>
  <c r="G67" i="21"/>
  <c r="G59" i="21"/>
  <c r="G45" i="21"/>
  <c r="G62" i="21"/>
  <c r="G57" i="21"/>
  <c r="G48" i="21"/>
  <c r="G44" i="21"/>
  <c r="G36" i="21"/>
  <c r="L36" i="21" s="1"/>
  <c r="G51" i="21"/>
  <c r="G37" i="21"/>
  <c r="G39" i="21"/>
  <c r="G41" i="21"/>
  <c r="G27" i="21"/>
  <c r="G21" i="21"/>
  <c r="G23" i="21"/>
  <c r="G22" i="21"/>
  <c r="G17" i="21"/>
  <c r="G46" i="21"/>
  <c r="G40" i="21"/>
  <c r="G49" i="21"/>
  <c r="G25" i="21"/>
  <c r="G18" i="21"/>
  <c r="G11" i="21"/>
  <c r="R11" i="21" s="1"/>
  <c r="G4" i="21"/>
  <c r="G33" i="21"/>
  <c r="G15" i="21"/>
  <c r="P15" i="21" s="1"/>
  <c r="G5" i="21"/>
  <c r="G9" i="21"/>
  <c r="G58" i="21"/>
  <c r="G47" i="21"/>
  <c r="G10" i="21"/>
  <c r="G28" i="21"/>
  <c r="R28" i="21" s="1"/>
  <c r="G26" i="21"/>
  <c r="G29" i="21"/>
  <c r="G8" i="21"/>
  <c r="G42" i="21"/>
  <c r="G43" i="21"/>
  <c r="G31" i="21"/>
  <c r="G20" i="21"/>
  <c r="G24" i="21"/>
  <c r="G13" i="21"/>
  <c r="R13" i="21" s="1"/>
  <c r="G35" i="21"/>
  <c r="G14" i="21"/>
  <c r="P14" i="21" s="1"/>
  <c r="G34" i="21"/>
  <c r="G7" i="21"/>
  <c r="G32" i="21"/>
  <c r="G6" i="21"/>
  <c r="L6" i="21" s="1"/>
  <c r="B68" i="19"/>
  <c r="B60" i="19"/>
  <c r="B59" i="19"/>
  <c r="B45" i="19"/>
  <c r="B40" i="19"/>
  <c r="H40" i="19" s="1"/>
  <c r="B81" i="19"/>
  <c r="B64" i="19"/>
  <c r="B61" i="19"/>
  <c r="B48" i="19"/>
  <c r="B50" i="19"/>
  <c r="B82" i="19"/>
  <c r="B76" i="19"/>
  <c r="B72" i="19"/>
  <c r="B37" i="19"/>
  <c r="B28" i="19"/>
  <c r="B25" i="19"/>
  <c r="B16" i="19"/>
  <c r="B80" i="19"/>
  <c r="B65" i="19"/>
  <c r="B52" i="19"/>
  <c r="B54" i="19"/>
  <c r="B56" i="19"/>
  <c r="B49" i="19"/>
  <c r="B51" i="19"/>
  <c r="B77" i="19"/>
  <c r="B73" i="19"/>
  <c r="B31" i="19"/>
  <c r="B29" i="19"/>
  <c r="B17" i="19"/>
  <c r="V29" i="21"/>
  <c r="R29" i="21"/>
  <c r="Q40" i="21"/>
  <c r="E39" i="19"/>
  <c r="E46" i="19"/>
  <c r="E42" i="19"/>
  <c r="B47" i="19"/>
  <c r="B43" i="19"/>
  <c r="D65" i="19"/>
  <c r="D69" i="19"/>
  <c r="B75" i="19"/>
  <c r="G19" i="21"/>
  <c r="L34" i="19"/>
  <c r="R79" i="19"/>
  <c r="R15" i="21"/>
  <c r="M15" i="21"/>
  <c r="E72" i="19"/>
  <c r="E67" i="19"/>
  <c r="E55" i="19"/>
  <c r="E35" i="19"/>
  <c r="E81" i="19"/>
  <c r="E70" i="19"/>
  <c r="E62" i="19"/>
  <c r="E59" i="19"/>
  <c r="E48" i="19"/>
  <c r="E40" i="19"/>
  <c r="E76" i="19"/>
  <c r="E82" i="19"/>
  <c r="E77" i="19"/>
  <c r="E65" i="19"/>
  <c r="E51" i="19"/>
  <c r="E43" i="19"/>
  <c r="E22" i="19"/>
  <c r="E10" i="19"/>
  <c r="E78" i="19"/>
  <c r="E80" i="19"/>
  <c r="E79" i="19"/>
  <c r="E45" i="19"/>
  <c r="E31" i="19"/>
  <c r="E71" i="19"/>
  <c r="E66" i="19"/>
  <c r="E60" i="19"/>
  <c r="E54" i="19"/>
  <c r="E34" i="19"/>
  <c r="E28" i="19"/>
  <c r="E14" i="19"/>
  <c r="Q42" i="19"/>
  <c r="V10" i="21"/>
  <c r="R14" i="21"/>
  <c r="V14" i="21"/>
  <c r="O14" i="21"/>
  <c r="N69" i="19"/>
  <c r="L78" i="19"/>
  <c r="D80" i="19"/>
  <c r="D75" i="19"/>
  <c r="D63" i="19"/>
  <c r="D49" i="19"/>
  <c r="D41" i="19"/>
  <c r="D82" i="19"/>
  <c r="D77" i="19"/>
  <c r="D78" i="19"/>
  <c r="D44" i="19"/>
  <c r="D53" i="19"/>
  <c r="D47" i="19"/>
  <c r="D37" i="19"/>
  <c r="D33" i="19"/>
  <c r="D27" i="19"/>
  <c r="D71" i="19"/>
  <c r="D72" i="19"/>
  <c r="D67" i="19"/>
  <c r="D55" i="19"/>
  <c r="D35" i="19"/>
  <c r="D70" i="19"/>
  <c r="D62" i="19"/>
  <c r="D59" i="19"/>
  <c r="D48" i="19"/>
  <c r="D40" i="19"/>
  <c r="D18" i="19"/>
  <c r="Q49" i="21"/>
  <c r="W49" i="21"/>
  <c r="U49" i="21"/>
  <c r="B9" i="21"/>
  <c r="Q25" i="21"/>
  <c r="C20" i="21"/>
  <c r="Q26" i="21"/>
  <c r="C26" i="21"/>
  <c r="I35" i="21"/>
  <c r="B33" i="21"/>
  <c r="B36" i="21"/>
  <c r="B50" i="21"/>
  <c r="B16" i="21"/>
  <c r="B30" i="21"/>
  <c r="B34" i="21"/>
  <c r="C41" i="21"/>
  <c r="B37" i="21"/>
  <c r="B42" i="21"/>
  <c r="B60" i="21"/>
  <c r="V19" i="21"/>
  <c r="I48" i="21"/>
  <c r="U48" i="21"/>
  <c r="C80" i="21"/>
  <c r="C62" i="21"/>
  <c r="C79" i="21"/>
  <c r="C64" i="21"/>
  <c r="C82" i="21"/>
  <c r="C61" i="21"/>
  <c r="C81" i="21"/>
  <c r="C75" i="21"/>
  <c r="C73" i="21"/>
  <c r="C70" i="21"/>
  <c r="C60" i="21"/>
  <c r="C50" i="21"/>
  <c r="C69" i="21"/>
  <c r="C72" i="21"/>
  <c r="C68" i="21"/>
  <c r="C55" i="21"/>
  <c r="C71" i="21"/>
  <c r="C67" i="21"/>
  <c r="C51" i="21"/>
  <c r="C78" i="21"/>
  <c r="C66" i="21"/>
  <c r="C59" i="21"/>
  <c r="C42" i="21"/>
  <c r="C40" i="21"/>
  <c r="C77" i="21"/>
  <c r="C37" i="21"/>
  <c r="C24" i="21"/>
  <c r="C58" i="21"/>
  <c r="C38" i="21"/>
  <c r="C29" i="21"/>
  <c r="C76" i="21"/>
  <c r="C43" i="21"/>
  <c r="C47" i="21"/>
  <c r="C32" i="21"/>
  <c r="C22" i="21"/>
  <c r="C74" i="21"/>
  <c r="C63" i="21"/>
  <c r="C45" i="21"/>
  <c r="I9" i="21"/>
  <c r="I5" i="21"/>
  <c r="C21" i="21"/>
  <c r="C31" i="21"/>
  <c r="I47" i="21"/>
  <c r="I44" i="21"/>
  <c r="I78" i="21"/>
  <c r="V18" i="21"/>
  <c r="G54" i="25"/>
  <c r="F52" i="21" s="1"/>
  <c r="E54" i="25"/>
  <c r="H54" i="25"/>
  <c r="G52" i="21" s="1"/>
  <c r="F54" i="25"/>
  <c r="E52" i="21" s="1"/>
  <c r="J54" i="25"/>
  <c r="I52" i="21" s="1"/>
  <c r="C54" i="25"/>
  <c r="B52" i="21" s="1"/>
  <c r="D54" i="25"/>
  <c r="C52" i="21" s="1"/>
  <c r="I54" i="25"/>
  <c r="H52" i="21" s="1"/>
  <c r="B77" i="21"/>
  <c r="B72" i="21"/>
  <c r="B66" i="21"/>
  <c r="B70" i="21"/>
  <c r="B79" i="21"/>
  <c r="B64" i="21"/>
  <c r="B73" i="21"/>
  <c r="B67" i="21"/>
  <c r="B59" i="21"/>
  <c r="B80" i="21"/>
  <c r="B61" i="21"/>
  <c r="B75" i="21"/>
  <c r="B78" i="21"/>
  <c r="B74" i="21"/>
  <c r="B68" i="21"/>
  <c r="B63" i="21"/>
  <c r="B81" i="21"/>
  <c r="B76" i="21"/>
  <c r="B71" i="21"/>
  <c r="B69" i="21"/>
  <c r="B48" i="21"/>
  <c r="B46" i="21"/>
  <c r="B51" i="21"/>
  <c r="B49" i="21"/>
  <c r="B62" i="21"/>
  <c r="B58" i="21"/>
  <c r="B38" i="21"/>
  <c r="B29" i="21"/>
  <c r="B14" i="21"/>
  <c r="B43" i="21"/>
  <c r="B47" i="21"/>
  <c r="B32" i="21"/>
  <c r="B22" i="21"/>
  <c r="B82" i="21"/>
  <c r="B65" i="21"/>
  <c r="B57" i="21"/>
  <c r="B41" i="21"/>
  <c r="B28" i="21"/>
  <c r="B45" i="21"/>
  <c r="B26" i="21"/>
  <c r="B17" i="21"/>
  <c r="I18" i="21"/>
  <c r="B19" i="21"/>
  <c r="I40" i="21"/>
  <c r="C46" i="21"/>
  <c r="C57" i="21"/>
  <c r="Q61" i="21"/>
  <c r="M18" i="21"/>
  <c r="M41" i="21"/>
  <c r="O41" i="21"/>
  <c r="I80" i="21"/>
  <c r="I77" i="21"/>
  <c r="I73" i="21"/>
  <c r="I67" i="21"/>
  <c r="I59" i="21"/>
  <c r="I82" i="21"/>
  <c r="I75" i="21"/>
  <c r="I74" i="21"/>
  <c r="I68" i="21"/>
  <c r="I79" i="21"/>
  <c r="I81" i="21"/>
  <c r="I76" i="21"/>
  <c r="I71" i="21"/>
  <c r="I69" i="21"/>
  <c r="I60" i="21"/>
  <c r="I58" i="21"/>
  <c r="I61" i="21"/>
  <c r="I46" i="21"/>
  <c r="I49" i="21"/>
  <c r="I66" i="21"/>
  <c r="I63" i="21"/>
  <c r="I65" i="21"/>
  <c r="I50" i="21"/>
  <c r="I42" i="21"/>
  <c r="I32" i="21"/>
  <c r="I34" i="21"/>
  <c r="I56" i="21"/>
  <c r="I45" i="21"/>
  <c r="I33" i="21"/>
  <c r="I62" i="21"/>
  <c r="I57" i="21"/>
  <c r="I29" i="21"/>
  <c r="I70" i="21"/>
  <c r="I64" i="21"/>
  <c r="I31" i="21"/>
  <c r="I72" i="21"/>
  <c r="I51" i="21"/>
  <c r="I37" i="21"/>
  <c r="I39" i="21"/>
  <c r="I41" i="21"/>
  <c r="I27" i="21"/>
  <c r="I21" i="21"/>
  <c r="I23" i="21"/>
  <c r="I22" i="21"/>
  <c r="I17" i="21"/>
  <c r="D47" i="21"/>
  <c r="D43" i="21"/>
  <c r="F43" i="21"/>
  <c r="E51" i="21"/>
  <c r="C57" i="25"/>
  <c r="B55" i="21" s="1"/>
  <c r="D56" i="25"/>
  <c r="C54" i="21" s="1"/>
  <c r="F65" i="21"/>
  <c r="E65" i="21"/>
  <c r="H67" i="21"/>
  <c r="E66" i="21"/>
  <c r="Q71" i="21"/>
  <c r="H71" i="21"/>
  <c r="B63" i="28"/>
  <c r="G23" i="38"/>
  <c r="D37" i="21"/>
  <c r="E43" i="21"/>
  <c r="D58" i="25"/>
  <c r="C56" i="21" s="1"/>
  <c r="I56" i="25"/>
  <c r="H54" i="21" s="1"/>
  <c r="E64" i="21"/>
  <c r="H69" i="21"/>
  <c r="H72" i="21"/>
  <c r="M64" i="28"/>
  <c r="K48" i="35"/>
  <c r="E50" i="21"/>
  <c r="C58" i="25"/>
  <c r="B56" i="21" s="1"/>
  <c r="H56" i="25"/>
  <c r="G54" i="21" s="1"/>
  <c r="F57" i="25"/>
  <c r="E55" i="21" s="1"/>
  <c r="G57" i="25"/>
  <c r="F55" i="21" s="1"/>
  <c r="I57" i="25"/>
  <c r="H55" i="21" s="1"/>
  <c r="J57" i="25"/>
  <c r="I55" i="21" s="1"/>
  <c r="F61" i="21"/>
  <c r="H79" i="21"/>
  <c r="H61" i="21"/>
  <c r="H65" i="21"/>
  <c r="H81" i="21"/>
  <c r="H76" i="21"/>
  <c r="H78" i="21"/>
  <c r="H64" i="21"/>
  <c r="H53" i="21"/>
  <c r="H80" i="21"/>
  <c r="H58" i="21"/>
  <c r="H63" i="21"/>
  <c r="H56" i="21"/>
  <c r="F63" i="28"/>
  <c r="E37" i="21"/>
  <c r="D49" i="21"/>
  <c r="F49" i="21"/>
  <c r="E55" i="25"/>
  <c r="D53" i="21" s="1"/>
  <c r="E54" i="21"/>
  <c r="E63" i="21"/>
  <c r="H70" i="21"/>
  <c r="F68" i="21"/>
  <c r="E70" i="21"/>
  <c r="H74" i="21"/>
  <c r="D44" i="21"/>
  <c r="F46" i="21"/>
  <c r="D55" i="25"/>
  <c r="C53" i="21" s="1"/>
  <c r="G56" i="25"/>
  <c r="F54" i="21" s="1"/>
  <c r="D64" i="21"/>
  <c r="J56" i="25"/>
  <c r="I54" i="21" s="1"/>
  <c r="C56" i="25"/>
  <c r="B54" i="21" s="1"/>
  <c r="Q73" i="21"/>
  <c r="U73" i="21"/>
  <c r="W73" i="21"/>
  <c r="H24" i="38"/>
  <c r="W68" i="21"/>
  <c r="Q68" i="21"/>
  <c r="U71" i="21"/>
  <c r="F82" i="21"/>
  <c r="F75" i="21"/>
  <c r="F81" i="21"/>
  <c r="F76" i="21"/>
  <c r="F71" i="21"/>
  <c r="F69" i="21"/>
  <c r="F60" i="21"/>
  <c r="F58" i="21"/>
  <c r="F77" i="21"/>
  <c r="F72" i="21"/>
  <c r="F66" i="21"/>
  <c r="F70" i="21"/>
  <c r="F57" i="21"/>
  <c r="F80" i="21"/>
  <c r="F73" i="21"/>
  <c r="F67" i="21"/>
  <c r="F59" i="21"/>
  <c r="C63" i="28"/>
  <c r="M16" i="38"/>
  <c r="U76" i="21"/>
  <c r="W76" i="21"/>
  <c r="D64" i="28"/>
  <c r="G64" i="28"/>
  <c r="F58" i="25"/>
  <c r="E56" i="21" s="1"/>
  <c r="G58" i="25"/>
  <c r="F56" i="21" s="1"/>
  <c r="E58" i="25"/>
  <c r="D56" i="21" s="1"/>
  <c r="H58" i="25"/>
  <c r="G56" i="21" s="1"/>
  <c r="G55" i="25"/>
  <c r="F53" i="21" s="1"/>
  <c r="C55" i="25"/>
  <c r="B53" i="21" s="1"/>
  <c r="H55" i="25"/>
  <c r="G53" i="21" s="1"/>
  <c r="J55" i="25"/>
  <c r="I53" i="21" s="1"/>
  <c r="F55" i="25"/>
  <c r="E53" i="21" s="1"/>
  <c r="D75" i="21"/>
  <c r="D78" i="21"/>
  <c r="D76" i="21"/>
  <c r="D71" i="21"/>
  <c r="D69" i="21"/>
  <c r="D62" i="21"/>
  <c r="D80" i="21"/>
  <c r="D77" i="21"/>
  <c r="D72" i="21"/>
  <c r="D66" i="21"/>
  <c r="D70" i="21"/>
  <c r="D58" i="21"/>
  <c r="D79" i="21"/>
  <c r="D82" i="21"/>
  <c r="D73" i="21"/>
  <c r="D67" i="21"/>
  <c r="D59" i="21"/>
  <c r="H65" i="28"/>
  <c r="E56" i="25"/>
  <c r="D54" i="21" s="1"/>
  <c r="E79" i="21"/>
  <c r="E80" i="21"/>
  <c r="E58" i="21"/>
  <c r="E81" i="21"/>
  <c r="E59" i="21"/>
  <c r="E75" i="21"/>
  <c r="E82" i="21"/>
  <c r="E78" i="21"/>
  <c r="E60" i="21"/>
  <c r="M15" i="38"/>
  <c r="I59" i="25"/>
  <c r="H57" i="21" s="1"/>
  <c r="M65" i="28"/>
  <c r="M63" i="40" s="1"/>
  <c r="H27" i="35"/>
  <c r="I48" i="35"/>
  <c r="I68" i="40"/>
  <c r="M44" i="38"/>
  <c r="I69" i="40"/>
  <c r="I66" i="28"/>
  <c r="D68" i="28"/>
  <c r="O38" i="38"/>
  <c r="M69" i="28" s="1"/>
  <c r="M67" i="40" s="1"/>
  <c r="G44" i="38"/>
  <c r="I51" i="35"/>
  <c r="E69" i="28"/>
  <c r="E67" i="40" s="1"/>
  <c r="O48" i="35"/>
  <c r="N16" i="38"/>
  <c r="I23" i="38"/>
  <c r="J66" i="28"/>
  <c r="T48" i="35"/>
  <c r="I51" i="38"/>
  <c r="G72" i="28" s="1"/>
  <c r="J69" i="40"/>
  <c r="N38" i="38"/>
  <c r="L69" i="28" s="1"/>
  <c r="L67" i="40" s="1"/>
  <c r="H67" i="38"/>
  <c r="F76" i="28" s="1"/>
  <c r="F73" i="40" s="1"/>
  <c r="G27" i="35"/>
  <c r="E26" i="38" s="1"/>
  <c r="I38" i="38"/>
  <c r="G69" i="28" s="1"/>
  <c r="G67" i="40" s="1"/>
  <c r="I44" i="38"/>
  <c r="H51" i="38"/>
  <c r="F72" i="28" s="1"/>
  <c r="M46" i="38"/>
  <c r="X48" i="35"/>
  <c r="E48" i="35"/>
  <c r="H66" i="28"/>
  <c r="H64" i="40" s="1"/>
  <c r="U27" i="35"/>
  <c r="H38" i="38"/>
  <c r="H68" i="40"/>
  <c r="G74" i="38"/>
  <c r="E77" i="28" s="1"/>
  <c r="E74" i="40" s="1"/>
  <c r="G76" i="28"/>
  <c r="G73" i="40" s="1"/>
  <c r="M78" i="28"/>
  <c r="M75" i="40" s="1"/>
  <c r="E76" i="28"/>
  <c r="E73" i="40" s="1"/>
  <c r="E78" i="28"/>
  <c r="E75" i="40" s="1"/>
  <c r="B79" i="28"/>
  <c r="I74" i="38"/>
  <c r="G77" i="28" s="1"/>
  <c r="G74" i="40" s="1"/>
  <c r="C78" i="28"/>
  <c r="C75" i="40" s="1"/>
  <c r="I61" i="38"/>
  <c r="G75" i="28" s="1"/>
  <c r="G72" i="40" s="1"/>
  <c r="K79" i="28"/>
  <c r="K76" i="40" s="1"/>
  <c r="F79" i="28"/>
  <c r="F76" i="40" s="1"/>
  <c r="C79" i="28"/>
  <c r="C76" i="40" s="1"/>
  <c r="M61" i="38"/>
  <c r="K75" i="28" s="1"/>
  <c r="K72" i="40" s="1"/>
  <c r="B78" i="28"/>
  <c r="D78" i="28"/>
  <c r="D75" i="40" s="1"/>
  <c r="M47" i="17"/>
  <c r="M75" i="17"/>
  <c r="M69" i="17"/>
  <c r="M77" i="17"/>
  <c r="M76" i="17"/>
  <c r="M79" i="17"/>
  <c r="L37" i="17"/>
  <c r="L23" i="17"/>
  <c r="G31" i="17"/>
  <c r="G5" i="17"/>
  <c r="L41" i="17"/>
  <c r="M41" i="17" s="1"/>
  <c r="L81" i="17"/>
  <c r="G35" i="17"/>
  <c r="N50" i="17"/>
  <c r="N39" i="17"/>
  <c r="N51" i="17"/>
  <c r="N81" i="17"/>
  <c r="N30" i="17"/>
  <c r="N56" i="17"/>
  <c r="N28" i="17"/>
  <c r="N24" i="17"/>
  <c r="N36" i="17"/>
  <c r="N80" i="17"/>
  <c r="N19" i="17"/>
  <c r="N82" i="17"/>
  <c r="N14" i="17"/>
  <c r="N15" i="17"/>
  <c r="N21" i="17"/>
  <c r="N5" i="17"/>
  <c r="N26" i="17"/>
  <c r="N40" i="17"/>
  <c r="N41" i="17"/>
  <c r="N29" i="17"/>
  <c r="N54" i="17"/>
  <c r="N23" i="17"/>
  <c r="N9" i="17"/>
  <c r="N17" i="17"/>
  <c r="G44" i="17"/>
  <c r="H21" i="17"/>
  <c r="H43" i="17"/>
  <c r="H16" i="17"/>
  <c r="H20" i="17"/>
  <c r="H41" i="17"/>
  <c r="H42" i="17"/>
  <c r="H19" i="17"/>
  <c r="H25" i="17"/>
  <c r="H26" i="17"/>
  <c r="H40" i="17"/>
  <c r="H47" i="17"/>
  <c r="H24" i="17"/>
  <c r="H46" i="17"/>
  <c r="H28" i="17"/>
  <c r="H23" i="17"/>
  <c r="H60" i="17"/>
  <c r="H61" i="17"/>
  <c r="H55" i="17"/>
  <c r="H66" i="17"/>
  <c r="H14" i="17"/>
  <c r="H27" i="17"/>
  <c r="H30" i="17"/>
  <c r="H76" i="17"/>
  <c r="H10" i="17"/>
  <c r="H13" i="17"/>
  <c r="H6" i="17"/>
  <c r="H22" i="17"/>
  <c r="H45" i="17"/>
  <c r="H53" i="17"/>
  <c r="H9" i="17"/>
  <c r="H78" i="17"/>
  <c r="H33" i="17"/>
  <c r="H32" i="17"/>
  <c r="H73" i="17"/>
  <c r="H12" i="17"/>
  <c r="H69" i="17"/>
  <c r="H38" i="17"/>
  <c r="H57" i="17"/>
  <c r="H58" i="17"/>
  <c r="H15" i="17"/>
  <c r="H75" i="17"/>
  <c r="H49" i="17"/>
  <c r="H44" i="17"/>
  <c r="H63" i="17"/>
  <c r="H29" i="17"/>
  <c r="H35" i="17"/>
  <c r="H31" i="17"/>
  <c r="H68" i="17"/>
  <c r="H72" i="17"/>
  <c r="H67" i="17"/>
  <c r="H11" i="17"/>
  <c r="H77" i="17"/>
  <c r="J13" i="17"/>
  <c r="J15" i="17"/>
  <c r="J9" i="17"/>
  <c r="J11" i="17"/>
  <c r="J35" i="17"/>
  <c r="J33" i="17"/>
  <c r="J12" i="17"/>
  <c r="J14" i="17"/>
  <c r="J6" i="17"/>
  <c r="J10" i="17"/>
  <c r="J79" i="17"/>
  <c r="J72" i="17"/>
  <c r="J62" i="17"/>
  <c r="J65" i="17"/>
  <c r="J59" i="17"/>
  <c r="J73" i="17"/>
  <c r="J81" i="17"/>
  <c r="J75" i="17"/>
  <c r="J34" i="17"/>
  <c r="J18" i="17"/>
  <c r="J49" i="17"/>
  <c r="J71" i="17"/>
  <c r="J77" i="17"/>
  <c r="J32" i="17"/>
  <c r="J68" i="17"/>
  <c r="J74" i="17"/>
  <c r="J5" i="17"/>
  <c r="J82" i="17"/>
  <c r="J69" i="17"/>
  <c r="J50" i="17"/>
  <c r="G20" i="17"/>
  <c r="G41" i="17"/>
  <c r="G42" i="17"/>
  <c r="G19" i="17"/>
  <c r="G25" i="17"/>
  <c r="G26" i="17"/>
  <c r="G40" i="17"/>
  <c r="G47" i="17"/>
  <c r="G24" i="17"/>
  <c r="G46" i="17"/>
  <c r="G28" i="17"/>
  <c r="G23" i="17"/>
  <c r="G45" i="17"/>
  <c r="G16" i="17"/>
  <c r="G38" i="17"/>
  <c r="G27" i="17"/>
  <c r="G34" i="17"/>
  <c r="G30" i="17"/>
  <c r="G43" i="17"/>
  <c r="G76" i="17"/>
  <c r="G10" i="17"/>
  <c r="G13" i="17"/>
  <c r="G6" i="17"/>
  <c r="G22" i="17"/>
  <c r="G53" i="17"/>
  <c r="G9" i="17"/>
  <c r="G78" i="17"/>
  <c r="G12" i="17"/>
  <c r="G69" i="17"/>
  <c r="G64" i="17"/>
  <c r="G70" i="17"/>
  <c r="G59" i="17"/>
  <c r="G62" i="17"/>
  <c r="G57" i="17"/>
  <c r="G58" i="17"/>
  <c r="G15" i="17"/>
  <c r="G75" i="17"/>
  <c r="G67" i="17"/>
  <c r="G11" i="17"/>
  <c r="G77" i="17"/>
  <c r="G60" i="17"/>
  <c r="G61" i="17"/>
  <c r="G55" i="17"/>
  <c r="G66" i="17"/>
  <c r="G14" i="17"/>
  <c r="G79" i="17"/>
  <c r="G7" i="17"/>
  <c r="G18" i="17"/>
  <c r="G48" i="17"/>
  <c r="L36" i="17"/>
  <c r="L4" i="17"/>
  <c r="G71" i="17"/>
  <c r="G21" i="17"/>
  <c r="L24" i="17"/>
  <c r="L19" i="17"/>
  <c r="G32" i="17"/>
  <c r="J29" i="17"/>
  <c r="F16" i="17"/>
  <c r="F19" i="17"/>
  <c r="F25" i="17"/>
  <c r="F26" i="17"/>
  <c r="F40" i="17"/>
  <c r="F47" i="17"/>
  <c r="F24" i="17"/>
  <c r="F46" i="17"/>
  <c r="F23" i="17"/>
  <c r="F45" i="17"/>
  <c r="F22" i="17"/>
  <c r="F30" i="17"/>
  <c r="F44" i="17"/>
  <c r="F38" i="17"/>
  <c r="F20" i="17"/>
  <c r="F28" i="17"/>
  <c r="F6" i="17"/>
  <c r="F65" i="17"/>
  <c r="F53" i="17"/>
  <c r="F9" i="17"/>
  <c r="F78" i="17"/>
  <c r="F12" i="17"/>
  <c r="F64" i="17"/>
  <c r="F70" i="17"/>
  <c r="F42" i="17"/>
  <c r="F57" i="17"/>
  <c r="F58" i="17"/>
  <c r="F15" i="17"/>
  <c r="F75" i="17"/>
  <c r="F49" i="17"/>
  <c r="F21" i="17"/>
  <c r="F63" i="17"/>
  <c r="F29" i="17"/>
  <c r="F35" i="17"/>
  <c r="F31" i="17"/>
  <c r="F68" i="17"/>
  <c r="F72" i="17"/>
  <c r="F67" i="17"/>
  <c r="F11" i="17"/>
  <c r="F77" i="17"/>
  <c r="F55" i="17"/>
  <c r="F66" i="17"/>
  <c r="F14" i="17"/>
  <c r="F79" i="17"/>
  <c r="F7" i="17"/>
  <c r="F18" i="17"/>
  <c r="F48" i="17"/>
  <c r="F41" i="17"/>
  <c r="F27" i="17"/>
  <c r="F34" i="17"/>
  <c r="F71" i="17"/>
  <c r="F74" i="17"/>
  <c r="F43" i="17"/>
  <c r="F76" i="17"/>
  <c r="F10" i="17"/>
  <c r="F13" i="17"/>
  <c r="F5" i="17"/>
  <c r="L32" i="17"/>
  <c r="L7" i="17"/>
  <c r="L48" i="17"/>
  <c r="L18" i="17"/>
  <c r="L72" i="17"/>
  <c r="L74" i="17"/>
  <c r="L26" i="17"/>
  <c r="L30" i="17"/>
  <c r="L71" i="17"/>
  <c r="L73" i="17"/>
  <c r="L39" i="17"/>
  <c r="L28" i="17"/>
  <c r="L68" i="17"/>
  <c r="L8" i="17"/>
  <c r="L80" i="17"/>
  <c r="L82" i="17"/>
  <c r="M82" i="17" s="1"/>
  <c r="AC82" i="17" s="1"/>
  <c r="L40" i="17"/>
  <c r="L31" i="17"/>
  <c r="L51" i="17"/>
  <c r="L38" i="17"/>
  <c r="L20" i="17"/>
  <c r="L49" i="17"/>
  <c r="O82" i="17"/>
  <c r="E57" i="22"/>
  <c r="C55" i="17"/>
  <c r="C30" i="17"/>
  <c r="C24" i="17"/>
  <c r="C22" i="17"/>
  <c r="C20" i="17"/>
  <c r="K74" i="17"/>
  <c r="K72" i="17"/>
  <c r="C56" i="17"/>
  <c r="C17" i="17"/>
  <c r="C8" i="17"/>
  <c r="O80" i="17"/>
  <c r="K49" i="17"/>
  <c r="C41" i="17"/>
  <c r="C40" i="17"/>
  <c r="O38" i="17"/>
  <c r="C26" i="17"/>
  <c r="K5" i="17"/>
  <c r="P5" i="17"/>
  <c r="P50" i="17"/>
  <c r="P39" i="17"/>
  <c r="D52" i="22"/>
  <c r="D83" i="22" s="1"/>
  <c r="C13" i="29" s="1"/>
  <c r="M13" i="29" s="1"/>
  <c r="E27" i="17"/>
  <c r="E38" i="17"/>
  <c r="E13" i="17"/>
  <c r="E15" i="17"/>
  <c r="E37" i="17"/>
  <c r="E4" i="17"/>
  <c r="E16" i="17"/>
  <c r="E20" i="17"/>
  <c r="E41" i="17"/>
  <c r="E42" i="17"/>
  <c r="E9" i="17"/>
  <c r="E11" i="17"/>
  <c r="E35" i="17"/>
  <c r="E19" i="17"/>
  <c r="E25" i="17"/>
  <c r="E26" i="17"/>
  <c r="E40" i="17"/>
  <c r="E24" i="17"/>
  <c r="E46" i="17"/>
  <c r="E12" i="17"/>
  <c r="E14" i="17"/>
  <c r="K32" i="17"/>
  <c r="K48" i="17"/>
  <c r="K18" i="17"/>
  <c r="K31" i="17"/>
  <c r="K7" i="17"/>
  <c r="O50" i="17"/>
  <c r="O39" i="17"/>
  <c r="O51" i="17"/>
  <c r="U15" i="41"/>
  <c r="T30" i="41"/>
  <c r="T49" i="41"/>
  <c r="T54" i="41"/>
  <c r="T57" i="41"/>
  <c r="T68" i="41"/>
  <c r="U74" i="41"/>
  <c r="S74" i="41"/>
  <c r="S105" i="41"/>
  <c r="U105" i="41"/>
  <c r="T118" i="41"/>
  <c r="R118" i="41"/>
  <c r="U124" i="41"/>
  <c r="S124" i="41"/>
  <c r="T131" i="41"/>
  <c r="R138" i="41"/>
  <c r="S147" i="41"/>
  <c r="U147" i="41"/>
  <c r="U152" i="41"/>
  <c r="S152" i="41"/>
  <c r="S186" i="41"/>
  <c r="U186" i="41"/>
  <c r="S216" i="41"/>
  <c r="U216" i="41"/>
  <c r="S36" i="41"/>
  <c r="U36" i="41"/>
  <c r="U41" i="41"/>
  <c r="S41" i="41"/>
  <c r="T101" i="41"/>
  <c r="R101" i="41"/>
  <c r="S150" i="41"/>
  <c r="U150" i="41"/>
  <c r="U155" i="41"/>
  <c r="S155" i="41"/>
  <c r="T171" i="41"/>
  <c r="R171" i="41"/>
  <c r="T184" i="41"/>
  <c r="R184" i="41"/>
  <c r="U191" i="41"/>
  <c r="S191" i="41"/>
  <c r="R219" i="41"/>
  <c r="T219" i="41"/>
  <c r="S11" i="41"/>
  <c r="T26" i="41"/>
  <c r="R26" i="41"/>
  <c r="R33" i="41"/>
  <c r="S42" i="41"/>
  <c r="R62" i="41"/>
  <c r="R73" i="41"/>
  <c r="U77" i="41"/>
  <c r="S77" i="41"/>
  <c r="U85" i="41"/>
  <c r="S85" i="41"/>
  <c r="T88" i="41"/>
  <c r="T106" i="41"/>
  <c r="U122" i="41"/>
  <c r="T125" i="41"/>
  <c r="T136" i="41"/>
  <c r="R136" i="41"/>
  <c r="U140" i="41"/>
  <c r="T148" i="41"/>
  <c r="R148" i="41"/>
  <c r="T161" i="41"/>
  <c r="R161" i="41"/>
  <c r="R174" i="41"/>
  <c r="T197" i="41"/>
  <c r="R197" i="41"/>
  <c r="R210" i="41"/>
  <c r="T210" i="41"/>
  <c r="N103" i="40"/>
  <c r="T24" i="41"/>
  <c r="T42" i="41"/>
  <c r="R42" i="41"/>
  <c r="T52" i="41"/>
  <c r="R52" i="41"/>
  <c r="S55" i="41"/>
  <c r="R71" i="41"/>
  <c r="T75" i="41"/>
  <c r="R75" i="41"/>
  <c r="S83" i="41"/>
  <c r="T92" i="41"/>
  <c r="R92" i="41"/>
  <c r="R102" i="41"/>
  <c r="T116" i="41"/>
  <c r="R123" i="41"/>
  <c r="T156" i="41"/>
  <c r="R156" i="41"/>
  <c r="U158" i="41"/>
  <c r="R164" i="41"/>
  <c r="S171" i="41"/>
  <c r="U171" i="41"/>
  <c r="U176" i="41"/>
  <c r="S176" i="41"/>
  <c r="T179" i="41"/>
  <c r="U189" i="41"/>
  <c r="T192" i="41"/>
  <c r="R192" i="41"/>
  <c r="U194" i="41"/>
  <c r="S207" i="41"/>
  <c r="U207" i="41"/>
  <c r="S29" i="41"/>
  <c r="T37" i="41"/>
  <c r="R37" i="41"/>
  <c r="U44" i="41"/>
  <c r="S44" i="41"/>
  <c r="U47" i="41"/>
  <c r="S47" i="41"/>
  <c r="R95" i="41"/>
  <c r="U110" i="41"/>
  <c r="S110" i="41"/>
  <c r="R132" i="41"/>
  <c r="U136" i="41"/>
  <c r="S136" i="41"/>
  <c r="S174" i="41"/>
  <c r="U174" i="41"/>
  <c r="U12" i="41"/>
  <c r="R27" i="41"/>
  <c r="T29" i="41"/>
  <c r="S45" i="41"/>
  <c r="R55" i="41"/>
  <c r="T55" i="41"/>
  <c r="T69" i="41"/>
  <c r="U80" i="41"/>
  <c r="S80" i="41"/>
  <c r="T83" i="41"/>
  <c r="R83" i="41"/>
  <c r="T93" i="41"/>
  <c r="S111" i="41"/>
  <c r="U113" i="41"/>
  <c r="S113" i="41"/>
  <c r="T121" i="41"/>
  <c r="T159" i="41"/>
  <c r="R159" i="41"/>
  <c r="T172" i="41"/>
  <c r="R172" i="41"/>
  <c r="U179" i="41"/>
  <c r="S179" i="41"/>
  <c r="T208" i="41"/>
  <c r="R208" i="41"/>
  <c r="R220" i="41"/>
  <c r="T220" i="41"/>
  <c r="U33" i="41"/>
  <c r="S33" i="41"/>
  <c r="S60" i="41"/>
  <c r="U60" i="41"/>
  <c r="U78" i="41"/>
  <c r="S78" i="41"/>
  <c r="S100" i="41"/>
  <c r="R109" i="41"/>
  <c r="U116" i="41"/>
  <c r="S116" i="41"/>
  <c r="U143" i="41"/>
  <c r="S143" i="41"/>
  <c r="T185" i="41"/>
  <c r="R185" i="41"/>
  <c r="R211" i="41"/>
  <c r="T211" i="41"/>
  <c r="U13" i="41"/>
  <c r="T45" i="41"/>
  <c r="R45" i="41"/>
  <c r="R48" i="41"/>
  <c r="T53" i="41"/>
  <c r="R53" i="41"/>
  <c r="U71" i="41"/>
  <c r="S71" i="41"/>
  <c r="T76" i="41"/>
  <c r="S84" i="41"/>
  <c r="R89" i="41"/>
  <c r="R107" i="41"/>
  <c r="T111" i="41"/>
  <c r="R111" i="41"/>
  <c r="T114" i="41"/>
  <c r="R114" i="41"/>
  <c r="T149" i="41"/>
  <c r="R149" i="41"/>
  <c r="S159" i="41"/>
  <c r="U159" i="41"/>
  <c r="U164" i="41"/>
  <c r="S164" i="41"/>
  <c r="T167" i="41"/>
  <c r="U177" i="41"/>
  <c r="T180" i="41"/>
  <c r="R180" i="41"/>
  <c r="U182" i="41"/>
  <c r="S195" i="41"/>
  <c r="U195" i="41"/>
  <c r="U200" i="41"/>
  <c r="S200" i="41"/>
  <c r="T203" i="41"/>
  <c r="S19" i="41"/>
  <c r="S69" i="41"/>
  <c r="U69" i="41"/>
  <c r="T79" i="41"/>
  <c r="T84" i="41"/>
  <c r="R84" i="41"/>
  <c r="S98" i="41"/>
  <c r="U114" i="41"/>
  <c r="S114" i="41"/>
  <c r="U119" i="41"/>
  <c r="T144" i="41"/>
  <c r="R144" i="41"/>
  <c r="R152" i="41"/>
  <c r="S162" i="41"/>
  <c r="U162" i="41"/>
  <c r="T227" i="41"/>
  <c r="R227" i="41"/>
  <c r="R30" i="41"/>
  <c r="T32" i="41"/>
  <c r="U40" i="41"/>
  <c r="S40" i="41"/>
  <c r="S46" i="41"/>
  <c r="T51" i="41"/>
  <c r="R51" i="41"/>
  <c r="R63" i="41"/>
  <c r="T65" i="41"/>
  <c r="R65" i="41"/>
  <c r="R74" i="41"/>
  <c r="S81" i="41"/>
  <c r="U81" i="41"/>
  <c r="T105" i="41"/>
  <c r="T117" i="41"/>
  <c r="U121" i="41"/>
  <c r="S121" i="41"/>
  <c r="U126" i="41"/>
  <c r="S133" i="41"/>
  <c r="T160" i="41"/>
  <c r="R160" i="41"/>
  <c r="U167" i="41"/>
  <c r="S167" i="41"/>
  <c r="T183" i="41"/>
  <c r="R183" i="41"/>
  <c r="T196" i="41"/>
  <c r="R196" i="41"/>
  <c r="T218" i="41"/>
  <c r="R218" i="41"/>
  <c r="S30" i="41"/>
  <c r="U38" i="41"/>
  <c r="S38" i="41"/>
  <c r="T98" i="41"/>
  <c r="R98" i="41"/>
  <c r="T124" i="41"/>
  <c r="R124" i="41"/>
  <c r="T133" i="41"/>
  <c r="R133" i="41"/>
  <c r="R140" i="41"/>
  <c r="T147" i="41"/>
  <c r="R147" i="41"/>
  <c r="T173" i="41"/>
  <c r="R173" i="41"/>
  <c r="R209" i="41"/>
  <c r="T46" i="41"/>
  <c r="R46" i="41"/>
  <c r="T82" i="41"/>
  <c r="R82" i="41"/>
  <c r="T85" i="41"/>
  <c r="T96" i="41"/>
  <c r="R96" i="41"/>
  <c r="U107" i="41"/>
  <c r="S107" i="41"/>
  <c r="R150" i="41"/>
  <c r="T155" i="41"/>
  <c r="U165" i="41"/>
  <c r="T168" i="41"/>
  <c r="R168" i="41"/>
  <c r="U170" i="41"/>
  <c r="R176" i="41"/>
  <c r="S183" i="41"/>
  <c r="U183" i="41"/>
  <c r="U188" i="41"/>
  <c r="S188" i="41"/>
  <c r="T191" i="41"/>
  <c r="U201" i="41"/>
  <c r="T204" i="41"/>
  <c r="R204" i="41"/>
  <c r="U206" i="41"/>
  <c r="S225" i="41"/>
  <c r="U225" i="41"/>
  <c r="T86" i="41"/>
  <c r="T120" i="41"/>
  <c r="R122" i="41"/>
  <c r="S127" i="41"/>
  <c r="R134" i="41"/>
  <c r="S139" i="41"/>
  <c r="R146" i="41"/>
  <c r="S151" i="41"/>
  <c r="R158" i="41"/>
  <c r="S163" i="41"/>
  <c r="R170" i="41"/>
  <c r="S175" i="41"/>
  <c r="R182" i="41"/>
  <c r="S187" i="41"/>
  <c r="R194" i="41"/>
  <c r="S199" i="41"/>
  <c r="T41" i="41"/>
  <c r="R129" i="41"/>
  <c r="U132" i="41"/>
  <c r="R141" i="41"/>
  <c r="U144" i="41"/>
  <c r="R153" i="41"/>
  <c r="U156" i="41"/>
  <c r="R165" i="41"/>
  <c r="U168" i="41"/>
  <c r="R177" i="41"/>
  <c r="U180" i="41"/>
  <c r="R189" i="41"/>
  <c r="U192" i="41"/>
  <c r="R201" i="41"/>
  <c r="U204" i="41"/>
  <c r="R213" i="41"/>
  <c r="T213" i="41"/>
  <c r="R222" i="41"/>
  <c r="T222" i="41"/>
  <c r="R43" i="41"/>
  <c r="R49" i="41"/>
  <c r="S56" i="41"/>
  <c r="R58" i="41"/>
  <c r="R87" i="41"/>
  <c r="U117" i="41"/>
  <c r="R131" i="41"/>
  <c r="R143" i="41"/>
  <c r="S148" i="41"/>
  <c r="R155" i="41"/>
  <c r="S160" i="41"/>
  <c r="R167" i="41"/>
  <c r="S172" i="41"/>
  <c r="R179" i="41"/>
  <c r="S184" i="41"/>
  <c r="R191" i="41"/>
  <c r="S196" i="41"/>
  <c r="R203" i="41"/>
  <c r="S208" i="41"/>
  <c r="S217" i="41"/>
  <c r="S226" i="41"/>
  <c r="S203" i="41"/>
  <c r="R76" i="41"/>
  <c r="R112" i="41"/>
  <c r="R145" i="41"/>
  <c r="R157" i="41"/>
  <c r="R169" i="41"/>
  <c r="R181" i="41"/>
  <c r="R193" i="41"/>
  <c r="R205" i="41"/>
  <c r="R212" i="41"/>
  <c r="S213" i="41"/>
  <c r="R221" i="41"/>
  <c r="S222" i="41"/>
  <c r="R228" i="41"/>
  <c r="T228" i="41"/>
  <c r="T126" i="41"/>
  <c r="S129" i="41"/>
  <c r="T138" i="41"/>
  <c r="S141" i="41"/>
  <c r="T150" i="41"/>
  <c r="S153" i="41"/>
  <c r="T162" i="41"/>
  <c r="S165" i="41"/>
  <c r="T174" i="41"/>
  <c r="S177" i="41"/>
  <c r="T186" i="41"/>
  <c r="S189" i="41"/>
  <c r="T198" i="41"/>
  <c r="S201" i="41"/>
  <c r="R195" i="41"/>
  <c r="U198" i="41"/>
  <c r="R86" i="41"/>
  <c r="R100" i="41"/>
  <c r="R120" i="41"/>
  <c r="S130" i="41"/>
  <c r="S142" i="41"/>
  <c r="S154" i="41"/>
  <c r="S166" i="41"/>
  <c r="S178" i="41"/>
  <c r="S190" i="41"/>
  <c r="S202" i="41"/>
  <c r="S210" i="41"/>
  <c r="S219" i="41"/>
  <c r="S228" i="41"/>
  <c r="R216" i="41"/>
  <c r="T216" i="41"/>
  <c r="R225" i="41"/>
  <c r="T225" i="41"/>
  <c r="L229" i="41"/>
  <c r="AJ189" i="41"/>
  <c r="AJ126" i="41"/>
  <c r="AJ77" i="41"/>
  <c r="AH45" i="41"/>
  <c r="AG37" i="41"/>
  <c r="AE162" i="41"/>
  <c r="AD162" i="41"/>
  <c r="AB162" i="41"/>
  <c r="AG162" i="41"/>
  <c r="AH162" i="41"/>
  <c r="AC162" i="41"/>
  <c r="AF162" i="41"/>
  <c r="AI53" i="41"/>
  <c r="AD53" i="41"/>
  <c r="AF53" i="41"/>
  <c r="AH53" i="41"/>
  <c r="AC53" i="41"/>
  <c r="AE53" i="41"/>
  <c r="AA217" i="41"/>
  <c r="AC217" i="41"/>
  <c r="Z217" i="41"/>
  <c r="AB217" i="41"/>
  <c r="AE217" i="41"/>
  <c r="AG217" i="41"/>
  <c r="AD217" i="41"/>
  <c r="Z208" i="41"/>
  <c r="AE191" i="41"/>
  <c r="AB191" i="41"/>
  <c r="AG191" i="41"/>
  <c r="AD191" i="41"/>
  <c r="AA191" i="41"/>
  <c r="AF191" i="41"/>
  <c r="AC191" i="41"/>
  <c r="Z179" i="41"/>
  <c r="AB179" i="41"/>
  <c r="AE179" i="41"/>
  <c r="AG179" i="41"/>
  <c r="AD179" i="41"/>
  <c r="AA179" i="41"/>
  <c r="AC179" i="41"/>
  <c r="E4" i="42"/>
  <c r="AD211" i="41"/>
  <c r="AF211" i="41"/>
  <c r="AH211" i="41"/>
  <c r="AC211" i="41"/>
  <c r="AE211" i="41"/>
  <c r="AG211" i="41"/>
  <c r="Z165" i="41"/>
  <c r="AE165" i="41"/>
  <c r="AD165" i="41"/>
  <c r="AG165" i="41"/>
  <c r="AB165" i="41"/>
  <c r="AA165" i="41"/>
  <c r="AH165" i="41"/>
  <c r="AC165" i="41"/>
  <c r="AF165" i="41"/>
  <c r="AC132" i="41"/>
  <c r="AA132" i="41"/>
  <c r="AF132" i="41"/>
  <c r="AI132" i="41"/>
  <c r="AD132" i="41"/>
  <c r="AB132" i="41"/>
  <c r="AE132" i="41"/>
  <c r="AH132" i="41"/>
  <c r="AA117" i="41"/>
  <c r="Z117" i="41"/>
  <c r="AB117" i="41"/>
  <c r="AF117" i="41"/>
  <c r="AD117" i="41"/>
  <c r="AE117" i="41"/>
  <c r="AG117" i="41"/>
  <c r="AH117" i="41"/>
  <c r="AC117" i="41"/>
  <c r="Z97" i="41"/>
  <c r="AC97" i="41"/>
  <c r="AG97" i="41"/>
  <c r="AA97" i="41"/>
  <c r="AB97" i="41"/>
  <c r="AF97" i="41"/>
  <c r="AD97" i="41"/>
  <c r="AE97" i="41"/>
  <c r="AB77" i="41"/>
  <c r="AD77" i="41"/>
  <c r="Z77" i="41"/>
  <c r="AE77" i="41"/>
  <c r="AC77" i="41"/>
  <c r="AG77" i="41"/>
  <c r="AA77" i="41"/>
  <c r="AF77" i="41"/>
  <c r="AI77" i="41"/>
  <c r="Z57" i="41"/>
  <c r="AG57" i="41"/>
  <c r="AB57" i="41"/>
  <c r="AD57" i="41"/>
  <c r="AF57" i="41"/>
  <c r="AA57" i="41"/>
  <c r="Z43" i="41"/>
  <c r="AG43" i="41"/>
  <c r="AD43" i="41"/>
  <c r="AA43" i="41"/>
  <c r="AF43" i="41"/>
  <c r="AH43" i="41"/>
  <c r="AC43" i="41"/>
  <c r="AE43" i="41"/>
  <c r="AH35" i="41"/>
  <c r="AC35" i="41"/>
  <c r="AE35" i="41"/>
  <c r="AG35" i="41"/>
  <c r="AA35" i="41"/>
  <c r="Z35" i="41"/>
  <c r="AD35" i="41"/>
  <c r="AK97" i="41"/>
  <c r="AI52" i="41"/>
  <c r="AF219" i="41"/>
  <c r="AA219" i="41"/>
  <c r="AH219" i="41"/>
  <c r="AC219" i="41"/>
  <c r="AB219" i="41"/>
  <c r="AE219" i="41"/>
  <c r="AF207" i="41"/>
  <c r="AH207" i="41"/>
  <c r="AA207" i="41"/>
  <c r="AC207" i="41"/>
  <c r="AE207" i="41"/>
  <c r="AB207" i="41"/>
  <c r="Z205" i="41"/>
  <c r="Z181" i="41"/>
  <c r="AC181" i="41"/>
  <c r="AE181" i="41"/>
  <c r="AB181" i="41"/>
  <c r="AG181" i="41"/>
  <c r="AD181" i="41"/>
  <c r="AF181" i="41"/>
  <c r="Z151" i="41"/>
  <c r="AD151" i="41"/>
  <c r="AE151" i="41"/>
  <c r="AA151" i="41"/>
  <c r="AG151" i="41"/>
  <c r="AH151" i="41"/>
  <c r="AC151" i="41"/>
  <c r="AF151" i="41"/>
  <c r="AB151" i="41"/>
  <c r="Z146" i="41"/>
  <c r="AF25" i="41"/>
  <c r="AA25" i="41"/>
  <c r="AH25" i="41"/>
  <c r="Z25" i="41"/>
  <c r="AC25" i="41"/>
  <c r="AE25" i="41"/>
  <c r="AG25" i="41"/>
  <c r="AB25" i="41"/>
  <c r="AD25" i="41"/>
  <c r="AK165" i="41"/>
  <c r="AK52" i="41"/>
  <c r="AJ211" i="41"/>
  <c r="AJ45" i="41"/>
  <c r="AI208" i="41"/>
  <c r="AB211" i="41"/>
  <c r="AC168" i="41"/>
  <c r="AF168" i="41"/>
  <c r="AE168" i="41"/>
  <c r="AI168" i="41"/>
  <c r="AD168" i="41"/>
  <c r="AH168" i="41"/>
  <c r="AB28" i="41"/>
  <c r="AA28" i="41"/>
  <c r="AI28" i="41"/>
  <c r="AD28" i="41"/>
  <c r="AF28" i="41"/>
  <c r="AH28" i="41"/>
  <c r="AC28" i="41"/>
  <c r="AE28" i="41"/>
  <c r="AG28" i="41"/>
  <c r="AF195" i="41"/>
  <c r="Z195" i="41"/>
  <c r="AH195" i="41"/>
  <c r="AC195" i="41"/>
  <c r="AA195" i="41"/>
  <c r="AE195" i="41"/>
  <c r="AB195" i="41"/>
  <c r="AG195" i="41"/>
  <c r="Z191" i="41"/>
  <c r="Z167" i="41"/>
  <c r="AE167" i="41"/>
  <c r="AD167" i="41"/>
  <c r="AG167" i="41"/>
  <c r="AB167" i="41"/>
  <c r="AC167" i="41"/>
  <c r="AF167" i="41"/>
  <c r="AA119" i="41"/>
  <c r="AB119" i="41"/>
  <c r="AF119" i="41"/>
  <c r="AD119" i="41"/>
  <c r="AE119" i="41"/>
  <c r="AC119" i="41"/>
  <c r="Z100" i="41"/>
  <c r="AE100" i="41"/>
  <c r="AH100" i="41"/>
  <c r="AC100" i="41"/>
  <c r="AG100" i="41"/>
  <c r="AA100" i="41"/>
  <c r="AB100" i="41"/>
  <c r="AF100" i="41"/>
  <c r="AD100" i="41"/>
  <c r="Z81" i="41"/>
  <c r="AF81" i="41"/>
  <c r="AD81" i="41"/>
  <c r="AB81" i="41"/>
  <c r="AE81" i="41"/>
  <c r="AH81" i="41"/>
  <c r="AC81" i="41"/>
  <c r="AA81" i="41"/>
  <c r="AJ97" i="41"/>
  <c r="AI117" i="41"/>
  <c r="AF35" i="41"/>
  <c r="Z153" i="41"/>
  <c r="AB153" i="41"/>
  <c r="AE153" i="41"/>
  <c r="AD153" i="41"/>
  <c r="AA153" i="41"/>
  <c r="AG153" i="41"/>
  <c r="AH153" i="41"/>
  <c r="AC153" i="41"/>
  <c r="AB136" i="41"/>
  <c r="AE136" i="41"/>
  <c r="Z136" i="41"/>
  <c r="AG136" i="41"/>
  <c r="AC136" i="41"/>
  <c r="AF136" i="41"/>
  <c r="AD136" i="41"/>
  <c r="Z132" i="41"/>
  <c r="Z60" i="41"/>
  <c r="AH60" i="41"/>
  <c r="AC60" i="41"/>
  <c r="AE60" i="41"/>
  <c r="AG60" i="41"/>
  <c r="AB60" i="41"/>
  <c r="AD60" i="41"/>
  <c r="AF60" i="41"/>
  <c r="AA60" i="41"/>
  <c r="AK35" i="41"/>
  <c r="AJ57" i="41"/>
  <c r="AJ43" i="41"/>
  <c r="AH57" i="41"/>
  <c r="AB35" i="41"/>
  <c r="AD222" i="41"/>
  <c r="Z222" i="41"/>
  <c r="AF222" i="41"/>
  <c r="AA222" i="41"/>
  <c r="AH222" i="41"/>
  <c r="AC222" i="41"/>
  <c r="AB222" i="41"/>
  <c r="AE222" i="41"/>
  <c r="AD209" i="41"/>
  <c r="AB209" i="41"/>
  <c r="AF209" i="41"/>
  <c r="AA209" i="41"/>
  <c r="AC209" i="41"/>
  <c r="AE209" i="41"/>
  <c r="AG209" i="41"/>
  <c r="Z207" i="41"/>
  <c r="Z197" i="41"/>
  <c r="AD197" i="41"/>
  <c r="AF197" i="41"/>
  <c r="AC197" i="41"/>
  <c r="AA197" i="41"/>
  <c r="AE197" i="41"/>
  <c r="AB197" i="41"/>
  <c r="AA184" i="41"/>
  <c r="Z184" i="41"/>
  <c r="AF184" i="41"/>
  <c r="AC184" i="41"/>
  <c r="AE184" i="41"/>
  <c r="AB184" i="41"/>
  <c r="AG184" i="41"/>
  <c r="AD184" i="41"/>
  <c r="AF103" i="41"/>
  <c r="Z103" i="41"/>
  <c r="AD103" i="41"/>
  <c r="AE103" i="41"/>
  <c r="AH103" i="41"/>
  <c r="AC103" i="41"/>
  <c r="AA103" i="41"/>
  <c r="AB103" i="41"/>
  <c r="AC84" i="41"/>
  <c r="Z84" i="41"/>
  <c r="AG84" i="41"/>
  <c r="AA84" i="41"/>
  <c r="AF84" i="41"/>
  <c r="AI84" i="41"/>
  <c r="AD84" i="41"/>
  <c r="AE84" i="41"/>
  <c r="AH84" i="41"/>
  <c r="AF24" i="41"/>
  <c r="AA24" i="41"/>
  <c r="AH24" i="41"/>
  <c r="AC24" i="41"/>
  <c r="AE24" i="41"/>
  <c r="AB24" i="41"/>
  <c r="AG31" i="41"/>
  <c r="AB31" i="41"/>
  <c r="AI31" i="41"/>
  <c r="AD31" i="41"/>
  <c r="AF31" i="41"/>
  <c r="AA31" i="41"/>
  <c r="AC31" i="41"/>
  <c r="AI35" i="41"/>
  <c r="AC57" i="41"/>
  <c r="AB178" i="41"/>
  <c r="AE178" i="41"/>
  <c r="AG178" i="41"/>
  <c r="AD178" i="41"/>
  <c r="AF178" i="41"/>
  <c r="AA148" i="41"/>
  <c r="AG148" i="41"/>
  <c r="AB148" i="41"/>
  <c r="AC148" i="41"/>
  <c r="AF148" i="41"/>
  <c r="AD148" i="41"/>
  <c r="AE148" i="41"/>
  <c r="AA37" i="41"/>
  <c r="AB37" i="41"/>
  <c r="AF37" i="41"/>
  <c r="AH37" i="41"/>
  <c r="AC37" i="41"/>
  <c r="AE37" i="41"/>
  <c r="Z138" i="41"/>
  <c r="AA138" i="41"/>
  <c r="AD138" i="41"/>
  <c r="AB138" i="41"/>
  <c r="AE138" i="41"/>
  <c r="AG138" i="41"/>
  <c r="AH138" i="41"/>
  <c r="AC138" i="41"/>
  <c r="AF138" i="41"/>
  <c r="AG122" i="41"/>
  <c r="AH122" i="41"/>
  <c r="Z122" i="41"/>
  <c r="AC122" i="41"/>
  <c r="AA122" i="41"/>
  <c r="AB122" i="41"/>
  <c r="AF122" i="41"/>
  <c r="AI122" i="41"/>
  <c r="AD122" i="41"/>
  <c r="AE122" i="41"/>
  <c r="AB45" i="41"/>
  <c r="AE45" i="41"/>
  <c r="AG45" i="41"/>
  <c r="AD45" i="41"/>
  <c r="AA45" i="41"/>
  <c r="AF45" i="41"/>
  <c r="AC45" i="41"/>
  <c r="AC178" i="41"/>
  <c r="AG224" i="41"/>
  <c r="AD224" i="41"/>
  <c r="AF224" i="41"/>
  <c r="AA224" i="41"/>
  <c r="AC224" i="41"/>
  <c r="AB224" i="41"/>
  <c r="AG212" i="41"/>
  <c r="AD212" i="41"/>
  <c r="AF212" i="41"/>
  <c r="AA212" i="41"/>
  <c r="AC212" i="41"/>
  <c r="AB212" i="41"/>
  <c r="AH206" i="41"/>
  <c r="AA206" i="41"/>
  <c r="AC206" i="41"/>
  <c r="AE206" i="41"/>
  <c r="AG206" i="41"/>
  <c r="AD206" i="41"/>
  <c r="AF206" i="41"/>
  <c r="AD186" i="41"/>
  <c r="AA186" i="41"/>
  <c r="AF186" i="41"/>
  <c r="AH186" i="41"/>
  <c r="AC186" i="41"/>
  <c r="AE186" i="41"/>
  <c r="AG186" i="41"/>
  <c r="AD173" i="41"/>
  <c r="Z173" i="41"/>
  <c r="AA173" i="41"/>
  <c r="AF173" i="41"/>
  <c r="AB173" i="41"/>
  <c r="AC173" i="41"/>
  <c r="AE173" i="41"/>
  <c r="AG173" i="41"/>
  <c r="Z106" i="41"/>
  <c r="AF106" i="41"/>
  <c r="AD106" i="41"/>
  <c r="AE106" i="41"/>
  <c r="AA106" i="41"/>
  <c r="AB106" i="41"/>
  <c r="Z87" i="41"/>
  <c r="AB87" i="41"/>
  <c r="AE87" i="41"/>
  <c r="AH87" i="41"/>
  <c r="AC87" i="41"/>
  <c r="AG87" i="41"/>
  <c r="AA87" i="41"/>
  <c r="AF87" i="41"/>
  <c r="Z65" i="41"/>
  <c r="AD65" i="41"/>
  <c r="AF65" i="41"/>
  <c r="AH65" i="41"/>
  <c r="AC65" i="41"/>
  <c r="AE65" i="41"/>
  <c r="AA65" i="41"/>
  <c r="AG65" i="41"/>
  <c r="Z48" i="41"/>
  <c r="AH48" i="41"/>
  <c r="AC48" i="41"/>
  <c r="AB48" i="41"/>
  <c r="AE48" i="41"/>
  <c r="AG48" i="41"/>
  <c r="AI48" i="41"/>
  <c r="AD48" i="41"/>
  <c r="AK117" i="41"/>
  <c r="AK77" i="41"/>
  <c r="AH97" i="41"/>
  <c r="AG132" i="41"/>
  <c r="AD37" i="41"/>
  <c r="AB43" i="41"/>
  <c r="Z159" i="41"/>
  <c r="AH159" i="41"/>
  <c r="AA159" i="41"/>
  <c r="AC159" i="41"/>
  <c r="AF159" i="41"/>
  <c r="AB159" i="41"/>
  <c r="AE159" i="41"/>
  <c r="AG159" i="41"/>
  <c r="Z124" i="41"/>
  <c r="AE124" i="41"/>
  <c r="AG124" i="41"/>
  <c r="AC124" i="41"/>
  <c r="AA124" i="41"/>
  <c r="AB124" i="41"/>
  <c r="AF124" i="41"/>
  <c r="AD124" i="41"/>
  <c r="AK45" i="41"/>
  <c r="AJ117" i="41"/>
  <c r="AI178" i="41"/>
  <c r="AI165" i="41"/>
  <c r="AI138" i="41"/>
  <c r="AH158" i="41"/>
  <c r="AA158" i="41"/>
  <c r="AC158" i="41"/>
  <c r="AF158" i="41"/>
  <c r="AB158" i="41"/>
  <c r="AE158" i="41"/>
  <c r="AI158" i="41"/>
  <c r="AD158" i="41"/>
  <c r="Z224" i="41"/>
  <c r="AE214" i="41"/>
  <c r="AG214" i="41"/>
  <c r="AD214" i="41"/>
  <c r="AA214" i="41"/>
  <c r="AB214" i="41"/>
  <c r="Z206" i="41"/>
  <c r="Z203" i="41"/>
  <c r="AE203" i="41"/>
  <c r="AG203" i="41"/>
  <c r="AD203" i="41"/>
  <c r="AB203" i="41"/>
  <c r="AF203" i="41"/>
  <c r="AA203" i="41"/>
  <c r="AC203" i="41"/>
  <c r="AG175" i="41"/>
  <c r="AD175" i="41"/>
  <c r="AA175" i="41"/>
  <c r="AF175" i="41"/>
  <c r="AH175" i="41"/>
  <c r="AB175" i="41"/>
  <c r="AC175" i="41"/>
  <c r="AE175" i="41"/>
  <c r="AB144" i="41"/>
  <c r="AC144" i="41"/>
  <c r="Z144" i="41"/>
  <c r="AF144" i="41"/>
  <c r="AA144" i="41"/>
  <c r="AI144" i="41"/>
  <c r="AD144" i="41"/>
  <c r="AE144" i="41"/>
  <c r="AG144" i="41"/>
  <c r="AH144" i="41"/>
  <c r="AE110" i="41"/>
  <c r="Z110" i="41"/>
  <c r="AH110" i="41"/>
  <c r="AC110" i="41"/>
  <c r="AG110" i="41"/>
  <c r="AB110" i="41"/>
  <c r="AA110" i="41"/>
  <c r="AF110" i="41"/>
  <c r="AI110" i="41"/>
  <c r="AD110" i="41"/>
  <c r="Z91" i="41"/>
  <c r="AF91" i="41"/>
  <c r="AI91" i="41"/>
  <c r="AD91" i="41"/>
  <c r="AE91" i="41"/>
  <c r="AH91" i="41"/>
  <c r="AC91" i="41"/>
  <c r="AA91" i="41"/>
  <c r="AB91" i="41"/>
  <c r="AG91" i="41"/>
  <c r="Z69" i="41"/>
  <c r="AF69" i="41"/>
  <c r="AB69" i="41"/>
  <c r="AD69" i="41"/>
  <c r="AE69" i="41"/>
  <c r="AG69" i="41"/>
  <c r="AI43" i="41"/>
  <c r="AD126" i="41"/>
  <c r="AB126" i="41"/>
  <c r="AE126" i="41"/>
  <c r="AG126" i="41"/>
  <c r="AH126" i="41"/>
  <c r="AC126" i="41"/>
  <c r="AB208" i="41"/>
  <c r="AF208" i="41"/>
  <c r="AA208" i="41"/>
  <c r="AC208" i="41"/>
  <c r="AE208" i="41"/>
  <c r="AG208" i="41"/>
  <c r="AD208" i="41"/>
  <c r="AE189" i="41"/>
  <c r="Z189" i="41"/>
  <c r="AB189" i="41"/>
  <c r="AG189" i="41"/>
  <c r="AD189" i="41"/>
  <c r="AA189" i="41"/>
  <c r="AH189" i="41"/>
  <c r="AC189" i="41"/>
  <c r="AD161" i="41"/>
  <c r="AG161" i="41"/>
  <c r="AA161" i="41"/>
  <c r="AC161" i="41"/>
  <c r="AF161" i="41"/>
  <c r="AB161" i="41"/>
  <c r="AE161" i="41"/>
  <c r="Z52" i="41"/>
  <c r="AD52" i="41"/>
  <c r="AF52" i="41"/>
  <c r="AA52" i="41"/>
  <c r="AH52" i="41"/>
  <c r="AC52" i="41"/>
  <c r="AB52" i="41"/>
  <c r="AE52" i="41"/>
  <c r="AG52" i="41"/>
  <c r="AH47" i="41"/>
  <c r="AC47" i="41"/>
  <c r="AB47" i="41"/>
  <c r="AE47" i="41"/>
  <c r="AG47" i="41"/>
  <c r="AD47" i="41"/>
  <c r="AA47" i="41"/>
  <c r="AF47" i="41"/>
  <c r="AK43" i="41"/>
  <c r="AI97" i="41"/>
  <c r="AI57" i="41"/>
  <c r="AA205" i="41"/>
  <c r="AC205" i="41"/>
  <c r="AE205" i="41"/>
  <c r="AG205" i="41"/>
  <c r="AD205" i="41"/>
  <c r="AB205" i="41"/>
  <c r="AH146" i="41"/>
  <c r="AB146" i="41"/>
  <c r="AC146" i="41"/>
  <c r="AF146" i="41"/>
  <c r="AA146" i="41"/>
  <c r="AI146" i="41"/>
  <c r="AD146" i="41"/>
  <c r="AE146" i="41"/>
  <c r="AG146" i="41"/>
  <c r="AA130" i="41"/>
  <c r="Z130" i="41"/>
  <c r="AF130" i="41"/>
  <c r="AD130" i="41"/>
  <c r="AB130" i="41"/>
  <c r="AE130" i="41"/>
  <c r="AG130" i="41"/>
  <c r="Z114" i="41"/>
  <c r="AD114" i="41"/>
  <c r="AH114" i="41"/>
  <c r="AC114" i="41"/>
  <c r="AA114" i="41"/>
  <c r="Z94" i="41"/>
  <c r="AF94" i="41"/>
  <c r="AD94" i="41"/>
  <c r="AE94" i="41"/>
  <c r="AA94" i="41"/>
  <c r="AB94" i="41"/>
  <c r="AG94" i="41"/>
  <c r="AE73" i="41"/>
  <c r="Z73" i="41"/>
  <c r="AA73" i="41"/>
  <c r="AC73" i="41"/>
  <c r="AG73" i="41"/>
  <c r="AF73" i="41"/>
  <c r="AB73" i="41"/>
  <c r="AD73" i="41"/>
  <c r="Z47" i="41"/>
  <c r="AD40" i="41"/>
  <c r="Z40" i="41"/>
  <c r="AA40" i="41"/>
  <c r="AB40" i="41"/>
  <c r="AF40" i="41"/>
  <c r="AH40" i="41"/>
  <c r="AC40" i="41"/>
  <c r="AE40" i="41"/>
  <c r="B115" i="28"/>
  <c r="K115" i="28"/>
  <c r="K110" i="40" s="1"/>
  <c r="Z24" i="41"/>
  <c r="Z31" i="41"/>
  <c r="M73" i="44"/>
  <c r="M75" i="44" s="1"/>
  <c r="L75" i="44"/>
  <c r="L86" i="44" s="1"/>
  <c r="N4" i="42"/>
  <c r="E115" i="28"/>
  <c r="E110" i="40" s="1"/>
  <c r="K117" i="28"/>
  <c r="K112" i="40" s="1"/>
  <c r="L117" i="28"/>
  <c r="L112" i="40" s="1"/>
  <c r="C117" i="28"/>
  <c r="C112" i="40" s="1"/>
  <c r="E117" i="28"/>
  <c r="E112" i="40" s="1"/>
  <c r="H117" i="28"/>
  <c r="H112" i="40" s="1"/>
  <c r="B117" i="28"/>
  <c r="N15" i="43"/>
  <c r="J117" i="28"/>
  <c r="J112" i="40" s="1"/>
  <c r="I115" i="28"/>
  <c r="I110" i="40" s="1"/>
  <c r="J115" i="28"/>
  <c r="J110" i="40" s="1"/>
  <c r="L115" i="28"/>
  <c r="L110" i="40" s="1"/>
  <c r="M115" i="28"/>
  <c r="M110" i="40" s="1"/>
  <c r="P14" i="42"/>
  <c r="C115" i="28"/>
  <c r="C110" i="40" s="1"/>
  <c r="N13" i="43"/>
  <c r="O13" i="43"/>
  <c r="F115" i="28"/>
  <c r="F110" i="40" s="1"/>
  <c r="H115" i="28"/>
  <c r="H110" i="40" s="1"/>
  <c r="L16" i="44"/>
  <c r="M9" i="44"/>
  <c r="M16" i="44" s="1"/>
  <c r="N108" i="28"/>
  <c r="N16" i="42"/>
  <c r="M96" i="28" s="1"/>
  <c r="M92" i="40" s="1"/>
  <c r="K20" i="42"/>
  <c r="J100" i="28" s="1"/>
  <c r="J96" i="40" s="1"/>
  <c r="AE6" i="41"/>
  <c r="L38" i="44"/>
  <c r="M33" i="44"/>
  <c r="M38" i="44" s="1"/>
  <c r="L8" i="44"/>
  <c r="M5" i="44"/>
  <c r="M8" i="44" s="1"/>
  <c r="N105" i="28"/>
  <c r="AC6" i="41"/>
  <c r="M117" i="28"/>
  <c r="M112" i="40" s="1"/>
  <c r="G112" i="28"/>
  <c r="G108" i="40" s="1"/>
  <c r="H112" i="28"/>
  <c r="H108" i="40" s="1"/>
  <c r="J112" i="28"/>
  <c r="J108" i="40" s="1"/>
  <c r="K112" i="28"/>
  <c r="K108" i="40" s="1"/>
  <c r="M112" i="28"/>
  <c r="D112" i="28"/>
  <c r="D108" i="40" s="1"/>
  <c r="F112" i="28"/>
  <c r="F108" i="40" s="1"/>
  <c r="M71" i="44"/>
  <c r="I117" i="28"/>
  <c r="I112" i="40" s="1"/>
  <c r="L112" i="28"/>
  <c r="L108" i="40" s="1"/>
  <c r="C4" i="42"/>
  <c r="N20" i="42"/>
  <c r="M100" i="28" s="1"/>
  <c r="M96" i="40" s="1"/>
  <c r="AG6" i="41"/>
  <c r="AJ6" i="41"/>
  <c r="AA6" i="41"/>
  <c r="AD6" i="41"/>
  <c r="AF6" i="41"/>
  <c r="K16" i="44"/>
  <c r="K40" i="44" s="1"/>
  <c r="N116" i="28"/>
  <c r="F117" i="28"/>
  <c r="F112" i="40" s="1"/>
  <c r="E112" i="28"/>
  <c r="E108" i="40" s="1"/>
  <c r="B119" i="28"/>
  <c r="L119" i="28"/>
  <c r="L114" i="40" s="1"/>
  <c r="G114" i="28"/>
  <c r="G109" i="40" s="1"/>
  <c r="E111" i="28"/>
  <c r="E107" i="40" s="1"/>
  <c r="D110" i="28"/>
  <c r="J104" i="28"/>
  <c r="J119" i="28"/>
  <c r="J114" i="40" s="1"/>
  <c r="E114" i="28"/>
  <c r="E109" i="40" s="1"/>
  <c r="C111" i="28"/>
  <c r="C107" i="40" s="1"/>
  <c r="H104" i="28"/>
  <c r="B114" i="28"/>
  <c r="G119" i="28"/>
  <c r="G114" i="40" s="1"/>
  <c r="L111" i="28"/>
  <c r="L107" i="40" s="1"/>
  <c r="K110" i="28"/>
  <c r="E104" i="28"/>
  <c r="P9" i="42"/>
  <c r="B111" i="28"/>
  <c r="E119" i="28"/>
  <c r="E114" i="40" s="1"/>
  <c r="L114" i="28"/>
  <c r="L109" i="40" s="1"/>
  <c r="J111" i="28"/>
  <c r="J107" i="40" s="1"/>
  <c r="I110" i="28"/>
  <c r="C104" i="28"/>
  <c r="B104" i="28"/>
  <c r="B110" i="28"/>
  <c r="D119" i="28"/>
  <c r="D114" i="40" s="1"/>
  <c r="K114" i="28"/>
  <c r="K109" i="40" s="1"/>
  <c r="I111" i="28"/>
  <c r="I107" i="40" s="1"/>
  <c r="H110" i="28"/>
  <c r="H106" i="40" s="1"/>
  <c r="I114" i="28"/>
  <c r="I109" i="40" s="1"/>
  <c r="G111" i="28"/>
  <c r="F110" i="28"/>
  <c r="L104" i="28"/>
  <c r="N17" i="43"/>
  <c r="N9" i="43"/>
  <c r="H71" i="28" l="1"/>
  <c r="V7" i="21"/>
  <c r="M38" i="17"/>
  <c r="S30" i="21"/>
  <c r="M66" i="17"/>
  <c r="T66" i="17" s="1"/>
  <c r="U11" i="21"/>
  <c r="M57" i="17"/>
  <c r="T57" i="17" s="1"/>
  <c r="M60" i="17"/>
  <c r="V5" i="21"/>
  <c r="V6" i="21"/>
  <c r="M81" i="17"/>
  <c r="AC81" i="17" s="1"/>
  <c r="M37" i="17"/>
  <c r="E47" i="28"/>
  <c r="E46" i="40" s="1"/>
  <c r="F70" i="28"/>
  <c r="AA65" i="17"/>
  <c r="Z74" i="17"/>
  <c r="S9" i="17"/>
  <c r="M63" i="17"/>
  <c r="Z63" i="17" s="1"/>
  <c r="P30" i="21"/>
  <c r="P7" i="21"/>
  <c r="M34" i="17"/>
  <c r="AH30" i="32"/>
  <c r="M33" i="17"/>
  <c r="Y33" i="17" s="1"/>
  <c r="N13" i="42"/>
  <c r="M93" i="28" s="1"/>
  <c r="M89" i="40" s="1"/>
  <c r="W12" i="21"/>
  <c r="I30" i="34"/>
  <c r="K7" i="42"/>
  <c r="J87" i="28" s="1"/>
  <c r="J84" i="40" s="1"/>
  <c r="P84" i="35"/>
  <c r="P85" i="35" s="1"/>
  <c r="N14" i="42"/>
  <c r="M94" i="28" s="1"/>
  <c r="M90" i="40" s="1"/>
  <c r="M53" i="17"/>
  <c r="Z53" i="17" s="1"/>
  <c r="M10" i="17"/>
  <c r="X10" i="17" s="1"/>
  <c r="M67" i="17"/>
  <c r="Y67" i="17" s="1"/>
  <c r="T11" i="17"/>
  <c r="N8" i="42"/>
  <c r="M88" i="28" s="1"/>
  <c r="M85" i="40" s="1"/>
  <c r="M19" i="21"/>
  <c r="C46" i="28" s="1"/>
  <c r="C45" i="40" s="1"/>
  <c r="W10" i="21"/>
  <c r="G66" i="28"/>
  <c r="G64" i="40" s="1"/>
  <c r="H66" i="19"/>
  <c r="W48" i="21"/>
  <c r="W22" i="21"/>
  <c r="Q7" i="21"/>
  <c r="R35" i="41"/>
  <c r="R7" i="21"/>
  <c r="W26" i="21"/>
  <c r="W25" i="21"/>
  <c r="Q12" i="21"/>
  <c r="M50" i="17"/>
  <c r="Y50" i="17" s="1"/>
  <c r="W27" i="35"/>
  <c r="O26" i="38" s="1"/>
  <c r="M44" i="17"/>
  <c r="Z44" i="17" s="1"/>
  <c r="O19" i="21"/>
  <c r="E46" i="28" s="1"/>
  <c r="E45" i="40" s="1"/>
  <c r="K19" i="42"/>
  <c r="J99" i="28" s="1"/>
  <c r="J95" i="40" s="1"/>
  <c r="K14" i="42"/>
  <c r="J94" i="28" s="1"/>
  <c r="J90" i="40" s="1"/>
  <c r="K84" i="35"/>
  <c r="K86" i="35" s="1"/>
  <c r="Q38" i="21"/>
  <c r="M29" i="21"/>
  <c r="R18" i="21"/>
  <c r="AB80" i="17"/>
  <c r="Q11" i="21"/>
  <c r="G26" i="38"/>
  <c r="E67" i="28" s="1"/>
  <c r="E65" i="40" s="1"/>
  <c r="Y7" i="33"/>
  <c r="H24" i="35"/>
  <c r="F23" i="38" s="1"/>
  <c r="D66" i="28" s="1"/>
  <c r="D64" i="40" s="1"/>
  <c r="K16" i="42"/>
  <c r="J96" i="28" s="1"/>
  <c r="J92" i="40" s="1"/>
  <c r="V39" i="21"/>
  <c r="M27" i="17"/>
  <c r="S27" i="17" s="1"/>
  <c r="N7" i="42"/>
  <c r="M87" i="28" s="1"/>
  <c r="M84" i="40" s="1"/>
  <c r="N6" i="42"/>
  <c r="M86" i="28" s="1"/>
  <c r="M83" i="40" s="1"/>
  <c r="U67" i="21"/>
  <c r="R12" i="21"/>
  <c r="H70" i="19"/>
  <c r="I13" i="19"/>
  <c r="Q34" i="21"/>
  <c r="R39" i="21"/>
  <c r="L15" i="42"/>
  <c r="K95" i="28" s="1"/>
  <c r="K91" i="40" s="1"/>
  <c r="U56" i="17"/>
  <c r="U77" i="21"/>
  <c r="R35" i="33"/>
  <c r="R41" i="21"/>
  <c r="K9" i="42"/>
  <c r="J89" i="28" s="1"/>
  <c r="J86" i="40" s="1"/>
  <c r="M20" i="17"/>
  <c r="H51" i="35"/>
  <c r="Q77" i="21"/>
  <c r="R17" i="21"/>
  <c r="V30" i="21"/>
  <c r="O17" i="21"/>
  <c r="N67" i="19"/>
  <c r="Y8" i="39"/>
  <c r="U8" i="39"/>
  <c r="K46" i="19"/>
  <c r="Y13" i="17"/>
  <c r="G70" i="28"/>
  <c r="S29" i="17"/>
  <c r="U17" i="39"/>
  <c r="Y17" i="39"/>
  <c r="Q27" i="21"/>
  <c r="E66" i="28"/>
  <c r="E64" i="40" s="1"/>
  <c r="Q28" i="21"/>
  <c r="R38" i="21"/>
  <c r="R34" i="41"/>
  <c r="M30" i="21"/>
  <c r="C47" i="28" s="1"/>
  <c r="C46" i="40" s="1"/>
  <c r="R30" i="21"/>
  <c r="N15" i="42"/>
  <c r="M95" i="28" s="1"/>
  <c r="M91" i="40" s="1"/>
  <c r="M26" i="38"/>
  <c r="K67" i="28" s="1"/>
  <c r="K65" i="40" s="1"/>
  <c r="K17" i="42"/>
  <c r="J97" i="28" s="1"/>
  <c r="J93" i="40" s="1"/>
  <c r="G65" i="28"/>
  <c r="G63" i="40" s="1"/>
  <c r="M17" i="17"/>
  <c r="Z17" i="17" s="1"/>
  <c r="M55" i="17"/>
  <c r="Z55" i="17" s="1"/>
  <c r="V35" i="21"/>
  <c r="L48" i="35"/>
  <c r="M16" i="21"/>
  <c r="M51" i="17"/>
  <c r="O23" i="34"/>
  <c r="J83" i="38"/>
  <c r="J85" i="38" s="1"/>
  <c r="K6" i="42"/>
  <c r="J86" i="28" s="1"/>
  <c r="J83" i="40" s="1"/>
  <c r="P71" i="19"/>
  <c r="N19" i="42"/>
  <c r="M99" i="28" s="1"/>
  <c r="M95" i="40" s="1"/>
  <c r="J51" i="35"/>
  <c r="G48" i="38" s="1"/>
  <c r="AE212" i="41"/>
  <c r="L38" i="21"/>
  <c r="V16" i="21"/>
  <c r="Z212" i="41"/>
  <c r="U214" i="41"/>
  <c r="M23" i="17"/>
  <c r="R16" i="21"/>
  <c r="AI212" i="41"/>
  <c r="L3" i="42" s="1"/>
  <c r="K83" i="28" s="1"/>
  <c r="K81" i="40" s="1"/>
  <c r="R207" i="41"/>
  <c r="Z19" i="17"/>
  <c r="Q23" i="21"/>
  <c r="O6" i="34"/>
  <c r="M36" i="17"/>
  <c r="I39" i="17"/>
  <c r="AA39" i="17" s="1"/>
  <c r="S41" i="17"/>
  <c r="I4" i="17"/>
  <c r="M28" i="17"/>
  <c r="AB28" i="17" s="1"/>
  <c r="T42" i="17"/>
  <c r="Y7" i="39"/>
  <c r="W7" i="39" s="1"/>
  <c r="K83" i="38"/>
  <c r="K85" i="38" s="1"/>
  <c r="V4" i="21"/>
  <c r="U38" i="21"/>
  <c r="U66" i="17"/>
  <c r="Y16" i="39"/>
  <c r="Z33" i="17"/>
  <c r="AB37" i="17"/>
  <c r="E65" i="28"/>
  <c r="W30" i="21"/>
  <c r="AA64" i="17"/>
  <c r="M40" i="17"/>
  <c r="R39" i="41"/>
  <c r="M80" i="17"/>
  <c r="AC80" i="17" s="1"/>
  <c r="P11" i="21"/>
  <c r="P25" i="21"/>
  <c r="R24" i="21"/>
  <c r="Y14" i="39"/>
  <c r="W14" i="39" s="1"/>
  <c r="V4" i="17"/>
  <c r="M14" i="17"/>
  <c r="AA14" i="17" s="1"/>
  <c r="R20" i="21"/>
  <c r="F16" i="35"/>
  <c r="E15" i="38" s="1"/>
  <c r="C65" i="28" s="1"/>
  <c r="C63" i="40" s="1"/>
  <c r="E4" i="34"/>
  <c r="Q42" i="21"/>
  <c r="S78" i="17"/>
  <c r="Z46" i="17"/>
  <c r="Y11" i="17"/>
  <c r="W19" i="21"/>
  <c r="K55" i="19"/>
  <c r="Q85" i="35"/>
  <c r="Q39" i="21"/>
  <c r="AA62" i="17"/>
  <c r="P40" i="21"/>
  <c r="D39" i="35"/>
  <c r="D38" i="38" s="1"/>
  <c r="B69" i="28" s="1"/>
  <c r="D10" i="34"/>
  <c r="Z25" i="17"/>
  <c r="L65" i="28"/>
  <c r="W67" i="21"/>
  <c r="U25" i="21"/>
  <c r="S38" i="17"/>
  <c r="I61" i="17"/>
  <c r="AD27" i="17"/>
  <c r="M73" i="17"/>
  <c r="K44" i="19"/>
  <c r="M71" i="17"/>
  <c r="X12" i="17"/>
  <c r="S12" i="17"/>
  <c r="W39" i="17"/>
  <c r="L15" i="21"/>
  <c r="M5" i="17"/>
  <c r="M74" i="17"/>
  <c r="T70" i="17"/>
  <c r="V44" i="21"/>
  <c r="Q15" i="21"/>
  <c r="U15" i="21"/>
  <c r="K53" i="19"/>
  <c r="P74" i="19"/>
  <c r="O15" i="21"/>
  <c r="U39" i="21"/>
  <c r="P12" i="21"/>
  <c r="AA44" i="17"/>
  <c r="U45" i="17"/>
  <c r="T33" i="17"/>
  <c r="P6" i="21"/>
  <c r="N17" i="42"/>
  <c r="M97" i="28" s="1"/>
  <c r="M93" i="40" s="1"/>
  <c r="AB22" i="17"/>
  <c r="Z73" i="17"/>
  <c r="O57" i="21"/>
  <c r="AB39" i="17"/>
  <c r="T61" i="17"/>
  <c r="T84" i="35"/>
  <c r="T86" i="35" s="1"/>
  <c r="T38" i="41"/>
  <c r="N5" i="42"/>
  <c r="M85" i="28" s="1"/>
  <c r="M82" i="40" s="1"/>
  <c r="T4" i="17"/>
  <c r="U38" i="17"/>
  <c r="I33" i="17"/>
  <c r="W51" i="35"/>
  <c r="O48" i="38" s="1"/>
  <c r="AA60" i="17"/>
  <c r="AA53" i="17"/>
  <c r="V8" i="21"/>
  <c r="L18" i="21"/>
  <c r="P10" i="21"/>
  <c r="X11" i="17"/>
  <c r="U23" i="21"/>
  <c r="S62" i="17"/>
  <c r="X66" i="17"/>
  <c r="M24" i="17"/>
  <c r="I17" i="17"/>
  <c r="R50" i="21"/>
  <c r="I73" i="17"/>
  <c r="I50" i="17"/>
  <c r="W50" i="17" s="1"/>
  <c r="L83" i="38"/>
  <c r="L85" i="38" s="1"/>
  <c r="AB25" i="17"/>
  <c r="M8" i="17"/>
  <c r="Z66" i="17"/>
  <c r="U43" i="17"/>
  <c r="L51" i="35"/>
  <c r="H48" i="38" s="1"/>
  <c r="Y18" i="39"/>
  <c r="P86" i="35"/>
  <c r="D51" i="35"/>
  <c r="D48" i="38" s="1"/>
  <c r="P21" i="21"/>
  <c r="R7" i="32"/>
  <c r="P13" i="21"/>
  <c r="Z72" i="17"/>
  <c r="T59" i="17"/>
  <c r="P23" i="21"/>
  <c r="R85" i="35"/>
  <c r="AD61" i="17"/>
  <c r="S10" i="17"/>
  <c r="U12" i="21"/>
  <c r="Q72" i="21"/>
  <c r="U72" i="21"/>
  <c r="T65" i="17"/>
  <c r="I59" i="17"/>
  <c r="AA43" i="17"/>
  <c r="Z16" i="17"/>
  <c r="M39" i="17"/>
  <c r="AC39" i="17" s="1"/>
  <c r="AH212" i="41"/>
  <c r="K3" i="42" s="1"/>
  <c r="J83" i="28" s="1"/>
  <c r="J81" i="40" s="1"/>
  <c r="S71" i="17"/>
  <c r="U10" i="21"/>
  <c r="S22" i="17"/>
  <c r="T62" i="17"/>
  <c r="S53" i="17"/>
  <c r="M68" i="17"/>
  <c r="I62" i="17"/>
  <c r="X62" i="17" s="1"/>
  <c r="I82" i="17"/>
  <c r="AA82" i="17" s="1"/>
  <c r="M57" i="21"/>
  <c r="U13" i="21"/>
  <c r="S73" i="17"/>
  <c r="AD81" i="17"/>
  <c r="T79" i="17"/>
  <c r="P25" i="29"/>
  <c r="P24" i="21"/>
  <c r="BE21" i="39"/>
  <c r="BF20" i="39" s="1"/>
  <c r="Y12" i="17"/>
  <c r="AA45" i="17"/>
  <c r="W47" i="21"/>
  <c r="K66" i="28"/>
  <c r="K64" i="40" s="1"/>
  <c r="AA42" i="17"/>
  <c r="P13" i="29"/>
  <c r="I60" i="17"/>
  <c r="AD60" i="17" s="1"/>
  <c r="P26" i="29"/>
  <c r="U58" i="17"/>
  <c r="P35" i="21"/>
  <c r="C70" i="28"/>
  <c r="T4" i="21"/>
  <c r="J43" i="28" s="1"/>
  <c r="J42" i="40" s="1"/>
  <c r="L10" i="42"/>
  <c r="K90" i="28" s="1"/>
  <c r="K87" i="40" s="1"/>
  <c r="U67" i="17"/>
  <c r="W24" i="35"/>
  <c r="O23" i="38" s="1"/>
  <c r="M66" i="28" s="1"/>
  <c r="M64" i="40" s="1"/>
  <c r="O7" i="34"/>
  <c r="K5" i="42"/>
  <c r="J85" i="28" s="1"/>
  <c r="J82" i="40" s="1"/>
  <c r="I81" i="17"/>
  <c r="AA81" i="17" s="1"/>
  <c r="AA35" i="17"/>
  <c r="AA57" i="17"/>
  <c r="U46" i="17"/>
  <c r="I48" i="38"/>
  <c r="I54" i="17"/>
  <c r="Y54" i="17" s="1"/>
  <c r="U24" i="35"/>
  <c r="N23" i="38" s="1"/>
  <c r="N7" i="34"/>
  <c r="H5" i="33"/>
  <c r="R5" i="32"/>
  <c r="D4" i="33"/>
  <c r="R4" i="32"/>
  <c r="D47" i="35"/>
  <c r="D46" i="38" s="1"/>
  <c r="D23" i="34"/>
  <c r="M30" i="17"/>
  <c r="AB30" i="17" s="1"/>
  <c r="I74" i="17"/>
  <c r="I12" i="29"/>
  <c r="J12" i="29" s="1"/>
  <c r="AA63" i="17"/>
  <c r="AB20" i="17"/>
  <c r="F65" i="28"/>
  <c r="F63" i="40" s="1"/>
  <c r="Q69" i="21"/>
  <c r="U47" i="35"/>
  <c r="N46" i="38" s="1"/>
  <c r="N23" i="34"/>
  <c r="Q22" i="29"/>
  <c r="L39" i="21"/>
  <c r="M19" i="17"/>
  <c r="P27" i="29"/>
  <c r="V27" i="21"/>
  <c r="P20" i="29"/>
  <c r="U20" i="21"/>
  <c r="P28" i="29"/>
  <c r="V57" i="21"/>
  <c r="P12" i="29"/>
  <c r="Z35" i="17"/>
  <c r="AA28" i="17"/>
  <c r="B66" i="28"/>
  <c r="B64" i="40" s="1"/>
  <c r="O84" i="35"/>
  <c r="O86" i="35" s="1"/>
  <c r="I36" i="17"/>
  <c r="T36" i="17" s="1"/>
  <c r="P8" i="21"/>
  <c r="K8" i="42"/>
  <c r="J88" i="28" s="1"/>
  <c r="J85" i="40" s="1"/>
  <c r="D16" i="38"/>
  <c r="W31" i="21"/>
  <c r="J71" i="28"/>
  <c r="J80" i="28" s="1"/>
  <c r="O21" i="43"/>
  <c r="S26" i="17"/>
  <c r="E70" i="28"/>
  <c r="P27" i="21"/>
  <c r="K15" i="42"/>
  <c r="J95" i="28" s="1"/>
  <c r="J91" i="40" s="1"/>
  <c r="U20" i="17"/>
  <c r="P31" i="21"/>
  <c r="P23" i="29"/>
  <c r="Y80" i="17"/>
  <c r="I80" i="17"/>
  <c r="AA80" i="17" s="1"/>
  <c r="S23" i="17"/>
  <c r="Y53" i="17"/>
  <c r="M86" i="44"/>
  <c r="E7" i="42"/>
  <c r="D87" i="28" s="1"/>
  <c r="D84" i="40" s="1"/>
  <c r="M26" i="17"/>
  <c r="M4" i="17"/>
  <c r="U4" i="17" s="1"/>
  <c r="W34" i="21"/>
  <c r="S65" i="17"/>
  <c r="S48" i="17"/>
  <c r="U18" i="21"/>
  <c r="AJ212" i="41"/>
  <c r="L13" i="42"/>
  <c r="K93" i="28" s="1"/>
  <c r="K89" i="40" s="1"/>
  <c r="U55" i="17"/>
  <c r="AA59" i="17"/>
  <c r="L7" i="42"/>
  <c r="K87" i="28" s="1"/>
  <c r="K84" i="40" s="1"/>
  <c r="K13" i="42"/>
  <c r="J93" i="28" s="1"/>
  <c r="J89" i="40" s="1"/>
  <c r="AC31" i="17"/>
  <c r="AA76" i="17"/>
  <c r="I8" i="17"/>
  <c r="Z8" i="17" s="1"/>
  <c r="K18" i="42"/>
  <c r="J98" i="28" s="1"/>
  <c r="J94" i="40" s="1"/>
  <c r="K10" i="42"/>
  <c r="J90" i="28" s="1"/>
  <c r="J87" i="40" s="1"/>
  <c r="Y43" i="17"/>
  <c r="AB52" i="17"/>
  <c r="R31" i="41"/>
  <c r="L19" i="42"/>
  <c r="K99" i="28" s="1"/>
  <c r="K95" i="40" s="1"/>
  <c r="AB78" i="17"/>
  <c r="T10" i="17"/>
  <c r="I37" i="17"/>
  <c r="S37" i="17" s="1"/>
  <c r="L8" i="42"/>
  <c r="K88" i="28" s="1"/>
  <c r="K85" i="40" s="1"/>
  <c r="L16" i="42"/>
  <c r="K96" i="28" s="1"/>
  <c r="K92" i="40" s="1"/>
  <c r="L6" i="42"/>
  <c r="K86" i="28" s="1"/>
  <c r="K83" i="40" s="1"/>
  <c r="C6" i="42"/>
  <c r="B86" i="28" s="1"/>
  <c r="I52" i="17"/>
  <c r="Y52" i="17" s="1"/>
  <c r="L17" i="42"/>
  <c r="K97" i="28" s="1"/>
  <c r="K93" i="40" s="1"/>
  <c r="L18" i="42"/>
  <c r="K98" i="28" s="1"/>
  <c r="K94" i="40" s="1"/>
  <c r="L9" i="42"/>
  <c r="K89" i="28" s="1"/>
  <c r="K86" i="40" s="1"/>
  <c r="L11" i="42"/>
  <c r="K91" i="28" s="1"/>
  <c r="K88" i="40" s="1"/>
  <c r="S16" i="21"/>
  <c r="T17" i="17"/>
  <c r="I71" i="28"/>
  <c r="I80" i="28" s="1"/>
  <c r="L50" i="21"/>
  <c r="AA6" i="17"/>
  <c r="Y47" i="17"/>
  <c r="Y64" i="17"/>
  <c r="K11" i="42"/>
  <c r="J91" i="28" s="1"/>
  <c r="J88" i="40" s="1"/>
  <c r="R74" i="21"/>
  <c r="U70" i="17"/>
  <c r="P21" i="29"/>
  <c r="S28" i="17"/>
  <c r="S49" i="17"/>
  <c r="Q18" i="21"/>
  <c r="U60" i="17"/>
  <c r="M49" i="17"/>
  <c r="Z64" i="17"/>
  <c r="Z21" i="17"/>
  <c r="AB4" i="17"/>
  <c r="Y58" i="17"/>
  <c r="U36" i="17"/>
  <c r="U69" i="21"/>
  <c r="E8" i="42"/>
  <c r="D88" i="28" s="1"/>
  <c r="D85" i="40" s="1"/>
  <c r="O118" i="28"/>
  <c r="M17" i="39" s="1"/>
  <c r="S59" i="17"/>
  <c r="V38" i="29"/>
  <c r="W38" i="29" s="1"/>
  <c r="J38" i="29"/>
  <c r="K38" i="29" s="1"/>
  <c r="O113" i="40"/>
  <c r="U25" i="17"/>
  <c r="O15" i="29"/>
  <c r="D68" i="35"/>
  <c r="D67" i="38" s="1"/>
  <c r="B76" i="28" s="1"/>
  <c r="B73" i="40" s="1"/>
  <c r="D28" i="34"/>
  <c r="H62" i="35"/>
  <c r="F61" i="38" s="1"/>
  <c r="D75" i="28" s="1"/>
  <c r="D72" i="40" s="1"/>
  <c r="F27" i="34"/>
  <c r="F19" i="33"/>
  <c r="R19" i="32"/>
  <c r="U45" i="35"/>
  <c r="N44" i="38" s="1"/>
  <c r="N24" i="34"/>
  <c r="L20" i="42"/>
  <c r="K100" i="28" s="1"/>
  <c r="K96" i="40" s="1"/>
  <c r="I55" i="17"/>
  <c r="I75" i="17"/>
  <c r="AC75" i="17" s="1"/>
  <c r="Z70" i="17"/>
  <c r="T54" i="17"/>
  <c r="Z56" i="17"/>
  <c r="Z22" i="17"/>
  <c r="T27" i="17"/>
  <c r="Y45" i="17"/>
  <c r="P16" i="29"/>
  <c r="I23" i="29"/>
  <c r="I28" i="29"/>
  <c r="I14" i="29"/>
  <c r="P17" i="29"/>
  <c r="P36" i="29"/>
  <c r="I17" i="29"/>
  <c r="P33" i="29"/>
  <c r="P18" i="29"/>
  <c r="P11" i="29"/>
  <c r="P24" i="29"/>
  <c r="P32" i="29"/>
  <c r="I19" i="29"/>
  <c r="P19" i="29"/>
  <c r="I34" i="29"/>
  <c r="P31" i="29"/>
  <c r="P29" i="29"/>
  <c r="I13" i="29"/>
  <c r="I20" i="29"/>
  <c r="I33" i="29"/>
  <c r="I32" i="29"/>
  <c r="I22" i="29"/>
  <c r="I15" i="29"/>
  <c r="I35" i="29"/>
  <c r="I18" i="29"/>
  <c r="I31" i="29"/>
  <c r="P15" i="29"/>
  <c r="I27" i="29"/>
  <c r="I37" i="29"/>
  <c r="I16" i="29"/>
  <c r="I25" i="29"/>
  <c r="I36" i="29"/>
  <c r="I21" i="29"/>
  <c r="P41" i="29"/>
  <c r="I40" i="29"/>
  <c r="O102" i="40"/>
  <c r="O18" i="29"/>
  <c r="U55" i="35"/>
  <c r="N54" i="38" s="1"/>
  <c r="L73" i="28" s="1"/>
  <c r="L70" i="40" s="1"/>
  <c r="N26" i="34"/>
  <c r="D50" i="35"/>
  <c r="D51" i="38" s="1"/>
  <c r="B72" i="28" s="1"/>
  <c r="D25" i="34"/>
  <c r="O105" i="40"/>
  <c r="F12" i="33"/>
  <c r="R12" i="32"/>
  <c r="D11" i="33"/>
  <c r="R11" i="32"/>
  <c r="Q32" i="21"/>
  <c r="G48" i="28" s="1"/>
  <c r="G47" i="40" s="1"/>
  <c r="V32" i="21"/>
  <c r="P40" i="29"/>
  <c r="L5" i="42"/>
  <c r="K85" i="28" s="1"/>
  <c r="K82" i="40" s="1"/>
  <c r="S37" i="21"/>
  <c r="W16" i="21"/>
  <c r="U54" i="17"/>
  <c r="Y17" i="17"/>
  <c r="P5" i="21"/>
  <c r="F50" i="35"/>
  <c r="E51" i="38" s="1"/>
  <c r="C72" i="28" s="1"/>
  <c r="E25" i="34"/>
  <c r="D24" i="33"/>
  <c r="R24" i="32"/>
  <c r="H39" i="35"/>
  <c r="F38" i="38" s="1"/>
  <c r="D69" i="28" s="1"/>
  <c r="D67" i="40" s="1"/>
  <c r="F10" i="34"/>
  <c r="I30" i="29"/>
  <c r="O106" i="28"/>
  <c r="M6" i="39" s="1"/>
  <c r="U47" i="17"/>
  <c r="D11" i="28" s="1"/>
  <c r="D11" i="40" s="1"/>
  <c r="O19" i="29"/>
  <c r="D18" i="33"/>
  <c r="R18" i="32"/>
  <c r="L8" i="33"/>
  <c r="R8" i="32"/>
  <c r="I70" i="17"/>
  <c r="O101" i="40"/>
  <c r="F10" i="33"/>
  <c r="R10" i="32"/>
  <c r="D9" i="33"/>
  <c r="R9" i="32"/>
  <c r="W45" i="35"/>
  <c r="O44" i="38" s="1"/>
  <c r="O24" i="34"/>
  <c r="H23" i="33"/>
  <c r="R23" i="32"/>
  <c r="L14" i="42"/>
  <c r="K94" i="28" s="1"/>
  <c r="K90" i="40" s="1"/>
  <c r="N18" i="42"/>
  <c r="M98" i="28" s="1"/>
  <c r="M94" i="40" s="1"/>
  <c r="I48" i="17"/>
  <c r="U57" i="17"/>
  <c r="I51" i="17"/>
  <c r="W51" i="17" s="1"/>
  <c r="U6" i="33"/>
  <c r="R6" i="32"/>
  <c r="O24" i="29"/>
  <c r="O38" i="29"/>
  <c r="O26" i="29"/>
  <c r="O40" i="29"/>
  <c r="O28" i="29"/>
  <c r="O30" i="29"/>
  <c r="O41" i="29"/>
  <c r="O29" i="29"/>
  <c r="O12" i="29"/>
  <c r="O11" i="29"/>
  <c r="O22" i="29"/>
  <c r="O20" i="29"/>
  <c r="O34" i="29"/>
  <c r="O23" i="29"/>
  <c r="O35" i="29"/>
  <c r="O25" i="29"/>
  <c r="O13" i="29"/>
  <c r="O21" i="29"/>
  <c r="O31" i="29"/>
  <c r="O36" i="29"/>
  <c r="O27" i="29"/>
  <c r="L28" i="21"/>
  <c r="O107" i="28"/>
  <c r="M7" i="39" s="1"/>
  <c r="O16" i="29"/>
  <c r="J14" i="33"/>
  <c r="R14" i="32"/>
  <c r="I41" i="29"/>
  <c r="H20" i="33"/>
  <c r="R20" i="32"/>
  <c r="H55" i="35"/>
  <c r="F54" i="38" s="1"/>
  <c r="D73" i="28" s="1"/>
  <c r="D70" i="40" s="1"/>
  <c r="F26" i="34"/>
  <c r="W39" i="21"/>
  <c r="O109" i="28"/>
  <c r="M9" i="39" s="1"/>
  <c r="U63" i="17"/>
  <c r="V52" i="17"/>
  <c r="D17" i="33"/>
  <c r="R17" i="32"/>
  <c r="H45" i="35"/>
  <c r="F44" i="38" s="1"/>
  <c r="F24" i="34"/>
  <c r="O120" i="28"/>
  <c r="M19" i="39" s="1"/>
  <c r="U76" i="17"/>
  <c r="O17" i="29"/>
  <c r="F55" i="35"/>
  <c r="E54" i="38" s="1"/>
  <c r="C73" i="28" s="1"/>
  <c r="C70" i="40" s="1"/>
  <c r="E26" i="34"/>
  <c r="AA58" i="17"/>
  <c r="Z34" i="17"/>
  <c r="V37" i="17"/>
  <c r="R35" i="21"/>
  <c r="L44" i="28"/>
  <c r="L43" i="40" s="1"/>
  <c r="Z23" i="17"/>
  <c r="T13" i="17"/>
  <c r="T69" i="17"/>
  <c r="F75" i="35"/>
  <c r="E74" i="38" s="1"/>
  <c r="C77" i="28" s="1"/>
  <c r="C74" i="40" s="1"/>
  <c r="E29" i="34"/>
  <c r="G51" i="28"/>
  <c r="S47" i="17"/>
  <c r="S58" i="17"/>
  <c r="M84" i="35"/>
  <c r="M86" i="35" s="1"/>
  <c r="X51" i="17"/>
  <c r="N3" i="42"/>
  <c r="M83" i="28" s="1"/>
  <c r="M81" i="40" s="1"/>
  <c r="R47" i="21"/>
  <c r="R48" i="21"/>
  <c r="R6" i="21"/>
  <c r="AA46" i="17"/>
  <c r="S30" i="17"/>
  <c r="V84" i="35"/>
  <c r="V86" i="35" s="1"/>
  <c r="F68" i="35"/>
  <c r="E67" i="38" s="1"/>
  <c r="C76" i="28" s="1"/>
  <c r="C73" i="40" s="1"/>
  <c r="E28" i="34"/>
  <c r="L63" i="21"/>
  <c r="L33" i="21"/>
  <c r="W15" i="21"/>
  <c r="M31" i="17"/>
  <c r="AD31" i="17" s="1"/>
  <c r="U44" i="17"/>
  <c r="S31" i="17"/>
  <c r="I24" i="17"/>
  <c r="Y24" i="17" s="1"/>
  <c r="K70" i="28"/>
  <c r="N10" i="42"/>
  <c r="M90" i="28" s="1"/>
  <c r="M87" i="40" s="1"/>
  <c r="M48" i="17"/>
  <c r="AD48" i="17" s="1"/>
  <c r="W79" i="21"/>
  <c r="S55" i="17"/>
  <c r="N21" i="43"/>
  <c r="N25" i="43" s="1"/>
  <c r="I84" i="35"/>
  <c r="I86" i="35" s="1"/>
  <c r="Z71" i="17"/>
  <c r="C15" i="42"/>
  <c r="B95" i="28" s="1"/>
  <c r="I68" i="17"/>
  <c r="R36" i="21"/>
  <c r="T35" i="17"/>
  <c r="T75" i="17"/>
  <c r="I56" i="17"/>
  <c r="Y56" i="17" s="1"/>
  <c r="L27" i="33"/>
  <c r="J30" i="32"/>
  <c r="R64" i="21"/>
  <c r="U53" i="17"/>
  <c r="U16" i="33"/>
  <c r="P30" i="32"/>
  <c r="R16" i="32"/>
  <c r="M7" i="17"/>
  <c r="Z7" i="17" s="1"/>
  <c r="I18" i="17"/>
  <c r="AB18" i="17" s="1"/>
  <c r="I45" i="17"/>
  <c r="X45" i="17" s="1"/>
  <c r="Y31" i="17"/>
  <c r="S21" i="17"/>
  <c r="S43" i="17"/>
  <c r="S15" i="33"/>
  <c r="R15" i="32"/>
  <c r="O30" i="32"/>
  <c r="W62" i="35"/>
  <c r="O61" i="38" s="1"/>
  <c r="M75" i="28" s="1"/>
  <c r="M72" i="40" s="1"/>
  <c r="O27" i="34"/>
  <c r="I5" i="17"/>
  <c r="I7" i="17"/>
  <c r="I29" i="17"/>
  <c r="Y29" i="17" s="1"/>
  <c r="I78" i="17"/>
  <c r="W13" i="21"/>
  <c r="Z67" i="17"/>
  <c r="AA55" i="17"/>
  <c r="W75" i="35"/>
  <c r="O74" i="38" s="1"/>
  <c r="M77" i="28" s="1"/>
  <c r="M74" i="40" s="1"/>
  <c r="O29" i="34"/>
  <c r="F62" i="35"/>
  <c r="E61" i="38" s="1"/>
  <c r="C75" i="28" s="1"/>
  <c r="C72" i="40" s="1"/>
  <c r="E27" i="34"/>
  <c r="L40" i="44"/>
  <c r="AK229" i="41"/>
  <c r="M18" i="17"/>
  <c r="Q74" i="21"/>
  <c r="G57" i="28" s="1"/>
  <c r="G55" i="40" s="1"/>
  <c r="U42" i="17"/>
  <c r="J62" i="35"/>
  <c r="G61" i="38" s="1"/>
  <c r="E75" i="28" s="1"/>
  <c r="E72" i="40" s="1"/>
  <c r="G27" i="34"/>
  <c r="J55" i="35"/>
  <c r="G54" i="38" s="1"/>
  <c r="E73" i="28" s="1"/>
  <c r="E70" i="40" s="1"/>
  <c r="G26" i="34"/>
  <c r="W55" i="35"/>
  <c r="O54" i="38" s="1"/>
  <c r="M73" i="28" s="1"/>
  <c r="M70" i="40" s="1"/>
  <c r="O26" i="34"/>
  <c r="W68" i="35"/>
  <c r="O67" i="38" s="1"/>
  <c r="M76" i="28" s="1"/>
  <c r="M73" i="40" s="1"/>
  <c r="O28" i="34"/>
  <c r="P37" i="21"/>
  <c r="D27" i="33"/>
  <c r="R27" i="32"/>
  <c r="E23" i="38"/>
  <c r="C66" i="28" s="1"/>
  <c r="AB229" i="41"/>
  <c r="I66" i="17"/>
  <c r="AD66" i="17" s="1"/>
  <c r="I69" i="17"/>
  <c r="X69" i="17" s="1"/>
  <c r="F48" i="38"/>
  <c r="W17" i="21"/>
  <c r="T34" i="17"/>
  <c r="T56" i="17"/>
  <c r="U51" i="35"/>
  <c r="N48" i="38" s="1"/>
  <c r="N21" i="34"/>
  <c r="S79" i="21"/>
  <c r="P111" i="40"/>
  <c r="U62" i="35"/>
  <c r="N61" i="38" s="1"/>
  <c r="L75" i="28" s="1"/>
  <c r="L72" i="40" s="1"/>
  <c r="N27" i="34"/>
  <c r="S22" i="33"/>
  <c r="R22" i="32"/>
  <c r="H75" i="35"/>
  <c r="F74" i="38" s="1"/>
  <c r="D77" i="28" s="1"/>
  <c r="D74" i="40" s="1"/>
  <c r="F29" i="34"/>
  <c r="N84" i="35"/>
  <c r="N86" i="35" s="1"/>
  <c r="L40" i="21"/>
  <c r="T43" i="17"/>
  <c r="H28" i="33"/>
  <c r="R28" i="32"/>
  <c r="H30" i="32"/>
  <c r="L35" i="21"/>
  <c r="S72" i="17"/>
  <c r="U22" i="17"/>
  <c r="D26" i="33"/>
  <c r="R26" i="32"/>
  <c r="F30" i="32"/>
  <c r="J25" i="33"/>
  <c r="R25" i="32"/>
  <c r="I30" i="32"/>
  <c r="K51" i="28"/>
  <c r="P104" i="40"/>
  <c r="AC48" i="17"/>
  <c r="F21" i="33"/>
  <c r="R21" i="32"/>
  <c r="G30" i="32"/>
  <c r="D29" i="33"/>
  <c r="R29" i="32"/>
  <c r="I44" i="17"/>
  <c r="X44" i="17" s="1"/>
  <c r="AA30" i="17"/>
  <c r="S76" i="17"/>
  <c r="W13" i="33"/>
  <c r="Q30" i="32"/>
  <c r="R13" i="32"/>
  <c r="R32" i="21"/>
  <c r="R40" i="21"/>
  <c r="W20" i="21"/>
  <c r="L64" i="21"/>
  <c r="M43" i="28"/>
  <c r="M42" i="40" s="1"/>
  <c r="W24" i="21"/>
  <c r="K23" i="28"/>
  <c r="K23" i="40" s="1"/>
  <c r="I65" i="17"/>
  <c r="X65" i="17" s="1"/>
  <c r="B62" i="17"/>
  <c r="D62" i="17" s="1"/>
  <c r="AB62" i="17" s="1"/>
  <c r="Y76" i="17"/>
  <c r="U64" i="17"/>
  <c r="S64" i="17"/>
  <c r="Y48" i="17"/>
  <c r="AA47" i="17"/>
  <c r="B14" i="17"/>
  <c r="D14" i="17" s="1"/>
  <c r="X14" i="17" s="1"/>
  <c r="X67" i="17"/>
  <c r="S67" i="17"/>
  <c r="U78" i="17"/>
  <c r="S32" i="17"/>
  <c r="Y46" i="17"/>
  <c r="I71" i="17"/>
  <c r="W71" i="17" s="1"/>
  <c r="I11" i="17"/>
  <c r="AC11" i="17" s="1"/>
  <c r="AD5" i="17"/>
  <c r="AA69" i="17"/>
  <c r="B54" i="17"/>
  <c r="D54" i="17" s="1"/>
  <c r="AD54" i="17" s="1"/>
  <c r="Y10" i="17"/>
  <c r="AA15" i="17"/>
  <c r="S15" i="17"/>
  <c r="B40" i="17"/>
  <c r="D40" i="17" s="1"/>
  <c r="Y40" i="17" s="1"/>
  <c r="Z36" i="17"/>
  <c r="B73" i="17"/>
  <c r="D73" i="17" s="1"/>
  <c r="X70" i="17"/>
  <c r="S70" i="17"/>
  <c r="Y63" i="17"/>
  <c r="S63" i="17"/>
  <c r="S68" i="17"/>
  <c r="B12" i="40"/>
  <c r="Y60" i="17"/>
  <c r="S60" i="17"/>
  <c r="S74" i="17"/>
  <c r="I22" i="17"/>
  <c r="B58" i="17"/>
  <c r="D58" i="17" s="1"/>
  <c r="AC58" i="17" s="1"/>
  <c r="B29" i="17"/>
  <c r="D29" i="17" s="1"/>
  <c r="X29" i="17" s="1"/>
  <c r="AA61" i="17"/>
  <c r="AA8" i="17"/>
  <c r="T8" i="17"/>
  <c r="I23" i="17"/>
  <c r="AD23" i="17" s="1"/>
  <c r="S13" i="17"/>
  <c r="B4" i="28" s="1"/>
  <c r="B33" i="17"/>
  <c r="D33" i="17" s="1"/>
  <c r="Z6" i="17"/>
  <c r="V6" i="17"/>
  <c r="T77" i="17"/>
  <c r="T63" i="17"/>
  <c r="B59" i="17"/>
  <c r="D59" i="17" s="1"/>
  <c r="AB59" i="17" s="1"/>
  <c r="K14" i="28" s="1"/>
  <c r="K14" i="40" s="1"/>
  <c r="B72" i="17"/>
  <c r="D72" i="17" s="1"/>
  <c r="AB75" i="17" s="1"/>
  <c r="B75" i="17"/>
  <c r="D75" i="17" s="1"/>
  <c r="X75" i="17" s="1"/>
  <c r="AC7" i="17"/>
  <c r="Y7" i="17"/>
  <c r="Z52" i="17"/>
  <c r="T52" i="17"/>
  <c r="Y44" i="17"/>
  <c r="S44" i="17"/>
  <c r="O104" i="40"/>
  <c r="AA26" i="17"/>
  <c r="I32" i="17"/>
  <c r="AB32" i="17" s="1"/>
  <c r="T12" i="17"/>
  <c r="Z60" i="17"/>
  <c r="T60" i="17"/>
  <c r="I53" i="17"/>
  <c r="X53" i="17" s="1"/>
  <c r="AA27" i="17"/>
  <c r="I76" i="17"/>
  <c r="AD76" i="17" s="1"/>
  <c r="I49" i="17"/>
  <c r="X49" i="17" s="1"/>
  <c r="I47" i="17"/>
  <c r="AD47" i="17" s="1"/>
  <c r="S33" i="17"/>
  <c r="T67" i="17"/>
  <c r="G4" i="28"/>
  <c r="G4" i="40" s="1"/>
  <c r="AA52" i="17"/>
  <c r="U52" i="17"/>
  <c r="Z45" i="17"/>
  <c r="T45" i="17"/>
  <c r="S54" i="17"/>
  <c r="I58" i="17"/>
  <c r="AD58" i="17" s="1"/>
  <c r="I20" i="17"/>
  <c r="AD20" i="17" s="1"/>
  <c r="T78" i="17"/>
  <c r="AA78" i="17"/>
  <c r="I38" i="17"/>
  <c r="Z38" i="17" s="1"/>
  <c r="Z58" i="17"/>
  <c r="T58" i="17"/>
  <c r="Z61" i="17"/>
  <c r="S61" i="17"/>
  <c r="I72" i="17"/>
  <c r="W72" i="17" s="1"/>
  <c r="I42" i="17"/>
  <c r="AD42" i="17" s="1"/>
  <c r="AA25" i="17"/>
  <c r="T25" i="17"/>
  <c r="AA22" i="17"/>
  <c r="T22" i="17"/>
  <c r="I31" i="17"/>
  <c r="I64" i="17"/>
  <c r="X64" i="17" s="1"/>
  <c r="I10" i="17"/>
  <c r="AC10" i="17" s="1"/>
  <c r="N71" i="40"/>
  <c r="P71" i="40" s="1"/>
  <c r="N74" i="28"/>
  <c r="O74" i="28" s="1"/>
  <c r="H15" i="39" s="1"/>
  <c r="J84" i="38"/>
  <c r="L69" i="40"/>
  <c r="F66" i="28"/>
  <c r="F64" i="40" s="1"/>
  <c r="S41" i="21"/>
  <c r="U74" i="21"/>
  <c r="K57" i="28" s="1"/>
  <c r="K55" i="40" s="1"/>
  <c r="R10" i="21"/>
  <c r="H44" i="28" s="1"/>
  <c r="H43" i="40" s="1"/>
  <c r="N39" i="21"/>
  <c r="R63" i="21"/>
  <c r="L51" i="21"/>
  <c r="S15" i="21"/>
  <c r="W32" i="21"/>
  <c r="W29" i="21"/>
  <c r="W37" i="21"/>
  <c r="W41" i="21"/>
  <c r="V40" i="21"/>
  <c r="V51" i="21"/>
  <c r="P41" i="21"/>
  <c r="W42" i="21"/>
  <c r="V31" i="21"/>
  <c r="M57" i="28"/>
  <c r="M55" i="40" s="1"/>
  <c r="L7" i="21"/>
  <c r="N15" i="21"/>
  <c r="L47" i="21"/>
  <c r="P79" i="21"/>
  <c r="L44" i="21"/>
  <c r="P17" i="21"/>
  <c r="N18" i="21"/>
  <c r="L22" i="21"/>
  <c r="R62" i="21"/>
  <c r="V38" i="21"/>
  <c r="P20" i="21"/>
  <c r="W23" i="21"/>
  <c r="R45" i="21"/>
  <c r="W14" i="21"/>
  <c r="W78" i="21"/>
  <c r="R27" i="21"/>
  <c r="R26" i="21"/>
  <c r="O111" i="40"/>
  <c r="B38" i="17"/>
  <c r="D38" i="17" s="1"/>
  <c r="Y38" i="17" s="1"/>
  <c r="B68" i="17"/>
  <c r="D68" i="17" s="1"/>
  <c r="W68" i="17" s="1"/>
  <c r="B57" i="17"/>
  <c r="D57" i="17" s="1"/>
  <c r="B32" i="17"/>
  <c r="D32" i="17" s="1"/>
  <c r="B66" i="17"/>
  <c r="D66" i="17" s="1"/>
  <c r="B27" i="17"/>
  <c r="D27" i="17" s="1"/>
  <c r="AB27" i="17" s="1"/>
  <c r="B49" i="17"/>
  <c r="D49" i="17" s="1"/>
  <c r="B74" i="17"/>
  <c r="D74" i="17" s="1"/>
  <c r="AB77" i="17" s="1"/>
  <c r="B79" i="17"/>
  <c r="D79" i="17" s="1"/>
  <c r="X79" i="17" s="1"/>
  <c r="B9" i="17"/>
  <c r="D9" i="17" s="1"/>
  <c r="AB9" i="17" s="1"/>
  <c r="B34" i="17"/>
  <c r="D34" i="17" s="1"/>
  <c r="B69" i="17"/>
  <c r="D69" i="17" s="1"/>
  <c r="AB69" i="17" s="1"/>
  <c r="B65" i="17"/>
  <c r="D65" i="17" s="1"/>
  <c r="B48" i="17"/>
  <c r="D48" i="17" s="1"/>
  <c r="B61" i="17"/>
  <c r="D61" i="17" s="1"/>
  <c r="B77" i="17"/>
  <c r="D77" i="17" s="1"/>
  <c r="X77" i="17" s="1"/>
  <c r="B4" i="17"/>
  <c r="D4" i="17" s="1"/>
  <c r="X4" i="17" s="1"/>
  <c r="B16" i="17"/>
  <c r="D16" i="17" s="1"/>
  <c r="AC16" i="17" s="1"/>
  <c r="B21" i="17"/>
  <c r="D21" i="17" s="1"/>
  <c r="B78" i="17"/>
  <c r="D78" i="17" s="1"/>
  <c r="B76" i="17"/>
  <c r="D76" i="17" s="1"/>
  <c r="B17" i="17"/>
  <c r="D17" i="17" s="1"/>
  <c r="W17" i="17" s="1"/>
  <c r="B41" i="17"/>
  <c r="D41" i="17" s="1"/>
  <c r="B64" i="17"/>
  <c r="D64" i="17" s="1"/>
  <c r="B50" i="17"/>
  <c r="D50" i="17" s="1"/>
  <c r="V50" i="17" s="1"/>
  <c r="B25" i="17"/>
  <c r="D25" i="17" s="1"/>
  <c r="AC25" i="17" s="1"/>
  <c r="B45" i="17"/>
  <c r="D45" i="17" s="1"/>
  <c r="B53" i="17"/>
  <c r="D53" i="17" s="1"/>
  <c r="W53" i="17" s="1"/>
  <c r="B11" i="17"/>
  <c r="D11" i="17" s="1"/>
  <c r="U11" i="17" s="1"/>
  <c r="B81" i="17"/>
  <c r="D81" i="17" s="1"/>
  <c r="B55" i="17"/>
  <c r="D55" i="17" s="1"/>
  <c r="AC55" i="17" s="1"/>
  <c r="B39" i="17"/>
  <c r="D39" i="17" s="1"/>
  <c r="B22" i="17"/>
  <c r="D22" i="17" s="1"/>
  <c r="AC22" i="17" s="1"/>
  <c r="B42" i="17"/>
  <c r="D42" i="17" s="1"/>
  <c r="W42" i="17" s="1"/>
  <c r="B71" i="17"/>
  <c r="D71" i="17" s="1"/>
  <c r="B51" i="17"/>
  <c r="D51" i="17" s="1"/>
  <c r="V51" i="17" s="1"/>
  <c r="B56" i="17"/>
  <c r="D56" i="17" s="1"/>
  <c r="X56" i="17" s="1"/>
  <c r="B19" i="17"/>
  <c r="D19" i="17" s="1"/>
  <c r="X19" i="17" s="1"/>
  <c r="B8" i="17"/>
  <c r="D8" i="17" s="1"/>
  <c r="B46" i="17"/>
  <c r="D46" i="17" s="1"/>
  <c r="AC46" i="17" s="1"/>
  <c r="B12" i="17"/>
  <c r="D12" i="17" s="1"/>
  <c r="AB12" i="17" s="1"/>
  <c r="B7" i="17"/>
  <c r="D7" i="17" s="1"/>
  <c r="W7" i="17" s="1"/>
  <c r="B18" i="17"/>
  <c r="D18" i="17" s="1"/>
  <c r="B82" i="17"/>
  <c r="D82" i="17" s="1"/>
  <c r="B15" i="17"/>
  <c r="D15" i="17" s="1"/>
  <c r="X15" i="17" s="1"/>
  <c r="B23" i="17"/>
  <c r="D23" i="17" s="1"/>
  <c r="B43" i="17"/>
  <c r="D43" i="17" s="1"/>
  <c r="B60" i="17"/>
  <c r="D60" i="17" s="1"/>
  <c r="B5" i="17"/>
  <c r="D5" i="17" s="1"/>
  <c r="Z5" i="17" s="1"/>
  <c r="B70" i="17"/>
  <c r="D70" i="17" s="1"/>
  <c r="B20" i="17"/>
  <c r="D20" i="17" s="1"/>
  <c r="B28" i="17"/>
  <c r="D28" i="17" s="1"/>
  <c r="Y28" i="17" s="1"/>
  <c r="B30" i="17"/>
  <c r="D30" i="17" s="1"/>
  <c r="Y30" i="17" s="1"/>
  <c r="B63" i="17"/>
  <c r="D63" i="17" s="1"/>
  <c r="B13" i="17"/>
  <c r="D13" i="17" s="1"/>
  <c r="U13" i="17" s="1"/>
  <c r="B52" i="17"/>
  <c r="B47" i="17"/>
  <c r="D47" i="17" s="1"/>
  <c r="B31" i="17"/>
  <c r="D31" i="17" s="1"/>
  <c r="B80" i="17"/>
  <c r="D80" i="17" s="1"/>
  <c r="B37" i="17"/>
  <c r="D37" i="17" s="1"/>
  <c r="AD37" i="17" s="1"/>
  <c r="B24" i="17"/>
  <c r="D24" i="17" s="1"/>
  <c r="AC24" i="17" s="1"/>
  <c r="B26" i="17"/>
  <c r="D26" i="17" s="1"/>
  <c r="B44" i="17"/>
  <c r="D44" i="17" s="1"/>
  <c r="B67" i="17"/>
  <c r="D67" i="17" s="1"/>
  <c r="B6" i="17"/>
  <c r="D6" i="17" s="1"/>
  <c r="B10" i="17"/>
  <c r="D10" i="17" s="1"/>
  <c r="B36" i="17"/>
  <c r="D36" i="17" s="1"/>
  <c r="W17" i="39"/>
  <c r="W8" i="39"/>
  <c r="AB40" i="17"/>
  <c r="T40" i="17"/>
  <c r="AC33" i="17"/>
  <c r="W33" i="17"/>
  <c r="AB41" i="17"/>
  <c r="T41" i="17"/>
  <c r="AA36" i="17"/>
  <c r="V36" i="17"/>
  <c r="Y11" i="39"/>
  <c r="U11" i="39"/>
  <c r="W55" i="21"/>
  <c r="P55" i="21"/>
  <c r="S55" i="21"/>
  <c r="V54" i="21"/>
  <c r="R54" i="21"/>
  <c r="L54" i="21"/>
  <c r="W52" i="21"/>
  <c r="U52" i="21"/>
  <c r="Q52" i="21"/>
  <c r="AA20" i="17"/>
  <c r="T20" i="17"/>
  <c r="L53" i="21"/>
  <c r="N53" i="21"/>
  <c r="U53" i="21"/>
  <c r="Q53" i="21"/>
  <c r="AD71" i="17"/>
  <c r="Y71" i="17"/>
  <c r="AB38" i="17"/>
  <c r="T38" i="17"/>
  <c r="AC59" i="17"/>
  <c r="X59" i="17"/>
  <c r="W73" i="17"/>
  <c r="AB73" i="17"/>
  <c r="G107" i="40"/>
  <c r="G116" i="40" s="1"/>
  <c r="G121" i="28"/>
  <c r="J100" i="40"/>
  <c r="J116" i="40" s="1"/>
  <c r="J121" i="28"/>
  <c r="F106" i="40"/>
  <c r="F116" i="40" s="1"/>
  <c r="F121" i="28"/>
  <c r="G13" i="42"/>
  <c r="F93" i="28" s="1"/>
  <c r="F89" i="40" s="1"/>
  <c r="G14" i="42"/>
  <c r="F94" i="28" s="1"/>
  <c r="F90" i="40" s="1"/>
  <c r="G16" i="42"/>
  <c r="F96" i="28" s="1"/>
  <c r="F92" i="40" s="1"/>
  <c r="G3" i="42"/>
  <c r="F83" i="28" s="1"/>
  <c r="G17" i="42"/>
  <c r="F97" i="28" s="1"/>
  <c r="F93" i="40" s="1"/>
  <c r="G5" i="42"/>
  <c r="F85" i="28" s="1"/>
  <c r="F82" i="40" s="1"/>
  <c r="G6" i="42"/>
  <c r="F86" i="28" s="1"/>
  <c r="F83" i="40" s="1"/>
  <c r="G19" i="42"/>
  <c r="F99" i="28" s="1"/>
  <c r="F95" i="40" s="1"/>
  <c r="G7" i="42"/>
  <c r="F87" i="28" s="1"/>
  <c r="F84" i="40" s="1"/>
  <c r="G9" i="42"/>
  <c r="F89" i="28" s="1"/>
  <c r="F86" i="40" s="1"/>
  <c r="G11" i="42"/>
  <c r="F91" i="28" s="1"/>
  <c r="F88" i="40" s="1"/>
  <c r="G18" i="42"/>
  <c r="F98" i="28" s="1"/>
  <c r="F94" i="40" s="1"/>
  <c r="G8" i="42"/>
  <c r="F88" i="28" s="1"/>
  <c r="F85" i="40" s="1"/>
  <c r="G4" i="42"/>
  <c r="G10" i="42"/>
  <c r="F90" i="28" s="1"/>
  <c r="F87" i="40" s="1"/>
  <c r="G15" i="42"/>
  <c r="F95" i="28" s="1"/>
  <c r="F91" i="40" s="1"/>
  <c r="AD229" i="41"/>
  <c r="G20" i="42"/>
  <c r="F100" i="28" s="1"/>
  <c r="F96" i="40" s="1"/>
  <c r="C7" i="42"/>
  <c r="M108" i="40"/>
  <c r="M116" i="40" s="1"/>
  <c r="M121" i="28"/>
  <c r="AH229" i="41"/>
  <c r="N112" i="28"/>
  <c r="E9" i="42"/>
  <c r="D89" i="28" s="1"/>
  <c r="D86" i="40" s="1"/>
  <c r="AA24" i="17"/>
  <c r="T24" i="17"/>
  <c r="I35" i="17"/>
  <c r="I12" i="17"/>
  <c r="Y73" i="17"/>
  <c r="AD73" i="17"/>
  <c r="AB82" i="17"/>
  <c r="Y82" i="17"/>
  <c r="X73" i="17"/>
  <c r="AC73" i="17"/>
  <c r="AD11" i="17"/>
  <c r="W11" i="17"/>
  <c r="V39" i="17"/>
  <c r="Z4" i="17"/>
  <c r="S46" i="17"/>
  <c r="N26" i="38"/>
  <c r="L67" i="28" s="1"/>
  <c r="L65" i="40" s="1"/>
  <c r="D66" i="40"/>
  <c r="N66" i="40" s="1"/>
  <c r="N68" i="28"/>
  <c r="E7" i="45" s="1"/>
  <c r="C67" i="28"/>
  <c r="L59" i="21"/>
  <c r="R59" i="21"/>
  <c r="V59" i="21"/>
  <c r="R69" i="21"/>
  <c r="L69" i="21"/>
  <c r="V69" i="21"/>
  <c r="L49" i="21"/>
  <c r="V49" i="21"/>
  <c r="R49" i="21"/>
  <c r="V55" i="21"/>
  <c r="M55" i="21"/>
  <c r="O55" i="21"/>
  <c r="R55" i="21"/>
  <c r="P28" i="21"/>
  <c r="V28" i="21"/>
  <c r="L47" i="28" s="1"/>
  <c r="L46" i="40" s="1"/>
  <c r="P58" i="21"/>
  <c r="V58" i="21"/>
  <c r="U81" i="21"/>
  <c r="L81" i="21"/>
  <c r="Q81" i="21"/>
  <c r="N81" i="21"/>
  <c r="L45" i="28"/>
  <c r="L44" i="40" s="1"/>
  <c r="Q17" i="19"/>
  <c r="K17" i="19"/>
  <c r="K16" i="19"/>
  <c r="Q16" i="19"/>
  <c r="R9" i="21"/>
  <c r="L9" i="21"/>
  <c r="X5" i="17"/>
  <c r="AB5" i="17"/>
  <c r="R71" i="21"/>
  <c r="L71" i="21"/>
  <c r="V71" i="21"/>
  <c r="W65" i="21"/>
  <c r="Q65" i="21"/>
  <c r="L41" i="21"/>
  <c r="U41" i="21"/>
  <c r="Q41" i="21"/>
  <c r="N41" i="21"/>
  <c r="V62" i="21"/>
  <c r="P62" i="21"/>
  <c r="V64" i="21"/>
  <c r="P64" i="21"/>
  <c r="V60" i="21"/>
  <c r="P60" i="21"/>
  <c r="Q29" i="19"/>
  <c r="L29" i="19"/>
  <c r="J25" i="19"/>
  <c r="D26" i="28" s="1"/>
  <c r="Q25" i="19"/>
  <c r="K26" i="28" s="1"/>
  <c r="K26" i="40" s="1"/>
  <c r="Q45" i="19"/>
  <c r="K45" i="19"/>
  <c r="R5" i="21"/>
  <c r="Y6" i="39"/>
  <c r="U6" i="39"/>
  <c r="BF9" i="39"/>
  <c r="N111" i="28"/>
  <c r="B107" i="40"/>
  <c r="D106" i="40"/>
  <c r="D116" i="40" s="1"/>
  <c r="D121" i="28"/>
  <c r="M6" i="42"/>
  <c r="L86" i="28" s="1"/>
  <c r="L83" i="40" s="1"/>
  <c r="M19" i="42"/>
  <c r="L99" i="28" s="1"/>
  <c r="L95" i="40" s="1"/>
  <c r="M7" i="42"/>
  <c r="L87" i="28" s="1"/>
  <c r="L84" i="40" s="1"/>
  <c r="M20" i="42"/>
  <c r="L100" i="28" s="1"/>
  <c r="L96" i="40" s="1"/>
  <c r="M4" i="42"/>
  <c r="M8" i="42"/>
  <c r="L88" i="28" s="1"/>
  <c r="L85" i="40" s="1"/>
  <c r="M9" i="42"/>
  <c r="L89" i="28" s="1"/>
  <c r="L86" i="40" s="1"/>
  <c r="M10" i="42"/>
  <c r="L90" i="28" s="1"/>
  <c r="L87" i="40" s="1"/>
  <c r="M13" i="42"/>
  <c r="L93" i="28" s="1"/>
  <c r="L89" i="40" s="1"/>
  <c r="M14" i="42"/>
  <c r="L94" i="28" s="1"/>
  <c r="L90" i="40" s="1"/>
  <c r="M16" i="42"/>
  <c r="L96" i="28" s="1"/>
  <c r="L92" i="40" s="1"/>
  <c r="M3" i="42"/>
  <c r="L83" i="28" s="1"/>
  <c r="M5" i="42"/>
  <c r="L85" i="28" s="1"/>
  <c r="L82" i="40" s="1"/>
  <c r="M18" i="42"/>
  <c r="L98" i="28" s="1"/>
  <c r="L94" i="40" s="1"/>
  <c r="M11" i="42"/>
  <c r="L91" i="28" s="1"/>
  <c r="L88" i="40" s="1"/>
  <c r="M15" i="42"/>
  <c r="L95" i="28" s="1"/>
  <c r="L91" i="40" s="1"/>
  <c r="AJ229" i="41"/>
  <c r="M17" i="42"/>
  <c r="L97" i="28" s="1"/>
  <c r="L93" i="40" s="1"/>
  <c r="C18" i="42"/>
  <c r="N11" i="42"/>
  <c r="M91" i="28" s="1"/>
  <c r="M88" i="40" s="1"/>
  <c r="Z229" i="41"/>
  <c r="E19" i="42"/>
  <c r="D99" i="28" s="1"/>
  <c r="D95" i="40" s="1"/>
  <c r="P105" i="40"/>
  <c r="I13" i="17"/>
  <c r="I79" i="17"/>
  <c r="I63" i="17"/>
  <c r="I9" i="17"/>
  <c r="I46" i="17"/>
  <c r="AC74" i="17"/>
  <c r="X74" i="17"/>
  <c r="AD65" i="17"/>
  <c r="Y65" i="17"/>
  <c r="AD15" i="17"/>
  <c r="Z15" i="17"/>
  <c r="T15" i="17"/>
  <c r="AD39" i="17"/>
  <c r="Y39" i="17"/>
  <c r="AA41" i="17"/>
  <c r="S69" i="17"/>
  <c r="Z69" i="17"/>
  <c r="I64" i="40"/>
  <c r="I77" i="40" s="1"/>
  <c r="Q60" i="21"/>
  <c r="W60" i="21"/>
  <c r="G62" i="40"/>
  <c r="R73" i="21"/>
  <c r="L73" i="21"/>
  <c r="V73" i="21"/>
  <c r="L76" i="21"/>
  <c r="R76" i="21"/>
  <c r="V76" i="21"/>
  <c r="R46" i="21"/>
  <c r="W46" i="21"/>
  <c r="U43" i="21"/>
  <c r="Q43" i="21"/>
  <c r="W43" i="21"/>
  <c r="R65" i="21"/>
  <c r="L65" i="21"/>
  <c r="U57" i="21"/>
  <c r="Q57" i="21"/>
  <c r="N57" i="21"/>
  <c r="L57" i="21"/>
  <c r="P68" i="21"/>
  <c r="T68" i="21"/>
  <c r="Q79" i="21"/>
  <c r="U79" i="21"/>
  <c r="L79" i="21"/>
  <c r="N79" i="21"/>
  <c r="U42" i="21"/>
  <c r="P42" i="21"/>
  <c r="L27" i="21"/>
  <c r="P39" i="21"/>
  <c r="P31" i="19"/>
  <c r="J28" i="28" s="1"/>
  <c r="J28" i="40" s="1"/>
  <c r="L31" i="19"/>
  <c r="L28" i="19"/>
  <c r="Q28" i="19"/>
  <c r="I59" i="19"/>
  <c r="C34" i="28" s="1"/>
  <c r="O59" i="19"/>
  <c r="I34" i="28" s="1"/>
  <c r="I33" i="40" s="1"/>
  <c r="L31" i="21"/>
  <c r="R31" i="21"/>
  <c r="W21" i="21"/>
  <c r="R21" i="21"/>
  <c r="U15" i="39"/>
  <c r="Y15" i="39"/>
  <c r="W11" i="21"/>
  <c r="X11" i="21" s="1"/>
  <c r="P21" i="39"/>
  <c r="Q4" i="39"/>
  <c r="K65" i="28"/>
  <c r="R67" i="21"/>
  <c r="L67" i="21"/>
  <c r="V67" i="21"/>
  <c r="P63" i="21"/>
  <c r="V63" i="21"/>
  <c r="J9" i="42"/>
  <c r="I89" i="28" s="1"/>
  <c r="I86" i="40" s="1"/>
  <c r="J10" i="42"/>
  <c r="I90" i="28" s="1"/>
  <c r="I87" i="40" s="1"/>
  <c r="J11" i="42"/>
  <c r="I91" i="28" s="1"/>
  <c r="I88" i="40" s="1"/>
  <c r="J13" i="42"/>
  <c r="I93" i="28" s="1"/>
  <c r="I89" i="40" s="1"/>
  <c r="J14" i="42"/>
  <c r="I94" i="28" s="1"/>
  <c r="I90" i="40" s="1"/>
  <c r="J16" i="42"/>
  <c r="I96" i="28" s="1"/>
  <c r="I92" i="40" s="1"/>
  <c r="J3" i="42"/>
  <c r="I83" i="28" s="1"/>
  <c r="J17" i="42"/>
  <c r="I97" i="28" s="1"/>
  <c r="I93" i="40" s="1"/>
  <c r="J6" i="42"/>
  <c r="I86" i="28" s="1"/>
  <c r="I83" i="40" s="1"/>
  <c r="J19" i="42"/>
  <c r="I99" i="28" s="1"/>
  <c r="I95" i="40" s="1"/>
  <c r="J8" i="42"/>
  <c r="I88" i="28" s="1"/>
  <c r="I85" i="40" s="1"/>
  <c r="J7" i="42"/>
  <c r="I87" i="28" s="1"/>
  <c r="I84" i="40" s="1"/>
  <c r="J15" i="42"/>
  <c r="I95" i="28" s="1"/>
  <c r="I91" i="40" s="1"/>
  <c r="J20" i="42"/>
  <c r="I100" i="28" s="1"/>
  <c r="I96" i="40" s="1"/>
  <c r="J18" i="42"/>
  <c r="I98" i="28" s="1"/>
  <c r="I94" i="40" s="1"/>
  <c r="J5" i="42"/>
  <c r="I85" i="28" s="1"/>
  <c r="I82" i="40" s="1"/>
  <c r="J4" i="42"/>
  <c r="AG229" i="41"/>
  <c r="C5" i="42"/>
  <c r="H11" i="42"/>
  <c r="G91" i="28" s="1"/>
  <c r="G88" i="40" s="1"/>
  <c r="H13" i="42"/>
  <c r="G93" i="28" s="1"/>
  <c r="G89" i="40" s="1"/>
  <c r="H15" i="42"/>
  <c r="G95" i="28" s="1"/>
  <c r="G91" i="40" s="1"/>
  <c r="H16" i="42"/>
  <c r="G96" i="28" s="1"/>
  <c r="G92" i="40" s="1"/>
  <c r="H3" i="42"/>
  <c r="G83" i="28" s="1"/>
  <c r="H5" i="42"/>
  <c r="G85" i="28" s="1"/>
  <c r="G82" i="40" s="1"/>
  <c r="H18" i="42"/>
  <c r="G98" i="28" s="1"/>
  <c r="G94" i="40" s="1"/>
  <c r="H6" i="42"/>
  <c r="G86" i="28" s="1"/>
  <c r="G83" i="40" s="1"/>
  <c r="H8" i="42"/>
  <c r="G88" i="28" s="1"/>
  <c r="G85" i="40" s="1"/>
  <c r="H10" i="42"/>
  <c r="G90" i="28" s="1"/>
  <c r="G87" i="40" s="1"/>
  <c r="H19" i="42"/>
  <c r="G99" i="28" s="1"/>
  <c r="G95" i="40" s="1"/>
  <c r="H9" i="42"/>
  <c r="G89" i="28" s="1"/>
  <c r="G86" i="40" s="1"/>
  <c r="H14" i="42"/>
  <c r="G94" i="28" s="1"/>
  <c r="G90" i="40" s="1"/>
  <c r="H4" i="42"/>
  <c r="H17" i="42"/>
  <c r="G97" i="28" s="1"/>
  <c r="G93" i="40" s="1"/>
  <c r="H7" i="42"/>
  <c r="G87" i="28" s="1"/>
  <c r="G84" i="40" s="1"/>
  <c r="H20" i="42"/>
  <c r="G100" i="28" s="1"/>
  <c r="G96" i="40" s="1"/>
  <c r="AE229" i="41"/>
  <c r="N9" i="42"/>
  <c r="M89" i="28" s="1"/>
  <c r="M86" i="40" s="1"/>
  <c r="E6" i="42"/>
  <c r="D86" i="28" s="1"/>
  <c r="D83" i="40" s="1"/>
  <c r="P115" i="40"/>
  <c r="O115" i="40"/>
  <c r="S20" i="17"/>
  <c r="Z20" i="17"/>
  <c r="P113" i="40"/>
  <c r="I14" i="17"/>
  <c r="I21" i="17"/>
  <c r="Y68" i="17"/>
  <c r="AC68" i="17"/>
  <c r="AD62" i="17"/>
  <c r="Y62" i="17"/>
  <c r="AD13" i="17"/>
  <c r="W13" i="17"/>
  <c r="T23" i="17"/>
  <c r="AA23" i="17"/>
  <c r="T14" i="17"/>
  <c r="AD50" i="17"/>
  <c r="Y34" i="17"/>
  <c r="S34" i="17"/>
  <c r="AA75" i="17"/>
  <c r="S75" i="17"/>
  <c r="S16" i="17"/>
  <c r="O78" i="21"/>
  <c r="R78" i="21"/>
  <c r="M78" i="21"/>
  <c r="V78" i="21"/>
  <c r="V53" i="21"/>
  <c r="M53" i="21"/>
  <c r="R53" i="21"/>
  <c r="O53" i="21"/>
  <c r="D62" i="40"/>
  <c r="N64" i="28"/>
  <c r="E3" i="45" s="1"/>
  <c r="S80" i="21"/>
  <c r="P80" i="21"/>
  <c r="W80" i="21"/>
  <c r="S81" i="21"/>
  <c r="P81" i="21"/>
  <c r="W81" i="21"/>
  <c r="M37" i="21"/>
  <c r="C49" i="28" s="1"/>
  <c r="C48" i="40" s="1"/>
  <c r="V37" i="21"/>
  <c r="O37" i="21"/>
  <c r="E49" i="28" s="1"/>
  <c r="E48" i="40" s="1"/>
  <c r="R37" i="21"/>
  <c r="R44" i="21"/>
  <c r="V65" i="21"/>
  <c r="P65" i="21"/>
  <c r="T49" i="21"/>
  <c r="P49" i="21"/>
  <c r="P74" i="21"/>
  <c r="T74" i="21"/>
  <c r="P70" i="21"/>
  <c r="T70" i="21"/>
  <c r="I85" i="25"/>
  <c r="C36" i="29" s="1"/>
  <c r="N36" i="29" s="1"/>
  <c r="Q36" i="29" s="1"/>
  <c r="P78" i="21"/>
  <c r="L45" i="21"/>
  <c r="G44" i="28"/>
  <c r="G43" i="40" s="1"/>
  <c r="S39" i="21"/>
  <c r="R33" i="21"/>
  <c r="P73" i="19"/>
  <c r="K73" i="19"/>
  <c r="H37" i="19"/>
  <c r="L37" i="19"/>
  <c r="F29" i="28" s="1"/>
  <c r="F29" i="40" s="1"/>
  <c r="J60" i="19"/>
  <c r="P60" i="19"/>
  <c r="J34" i="28" s="1"/>
  <c r="J33" i="40" s="1"/>
  <c r="V74" i="21"/>
  <c r="R75" i="19"/>
  <c r="L75" i="19"/>
  <c r="C17" i="42"/>
  <c r="N115" i="28"/>
  <c r="B110" i="40"/>
  <c r="N110" i="40" s="1"/>
  <c r="E18" i="42"/>
  <c r="D98" i="28" s="1"/>
  <c r="D94" i="40" s="1"/>
  <c r="AD7" i="17"/>
  <c r="C52" i="17"/>
  <c r="X47" i="17"/>
  <c r="AC32" i="17"/>
  <c r="Y32" i="17"/>
  <c r="AC72" i="17"/>
  <c r="X72" i="17"/>
  <c r="AA17" i="17"/>
  <c r="V17" i="17"/>
  <c r="E5" i="28" s="1"/>
  <c r="E5" i="40" s="1"/>
  <c r="AD82" i="17"/>
  <c r="AA37" i="17"/>
  <c r="U37" i="17"/>
  <c r="AA21" i="17"/>
  <c r="T21" i="17"/>
  <c r="J64" i="40"/>
  <c r="J77" i="40" s="1"/>
  <c r="O82" i="21"/>
  <c r="R82" i="21"/>
  <c r="V82" i="21"/>
  <c r="M82" i="21"/>
  <c r="W57" i="21"/>
  <c r="S57" i="21"/>
  <c r="P57" i="21"/>
  <c r="L75" i="21"/>
  <c r="R75" i="21"/>
  <c r="V75" i="21"/>
  <c r="L74" i="21"/>
  <c r="W50" i="21"/>
  <c r="Q50" i="21"/>
  <c r="Q82" i="21"/>
  <c r="L82" i="21"/>
  <c r="N82" i="21"/>
  <c r="U82" i="21"/>
  <c r="T51" i="21"/>
  <c r="J52" i="28" s="1"/>
  <c r="P51" i="21"/>
  <c r="Q78" i="21"/>
  <c r="L78" i="21"/>
  <c r="N78" i="21"/>
  <c r="U78" i="21"/>
  <c r="T66" i="21"/>
  <c r="P66" i="21"/>
  <c r="D85" i="25"/>
  <c r="C37" i="29" s="1"/>
  <c r="S78" i="21"/>
  <c r="U16" i="21"/>
  <c r="N16" i="21"/>
  <c r="L16" i="21"/>
  <c r="Q16" i="21"/>
  <c r="Q43" i="19"/>
  <c r="K43" i="19"/>
  <c r="R77" i="19"/>
  <c r="L77" i="19"/>
  <c r="K72" i="19"/>
  <c r="P72" i="19"/>
  <c r="H68" i="19"/>
  <c r="N68" i="19"/>
  <c r="H36" i="28" s="1"/>
  <c r="H35" i="40" s="1"/>
  <c r="R42" i="21"/>
  <c r="Y20" i="39"/>
  <c r="U20" i="39"/>
  <c r="U13" i="39"/>
  <c r="Y13" i="39"/>
  <c r="W18" i="39"/>
  <c r="N117" i="28"/>
  <c r="B112" i="40"/>
  <c r="N112" i="40" s="1"/>
  <c r="E100" i="40"/>
  <c r="E116" i="40" s="1"/>
  <c r="E121" i="28"/>
  <c r="K106" i="40"/>
  <c r="K116" i="40" s="1"/>
  <c r="K121" i="28"/>
  <c r="C3" i="42"/>
  <c r="J84" i="28"/>
  <c r="J80" i="40" s="1"/>
  <c r="C13" i="42"/>
  <c r="E20" i="42"/>
  <c r="D100" i="28" s="1"/>
  <c r="D96" i="40" s="1"/>
  <c r="E5" i="42"/>
  <c r="D85" i="28" s="1"/>
  <c r="D82" i="40" s="1"/>
  <c r="Z24" i="17"/>
  <c r="S24" i="17"/>
  <c r="AC5" i="17"/>
  <c r="Y5" i="17"/>
  <c r="AB26" i="17"/>
  <c r="T26" i="17"/>
  <c r="I43" i="17"/>
  <c r="AD55" i="17"/>
  <c r="X55" i="17"/>
  <c r="I6" i="17"/>
  <c r="I40" i="17"/>
  <c r="AD77" i="17"/>
  <c r="Z77" i="17"/>
  <c r="AD79" i="17"/>
  <c r="Z79" i="17"/>
  <c r="AA9" i="17"/>
  <c r="T9" i="17"/>
  <c r="AB19" i="17"/>
  <c r="U19" i="17"/>
  <c r="X17" i="17"/>
  <c r="S17" i="17"/>
  <c r="E84" i="35"/>
  <c r="M67" i="28"/>
  <c r="M65" i="40" s="1"/>
  <c r="Q75" i="21"/>
  <c r="W75" i="21"/>
  <c r="U75" i="21"/>
  <c r="L63" i="40"/>
  <c r="W82" i="21"/>
  <c r="P82" i="21"/>
  <c r="S82" i="21"/>
  <c r="W70" i="21"/>
  <c r="U70" i="21"/>
  <c r="Q70" i="21"/>
  <c r="F61" i="40"/>
  <c r="P22" i="21"/>
  <c r="V22" i="21"/>
  <c r="P46" i="21"/>
  <c r="U46" i="21"/>
  <c r="T75" i="21"/>
  <c r="P75" i="21"/>
  <c r="T72" i="21"/>
  <c r="P72" i="21"/>
  <c r="C85" i="25"/>
  <c r="C30" i="29" s="1"/>
  <c r="S17" i="21"/>
  <c r="U24" i="21"/>
  <c r="X24" i="21" s="1"/>
  <c r="Q47" i="19"/>
  <c r="K47" i="19"/>
  <c r="P51" i="19"/>
  <c r="K51" i="19"/>
  <c r="L76" i="19"/>
  <c r="R76" i="19"/>
  <c r="R8" i="21"/>
  <c r="L8" i="21"/>
  <c r="R25" i="21"/>
  <c r="X25" i="21" s="1"/>
  <c r="G24" i="28"/>
  <c r="Y10" i="39"/>
  <c r="U10" i="39"/>
  <c r="I24" i="28"/>
  <c r="Y12" i="39"/>
  <c r="U12" i="39"/>
  <c r="AA5" i="17"/>
  <c r="W5" i="17"/>
  <c r="AD9" i="17"/>
  <c r="Y9" i="17"/>
  <c r="C16" i="42"/>
  <c r="C19" i="42"/>
  <c r="N119" i="28"/>
  <c r="B114" i="40"/>
  <c r="N114" i="40" s="1"/>
  <c r="C14" i="42"/>
  <c r="E10" i="42"/>
  <c r="D90" i="28" s="1"/>
  <c r="D87" i="40" s="1"/>
  <c r="E3" i="42"/>
  <c r="D83" i="28" s="1"/>
  <c r="AD18" i="17"/>
  <c r="Z18" i="17"/>
  <c r="AA40" i="17"/>
  <c r="S40" i="17"/>
  <c r="Z37" i="17"/>
  <c r="T37" i="17"/>
  <c r="Y37" i="17"/>
  <c r="M72" i="17"/>
  <c r="E57" i="17"/>
  <c r="E83" i="22"/>
  <c r="C14" i="29" s="1"/>
  <c r="AB74" i="17"/>
  <c r="W74" i="17"/>
  <c r="I77" i="17"/>
  <c r="I15" i="17"/>
  <c r="I28" i="17"/>
  <c r="I26" i="17"/>
  <c r="AC71" i="17"/>
  <c r="X71" i="17"/>
  <c r="AD10" i="17"/>
  <c r="W10" i="17"/>
  <c r="AB23" i="17"/>
  <c r="U23" i="17"/>
  <c r="AD80" i="17"/>
  <c r="Y16" i="17"/>
  <c r="Z76" i="17"/>
  <c r="T76" i="17"/>
  <c r="B75" i="40"/>
  <c r="N75" i="40" s="1"/>
  <c r="N78" i="28"/>
  <c r="E17" i="45" s="1"/>
  <c r="G84" i="35"/>
  <c r="G86" i="35" s="1"/>
  <c r="U59" i="21"/>
  <c r="K54" i="28" s="1"/>
  <c r="K52" i="40" s="1"/>
  <c r="W59" i="21"/>
  <c r="Q59" i="21"/>
  <c r="H63" i="40"/>
  <c r="H77" i="40" s="1"/>
  <c r="H80" i="28"/>
  <c r="R70" i="21"/>
  <c r="L70" i="21"/>
  <c r="V70" i="21"/>
  <c r="L68" i="21"/>
  <c r="V68" i="21"/>
  <c r="R68" i="21"/>
  <c r="W51" i="21"/>
  <c r="U51" i="21"/>
  <c r="Q51" i="21"/>
  <c r="U19" i="21"/>
  <c r="Q19" i="21"/>
  <c r="G46" i="28" s="1"/>
  <c r="G45" i="40" s="1"/>
  <c r="L19" i="21"/>
  <c r="N19" i="21"/>
  <c r="D46" i="28" s="1"/>
  <c r="D45" i="40" s="1"/>
  <c r="U32" i="21"/>
  <c r="P32" i="21"/>
  <c r="T48" i="21"/>
  <c r="P48" i="21"/>
  <c r="P61" i="21"/>
  <c r="V61" i="21"/>
  <c r="P77" i="21"/>
  <c r="T77" i="21"/>
  <c r="J85" i="25"/>
  <c r="C38" i="29" s="1"/>
  <c r="M38" i="29" s="1"/>
  <c r="P38" i="29" s="1"/>
  <c r="Q37" i="21"/>
  <c r="L37" i="21"/>
  <c r="N37" i="21"/>
  <c r="U37" i="21"/>
  <c r="K49" i="19"/>
  <c r="Q49" i="19"/>
  <c r="N82" i="19"/>
  <c r="J82" i="19"/>
  <c r="Y19" i="39"/>
  <c r="U19" i="39"/>
  <c r="C24" i="28"/>
  <c r="U9" i="39"/>
  <c r="Y9" i="39"/>
  <c r="Y42" i="17"/>
  <c r="S42" i="17"/>
  <c r="AB7" i="17"/>
  <c r="X7" i="17"/>
  <c r="C11" i="42"/>
  <c r="F14" i="42"/>
  <c r="E94" i="28" s="1"/>
  <c r="E90" i="40" s="1"/>
  <c r="F15" i="42"/>
  <c r="E95" i="28" s="1"/>
  <c r="E91" i="40" s="1"/>
  <c r="F3" i="42"/>
  <c r="E83" i="28" s="1"/>
  <c r="F17" i="42"/>
  <c r="E97" i="28" s="1"/>
  <c r="E93" i="40" s="1"/>
  <c r="F5" i="42"/>
  <c r="E85" i="28" s="1"/>
  <c r="E82" i="40" s="1"/>
  <c r="F18" i="42"/>
  <c r="E98" i="28" s="1"/>
  <c r="E94" i="40" s="1"/>
  <c r="F7" i="42"/>
  <c r="E87" i="28" s="1"/>
  <c r="E84" i="40" s="1"/>
  <c r="F20" i="42"/>
  <c r="E100" i="28" s="1"/>
  <c r="E96" i="40" s="1"/>
  <c r="F4" i="42"/>
  <c r="F8" i="42"/>
  <c r="E88" i="28" s="1"/>
  <c r="E85" i="40" s="1"/>
  <c r="F10" i="42"/>
  <c r="E90" i="28" s="1"/>
  <c r="E87" i="40" s="1"/>
  <c r="F13" i="42"/>
  <c r="E93" i="28" s="1"/>
  <c r="E89" i="40" s="1"/>
  <c r="F11" i="42"/>
  <c r="E91" i="28" s="1"/>
  <c r="E88" i="40" s="1"/>
  <c r="F16" i="42"/>
  <c r="E96" i="28" s="1"/>
  <c r="E92" i="40" s="1"/>
  <c r="F19" i="42"/>
  <c r="E99" i="28" s="1"/>
  <c r="E95" i="40" s="1"/>
  <c r="F9" i="42"/>
  <c r="E89" i="28" s="1"/>
  <c r="E86" i="40" s="1"/>
  <c r="F6" i="42"/>
  <c r="E86" i="28" s="1"/>
  <c r="E83" i="40" s="1"/>
  <c r="AC229" i="41"/>
  <c r="E17" i="42"/>
  <c r="D97" i="28" s="1"/>
  <c r="D93" i="40" s="1"/>
  <c r="E16" i="42"/>
  <c r="D96" i="28" s="1"/>
  <c r="D92" i="40" s="1"/>
  <c r="AD74" i="17"/>
  <c r="Y74" i="17"/>
  <c r="I25" i="17"/>
  <c r="L19" i="40"/>
  <c r="L19" i="28"/>
  <c r="AC49" i="17"/>
  <c r="Y49" i="17"/>
  <c r="AD6" i="17"/>
  <c r="Y6" i="17"/>
  <c r="U6" i="17"/>
  <c r="AB54" i="17"/>
  <c r="V54" i="17"/>
  <c r="AB36" i="17"/>
  <c r="W36" i="17"/>
  <c r="F9" i="28" s="1"/>
  <c r="F9" i="40" s="1"/>
  <c r="V81" i="21"/>
  <c r="R81" i="21"/>
  <c r="M81" i="21"/>
  <c r="O81" i="21"/>
  <c r="E63" i="40"/>
  <c r="W53" i="21"/>
  <c r="P53" i="21"/>
  <c r="S53" i="21"/>
  <c r="R66" i="21"/>
  <c r="L66" i="21"/>
  <c r="V66" i="21"/>
  <c r="V43" i="21"/>
  <c r="L43" i="21"/>
  <c r="R43" i="21"/>
  <c r="V47" i="21"/>
  <c r="P47" i="21"/>
  <c r="Q55" i="21"/>
  <c r="U55" i="21"/>
  <c r="N55" i="21"/>
  <c r="L55" i="21"/>
  <c r="Q80" i="21"/>
  <c r="N80" i="21"/>
  <c r="U80" i="21"/>
  <c r="L80" i="21"/>
  <c r="F85" i="25"/>
  <c r="C33" i="29" s="1"/>
  <c r="L33" i="29" s="1"/>
  <c r="O33" i="29" s="1"/>
  <c r="R33" i="29" s="1"/>
  <c r="S33" i="29" s="1"/>
  <c r="V50" i="21"/>
  <c r="P50" i="21"/>
  <c r="L5" i="21"/>
  <c r="P19" i="21"/>
  <c r="S19" i="21"/>
  <c r="I46" i="28" s="1"/>
  <c r="I45" i="40" s="1"/>
  <c r="Q56" i="19"/>
  <c r="K56" i="19"/>
  <c r="K50" i="19"/>
  <c r="P50" i="19"/>
  <c r="L23" i="28"/>
  <c r="K84" i="28"/>
  <c r="K80" i="40" s="1"/>
  <c r="N104" i="28"/>
  <c r="B100" i="40"/>
  <c r="B121" i="28"/>
  <c r="N114" i="28"/>
  <c r="B109" i="40"/>
  <c r="N109" i="40" s="1"/>
  <c r="C10" i="42"/>
  <c r="C9" i="42"/>
  <c r="O108" i="28"/>
  <c r="M8" i="39" s="1"/>
  <c r="P108" i="28"/>
  <c r="D84" i="28"/>
  <c r="D80" i="40" s="1"/>
  <c r="E15" i="42"/>
  <c r="D95" i="28" s="1"/>
  <c r="D91" i="40" s="1"/>
  <c r="M32" i="17"/>
  <c r="S25" i="17"/>
  <c r="X25" i="17"/>
  <c r="I34" i="17"/>
  <c r="I67" i="17"/>
  <c r="I57" i="17"/>
  <c r="I19" i="17"/>
  <c r="AC18" i="17"/>
  <c r="Y18" i="17"/>
  <c r="AD14" i="17"/>
  <c r="Z14" i="17"/>
  <c r="AB29" i="17"/>
  <c r="T29" i="17"/>
  <c r="AB24" i="17"/>
  <c r="U24" i="17"/>
  <c r="Y4" i="17"/>
  <c r="S4" i="17"/>
  <c r="AA38" i="17"/>
  <c r="Z47" i="17"/>
  <c r="T47" i="17"/>
  <c r="C11" i="28" s="1"/>
  <c r="C11" i="40" s="1"/>
  <c r="C15" i="28"/>
  <c r="C15" i="40" s="1"/>
  <c r="I47" i="38"/>
  <c r="W58" i="21"/>
  <c r="Q58" i="21"/>
  <c r="L62" i="21"/>
  <c r="V72" i="21"/>
  <c r="L72" i="21"/>
  <c r="R72" i="21"/>
  <c r="W63" i="21"/>
  <c r="Q63" i="21"/>
  <c r="R61" i="21"/>
  <c r="L61" i="21"/>
  <c r="M62" i="40"/>
  <c r="B61" i="40"/>
  <c r="N63" i="28"/>
  <c r="E2" i="45" s="1"/>
  <c r="N17" i="21"/>
  <c r="U17" i="21"/>
  <c r="L17" i="21"/>
  <c r="Q17" i="21"/>
  <c r="P43" i="21"/>
  <c r="T43" i="21"/>
  <c r="T69" i="21"/>
  <c r="P69" i="21"/>
  <c r="T59" i="21"/>
  <c r="J54" i="28" s="1"/>
  <c r="J52" i="40" s="1"/>
  <c r="P59" i="21"/>
  <c r="R51" i="21"/>
  <c r="H85" i="25"/>
  <c r="C35" i="29" s="1"/>
  <c r="M35" i="29" s="1"/>
  <c r="P35" i="29" s="1"/>
  <c r="R35" i="29" s="1"/>
  <c r="S35" i="29" s="1"/>
  <c r="R34" i="21"/>
  <c r="T36" i="21"/>
  <c r="P36" i="21"/>
  <c r="V9" i="21"/>
  <c r="L43" i="28" s="1"/>
  <c r="P9" i="21"/>
  <c r="U21" i="21"/>
  <c r="K54" i="19"/>
  <c r="Q54" i="19"/>
  <c r="Q48" i="19"/>
  <c r="K31" i="40" s="1"/>
  <c r="K48" i="19"/>
  <c r="V36" i="21"/>
  <c r="Y5" i="39"/>
  <c r="U5" i="39"/>
  <c r="P29" i="21"/>
  <c r="C2" i="18"/>
  <c r="I26" i="29"/>
  <c r="C121" i="28"/>
  <c r="C100" i="40"/>
  <c r="C116" i="40" s="1"/>
  <c r="H121" i="28"/>
  <c r="H100" i="40"/>
  <c r="H116" i="40" s="1"/>
  <c r="O116" i="28"/>
  <c r="M15" i="39" s="1"/>
  <c r="P116" i="28"/>
  <c r="E13" i="42"/>
  <c r="D93" i="28" s="1"/>
  <c r="D89" i="40" s="1"/>
  <c r="P109" i="28"/>
  <c r="P120" i="28"/>
  <c r="P107" i="28"/>
  <c r="P106" i="28"/>
  <c r="P118" i="28"/>
  <c r="P103" i="40"/>
  <c r="O103" i="40"/>
  <c r="P102" i="40"/>
  <c r="S19" i="17"/>
  <c r="I27" i="17"/>
  <c r="X42" i="17"/>
  <c r="AD44" i="17"/>
  <c r="I16" i="17"/>
  <c r="AD34" i="17"/>
  <c r="X34" i="17"/>
  <c r="AD12" i="17"/>
  <c r="W12" i="17"/>
  <c r="U41" i="17"/>
  <c r="U28" i="17"/>
  <c r="AA79" i="17"/>
  <c r="S79" i="17"/>
  <c r="F26" i="38"/>
  <c r="R80" i="21"/>
  <c r="M80" i="21"/>
  <c r="V80" i="21"/>
  <c r="O80" i="21"/>
  <c r="V77" i="21"/>
  <c r="L77" i="21"/>
  <c r="R77" i="21"/>
  <c r="W54" i="21"/>
  <c r="Q54" i="21"/>
  <c r="U54" i="21"/>
  <c r="U14" i="21"/>
  <c r="N14" i="21"/>
  <c r="L14" i="21"/>
  <c r="Q14" i="21"/>
  <c r="P71" i="21"/>
  <c r="T71" i="21"/>
  <c r="P67" i="21"/>
  <c r="T67" i="21"/>
  <c r="D52" i="21"/>
  <c r="T52" i="21" s="1"/>
  <c r="E85" i="25"/>
  <c r="C32" i="29" s="1"/>
  <c r="L32" i="29" s="1"/>
  <c r="O32" i="29" s="1"/>
  <c r="R32" i="29" s="1"/>
  <c r="S32" i="29" s="1"/>
  <c r="U34" i="21"/>
  <c r="P34" i="21"/>
  <c r="P33" i="21"/>
  <c r="V33" i="21"/>
  <c r="R22" i="21"/>
  <c r="P44" i="21"/>
  <c r="Q52" i="19"/>
  <c r="K52" i="19"/>
  <c r="Q61" i="19"/>
  <c r="K35" i="28" s="1"/>
  <c r="K34" i="40" s="1"/>
  <c r="I61" i="19"/>
  <c r="S14" i="21"/>
  <c r="C45" i="28"/>
  <c r="S29" i="21"/>
  <c r="I47" i="28" s="1"/>
  <c r="I46" i="40" s="1"/>
  <c r="O46" i="38"/>
  <c r="X84" i="35"/>
  <c r="X86" i="35" s="1"/>
  <c r="E23" i="28"/>
  <c r="W16" i="39"/>
  <c r="D16" i="42"/>
  <c r="C96" i="28" s="1"/>
  <c r="C92" i="40" s="1"/>
  <c r="D3" i="42"/>
  <c r="C83" i="28" s="1"/>
  <c r="D17" i="42"/>
  <c r="C97" i="28" s="1"/>
  <c r="C93" i="40" s="1"/>
  <c r="D5" i="42"/>
  <c r="C85" i="28" s="1"/>
  <c r="C82" i="40" s="1"/>
  <c r="D6" i="42"/>
  <c r="C86" i="28" s="1"/>
  <c r="C83" i="40" s="1"/>
  <c r="D19" i="42"/>
  <c r="C99" i="28" s="1"/>
  <c r="C95" i="40" s="1"/>
  <c r="D7" i="42"/>
  <c r="C87" i="28" s="1"/>
  <c r="C84" i="40" s="1"/>
  <c r="D20" i="42"/>
  <c r="C100" i="28" s="1"/>
  <c r="C96" i="40" s="1"/>
  <c r="D4" i="42"/>
  <c r="D9" i="42"/>
  <c r="C89" i="28" s="1"/>
  <c r="C86" i="40" s="1"/>
  <c r="D10" i="42"/>
  <c r="C90" i="28" s="1"/>
  <c r="C87" i="40" s="1"/>
  <c r="D13" i="42"/>
  <c r="C93" i="28" s="1"/>
  <c r="C89" i="40" s="1"/>
  <c r="D15" i="42"/>
  <c r="C95" i="28" s="1"/>
  <c r="C91" i="40" s="1"/>
  <c r="D8" i="42"/>
  <c r="C88" i="28" s="1"/>
  <c r="C85" i="40" s="1"/>
  <c r="D14" i="42"/>
  <c r="C94" i="28" s="1"/>
  <c r="C90" i="40" s="1"/>
  <c r="D11" i="42"/>
  <c r="C91" i="28" s="1"/>
  <c r="C88" i="40" s="1"/>
  <c r="D18" i="42"/>
  <c r="C98" i="28" s="1"/>
  <c r="C94" i="40" s="1"/>
  <c r="AA229" i="41"/>
  <c r="X22" i="17"/>
  <c r="AD59" i="17"/>
  <c r="Y59" i="17"/>
  <c r="H14" i="28" s="1"/>
  <c r="H14" i="40" s="1"/>
  <c r="AB21" i="17"/>
  <c r="U21" i="17"/>
  <c r="N110" i="28"/>
  <c r="B106" i="40"/>
  <c r="C8" i="42"/>
  <c r="I106" i="40"/>
  <c r="I116" i="40" s="1"/>
  <c r="I121" i="28"/>
  <c r="B84" i="28"/>
  <c r="O105" i="28"/>
  <c r="M5" i="39" s="1"/>
  <c r="P105" i="28"/>
  <c r="M84" i="28"/>
  <c r="M80" i="40" s="1"/>
  <c r="E14" i="42"/>
  <c r="D94" i="28" s="1"/>
  <c r="D90" i="40" s="1"/>
  <c r="P101" i="40"/>
  <c r="AB35" i="17"/>
  <c r="W35" i="17"/>
  <c r="Z27" i="17"/>
  <c r="AB8" i="17"/>
  <c r="U8" i="17"/>
  <c r="I41" i="17"/>
  <c r="AB68" i="17"/>
  <c r="X68" i="17"/>
  <c r="AD70" i="17"/>
  <c r="W70" i="17"/>
  <c r="I30" i="17"/>
  <c r="AD29" i="17"/>
  <c r="Z29" i="17"/>
  <c r="AB50" i="17"/>
  <c r="K12" i="28" s="1"/>
  <c r="X50" i="17"/>
  <c r="G12" i="28" s="1"/>
  <c r="AD75" i="17"/>
  <c r="Z75" i="17"/>
  <c r="AD33" i="17"/>
  <c r="X33" i="17"/>
  <c r="U40" i="17"/>
  <c r="AB56" i="17"/>
  <c r="V56" i="17"/>
  <c r="B76" i="40"/>
  <c r="N76" i="40" s="1"/>
  <c r="N79" i="28"/>
  <c r="E18" i="45" s="1"/>
  <c r="F69" i="28"/>
  <c r="F67" i="40" s="1"/>
  <c r="H47" i="38"/>
  <c r="O71" i="40"/>
  <c r="C64" i="40"/>
  <c r="R79" i="21"/>
  <c r="M79" i="21"/>
  <c r="O79" i="21"/>
  <c r="V79" i="21"/>
  <c r="V56" i="21"/>
  <c r="R56" i="21"/>
  <c r="L56" i="21"/>
  <c r="L58" i="21"/>
  <c r="R58" i="21"/>
  <c r="P26" i="21"/>
  <c r="U26" i="21"/>
  <c r="L29" i="21"/>
  <c r="U29" i="21"/>
  <c r="Q29" i="21"/>
  <c r="N29" i="21"/>
  <c r="T76" i="21"/>
  <c r="P76" i="21"/>
  <c r="P73" i="21"/>
  <c r="T73" i="21"/>
  <c r="R52" i="21"/>
  <c r="L52" i="21"/>
  <c r="R23" i="21"/>
  <c r="R65" i="19"/>
  <c r="R64" i="19"/>
  <c r="V48" i="21"/>
  <c r="L48" i="21"/>
  <c r="K44" i="28"/>
  <c r="G43" i="28"/>
  <c r="G85" i="25"/>
  <c r="C34" i="29" s="1"/>
  <c r="M34" i="29" s="1"/>
  <c r="P34" i="29" s="1"/>
  <c r="R34" i="29" s="1"/>
  <c r="S34" i="29" s="1"/>
  <c r="AD49" i="17"/>
  <c r="Z49" i="17"/>
  <c r="AD78" i="17"/>
  <c r="Y78" i="17"/>
  <c r="AD51" i="17"/>
  <c r="U30" i="21"/>
  <c r="Q30" i="21"/>
  <c r="L30" i="21"/>
  <c r="N30" i="21"/>
  <c r="L100" i="40"/>
  <c r="L116" i="40" s="1"/>
  <c r="L121" i="28"/>
  <c r="I10" i="42"/>
  <c r="H90" i="28" s="1"/>
  <c r="H87" i="40" s="1"/>
  <c r="I11" i="42"/>
  <c r="H91" i="28" s="1"/>
  <c r="H88" i="40" s="1"/>
  <c r="I13" i="42"/>
  <c r="H93" i="28" s="1"/>
  <c r="H89" i="40" s="1"/>
  <c r="I14" i="42"/>
  <c r="H94" i="28" s="1"/>
  <c r="H90" i="40" s="1"/>
  <c r="I15" i="42"/>
  <c r="H95" i="28" s="1"/>
  <c r="H91" i="40" s="1"/>
  <c r="I3" i="42"/>
  <c r="H83" i="28" s="1"/>
  <c r="I17" i="42"/>
  <c r="H97" i="28" s="1"/>
  <c r="H93" i="40" s="1"/>
  <c r="I5" i="42"/>
  <c r="H85" i="28" s="1"/>
  <c r="H82" i="40" s="1"/>
  <c r="I18" i="42"/>
  <c r="H98" i="28" s="1"/>
  <c r="H94" i="40" s="1"/>
  <c r="I7" i="42"/>
  <c r="H87" i="28" s="1"/>
  <c r="H84" i="40" s="1"/>
  <c r="I20" i="42"/>
  <c r="H100" i="28" s="1"/>
  <c r="H96" i="40" s="1"/>
  <c r="I4" i="42"/>
  <c r="I9" i="42"/>
  <c r="H89" i="28" s="1"/>
  <c r="H86" i="40" s="1"/>
  <c r="I8" i="42"/>
  <c r="H88" i="28" s="1"/>
  <c r="H85" i="40" s="1"/>
  <c r="I16" i="42"/>
  <c r="H96" i="28" s="1"/>
  <c r="H92" i="40" s="1"/>
  <c r="I19" i="42"/>
  <c r="H99" i="28" s="1"/>
  <c r="H95" i="40" s="1"/>
  <c r="I6" i="42"/>
  <c r="H86" i="28" s="1"/>
  <c r="H83" i="40" s="1"/>
  <c r="AF229" i="41"/>
  <c r="C20" i="42"/>
  <c r="M40" i="44"/>
  <c r="AI229" i="41"/>
  <c r="E11" i="42"/>
  <c r="D91" i="28" s="1"/>
  <c r="D88" i="40" s="1"/>
  <c r="AA19" i="17"/>
  <c r="T19" i="17"/>
  <c r="AD68" i="17"/>
  <c r="Z68" i="17"/>
  <c r="AB48" i="17"/>
  <c r="X48" i="17"/>
  <c r="AB31" i="17"/>
  <c r="X31" i="17"/>
  <c r="AD64" i="17"/>
  <c r="AD22" i="17"/>
  <c r="Y22" i="17"/>
  <c r="AC61" i="17"/>
  <c r="X61" i="17"/>
  <c r="AD69" i="17"/>
  <c r="Y69" i="17"/>
  <c r="AB81" i="17"/>
  <c r="Y81" i="17"/>
  <c r="AD35" i="17"/>
  <c r="Y35" i="17"/>
  <c r="AC51" i="17"/>
  <c r="Y51" i="17"/>
  <c r="U26" i="17"/>
  <c r="U30" i="17"/>
  <c r="AA77" i="17"/>
  <c r="S77" i="17"/>
  <c r="W69" i="17"/>
  <c r="B67" i="40"/>
  <c r="W56" i="21"/>
  <c r="U56" i="21"/>
  <c r="Q56" i="21"/>
  <c r="C61" i="40"/>
  <c r="R60" i="21"/>
  <c r="L60" i="21"/>
  <c r="W64" i="21"/>
  <c r="Q64" i="21"/>
  <c r="W66" i="21"/>
  <c r="Q66" i="21"/>
  <c r="U66" i="21"/>
  <c r="P45" i="21"/>
  <c r="V45" i="21"/>
  <c r="P38" i="21"/>
  <c r="T38" i="21"/>
  <c r="T54" i="21"/>
  <c r="P54" i="21"/>
  <c r="T56" i="21"/>
  <c r="P56" i="21"/>
  <c r="E45" i="28"/>
  <c r="J80" i="19"/>
  <c r="N80" i="19"/>
  <c r="J81" i="19"/>
  <c r="N81" i="19"/>
  <c r="F44" i="28"/>
  <c r="X10" i="21"/>
  <c r="W18" i="21"/>
  <c r="M45" i="28" s="1"/>
  <c r="M44" i="40" s="1"/>
  <c r="P18" i="21"/>
  <c r="F45" i="28" s="1"/>
  <c r="F44" i="40" s="1"/>
  <c r="S18" i="21"/>
  <c r="Y20" i="17" l="1"/>
  <c r="Z57" i="17"/>
  <c r="I13" i="28" s="1"/>
  <c r="I13" i="40" s="1"/>
  <c r="Y36" i="17"/>
  <c r="M51" i="28"/>
  <c r="M47" i="28"/>
  <c r="M46" i="40" s="1"/>
  <c r="Y66" i="17"/>
  <c r="W66" i="17"/>
  <c r="AD38" i="17"/>
  <c r="U17" i="17"/>
  <c r="D5" i="28" s="1"/>
  <c r="D5" i="40" s="1"/>
  <c r="AA4" i="17"/>
  <c r="X6" i="21"/>
  <c r="AD17" i="17"/>
  <c r="AC62" i="17"/>
  <c r="AC50" i="17"/>
  <c r="L12" i="28" s="1"/>
  <c r="L12" i="40" s="1"/>
  <c r="P7" i="34"/>
  <c r="H12" i="28"/>
  <c r="H12" i="40" s="1"/>
  <c r="F71" i="28"/>
  <c r="X12" i="21"/>
  <c r="R25" i="29"/>
  <c r="S25" i="29" s="1"/>
  <c r="K84" i="38"/>
  <c r="T53" i="17"/>
  <c r="P23" i="38"/>
  <c r="H45" i="28"/>
  <c r="H44" i="40" s="1"/>
  <c r="X80" i="17"/>
  <c r="B7" i="28"/>
  <c r="X23" i="21"/>
  <c r="X27" i="17"/>
  <c r="R13" i="29"/>
  <c r="S13" i="29" s="1"/>
  <c r="T44" i="17"/>
  <c r="C10" i="28" s="1"/>
  <c r="C10" i="40" s="1"/>
  <c r="V72" i="17"/>
  <c r="S14" i="17"/>
  <c r="BF6" i="39"/>
  <c r="L48" i="28"/>
  <c r="L47" i="40" s="1"/>
  <c r="H52" i="28"/>
  <c r="AA72" i="17"/>
  <c r="BF18" i="39"/>
  <c r="BF4" i="39"/>
  <c r="BF19" i="39"/>
  <c r="T55" i="17"/>
  <c r="AB71" i="17"/>
  <c r="BF15" i="39"/>
  <c r="BF8" i="39"/>
  <c r="T28" i="17"/>
  <c r="X81" i="17"/>
  <c r="F43" i="28"/>
  <c r="BF5" i="39"/>
  <c r="X7" i="21"/>
  <c r="AC29" i="17"/>
  <c r="AD53" i="17"/>
  <c r="D14" i="28"/>
  <c r="D14" i="40" s="1"/>
  <c r="E30" i="28"/>
  <c r="I16" i="28"/>
  <c r="I16" i="40" s="1"/>
  <c r="R12" i="29"/>
  <c r="S12" i="29" s="1"/>
  <c r="X82" i="17"/>
  <c r="BF14" i="39"/>
  <c r="Z48" i="17"/>
  <c r="I11" i="28" s="1"/>
  <c r="I11" i="40" s="1"/>
  <c r="B10" i="28"/>
  <c r="BF7" i="39"/>
  <c r="L21" i="42"/>
  <c r="Z31" i="17"/>
  <c r="BF11" i="39"/>
  <c r="X4" i="21"/>
  <c r="Y75" i="17"/>
  <c r="BF17" i="39"/>
  <c r="L52" i="28"/>
  <c r="L50" i="40" s="1"/>
  <c r="BF16" i="39"/>
  <c r="M48" i="28"/>
  <c r="M47" i="40" s="1"/>
  <c r="R27" i="29"/>
  <c r="S27" i="29" s="1"/>
  <c r="K21" i="42"/>
  <c r="BF13" i="39"/>
  <c r="T30" i="17"/>
  <c r="R38" i="29"/>
  <c r="S38" i="29" s="1"/>
  <c r="R36" i="29"/>
  <c r="S36" i="29" s="1"/>
  <c r="BF12" i="39"/>
  <c r="D16" i="28"/>
  <c r="D16" i="40" s="1"/>
  <c r="BF10" i="39"/>
  <c r="R20" i="29"/>
  <c r="S20" i="29" s="1"/>
  <c r="N85" i="35"/>
  <c r="X13" i="21"/>
  <c r="AA50" i="17"/>
  <c r="R28" i="29"/>
  <c r="S28" i="29" s="1"/>
  <c r="AD24" i="17"/>
  <c r="L70" i="28"/>
  <c r="L84" i="38"/>
  <c r="X39" i="17"/>
  <c r="X60" i="17"/>
  <c r="R21" i="29"/>
  <c r="S21" i="29" s="1"/>
  <c r="H4" i="28"/>
  <c r="H4" i="40" s="1"/>
  <c r="I17" i="28"/>
  <c r="I17" i="40" s="1"/>
  <c r="B52" i="28"/>
  <c r="K30" i="28"/>
  <c r="K30" i="40" s="1"/>
  <c r="J15" i="28"/>
  <c r="J15" i="40" s="1"/>
  <c r="J10" i="28"/>
  <c r="J10" i="40" s="1"/>
  <c r="X35" i="21"/>
  <c r="J19" i="40"/>
  <c r="C14" i="28"/>
  <c r="C14" i="40" s="1"/>
  <c r="K56" i="28"/>
  <c r="K54" i="40" s="1"/>
  <c r="AC65" i="17"/>
  <c r="M58" i="28"/>
  <c r="M56" i="40" s="1"/>
  <c r="AD45" i="17"/>
  <c r="R26" i="29"/>
  <c r="S26" i="29" s="1"/>
  <c r="S56" i="17"/>
  <c r="K97" i="40"/>
  <c r="J14" i="28"/>
  <c r="J14" i="40" s="1"/>
  <c r="X18" i="17"/>
  <c r="C4" i="28"/>
  <c r="C4" i="40" s="1"/>
  <c r="I5" i="28"/>
  <c r="I5" i="40" s="1"/>
  <c r="B50" i="28"/>
  <c r="I58" i="28"/>
  <c r="I56" i="40" s="1"/>
  <c r="V10" i="17"/>
  <c r="M46" i="28"/>
  <c r="M45" i="40" s="1"/>
  <c r="H51" i="28"/>
  <c r="W62" i="17"/>
  <c r="R40" i="29"/>
  <c r="S40" i="29" s="1"/>
  <c r="C18" i="28"/>
  <c r="C18" i="40" s="1"/>
  <c r="C16" i="28"/>
  <c r="C16" i="40" s="1"/>
  <c r="Y24" i="35"/>
  <c r="M56" i="28"/>
  <c r="M54" i="40" s="1"/>
  <c r="AB14" i="17"/>
  <c r="B11" i="28"/>
  <c r="B11" i="40" s="1"/>
  <c r="I10" i="28"/>
  <c r="I10" i="40" s="1"/>
  <c r="R17" i="29"/>
  <c r="S17" i="29" s="1"/>
  <c r="G56" i="28"/>
  <c r="G54" i="40" s="1"/>
  <c r="AC69" i="17"/>
  <c r="AE69" i="17" s="1"/>
  <c r="B17" i="28"/>
  <c r="B17" i="40" s="1"/>
  <c r="B14" i="28"/>
  <c r="B14" i="40" s="1"/>
  <c r="R23" i="29"/>
  <c r="S23" i="29" s="1"/>
  <c r="D16" i="35"/>
  <c r="D4" i="34"/>
  <c r="P4" i="34" s="1"/>
  <c r="Y4" i="33"/>
  <c r="H49" i="28"/>
  <c r="H48" i="40" s="1"/>
  <c r="H17" i="35"/>
  <c r="F5" i="34"/>
  <c r="P5" i="34" s="1"/>
  <c r="Y5" i="33"/>
  <c r="R22" i="29"/>
  <c r="S22" i="29" s="1"/>
  <c r="S52" i="17"/>
  <c r="S8" i="17"/>
  <c r="J51" i="28"/>
  <c r="I15" i="28"/>
  <c r="I15" i="40" s="1"/>
  <c r="M44" i="28"/>
  <c r="M43" i="40" s="1"/>
  <c r="R16" i="29"/>
  <c r="S16" i="29" s="1"/>
  <c r="R29" i="29"/>
  <c r="S29" i="29" s="1"/>
  <c r="X54" i="17"/>
  <c r="AE54" i="17" s="1"/>
  <c r="D18" i="28"/>
  <c r="D18" i="40" s="1"/>
  <c r="R19" i="29"/>
  <c r="S19" i="29" s="1"/>
  <c r="D10" i="28"/>
  <c r="D10" i="40" s="1"/>
  <c r="W10" i="39"/>
  <c r="AC38" i="17"/>
  <c r="D13" i="28"/>
  <c r="D13" i="40" s="1"/>
  <c r="D15" i="28"/>
  <c r="D15" i="40" s="1"/>
  <c r="R11" i="29"/>
  <c r="S11" i="29" s="1"/>
  <c r="J6" i="28"/>
  <c r="J6" i="40" s="1"/>
  <c r="F51" i="28"/>
  <c r="F52" i="28"/>
  <c r="W13" i="39"/>
  <c r="R31" i="29"/>
  <c r="S31" i="29" s="1"/>
  <c r="R41" i="29"/>
  <c r="S41" i="29" s="1"/>
  <c r="J32" i="28"/>
  <c r="J31" i="40" s="1"/>
  <c r="R15" i="29"/>
  <c r="S15" i="29" s="1"/>
  <c r="E32" i="28"/>
  <c r="E31" i="40" s="1"/>
  <c r="U25" i="35"/>
  <c r="N6" i="34"/>
  <c r="P6" i="34" s="1"/>
  <c r="Y6" i="33"/>
  <c r="Y18" i="33"/>
  <c r="D18" i="34"/>
  <c r="P18" i="34" s="1"/>
  <c r="J18" i="29"/>
  <c r="K18" i="29" s="1"/>
  <c r="V18" i="29"/>
  <c r="W18" i="29" s="1"/>
  <c r="J19" i="29"/>
  <c r="K19" i="29" s="1"/>
  <c r="V19" i="29"/>
  <c r="D9" i="34"/>
  <c r="P9" i="34" s="1"/>
  <c r="D27" i="35"/>
  <c r="Y9" i="33"/>
  <c r="J40" i="29"/>
  <c r="K40" i="29" s="1"/>
  <c r="V40" i="29"/>
  <c r="J35" i="29"/>
  <c r="K35" i="29" s="1"/>
  <c r="V35" i="29"/>
  <c r="W35" i="29" s="1"/>
  <c r="E19" i="34"/>
  <c r="P19" i="34" s="1"/>
  <c r="Y19" i="33"/>
  <c r="D11" i="34"/>
  <c r="P11" i="34" s="1"/>
  <c r="Y11" i="33"/>
  <c r="D48" i="35"/>
  <c r="D47" i="38" s="1"/>
  <c r="B71" i="28" s="1"/>
  <c r="V15" i="29"/>
  <c r="J15" i="29"/>
  <c r="K15" i="29" s="1"/>
  <c r="X20" i="21"/>
  <c r="J13" i="28"/>
  <c r="J13" i="40" s="1"/>
  <c r="Y10" i="33"/>
  <c r="F39" i="35"/>
  <c r="E10" i="34"/>
  <c r="P10" i="34" s="1"/>
  <c r="J22" i="29"/>
  <c r="K22" i="29" s="1"/>
  <c r="V22" i="29"/>
  <c r="W22" i="29" s="1"/>
  <c r="F20" i="34"/>
  <c r="P20" i="34" s="1"/>
  <c r="Y20" i="33"/>
  <c r="H48" i="35"/>
  <c r="F47" i="38" s="1"/>
  <c r="D71" i="28" s="1"/>
  <c r="Y12" i="33"/>
  <c r="E12" i="34"/>
  <c r="P12" i="34" s="1"/>
  <c r="F48" i="35"/>
  <c r="E47" i="38" s="1"/>
  <c r="J21" i="29"/>
  <c r="K21" i="29" s="1"/>
  <c r="V21" i="29"/>
  <c r="J32" i="29"/>
  <c r="K32" i="29" s="1"/>
  <c r="V32" i="29"/>
  <c r="W32" i="29" s="1"/>
  <c r="W58" i="17"/>
  <c r="C8" i="28"/>
  <c r="C8" i="40" s="1"/>
  <c r="J36" i="29"/>
  <c r="K36" i="29" s="1"/>
  <c r="V36" i="29"/>
  <c r="W36" i="29" s="1"/>
  <c r="J33" i="29"/>
  <c r="K33" i="29" s="1"/>
  <c r="V33" i="29"/>
  <c r="W33" i="29" s="1"/>
  <c r="G47" i="28"/>
  <c r="G46" i="40" s="1"/>
  <c r="J25" i="29"/>
  <c r="K25" i="29" s="1"/>
  <c r="V25" i="29"/>
  <c r="W25" i="29" s="1"/>
  <c r="J20" i="29"/>
  <c r="K20" i="29" s="1"/>
  <c r="V20" i="29"/>
  <c r="V17" i="29"/>
  <c r="J17" i="29"/>
  <c r="K17" i="29" s="1"/>
  <c r="V30" i="29"/>
  <c r="J30" i="29"/>
  <c r="K30" i="29" s="1"/>
  <c r="J16" i="29"/>
  <c r="K16" i="29" s="1"/>
  <c r="V16" i="29"/>
  <c r="J13" i="29"/>
  <c r="K13" i="29" s="1"/>
  <c r="V13" i="29"/>
  <c r="M83" i="21"/>
  <c r="AA51" i="17"/>
  <c r="D17" i="34"/>
  <c r="P17" i="34" s="1"/>
  <c r="Y17" i="33"/>
  <c r="V41" i="29"/>
  <c r="W41" i="29" s="1"/>
  <c r="J41" i="29"/>
  <c r="K41" i="29" s="1"/>
  <c r="J37" i="29"/>
  <c r="K37" i="29" s="1"/>
  <c r="V37" i="29"/>
  <c r="W37" i="29" s="1"/>
  <c r="F12" i="28"/>
  <c r="H47" i="35"/>
  <c r="F23" i="34"/>
  <c r="P23" i="34" s="1"/>
  <c r="Y23" i="33"/>
  <c r="V27" i="29"/>
  <c r="W27" i="29" s="1"/>
  <c r="J27" i="29"/>
  <c r="K27" i="29" s="1"/>
  <c r="V14" i="29"/>
  <c r="W14" i="29" s="1"/>
  <c r="J14" i="29"/>
  <c r="K14" i="29" s="1"/>
  <c r="G14" i="34"/>
  <c r="P14" i="34" s="1"/>
  <c r="Y14" i="33"/>
  <c r="J48" i="35"/>
  <c r="G47" i="38" s="1"/>
  <c r="E71" i="28" s="1"/>
  <c r="R24" i="29"/>
  <c r="S24" i="29" s="1"/>
  <c r="L27" i="35"/>
  <c r="H26" i="38" s="1"/>
  <c r="F67" i="28" s="1"/>
  <c r="F65" i="40" s="1"/>
  <c r="H8" i="34"/>
  <c r="P8" i="34" s="1"/>
  <c r="Y8" i="33"/>
  <c r="R18" i="29"/>
  <c r="S18" i="29" s="1"/>
  <c r="V34" i="29"/>
  <c r="J34" i="29"/>
  <c r="K34" i="29" s="1"/>
  <c r="J28" i="29"/>
  <c r="K28" i="29" s="1"/>
  <c r="V28" i="29"/>
  <c r="W28" i="29" s="1"/>
  <c r="D45" i="35"/>
  <c r="D24" i="34"/>
  <c r="P24" i="34" s="1"/>
  <c r="Y24" i="33"/>
  <c r="V31" i="29"/>
  <c r="J31" i="29"/>
  <c r="K31" i="29" s="1"/>
  <c r="J23" i="29"/>
  <c r="K23" i="29" s="1"/>
  <c r="V23" i="29"/>
  <c r="W23" i="29" s="1"/>
  <c r="J37" i="28"/>
  <c r="J36" i="40" s="1"/>
  <c r="W15" i="39"/>
  <c r="P74" i="28"/>
  <c r="J7" i="28"/>
  <c r="J7" i="40" s="1"/>
  <c r="L50" i="28"/>
  <c r="L49" i="40" s="1"/>
  <c r="R30" i="32"/>
  <c r="K27" i="28"/>
  <c r="K27" i="40" s="1"/>
  <c r="H11" i="28"/>
  <c r="H11" i="40" s="1"/>
  <c r="C68" i="40"/>
  <c r="X64" i="21"/>
  <c r="H54" i="28"/>
  <c r="H52" i="40" s="1"/>
  <c r="L51" i="28"/>
  <c r="W9" i="39"/>
  <c r="M12" i="28"/>
  <c r="M12" i="40" s="1"/>
  <c r="M49" i="28"/>
  <c r="M48" i="40" s="1"/>
  <c r="G52" i="28"/>
  <c r="G50" i="40" s="1"/>
  <c r="B51" i="28"/>
  <c r="B15" i="28"/>
  <c r="B15" i="40" s="1"/>
  <c r="G50" i="28"/>
  <c r="G49" i="40" s="1"/>
  <c r="G68" i="40"/>
  <c r="G71" i="28"/>
  <c r="G80" i="28" s="1"/>
  <c r="M52" i="28"/>
  <c r="M50" i="40" s="1"/>
  <c r="E12" i="28"/>
  <c r="E12" i="40" s="1"/>
  <c r="X15" i="21"/>
  <c r="D75" i="35"/>
  <c r="D29" i="34"/>
  <c r="P29" i="34" s="1"/>
  <c r="Y29" i="33"/>
  <c r="J50" i="35"/>
  <c r="Y25" i="33"/>
  <c r="G25" i="34"/>
  <c r="J30" i="33"/>
  <c r="H68" i="35"/>
  <c r="F28" i="34"/>
  <c r="H30" i="33"/>
  <c r="Y28" i="33"/>
  <c r="N16" i="34"/>
  <c r="U30" i="33"/>
  <c r="Y16" i="33"/>
  <c r="U48" i="35"/>
  <c r="G49" i="28"/>
  <c r="G48" i="40" s="1"/>
  <c r="D62" i="35"/>
  <c r="Y27" i="33"/>
  <c r="D27" i="34"/>
  <c r="K52" i="28"/>
  <c r="K50" i="40" s="1"/>
  <c r="E31" i="28"/>
  <c r="G11" i="28"/>
  <c r="G11" i="40" s="1"/>
  <c r="S30" i="33"/>
  <c r="M15" i="34"/>
  <c r="Y15" i="33"/>
  <c r="S48" i="35"/>
  <c r="K31" i="28"/>
  <c r="M11" i="28"/>
  <c r="M11" i="40" s="1"/>
  <c r="F51" i="35"/>
  <c r="E21" i="34"/>
  <c r="Y21" i="33"/>
  <c r="F30" i="33"/>
  <c r="D55" i="35"/>
  <c r="Y26" i="33"/>
  <c r="D30" i="33"/>
  <c r="D26" i="34"/>
  <c r="C59" i="28"/>
  <c r="C57" i="40" s="1"/>
  <c r="E25" i="28"/>
  <c r="E25" i="40" s="1"/>
  <c r="M70" i="28"/>
  <c r="J50" i="28"/>
  <c r="J49" i="40" s="1"/>
  <c r="I6" i="28"/>
  <c r="I6" i="40" s="1"/>
  <c r="X21" i="21"/>
  <c r="M50" i="28"/>
  <c r="M49" i="40" s="1"/>
  <c r="O13" i="34"/>
  <c r="W30" i="33"/>
  <c r="Y13" i="33"/>
  <c r="W48" i="35"/>
  <c r="F50" i="28"/>
  <c r="F49" i="40" s="1"/>
  <c r="L62" i="35"/>
  <c r="L30" i="33"/>
  <c r="H27" i="34"/>
  <c r="F48" i="28"/>
  <c r="F47" i="40" s="1"/>
  <c r="H50" i="28"/>
  <c r="H49" i="40" s="1"/>
  <c r="K50" i="28"/>
  <c r="K49" i="40" s="1"/>
  <c r="M22" i="34"/>
  <c r="P22" i="34" s="1"/>
  <c r="Y22" i="33"/>
  <c r="S51" i="35"/>
  <c r="M48" i="38" s="1"/>
  <c r="H10" i="28"/>
  <c r="H10" i="40" s="1"/>
  <c r="I53" i="28"/>
  <c r="I51" i="40" s="1"/>
  <c r="K49" i="28"/>
  <c r="K48" i="40" s="1"/>
  <c r="K48" i="28"/>
  <c r="K47" i="40" s="1"/>
  <c r="D53" i="28"/>
  <c r="D51" i="40" s="1"/>
  <c r="X50" i="21"/>
  <c r="X47" i="21"/>
  <c r="P52" i="21"/>
  <c r="P83" i="21" s="1"/>
  <c r="X40" i="21"/>
  <c r="H47" i="28"/>
  <c r="H46" i="40" s="1"/>
  <c r="M55" i="28"/>
  <c r="M53" i="40" s="1"/>
  <c r="O83" i="21"/>
  <c r="F55" i="28"/>
  <c r="F53" i="40" s="1"/>
  <c r="F27" i="28"/>
  <c r="F27" i="40" s="1"/>
  <c r="V5" i="17"/>
  <c r="E3" i="28" s="1"/>
  <c r="E3" i="40" s="1"/>
  <c r="AB72" i="17"/>
  <c r="K17" i="28" s="1"/>
  <c r="K17" i="40" s="1"/>
  <c r="AA7" i="17"/>
  <c r="J3" i="28" s="1"/>
  <c r="AD56" i="17"/>
  <c r="AC40" i="17"/>
  <c r="X32" i="17"/>
  <c r="V73" i="17"/>
  <c r="AA73" i="17"/>
  <c r="AC42" i="17"/>
  <c r="AE42" i="17" s="1"/>
  <c r="X58" i="17"/>
  <c r="AC53" i="17"/>
  <c r="AE53" i="17" s="1"/>
  <c r="AA74" i="17"/>
  <c r="B16" i="28"/>
  <c r="B16" i="40" s="1"/>
  <c r="Y23" i="17"/>
  <c r="W59" i="17"/>
  <c r="AE59" i="17" s="1"/>
  <c r="AD4" i="17"/>
  <c r="AE4" i="17" s="1"/>
  <c r="I14" i="28"/>
  <c r="I14" i="40" s="1"/>
  <c r="AB33" i="17"/>
  <c r="V33" i="17"/>
  <c r="V11" i="17"/>
  <c r="X37" i="17"/>
  <c r="AE37" i="17" s="1"/>
  <c r="Z51" i="17"/>
  <c r="AB11" i="17"/>
  <c r="O4" i="42"/>
  <c r="Q4" i="42" s="1"/>
  <c r="AB49" i="17"/>
  <c r="K12" i="40" s="1"/>
  <c r="X76" i="17"/>
  <c r="H15" i="28"/>
  <c r="H15" i="40" s="1"/>
  <c r="J18" i="28"/>
  <c r="J18" i="40" s="1"/>
  <c r="K9" i="28"/>
  <c r="K9" i="40" s="1"/>
  <c r="C9" i="28"/>
  <c r="C9" i="40" s="1"/>
  <c r="B8" i="28"/>
  <c r="B8" i="40" s="1"/>
  <c r="AB15" i="17"/>
  <c r="V74" i="17"/>
  <c r="H16" i="28"/>
  <c r="H16" i="40" s="1"/>
  <c r="J19" i="28"/>
  <c r="C6" i="28"/>
  <c r="C6" i="40" s="1"/>
  <c r="W16" i="17"/>
  <c r="L35" i="28"/>
  <c r="L34" i="40" s="1"/>
  <c r="K25" i="28"/>
  <c r="K25" i="40" s="1"/>
  <c r="F38" i="28"/>
  <c r="F37" i="40" s="1"/>
  <c r="E13" i="45"/>
  <c r="G69" i="40"/>
  <c r="K68" i="40"/>
  <c r="E68" i="40"/>
  <c r="M69" i="40"/>
  <c r="D69" i="40"/>
  <c r="F68" i="40"/>
  <c r="F69" i="40"/>
  <c r="C69" i="40"/>
  <c r="K58" i="28"/>
  <c r="K56" i="40" s="1"/>
  <c r="M59" i="28"/>
  <c r="M57" i="40" s="1"/>
  <c r="E58" i="28"/>
  <c r="E56" i="40" s="1"/>
  <c r="H50" i="40"/>
  <c r="G55" i="28"/>
  <c r="G53" i="40" s="1"/>
  <c r="X46" i="21"/>
  <c r="F59" i="28"/>
  <c r="F57" i="40" s="1"/>
  <c r="X39" i="21"/>
  <c r="W83" i="21"/>
  <c r="X41" i="21"/>
  <c r="J53" i="28"/>
  <c r="J51" i="40" s="1"/>
  <c r="X22" i="21"/>
  <c r="H46" i="28"/>
  <c r="H45" i="40" s="1"/>
  <c r="X72" i="21"/>
  <c r="F56" i="28"/>
  <c r="F54" i="40" s="1"/>
  <c r="X63" i="21"/>
  <c r="X36" i="21"/>
  <c r="X38" i="21"/>
  <c r="X44" i="21"/>
  <c r="F57" i="28"/>
  <c r="F55" i="40" s="1"/>
  <c r="L59" i="28"/>
  <c r="L57" i="40" s="1"/>
  <c r="C53" i="28"/>
  <c r="C51" i="40" s="1"/>
  <c r="Q83" i="21"/>
  <c r="X28" i="21"/>
  <c r="L49" i="28"/>
  <c r="L48" i="40" s="1"/>
  <c r="X8" i="21"/>
  <c r="X18" i="21"/>
  <c r="X51" i="21"/>
  <c r="M30" i="29"/>
  <c r="P30" i="29" s="1"/>
  <c r="R30" i="29" s="1"/>
  <c r="S30" i="29" s="1"/>
  <c r="C43" i="29"/>
  <c r="N108" i="40"/>
  <c r="O108" i="40" s="1"/>
  <c r="M101" i="28"/>
  <c r="J97" i="40"/>
  <c r="Y41" i="17"/>
  <c r="H9" i="28" s="1"/>
  <c r="H9" i="40" s="1"/>
  <c r="AC41" i="17"/>
  <c r="AC20" i="17"/>
  <c r="X20" i="17"/>
  <c r="Y26" i="17"/>
  <c r="AC26" i="17"/>
  <c r="Y8" i="17"/>
  <c r="H3" i="28" s="1"/>
  <c r="AD8" i="17"/>
  <c r="AC44" i="17"/>
  <c r="W44" i="17"/>
  <c r="AC45" i="17"/>
  <c r="W45" i="17"/>
  <c r="AB34" i="17"/>
  <c r="V34" i="17"/>
  <c r="AB13" i="17"/>
  <c r="AC60" i="17"/>
  <c r="L14" i="28" s="1"/>
  <c r="L14" i="40" s="1"/>
  <c r="W60" i="17"/>
  <c r="AC64" i="17"/>
  <c r="W64" i="17"/>
  <c r="U12" i="17"/>
  <c r="Z50" i="17"/>
  <c r="Z80" i="17"/>
  <c r="W80" i="17"/>
  <c r="AC43" i="17"/>
  <c r="W43" i="17"/>
  <c r="AA71" i="17"/>
  <c r="V71" i="17"/>
  <c r="AC70" i="17"/>
  <c r="V70" i="17"/>
  <c r="AE22" i="17"/>
  <c r="X24" i="17"/>
  <c r="AE24" i="17" s="1"/>
  <c r="W31" i="17"/>
  <c r="AA31" i="17"/>
  <c r="AC23" i="17"/>
  <c r="X23" i="17"/>
  <c r="W9" i="17"/>
  <c r="AC28" i="17"/>
  <c r="AC47" i="17"/>
  <c r="L11" i="28" s="1"/>
  <c r="L11" i="40" s="1"/>
  <c r="W47" i="17"/>
  <c r="AC76" i="17"/>
  <c r="W76" i="17"/>
  <c r="AB79" i="17"/>
  <c r="K18" i="28" s="1"/>
  <c r="K18" i="40" s="1"/>
  <c r="W49" i="17"/>
  <c r="AA49" i="17"/>
  <c r="Z82" i="17"/>
  <c r="W82" i="17"/>
  <c r="Z39" i="17"/>
  <c r="U39" i="17"/>
  <c r="AC78" i="17"/>
  <c r="X78" i="17"/>
  <c r="AB61" i="17"/>
  <c r="W61" i="17"/>
  <c r="AC19" i="17"/>
  <c r="AA18" i="17"/>
  <c r="J5" i="28" s="1"/>
  <c r="J5" i="40" s="1"/>
  <c r="W18" i="17"/>
  <c r="AC21" i="17"/>
  <c r="X21" i="17"/>
  <c r="W48" i="17"/>
  <c r="AA48" i="17"/>
  <c r="W46" i="17"/>
  <c r="S36" i="17"/>
  <c r="B9" i="28" s="1"/>
  <c r="B9" i="40" s="1"/>
  <c r="X36" i="17"/>
  <c r="AC30" i="17"/>
  <c r="AB10" i="17"/>
  <c r="U10" i="17"/>
  <c r="AC63" i="17"/>
  <c r="W63" i="17"/>
  <c r="Z81" i="17"/>
  <c r="W81" i="17"/>
  <c r="W65" i="17"/>
  <c r="AB65" i="17"/>
  <c r="AA68" i="17"/>
  <c r="J16" i="28" s="1"/>
  <c r="J16" i="40" s="1"/>
  <c r="AC66" i="17"/>
  <c r="V66" i="17"/>
  <c r="W55" i="17"/>
  <c r="AB6" i="17"/>
  <c r="K3" i="28" s="1"/>
  <c r="K3" i="40" s="1"/>
  <c r="S6" i="17"/>
  <c r="B3" i="28" s="1"/>
  <c r="W6" i="17"/>
  <c r="W32" i="17"/>
  <c r="AA32" i="17"/>
  <c r="D52" i="17"/>
  <c r="X52" i="17" s="1"/>
  <c r="AC67" i="17"/>
  <c r="V67" i="17"/>
  <c r="W6" i="39"/>
  <c r="W11" i="39"/>
  <c r="D26" i="40"/>
  <c r="C33" i="40"/>
  <c r="F42" i="40"/>
  <c r="L42" i="40"/>
  <c r="J49" i="28"/>
  <c r="T83" i="21"/>
  <c r="O64" i="28"/>
  <c r="H6" i="39" s="1"/>
  <c r="P64" i="28"/>
  <c r="E44" i="40"/>
  <c r="D47" i="28"/>
  <c r="D46" i="40" s="1"/>
  <c r="I84" i="28"/>
  <c r="I80" i="40" s="1"/>
  <c r="J21" i="42"/>
  <c r="G42" i="40"/>
  <c r="L46" i="28"/>
  <c r="L45" i="40" s="1"/>
  <c r="K16" i="28"/>
  <c r="K16" i="40" s="1"/>
  <c r="M97" i="40"/>
  <c r="O110" i="28"/>
  <c r="M10" i="39" s="1"/>
  <c r="P110" i="28"/>
  <c r="M54" i="28"/>
  <c r="M52" i="40" s="1"/>
  <c r="G59" i="28"/>
  <c r="G57" i="40" s="1"/>
  <c r="C24" i="40"/>
  <c r="AD40" i="17"/>
  <c r="Z40" i="17"/>
  <c r="D34" i="28"/>
  <c r="D33" i="40" s="1"/>
  <c r="C5" i="28"/>
  <c r="C5" i="40" s="1"/>
  <c r="H81" i="40"/>
  <c r="K47" i="28"/>
  <c r="K46" i="40" s="1"/>
  <c r="K19" i="28"/>
  <c r="K19" i="40"/>
  <c r="K43" i="40"/>
  <c r="B53" i="28"/>
  <c r="F47" i="28"/>
  <c r="F46" i="40" s="1"/>
  <c r="X26" i="21"/>
  <c r="I18" i="28"/>
  <c r="I18" i="40" s="1"/>
  <c r="V26" i="29"/>
  <c r="W26" i="29" s="1"/>
  <c r="J26" i="29"/>
  <c r="K26" i="29" s="1"/>
  <c r="X48" i="21"/>
  <c r="H53" i="28"/>
  <c r="H51" i="40" s="1"/>
  <c r="M18" i="28"/>
  <c r="M18" i="40" s="1"/>
  <c r="E33" i="28"/>
  <c r="E32" i="40" s="1"/>
  <c r="AC27" i="17"/>
  <c r="Y27" i="17"/>
  <c r="C2" i="19"/>
  <c r="D2" i="24"/>
  <c r="B55" i="28"/>
  <c r="X61" i="21"/>
  <c r="AD57" i="17"/>
  <c r="X57" i="17"/>
  <c r="B89" i="28"/>
  <c r="O9" i="42"/>
  <c r="Q9" i="42" s="1"/>
  <c r="B56" i="28"/>
  <c r="X66" i="21"/>
  <c r="AD25" i="17"/>
  <c r="Y25" i="17"/>
  <c r="B7" i="40"/>
  <c r="O75" i="40"/>
  <c r="P75" i="40"/>
  <c r="G17" i="28"/>
  <c r="G17" i="40" s="1"/>
  <c r="AD72" i="17"/>
  <c r="M17" i="28" s="1"/>
  <c r="M17" i="40" s="1"/>
  <c r="Y72" i="17"/>
  <c r="H17" i="28" s="1"/>
  <c r="H17" i="40" s="1"/>
  <c r="O14" i="42"/>
  <c r="Q14" i="42" s="1"/>
  <c r="B94" i="28"/>
  <c r="W12" i="39"/>
  <c r="E88" i="35"/>
  <c r="E89" i="35" s="1"/>
  <c r="E90" i="35" s="1"/>
  <c r="E86" i="35"/>
  <c r="D6" i="28"/>
  <c r="D6" i="40" s="1"/>
  <c r="D58" i="28"/>
  <c r="D56" i="40" s="1"/>
  <c r="L58" i="28"/>
  <c r="L56" i="40" s="1"/>
  <c r="O110" i="40"/>
  <c r="P110" i="40"/>
  <c r="AC14" i="17"/>
  <c r="Y14" i="17"/>
  <c r="H48" i="28"/>
  <c r="H47" i="40" s="1"/>
  <c r="X42" i="21"/>
  <c r="M53" i="28"/>
  <c r="M51" i="40" s="1"/>
  <c r="P109" i="40"/>
  <c r="O109" i="40"/>
  <c r="O119" i="28"/>
  <c r="M18" i="39" s="1"/>
  <c r="P119" i="28"/>
  <c r="AD28" i="17"/>
  <c r="Z28" i="17"/>
  <c r="O6" i="42"/>
  <c r="Q6" i="42" s="1"/>
  <c r="AD19" i="17"/>
  <c r="Y19" i="17"/>
  <c r="H39" i="28"/>
  <c r="H38" i="40" s="1"/>
  <c r="V52" i="21"/>
  <c r="L53" i="28" s="1"/>
  <c r="L51" i="40" s="1"/>
  <c r="G12" i="40"/>
  <c r="G7" i="28"/>
  <c r="G7" i="40" s="1"/>
  <c r="K33" i="28"/>
  <c r="K32" i="40" s="1"/>
  <c r="J57" i="28"/>
  <c r="J55" i="40" s="1"/>
  <c r="E59" i="28"/>
  <c r="E57" i="40" s="1"/>
  <c r="B49" i="28"/>
  <c r="H55" i="28"/>
  <c r="H53" i="40" s="1"/>
  <c r="AE29" i="17"/>
  <c r="AD67" i="17"/>
  <c r="M16" i="28" s="1"/>
  <c r="M16" i="40" s="1"/>
  <c r="W67" i="17"/>
  <c r="F16" i="28" s="1"/>
  <c r="F16" i="40" s="1"/>
  <c r="B90" i="28"/>
  <c r="O10" i="42"/>
  <c r="Q10" i="42" s="1"/>
  <c r="H56" i="28"/>
  <c r="H54" i="40" s="1"/>
  <c r="K46" i="28"/>
  <c r="K45" i="40" s="1"/>
  <c r="L17" i="28"/>
  <c r="L17" i="40" s="1"/>
  <c r="P114" i="40"/>
  <c r="O114" i="40"/>
  <c r="K6" i="28"/>
  <c r="K6" i="40" s="1"/>
  <c r="X78" i="21"/>
  <c r="H58" i="28"/>
  <c r="H56" i="40" s="1"/>
  <c r="O115" i="28"/>
  <c r="M14" i="39" s="1"/>
  <c r="P115" i="28"/>
  <c r="C58" i="28"/>
  <c r="C56" i="40" s="1"/>
  <c r="B18" i="28"/>
  <c r="AE75" i="17"/>
  <c r="B48" i="28"/>
  <c r="X31" i="21"/>
  <c r="X65" i="21"/>
  <c r="X73" i="21"/>
  <c r="N107" i="40"/>
  <c r="AC12" i="17"/>
  <c r="V12" i="17"/>
  <c r="X54" i="21"/>
  <c r="D3" i="28"/>
  <c r="O17" i="42"/>
  <c r="Q17" i="42" s="1"/>
  <c r="B97" i="28"/>
  <c r="G84" i="28"/>
  <c r="G80" i="40" s="1"/>
  <c r="H21" i="42"/>
  <c r="U4" i="39"/>
  <c r="U21" i="39" s="1"/>
  <c r="Q21" i="39"/>
  <c r="Y4" i="39"/>
  <c r="AL230" i="41"/>
  <c r="O111" i="28"/>
  <c r="M11" i="39" s="1"/>
  <c r="P111" i="28"/>
  <c r="X59" i="21"/>
  <c r="AC35" i="17"/>
  <c r="X35" i="17"/>
  <c r="O7" i="42"/>
  <c r="Q7" i="42" s="1"/>
  <c r="B87" i="28"/>
  <c r="C21" i="42"/>
  <c r="E23" i="40"/>
  <c r="B80" i="40"/>
  <c r="G45" i="28"/>
  <c r="G44" i="40" s="1"/>
  <c r="B6" i="28"/>
  <c r="W5" i="39"/>
  <c r="E13" i="28"/>
  <c r="E13" i="40" s="1"/>
  <c r="O19" i="42"/>
  <c r="Q19" i="42" s="1"/>
  <c r="B99" i="28"/>
  <c r="I24" i="40"/>
  <c r="AD43" i="17"/>
  <c r="X43" i="17"/>
  <c r="P112" i="40"/>
  <c r="O112" i="40"/>
  <c r="B36" i="28"/>
  <c r="X16" i="21"/>
  <c r="X9" i="21"/>
  <c r="O114" i="28"/>
  <c r="M13" i="39" s="1"/>
  <c r="P114" i="28"/>
  <c r="D7" i="28"/>
  <c r="D7" i="40" s="1"/>
  <c r="H84" i="28"/>
  <c r="H80" i="40" s="1"/>
  <c r="I21" i="42"/>
  <c r="X56" i="21"/>
  <c r="B45" i="28"/>
  <c r="X14" i="21"/>
  <c r="H59" i="28"/>
  <c r="H57" i="40" s="1"/>
  <c r="F49" i="28"/>
  <c r="F48" i="40" s="1"/>
  <c r="X17" i="21"/>
  <c r="K13" i="28"/>
  <c r="K13" i="40" s="1"/>
  <c r="M14" i="28"/>
  <c r="M14" i="40" s="1"/>
  <c r="L55" i="28"/>
  <c r="L53" i="40" s="1"/>
  <c r="AD26" i="17"/>
  <c r="Z26" i="17"/>
  <c r="B96" i="28"/>
  <c r="O16" i="42"/>
  <c r="Q16" i="42" s="1"/>
  <c r="G58" i="28"/>
  <c r="G56" i="40" s="1"/>
  <c r="C7" i="28"/>
  <c r="C7" i="40" s="1"/>
  <c r="O13" i="42"/>
  <c r="Q13" i="42" s="1"/>
  <c r="B93" i="28"/>
  <c r="O117" i="28"/>
  <c r="M16" i="39" s="1"/>
  <c r="P117" i="28"/>
  <c r="L38" i="28"/>
  <c r="L37" i="40" s="1"/>
  <c r="I59" i="28"/>
  <c r="I57" i="40" s="1"/>
  <c r="O5" i="42"/>
  <c r="Q5" i="42" s="1"/>
  <c r="B85" i="28"/>
  <c r="I81" i="40"/>
  <c r="X67" i="21"/>
  <c r="X79" i="21"/>
  <c r="O18" i="42"/>
  <c r="Q18" i="42" s="1"/>
  <c r="B98" i="28"/>
  <c r="O15" i="42"/>
  <c r="Q15" i="42" s="1"/>
  <c r="I49" i="28"/>
  <c r="I48" i="40" s="1"/>
  <c r="B4" i="40"/>
  <c r="AD46" i="17"/>
  <c r="X46" i="17"/>
  <c r="N95" i="28"/>
  <c r="B91" i="40"/>
  <c r="N91" i="40" s="1"/>
  <c r="C65" i="40"/>
  <c r="I3" i="28"/>
  <c r="F81" i="40"/>
  <c r="L84" i="28"/>
  <c r="L80" i="40" s="1"/>
  <c r="M21" i="42"/>
  <c r="X53" i="21"/>
  <c r="B54" i="28"/>
  <c r="X58" i="21"/>
  <c r="AD16" i="17"/>
  <c r="X16" i="17"/>
  <c r="G5" i="28" s="1"/>
  <c r="G5" i="40" s="1"/>
  <c r="N100" i="40"/>
  <c r="B116" i="40"/>
  <c r="X43" i="21"/>
  <c r="X45" i="21"/>
  <c r="F43" i="40"/>
  <c r="N44" i="28"/>
  <c r="D3" i="45" s="1"/>
  <c r="I3" i="45" s="1"/>
  <c r="X30" i="21"/>
  <c r="X34" i="21"/>
  <c r="X62" i="21"/>
  <c r="K59" i="28"/>
  <c r="K57" i="40" s="1"/>
  <c r="F17" i="28"/>
  <c r="F17" i="40" s="1"/>
  <c r="J50" i="40"/>
  <c r="X68" i="21"/>
  <c r="M19" i="40"/>
  <c r="M19" i="28"/>
  <c r="AC77" i="17"/>
  <c r="Y77" i="17"/>
  <c r="G24" i="40"/>
  <c r="I83" i="38"/>
  <c r="O3" i="42"/>
  <c r="Q3" i="42" s="1"/>
  <c r="B83" i="28"/>
  <c r="X82" i="21"/>
  <c r="H8" i="28"/>
  <c r="H8" i="40" s="1"/>
  <c r="N62" i="40"/>
  <c r="AD63" i="17"/>
  <c r="M15" i="28" s="1"/>
  <c r="M15" i="40" s="1"/>
  <c r="X63" i="17"/>
  <c r="G15" i="28" s="1"/>
  <c r="G15" i="40" s="1"/>
  <c r="J83" i="19"/>
  <c r="X81" i="21"/>
  <c r="O68" i="28"/>
  <c r="H10" i="39" s="1"/>
  <c r="P68" i="28"/>
  <c r="F84" i="28"/>
  <c r="F80" i="40" s="1"/>
  <c r="G21" i="42"/>
  <c r="AC34" i="17"/>
  <c r="W34" i="17"/>
  <c r="AD30" i="17"/>
  <c r="Z30" i="17"/>
  <c r="AC9" i="17"/>
  <c r="X9" i="17"/>
  <c r="O8" i="42"/>
  <c r="Q8" i="42" s="1"/>
  <c r="B88" i="28"/>
  <c r="C44" i="40"/>
  <c r="N21" i="42"/>
  <c r="N106" i="40"/>
  <c r="I45" i="28"/>
  <c r="S83" i="21"/>
  <c r="N86" i="28"/>
  <c r="B83" i="40"/>
  <c r="N83" i="40" s="1"/>
  <c r="O63" i="28"/>
  <c r="H5" i="39" s="1"/>
  <c r="P63" i="28"/>
  <c r="G54" i="28"/>
  <c r="G52" i="40" s="1"/>
  <c r="E21" i="42"/>
  <c r="D59" i="28"/>
  <c r="D57" i="40" s="1"/>
  <c r="E81" i="40"/>
  <c r="X32" i="21"/>
  <c r="E30" i="40"/>
  <c r="M37" i="29"/>
  <c r="P37" i="29" s="1"/>
  <c r="L37" i="29"/>
  <c r="O37" i="29" s="1"/>
  <c r="E53" i="28"/>
  <c r="E51" i="40" s="1"/>
  <c r="K63" i="40"/>
  <c r="AC79" i="17"/>
  <c r="Y79" i="17"/>
  <c r="X49" i="21"/>
  <c r="O66" i="40"/>
  <c r="P66" i="40"/>
  <c r="O112" i="28"/>
  <c r="M12" i="39" s="1"/>
  <c r="P112" i="28"/>
  <c r="E9" i="28"/>
  <c r="E9" i="40" s="1"/>
  <c r="E84" i="28"/>
  <c r="E80" i="40" s="1"/>
  <c r="F21" i="42"/>
  <c r="D45" i="28"/>
  <c r="N83" i="21"/>
  <c r="O104" i="28"/>
  <c r="M4" i="39" s="1"/>
  <c r="N121" i="28"/>
  <c r="P104" i="28"/>
  <c r="B59" i="28"/>
  <c r="X80" i="21"/>
  <c r="F50" i="40"/>
  <c r="AE17" i="17"/>
  <c r="F28" i="28"/>
  <c r="O20" i="42"/>
  <c r="Q20" i="42" s="1"/>
  <c r="B100" i="28"/>
  <c r="O79" i="28"/>
  <c r="H20" i="39" s="1"/>
  <c r="P79" i="28"/>
  <c r="X57" i="21"/>
  <c r="AC13" i="17"/>
  <c r="V13" i="17"/>
  <c r="C84" i="28"/>
  <c r="C80" i="40" s="1"/>
  <c r="D21" i="42"/>
  <c r="B58" i="28"/>
  <c r="X75" i="21"/>
  <c r="K45" i="28"/>
  <c r="K44" i="40" s="1"/>
  <c r="AD32" i="17"/>
  <c r="M8" i="28" s="1"/>
  <c r="M8" i="40" s="1"/>
  <c r="Z32" i="17"/>
  <c r="I8" i="28" s="1"/>
  <c r="I8" i="40" s="1"/>
  <c r="AC15" i="17"/>
  <c r="Y15" i="17"/>
  <c r="C81" i="40"/>
  <c r="N61" i="40"/>
  <c r="L57" i="28"/>
  <c r="L55" i="40" s="1"/>
  <c r="L54" i="28"/>
  <c r="L52" i="40" s="1"/>
  <c r="J9" i="28"/>
  <c r="J9" i="40" s="1"/>
  <c r="L23" i="40"/>
  <c r="F46" i="28"/>
  <c r="F45" i="40" s="1"/>
  <c r="X55" i="21"/>
  <c r="D49" i="28"/>
  <c r="D48" i="40" s="1"/>
  <c r="X70" i="21"/>
  <c r="F4" i="28"/>
  <c r="F4" i="40" s="1"/>
  <c r="L14" i="29"/>
  <c r="O14" i="29" s="1"/>
  <c r="M14" i="29"/>
  <c r="P14" i="29" s="1"/>
  <c r="D81" i="40"/>
  <c r="D97" i="40" s="1"/>
  <c r="D101" i="28"/>
  <c r="F58" i="28"/>
  <c r="F56" i="40" s="1"/>
  <c r="AC6" i="17"/>
  <c r="X6" i="17"/>
  <c r="T6" i="17"/>
  <c r="W20" i="39"/>
  <c r="J56" i="28"/>
  <c r="J54" i="40" s="1"/>
  <c r="B69" i="40"/>
  <c r="B5" i="28"/>
  <c r="B57" i="28"/>
  <c r="X71" i="21"/>
  <c r="F54" i="28"/>
  <c r="F52" i="40" s="1"/>
  <c r="X69" i="21"/>
  <c r="K101" i="28"/>
  <c r="X33" i="21"/>
  <c r="G53" i="28"/>
  <c r="G51" i="40" s="1"/>
  <c r="D39" i="28"/>
  <c r="K7" i="28"/>
  <c r="K7" i="40" s="1"/>
  <c r="E37" i="28"/>
  <c r="D67" i="28"/>
  <c r="X29" i="21"/>
  <c r="X60" i="21"/>
  <c r="H19" i="40"/>
  <c r="H19" i="28"/>
  <c r="U83" i="21"/>
  <c r="O76" i="40"/>
  <c r="P76" i="40"/>
  <c r="AD41" i="17"/>
  <c r="Z41" i="17"/>
  <c r="J101" i="28"/>
  <c r="X77" i="21"/>
  <c r="B43" i="28"/>
  <c r="L83" i="21"/>
  <c r="X5" i="21"/>
  <c r="L56" i="28"/>
  <c r="L54" i="40" s="1"/>
  <c r="B91" i="28"/>
  <c r="O11" i="42"/>
  <c r="Q11" i="42" s="1"/>
  <c r="W19" i="39"/>
  <c r="X37" i="21"/>
  <c r="B46" i="28"/>
  <c r="X19" i="21"/>
  <c r="O78" i="28"/>
  <c r="H19" i="39" s="1"/>
  <c r="P78" i="28"/>
  <c r="M4" i="28"/>
  <c r="M4" i="40" s="1"/>
  <c r="Y57" i="17"/>
  <c r="H13" i="28" s="1"/>
  <c r="H13" i="40" s="1"/>
  <c r="W57" i="17"/>
  <c r="S57" i="17"/>
  <c r="AC57" i="17"/>
  <c r="J58" i="28"/>
  <c r="J56" i="40" s="1"/>
  <c r="X74" i="21"/>
  <c r="B29" i="28"/>
  <c r="AD21" i="17"/>
  <c r="Y21" i="17"/>
  <c r="G81" i="40"/>
  <c r="B47" i="28"/>
  <c r="X27" i="21"/>
  <c r="X76" i="21"/>
  <c r="G16" i="28"/>
  <c r="G16" i="40" s="1"/>
  <c r="L81" i="40"/>
  <c r="H43" i="28"/>
  <c r="R83" i="21"/>
  <c r="H57" i="28"/>
  <c r="H55" i="40" s="1"/>
  <c r="K53" i="28"/>
  <c r="K51" i="40" s="1"/>
  <c r="AE38" i="17" l="1"/>
  <c r="L13" i="28"/>
  <c r="L13" i="40" s="1"/>
  <c r="AE55" i="17"/>
  <c r="AE62" i="17"/>
  <c r="L9" i="28"/>
  <c r="L9" i="40" s="1"/>
  <c r="AE56" i="17"/>
  <c r="J12" i="28"/>
  <c r="J12" i="40" s="1"/>
  <c r="C13" i="28"/>
  <c r="C13" i="40" s="1"/>
  <c r="G19" i="40"/>
  <c r="G19" i="28"/>
  <c r="AE7" i="17"/>
  <c r="BF21" i="39"/>
  <c r="F12" i="40"/>
  <c r="AE74" i="17"/>
  <c r="K5" i="28"/>
  <c r="K5" i="40" s="1"/>
  <c r="AE51" i="17"/>
  <c r="W24" i="29"/>
  <c r="AE5" i="17"/>
  <c r="G8" i="28"/>
  <c r="G8" i="40" s="1"/>
  <c r="F53" i="28"/>
  <c r="F51" i="40" s="1"/>
  <c r="F58" i="40" s="1"/>
  <c r="AE58" i="17"/>
  <c r="G14" i="28"/>
  <c r="G14" i="40" s="1"/>
  <c r="G77" i="40"/>
  <c r="M9" i="28"/>
  <c r="M9" i="40" s="1"/>
  <c r="Y16" i="35"/>
  <c r="D15" i="38"/>
  <c r="F13" i="28"/>
  <c r="F13" i="40" s="1"/>
  <c r="F16" i="38"/>
  <c r="Y17" i="35"/>
  <c r="G9" i="28"/>
  <c r="G9" i="40" s="1"/>
  <c r="G18" i="28"/>
  <c r="G18" i="40" s="1"/>
  <c r="K8" i="28"/>
  <c r="K8" i="40" s="1"/>
  <c r="AE31" i="17"/>
  <c r="AD52" i="17"/>
  <c r="AD83" i="17" s="1"/>
  <c r="J17" i="28"/>
  <c r="J17" i="40" s="1"/>
  <c r="E8" i="28"/>
  <c r="E8" i="40" s="1"/>
  <c r="AE40" i="17"/>
  <c r="AE72" i="17"/>
  <c r="M3" i="28"/>
  <c r="M3" i="40" s="1"/>
  <c r="AE36" i="17"/>
  <c r="K4" i="28"/>
  <c r="K4" i="40" s="1"/>
  <c r="AE73" i="17"/>
  <c r="W15" i="29"/>
  <c r="H30" i="34"/>
  <c r="N51" i="28"/>
  <c r="P51" i="28" s="1"/>
  <c r="AE18" i="17"/>
  <c r="AE77" i="17"/>
  <c r="F46" i="38"/>
  <c r="Y47" i="35"/>
  <c r="Y27" i="35"/>
  <c r="D26" i="38"/>
  <c r="W19" i="29"/>
  <c r="D44" i="38"/>
  <c r="Y45" i="35"/>
  <c r="W30" i="29"/>
  <c r="W29" i="29" s="1"/>
  <c r="R14" i="29"/>
  <c r="S14" i="29" s="1"/>
  <c r="E38" i="38"/>
  <c r="Y39" i="35"/>
  <c r="G10" i="28"/>
  <c r="G10" i="40" s="1"/>
  <c r="AE25" i="17"/>
  <c r="W40" i="29"/>
  <c r="W39" i="29" s="1"/>
  <c r="AE44" i="17"/>
  <c r="N24" i="38"/>
  <c r="Y25" i="35"/>
  <c r="AE28" i="17"/>
  <c r="F14" i="28"/>
  <c r="F14" i="40" s="1"/>
  <c r="M10" i="28"/>
  <c r="M10" i="40" s="1"/>
  <c r="F10" i="28"/>
  <c r="F10" i="40" s="1"/>
  <c r="L7" i="28"/>
  <c r="L7" i="40" s="1"/>
  <c r="G3" i="28"/>
  <c r="G3" i="40" s="1"/>
  <c r="J11" i="28"/>
  <c r="J11" i="40" s="1"/>
  <c r="AE23" i="17"/>
  <c r="H61" i="38"/>
  <c r="L84" i="35"/>
  <c r="F35" i="33"/>
  <c r="F32" i="33"/>
  <c r="N47" i="38"/>
  <c r="U84" i="35"/>
  <c r="AE21" i="17"/>
  <c r="M30" i="34"/>
  <c r="P15" i="34"/>
  <c r="AE49" i="17"/>
  <c r="I12" i="28"/>
  <c r="AE11" i="17"/>
  <c r="O47" i="38"/>
  <c r="W84" i="35"/>
  <c r="P21" i="34"/>
  <c r="E30" i="34"/>
  <c r="S35" i="33"/>
  <c r="S32" i="33"/>
  <c r="U35" i="33"/>
  <c r="U32" i="33"/>
  <c r="Y75" i="35"/>
  <c r="D74" i="38"/>
  <c r="L10" i="28"/>
  <c r="L10" i="40" s="1"/>
  <c r="E48" i="38"/>
  <c r="F84" i="35"/>
  <c r="Y51" i="35"/>
  <c r="P16" i="34"/>
  <c r="N30" i="34"/>
  <c r="AE33" i="17"/>
  <c r="W35" i="33"/>
  <c r="W32" i="33"/>
  <c r="H18" i="28"/>
  <c r="H18" i="40" s="1"/>
  <c r="AE41" i="17"/>
  <c r="P13" i="34"/>
  <c r="O30" i="34"/>
  <c r="H32" i="33"/>
  <c r="H35" i="33"/>
  <c r="AE70" i="17"/>
  <c r="P28" i="34"/>
  <c r="F30" i="34"/>
  <c r="F11" i="28"/>
  <c r="P27" i="34"/>
  <c r="Y68" i="35"/>
  <c r="F67" i="38"/>
  <c r="H84" i="35"/>
  <c r="AE60" i="17"/>
  <c r="AE14" i="17"/>
  <c r="AE71" i="17"/>
  <c r="P26" i="34"/>
  <c r="D30" i="34"/>
  <c r="J32" i="33"/>
  <c r="J35" i="33"/>
  <c r="K11" i="28"/>
  <c r="K11" i="40" s="1"/>
  <c r="D35" i="33"/>
  <c r="D32" i="33"/>
  <c r="D61" i="38"/>
  <c r="Y62" i="35"/>
  <c r="G30" i="34"/>
  <c r="P25" i="34"/>
  <c r="AE30" i="17"/>
  <c r="AE16" i="17"/>
  <c r="L32" i="33"/>
  <c r="L35" i="33"/>
  <c r="D54" i="38"/>
  <c r="Y55" i="35"/>
  <c r="D84" i="35"/>
  <c r="Y48" i="35"/>
  <c r="M47" i="38"/>
  <c r="S84" i="35"/>
  <c r="G51" i="38"/>
  <c r="Y50" i="35"/>
  <c r="J84" i="35"/>
  <c r="AE15" i="17"/>
  <c r="AE68" i="17"/>
  <c r="AE46" i="17"/>
  <c r="L3" i="28"/>
  <c r="L3" i="40" s="1"/>
  <c r="AE43" i="17"/>
  <c r="AE79" i="17"/>
  <c r="M5" i="28"/>
  <c r="M5" i="40" s="1"/>
  <c r="AE9" i="17"/>
  <c r="H7" i="28"/>
  <c r="H7" i="40" s="1"/>
  <c r="F3" i="28"/>
  <c r="F3" i="40" s="1"/>
  <c r="F5" i="28"/>
  <c r="F5" i="40" s="1"/>
  <c r="G101" i="28"/>
  <c r="Q21" i="42"/>
  <c r="T4" i="42" s="1"/>
  <c r="U4" i="42" s="1"/>
  <c r="V4" i="42" s="1"/>
  <c r="P108" i="40"/>
  <c r="AE32" i="17"/>
  <c r="L4" i="28"/>
  <c r="L4" i="40" s="1"/>
  <c r="H6" i="28"/>
  <c r="H6" i="40" s="1"/>
  <c r="L18" i="28"/>
  <c r="L18" i="40" s="1"/>
  <c r="Y83" i="17"/>
  <c r="AE50" i="17"/>
  <c r="AE61" i="17"/>
  <c r="AE47" i="17"/>
  <c r="AE26" i="17"/>
  <c r="L8" i="28"/>
  <c r="L8" i="40" s="1"/>
  <c r="I7" i="28"/>
  <c r="I7" i="40" s="1"/>
  <c r="AE48" i="17"/>
  <c r="U83" i="17"/>
  <c r="V83" i="21"/>
  <c r="R37" i="29"/>
  <c r="S37" i="29" s="1"/>
  <c r="M58" i="40"/>
  <c r="E101" i="28"/>
  <c r="C60" i="28"/>
  <c r="C58" i="40"/>
  <c r="I101" i="28"/>
  <c r="L97" i="40"/>
  <c r="G58" i="40"/>
  <c r="C101" i="28"/>
  <c r="F97" i="40"/>
  <c r="AE66" i="17"/>
  <c r="AE64" i="17"/>
  <c r="AE8" i="17"/>
  <c r="AE81" i="17"/>
  <c r="AE39" i="17"/>
  <c r="AE78" i="17"/>
  <c r="G6" i="28"/>
  <c r="G6" i="40" s="1"/>
  <c r="L15" i="28"/>
  <c r="L15" i="40" s="1"/>
  <c r="AE82" i="17"/>
  <c r="AE10" i="17"/>
  <c r="D4" i="28"/>
  <c r="D4" i="40" s="1"/>
  <c r="AA83" i="17"/>
  <c r="E16" i="28"/>
  <c r="E16" i="40" s="1"/>
  <c r="X83" i="17"/>
  <c r="K15" i="28"/>
  <c r="K15" i="40" s="1"/>
  <c r="J8" i="28"/>
  <c r="J8" i="40" s="1"/>
  <c r="AE20" i="17"/>
  <c r="AE34" i="17"/>
  <c r="D9" i="28"/>
  <c r="D9" i="40" s="1"/>
  <c r="F15" i="28"/>
  <c r="F15" i="40" s="1"/>
  <c r="AE65" i="17"/>
  <c r="E17" i="28"/>
  <c r="E17" i="40" s="1"/>
  <c r="W83" i="17"/>
  <c r="F18" i="28"/>
  <c r="F18" i="40" s="1"/>
  <c r="AE76" i="17"/>
  <c r="F19" i="40"/>
  <c r="F19" i="28"/>
  <c r="AE80" i="17"/>
  <c r="AB83" i="17"/>
  <c r="I19" i="40"/>
  <c r="I19" i="28"/>
  <c r="L16" i="28"/>
  <c r="L16" i="40" s="1"/>
  <c r="AE12" i="17"/>
  <c r="AE45" i="17"/>
  <c r="L6" i="28"/>
  <c r="L6" i="40" s="1"/>
  <c r="B56" i="40"/>
  <c r="N56" i="40" s="1"/>
  <c r="N58" i="28"/>
  <c r="D17" i="45" s="1"/>
  <c r="I17" i="45" s="1"/>
  <c r="N91" i="28"/>
  <c r="B88" i="40"/>
  <c r="N88" i="40" s="1"/>
  <c r="H3" i="40"/>
  <c r="B10" i="40"/>
  <c r="N100" i="28"/>
  <c r="B96" i="40"/>
  <c r="N96" i="40" s="1"/>
  <c r="O121" i="28"/>
  <c r="P121" i="28"/>
  <c r="N88" i="28"/>
  <c r="B85" i="40"/>
  <c r="N85" i="40" s="1"/>
  <c r="O62" i="40"/>
  <c r="P62" i="40"/>
  <c r="P91" i="40"/>
  <c r="O91" i="40"/>
  <c r="Q111" i="40" s="1"/>
  <c r="N93" i="28"/>
  <c r="B89" i="40"/>
  <c r="N89" i="40" s="1"/>
  <c r="G60" i="28"/>
  <c r="AE57" i="17"/>
  <c r="B13" i="28"/>
  <c r="B20" i="28" s="1"/>
  <c r="N116" i="40"/>
  <c r="P100" i="40"/>
  <c r="O100" i="40"/>
  <c r="C97" i="40"/>
  <c r="V83" i="17"/>
  <c r="P106" i="40"/>
  <c r="O106" i="40"/>
  <c r="G13" i="28"/>
  <c r="G13" i="40" s="1"/>
  <c r="N87" i="28"/>
  <c r="B84" i="40"/>
  <c r="N84" i="40" s="1"/>
  <c r="O107" i="40"/>
  <c r="P107" i="40"/>
  <c r="B54" i="40"/>
  <c r="N54" i="40" s="1"/>
  <c r="N56" i="28"/>
  <c r="D15" i="45" s="1"/>
  <c r="M68" i="40"/>
  <c r="M77" i="40" s="1"/>
  <c r="F28" i="40"/>
  <c r="G97" i="40"/>
  <c r="I97" i="40"/>
  <c r="B46" i="40"/>
  <c r="N46" i="40" s="1"/>
  <c r="N47" i="28"/>
  <c r="D6" i="45" s="1"/>
  <c r="D38" i="40"/>
  <c r="D39" i="40" s="1"/>
  <c r="O95" i="28"/>
  <c r="L15" i="39" s="1"/>
  <c r="N15" i="39" s="1"/>
  <c r="P95" i="28"/>
  <c r="J3" i="40"/>
  <c r="N94" i="28"/>
  <c r="B90" i="40"/>
  <c r="N90" i="40" s="1"/>
  <c r="M60" i="28"/>
  <c r="D65" i="40"/>
  <c r="AE13" i="17"/>
  <c r="AE63" i="17"/>
  <c r="AE19" i="17"/>
  <c r="AE35" i="17"/>
  <c r="N89" i="28"/>
  <c r="B86" i="40"/>
  <c r="N86" i="40" s="1"/>
  <c r="D40" i="28"/>
  <c r="I44" i="40"/>
  <c r="I58" i="40" s="1"/>
  <c r="I60" i="28"/>
  <c r="B48" i="40"/>
  <c r="N49" i="28"/>
  <c r="D8" i="45" s="1"/>
  <c r="D44" i="40"/>
  <c r="D58" i="40" s="1"/>
  <c r="D60" i="28"/>
  <c r="N85" i="28"/>
  <c r="B82" i="40"/>
  <c r="N82" i="40" s="1"/>
  <c r="B44" i="40"/>
  <c r="N45" i="28"/>
  <c r="D4" i="45" s="1"/>
  <c r="B6" i="40"/>
  <c r="N97" i="28"/>
  <c r="B93" i="40"/>
  <c r="N93" i="40" s="1"/>
  <c r="AE27" i="17"/>
  <c r="H101" i="28"/>
  <c r="E60" i="28"/>
  <c r="AE6" i="17"/>
  <c r="C3" i="28"/>
  <c r="T83" i="17"/>
  <c r="N83" i="28"/>
  <c r="B101" i="28"/>
  <c r="B81" i="40"/>
  <c r="N81" i="40" s="1"/>
  <c r="B52" i="40"/>
  <c r="N52" i="40" s="1"/>
  <c r="N54" i="28"/>
  <c r="D13" i="45" s="1"/>
  <c r="I13" i="45" s="1"/>
  <c r="F101" i="28"/>
  <c r="N96" i="28"/>
  <c r="B92" i="40"/>
  <c r="N92" i="40" s="1"/>
  <c r="E58" i="40"/>
  <c r="B5" i="40"/>
  <c r="B29" i="40"/>
  <c r="P83" i="40"/>
  <c r="O83" i="40"/>
  <c r="Q103" i="40" s="1"/>
  <c r="O44" i="28"/>
  <c r="F6" i="39" s="1"/>
  <c r="P44" i="28"/>
  <c r="N80" i="40"/>
  <c r="B47" i="40"/>
  <c r="N47" i="40" s="1"/>
  <c r="N48" i="28"/>
  <c r="D7" i="45" s="1"/>
  <c r="I7" i="45" s="1"/>
  <c r="E36" i="40"/>
  <c r="H42" i="40"/>
  <c r="H58" i="40" s="1"/>
  <c r="H60" i="28"/>
  <c r="L101" i="28"/>
  <c r="B45" i="40"/>
  <c r="N45" i="40" s="1"/>
  <c r="N46" i="28"/>
  <c r="D5" i="45" s="1"/>
  <c r="AC83" i="17"/>
  <c r="B57" i="40"/>
  <c r="N57" i="40" s="1"/>
  <c r="N59" i="28"/>
  <c r="D18" i="45" s="1"/>
  <c r="I18" i="45" s="1"/>
  <c r="E97" i="40"/>
  <c r="O86" i="28"/>
  <c r="L7" i="39" s="1"/>
  <c r="N7" i="39" s="1"/>
  <c r="P86" i="28"/>
  <c r="F8" i="28"/>
  <c r="N43" i="40"/>
  <c r="Z83" i="17"/>
  <c r="M7" i="28"/>
  <c r="M7" i="40" s="1"/>
  <c r="N99" i="28"/>
  <c r="B95" i="40"/>
  <c r="N95" i="40" s="1"/>
  <c r="N84" i="28"/>
  <c r="D3" i="40"/>
  <c r="E4" i="28"/>
  <c r="N90" i="28"/>
  <c r="B87" i="40"/>
  <c r="N87" i="40" s="1"/>
  <c r="M6" i="28"/>
  <c r="M6" i="40" s="1"/>
  <c r="H5" i="28"/>
  <c r="H5" i="40" s="1"/>
  <c r="B53" i="40"/>
  <c r="N53" i="40" s="1"/>
  <c r="N55" i="28"/>
  <c r="D14" i="45" s="1"/>
  <c r="X52" i="21"/>
  <c r="X83" i="21" s="1"/>
  <c r="O61" i="40"/>
  <c r="P61" i="40"/>
  <c r="B42" i="40"/>
  <c r="B60" i="28"/>
  <c r="N43" i="28"/>
  <c r="D2" i="45" s="1"/>
  <c r="I2" i="45" s="1"/>
  <c r="B55" i="40"/>
  <c r="N55" i="40" s="1"/>
  <c r="N57" i="28"/>
  <c r="D16" i="45" s="1"/>
  <c r="I3" i="40"/>
  <c r="H97" i="40"/>
  <c r="F230" i="41"/>
  <c r="AL231" i="41"/>
  <c r="F231" i="41" s="1"/>
  <c r="AE67" i="17"/>
  <c r="S83" i="17"/>
  <c r="L5" i="28"/>
  <c r="L5" i="40" s="1"/>
  <c r="B51" i="40"/>
  <c r="I84" i="38"/>
  <c r="I85" i="38"/>
  <c r="N98" i="28"/>
  <c r="B94" i="40"/>
  <c r="N94" i="40" s="1"/>
  <c r="B18" i="40"/>
  <c r="C79" i="19"/>
  <c r="C45" i="19"/>
  <c r="C31" i="19"/>
  <c r="C71" i="19"/>
  <c r="C66" i="19"/>
  <c r="C60" i="19"/>
  <c r="C54" i="19"/>
  <c r="C34" i="19"/>
  <c r="C80" i="19"/>
  <c r="C81" i="19"/>
  <c r="C74" i="19"/>
  <c r="C69" i="19"/>
  <c r="C61" i="19"/>
  <c r="C58" i="19"/>
  <c r="C57" i="19"/>
  <c r="C39" i="19"/>
  <c r="N39" i="19" s="1"/>
  <c r="T39" i="19" s="1"/>
  <c r="C17" i="19"/>
  <c r="C75" i="19"/>
  <c r="C63" i="19"/>
  <c r="C49" i="19"/>
  <c r="C41" i="19"/>
  <c r="C78" i="19"/>
  <c r="C44" i="19"/>
  <c r="C23" i="19"/>
  <c r="C62" i="19"/>
  <c r="C46" i="19"/>
  <c r="C24" i="19"/>
  <c r="C16" i="19"/>
  <c r="C11" i="19"/>
  <c r="C73" i="19"/>
  <c r="C70" i="19"/>
  <c r="C42" i="19"/>
  <c r="C15" i="19"/>
  <c r="C65" i="19"/>
  <c r="C48" i="19"/>
  <c r="C38" i="19"/>
  <c r="C30" i="19"/>
  <c r="C19" i="19"/>
  <c r="C22" i="19"/>
  <c r="C14" i="19"/>
  <c r="C29" i="19"/>
  <c r="C20" i="19"/>
  <c r="C21" i="19"/>
  <c r="C12" i="19"/>
  <c r="C5" i="19"/>
  <c r="C82" i="19"/>
  <c r="C76" i="19"/>
  <c r="C37" i="19"/>
  <c r="C28" i="19"/>
  <c r="C53" i="19"/>
  <c r="C36" i="19"/>
  <c r="C33" i="19"/>
  <c r="C26" i="19"/>
  <c r="C27" i="19"/>
  <c r="C72" i="19"/>
  <c r="C68" i="19"/>
  <c r="C64" i="19"/>
  <c r="C52" i="19"/>
  <c r="C51" i="19"/>
  <c r="C32" i="19"/>
  <c r="C4" i="19"/>
  <c r="C56" i="19"/>
  <c r="C6" i="19"/>
  <c r="C59" i="19"/>
  <c r="C7" i="19"/>
  <c r="C77" i="19"/>
  <c r="C55" i="19"/>
  <c r="C47" i="19"/>
  <c r="C35" i="19"/>
  <c r="C25" i="19"/>
  <c r="C18" i="19"/>
  <c r="C43" i="19"/>
  <c r="C40" i="19"/>
  <c r="C13" i="19"/>
  <c r="C8" i="19"/>
  <c r="C67" i="19"/>
  <c r="C50" i="19"/>
  <c r="C10" i="19"/>
  <c r="C9" i="19"/>
  <c r="B50" i="40"/>
  <c r="N50" i="40" s="1"/>
  <c r="N52" i="28"/>
  <c r="D11" i="45" s="1"/>
  <c r="K60" i="28"/>
  <c r="J48" i="40"/>
  <c r="J58" i="40" s="1"/>
  <c r="J60" i="28"/>
  <c r="L60" i="28"/>
  <c r="B49" i="40"/>
  <c r="N49" i="40" s="1"/>
  <c r="N50" i="28"/>
  <c r="D9" i="45" s="1"/>
  <c r="B35" i="40"/>
  <c r="O21" i="42"/>
  <c r="T21" i="42" s="1"/>
  <c r="W4" i="39"/>
  <c r="W21" i="39" s="1"/>
  <c r="Y21" i="39"/>
  <c r="B3" i="40"/>
  <c r="K58" i="40"/>
  <c r="I9" i="28"/>
  <c r="I9" i="40" s="1"/>
  <c r="L58" i="40"/>
  <c r="N12" i="28" l="1"/>
  <c r="O12" i="28" s="1"/>
  <c r="F60" i="28"/>
  <c r="N53" i="28"/>
  <c r="D12" i="45" s="1"/>
  <c r="N51" i="40"/>
  <c r="P51" i="40" s="1"/>
  <c r="T20" i="42"/>
  <c r="U20" i="42" s="1"/>
  <c r="V20" i="42" s="1"/>
  <c r="T19" i="42"/>
  <c r="U19" i="42" s="1"/>
  <c r="V19" i="42" s="1"/>
  <c r="T5" i="42"/>
  <c r="U5" i="42" s="1"/>
  <c r="V5" i="42" s="1"/>
  <c r="N14" i="28"/>
  <c r="B13" i="45" s="1"/>
  <c r="N9" i="40"/>
  <c r="P9" i="40" s="1"/>
  <c r="D10" i="45"/>
  <c r="T16" i="42"/>
  <c r="U16" i="42" s="1"/>
  <c r="V16" i="42" s="1"/>
  <c r="D65" i="28"/>
  <c r="D63" i="40" s="1"/>
  <c r="P16" i="38"/>
  <c r="P15" i="38"/>
  <c r="B65" i="28"/>
  <c r="T9" i="42"/>
  <c r="U9" i="42" s="1"/>
  <c r="V9" i="42" s="1"/>
  <c r="AE52" i="17"/>
  <c r="AE83" i="17" s="1"/>
  <c r="N17" i="40"/>
  <c r="O17" i="40" s="1"/>
  <c r="M13" i="28"/>
  <c r="M13" i="40" s="1"/>
  <c r="M20" i="40" s="1"/>
  <c r="N14" i="40"/>
  <c r="O14" i="40" s="1"/>
  <c r="T18" i="42"/>
  <c r="U18" i="42" s="1"/>
  <c r="V18" i="42" s="1"/>
  <c r="T15" i="42"/>
  <c r="U15" i="42" s="1"/>
  <c r="V15" i="42" s="1"/>
  <c r="O51" i="28"/>
  <c r="T8" i="42"/>
  <c r="U8" i="42" s="1"/>
  <c r="V8" i="42" s="1"/>
  <c r="K20" i="40"/>
  <c r="C69" i="28"/>
  <c r="P38" i="38"/>
  <c r="N3" i="28"/>
  <c r="B2" i="45" s="1"/>
  <c r="B70" i="28"/>
  <c r="P44" i="38"/>
  <c r="L66" i="28"/>
  <c r="P24" i="38"/>
  <c r="B67" i="28"/>
  <c r="P26" i="38"/>
  <c r="D70" i="28"/>
  <c r="D68" i="40" s="1"/>
  <c r="P46" i="38"/>
  <c r="Y30" i="33"/>
  <c r="B73" i="28"/>
  <c r="P54" i="38"/>
  <c r="D83" i="38"/>
  <c r="F11" i="40"/>
  <c r="N11" i="40" s="1"/>
  <c r="N11" i="28"/>
  <c r="P30" i="34"/>
  <c r="P32" i="34" s="1"/>
  <c r="J86" i="35"/>
  <c r="J85" i="35"/>
  <c r="W86" i="35"/>
  <c r="W85" i="35"/>
  <c r="F85" i="35"/>
  <c r="F86" i="35"/>
  <c r="M71" i="28"/>
  <c r="M80" i="28" s="1"/>
  <c r="O83" i="38"/>
  <c r="U85" i="35"/>
  <c r="U86" i="35"/>
  <c r="E72" i="28"/>
  <c r="P51" i="38"/>
  <c r="G83" i="38"/>
  <c r="P48" i="38"/>
  <c r="C71" i="28"/>
  <c r="E83" i="38"/>
  <c r="L68" i="40"/>
  <c r="L71" i="28"/>
  <c r="N83" i="38"/>
  <c r="S86" i="35"/>
  <c r="S85" i="35"/>
  <c r="K69" i="40"/>
  <c r="K77" i="40" s="1"/>
  <c r="K71" i="28"/>
  <c r="K80" i="28" s="1"/>
  <c r="P47" i="38"/>
  <c r="M83" i="38"/>
  <c r="H86" i="35"/>
  <c r="H85" i="35"/>
  <c r="B77" i="28"/>
  <c r="P74" i="38"/>
  <c r="I12" i="40"/>
  <c r="N12" i="40" s="1"/>
  <c r="B75" i="28"/>
  <c r="P61" i="38"/>
  <c r="D76" i="28"/>
  <c r="P67" i="38"/>
  <c r="F83" i="38"/>
  <c r="L85" i="35"/>
  <c r="L86" i="35"/>
  <c r="D86" i="35"/>
  <c r="D88" i="35"/>
  <c r="D89" i="35" s="1"/>
  <c r="D90" i="35" s="1"/>
  <c r="D85" i="35"/>
  <c r="F75" i="28"/>
  <c r="H83" i="38"/>
  <c r="T10" i="42"/>
  <c r="U10" i="42" s="1"/>
  <c r="V10" i="42" s="1"/>
  <c r="T17" i="42"/>
  <c r="U17" i="42" s="1"/>
  <c r="V17" i="42" s="1"/>
  <c r="T13" i="42"/>
  <c r="U13" i="42" s="1"/>
  <c r="V13" i="42" s="1"/>
  <c r="T7" i="42"/>
  <c r="U7" i="42" s="1"/>
  <c r="V7" i="42" s="1"/>
  <c r="T6" i="42"/>
  <c r="U6" i="42" s="1"/>
  <c r="V6" i="42" s="1"/>
  <c r="T3" i="42"/>
  <c r="U3" i="42" s="1"/>
  <c r="V3" i="42" s="1"/>
  <c r="T14" i="42"/>
  <c r="U14" i="42" s="1"/>
  <c r="V14" i="42" s="1"/>
  <c r="T11" i="42"/>
  <c r="U11" i="42" s="1"/>
  <c r="V11" i="42" s="1"/>
  <c r="N7" i="40"/>
  <c r="P7" i="40" s="1"/>
  <c r="N18" i="40"/>
  <c r="O18" i="40" s="1"/>
  <c r="R42" i="29"/>
  <c r="S42" i="29"/>
  <c r="N16" i="40"/>
  <c r="O16" i="40" s="1"/>
  <c r="N7" i="28"/>
  <c r="B6" i="45" s="1"/>
  <c r="N19" i="28"/>
  <c r="B18" i="45" s="1"/>
  <c r="N6" i="40"/>
  <c r="P6" i="40" s="1"/>
  <c r="N44" i="40"/>
  <c r="P44" i="40" s="1"/>
  <c r="H20" i="28"/>
  <c r="N15" i="40"/>
  <c r="O15" i="40" s="1"/>
  <c r="D20" i="40"/>
  <c r="N10" i="28"/>
  <c r="B9" i="45" s="1"/>
  <c r="D20" i="28"/>
  <c r="N10" i="40"/>
  <c r="P10" i="40" s="1"/>
  <c r="J20" i="28"/>
  <c r="J20" i="40"/>
  <c r="P17" i="40"/>
  <c r="G20" i="28"/>
  <c r="F20" i="28"/>
  <c r="N15" i="28"/>
  <c r="B14" i="45" s="1"/>
  <c r="N17" i="28"/>
  <c r="B16" i="45" s="1"/>
  <c r="N19" i="40"/>
  <c r="N18" i="28"/>
  <c r="B17" i="45" s="1"/>
  <c r="N9" i="28"/>
  <c r="B8" i="45" s="1"/>
  <c r="N16" i="28"/>
  <c r="B15" i="45" s="1"/>
  <c r="K20" i="28"/>
  <c r="H20" i="19"/>
  <c r="M20" i="19"/>
  <c r="S60" i="19"/>
  <c r="M34" i="28" s="1"/>
  <c r="M33" i="40" s="1"/>
  <c r="M60" i="19"/>
  <c r="O57" i="28"/>
  <c r="F18" i="39" s="1"/>
  <c r="P57" i="28"/>
  <c r="S50" i="19"/>
  <c r="N50" i="19"/>
  <c r="H29" i="19"/>
  <c r="O29" i="19"/>
  <c r="Q66" i="19"/>
  <c r="K66" i="19"/>
  <c r="P95" i="40"/>
  <c r="O95" i="40"/>
  <c r="Q115" i="40" s="1"/>
  <c r="P54" i="40"/>
  <c r="O54" i="40"/>
  <c r="O49" i="40"/>
  <c r="P49" i="40"/>
  <c r="I8" i="19"/>
  <c r="N8" i="19"/>
  <c r="N6" i="19"/>
  <c r="H6" i="19"/>
  <c r="O36" i="19"/>
  <c r="K36" i="19"/>
  <c r="H22" i="19"/>
  <c r="M22" i="19"/>
  <c r="H24" i="19"/>
  <c r="M24" i="19"/>
  <c r="N57" i="19"/>
  <c r="H57" i="19"/>
  <c r="O31" i="19"/>
  <c r="S31" i="19"/>
  <c r="P57" i="40"/>
  <c r="O57" i="40"/>
  <c r="P52" i="40"/>
  <c r="O52" i="40"/>
  <c r="P86" i="40"/>
  <c r="O86" i="40"/>
  <c r="Q106" i="40" s="1"/>
  <c r="P46" i="40"/>
  <c r="O46" i="40"/>
  <c r="P56" i="40"/>
  <c r="O56" i="40"/>
  <c r="R13" i="19"/>
  <c r="L13" i="19"/>
  <c r="N56" i="19"/>
  <c r="H56" i="19"/>
  <c r="N53" i="19"/>
  <c r="H53" i="19"/>
  <c r="H19" i="19"/>
  <c r="N19" i="19"/>
  <c r="H26" i="28" s="1"/>
  <c r="H26" i="40" s="1"/>
  <c r="N46" i="19"/>
  <c r="H46" i="19"/>
  <c r="R58" i="19"/>
  <c r="L58" i="19"/>
  <c r="H45" i="19"/>
  <c r="N45" i="19"/>
  <c r="B58" i="40"/>
  <c r="N42" i="40"/>
  <c r="P81" i="40"/>
  <c r="O81" i="40"/>
  <c r="Q101" i="40" s="1"/>
  <c r="P93" i="40"/>
  <c r="O93" i="40"/>
  <c r="Q113" i="40" s="1"/>
  <c r="O89" i="28"/>
  <c r="L10" i="39" s="1"/>
  <c r="N10" i="39" s="1"/>
  <c r="P89" i="28"/>
  <c r="P90" i="40"/>
  <c r="O90" i="40"/>
  <c r="Q110" i="40" s="1"/>
  <c r="M20" i="39"/>
  <c r="M21" i="39" s="1"/>
  <c r="O77" i="19"/>
  <c r="I77" i="19"/>
  <c r="O84" i="28"/>
  <c r="L5" i="39" s="1"/>
  <c r="N5" i="39" s="1"/>
  <c r="P84" i="28"/>
  <c r="I7" i="19"/>
  <c r="N7" i="19"/>
  <c r="H17" i="19"/>
  <c r="N17" i="19"/>
  <c r="P53" i="40"/>
  <c r="O53" i="40"/>
  <c r="Q67" i="19"/>
  <c r="K67" i="19"/>
  <c r="H16" i="19"/>
  <c r="N16" i="19"/>
  <c r="K40" i="19"/>
  <c r="N40" i="19"/>
  <c r="H28" i="19"/>
  <c r="O28" i="19"/>
  <c r="L62" i="19"/>
  <c r="I62" i="19"/>
  <c r="I79" i="19"/>
  <c r="O79" i="19"/>
  <c r="O46" i="28"/>
  <c r="F8" i="39" s="1"/>
  <c r="P46" i="28"/>
  <c r="N5" i="28"/>
  <c r="B4" i="45" s="1"/>
  <c r="O97" i="28"/>
  <c r="L17" i="39" s="1"/>
  <c r="N17" i="39" s="1"/>
  <c r="P97" i="28"/>
  <c r="P96" i="40"/>
  <c r="O96" i="40"/>
  <c r="Q116" i="40" s="1"/>
  <c r="I75" i="19"/>
  <c r="O75" i="19"/>
  <c r="O55" i="28"/>
  <c r="F16" i="39" s="1"/>
  <c r="P55" i="28"/>
  <c r="O55" i="40"/>
  <c r="P55" i="40"/>
  <c r="O50" i="28"/>
  <c r="F12" i="39" s="1"/>
  <c r="P50" i="28"/>
  <c r="R59" i="19"/>
  <c r="L59" i="19"/>
  <c r="H14" i="19"/>
  <c r="N14" i="19"/>
  <c r="N4" i="19"/>
  <c r="H4" i="19"/>
  <c r="H30" i="19"/>
  <c r="O30" i="19"/>
  <c r="L61" i="19"/>
  <c r="H61" i="19"/>
  <c r="O94" i="28"/>
  <c r="L14" i="39" s="1"/>
  <c r="N14" i="39" s="1"/>
  <c r="P94" i="28"/>
  <c r="N43" i="19"/>
  <c r="H43" i="19"/>
  <c r="O32" i="19"/>
  <c r="S32" i="19"/>
  <c r="O37" i="19"/>
  <c r="K37" i="19"/>
  <c r="K38" i="19"/>
  <c r="N38" i="19"/>
  <c r="H23" i="19"/>
  <c r="M23" i="19"/>
  <c r="Q69" i="19"/>
  <c r="K69" i="19"/>
  <c r="I20" i="28"/>
  <c r="P45" i="40"/>
  <c r="O45" i="40"/>
  <c r="O48" i="28"/>
  <c r="F10" i="39" s="1"/>
  <c r="P48" i="28"/>
  <c r="N5" i="40"/>
  <c r="O83" i="28"/>
  <c r="L4" i="39" s="1"/>
  <c r="P83" i="28"/>
  <c r="N101" i="28"/>
  <c r="N6" i="28"/>
  <c r="B5" i="45" s="1"/>
  <c r="O49" i="28"/>
  <c r="F11" i="39" s="1"/>
  <c r="P49" i="28"/>
  <c r="P84" i="40"/>
  <c r="O84" i="40"/>
  <c r="Q104" i="40" s="1"/>
  <c r="P89" i="40"/>
  <c r="O89" i="40"/>
  <c r="Q109" i="40" s="1"/>
  <c r="O100" i="28"/>
  <c r="L20" i="39" s="1"/>
  <c r="P100" i="28"/>
  <c r="O43" i="40"/>
  <c r="P43" i="40"/>
  <c r="L20" i="28"/>
  <c r="O76" i="19"/>
  <c r="I76" i="19"/>
  <c r="N48" i="40"/>
  <c r="O87" i="28"/>
  <c r="L8" i="39" s="1"/>
  <c r="N8" i="39" s="1"/>
  <c r="P87" i="28"/>
  <c r="O93" i="28"/>
  <c r="L13" i="39" s="1"/>
  <c r="N13" i="39" s="1"/>
  <c r="P93" i="28"/>
  <c r="H25" i="19"/>
  <c r="M25" i="19"/>
  <c r="N52" i="19"/>
  <c r="H52" i="19"/>
  <c r="K82" i="19"/>
  <c r="P82" i="19"/>
  <c r="S82" i="19"/>
  <c r="L65" i="19"/>
  <c r="I65" i="19"/>
  <c r="I78" i="19"/>
  <c r="O78" i="19"/>
  <c r="P81" i="19"/>
  <c r="K81" i="19"/>
  <c r="S81" i="19"/>
  <c r="O90" i="28"/>
  <c r="L11" i="39" s="1"/>
  <c r="N11" i="39" s="1"/>
  <c r="P90" i="28"/>
  <c r="B97" i="40"/>
  <c r="O45" i="28"/>
  <c r="F7" i="39" s="1"/>
  <c r="P45" i="28"/>
  <c r="O116" i="40"/>
  <c r="P116" i="40"/>
  <c r="L20" i="40"/>
  <c r="N44" i="19"/>
  <c r="H44" i="19"/>
  <c r="P47" i="40"/>
  <c r="O47" i="40"/>
  <c r="O35" i="19"/>
  <c r="S35" i="19"/>
  <c r="E4" i="40"/>
  <c r="E20" i="28"/>
  <c r="R10" i="19"/>
  <c r="L10" i="19"/>
  <c r="N51" i="19"/>
  <c r="S51" i="19"/>
  <c r="S74" i="19"/>
  <c r="N74" i="19"/>
  <c r="P87" i="40"/>
  <c r="O87" i="40"/>
  <c r="Q107" i="40" s="1"/>
  <c r="O52" i="28"/>
  <c r="F13" i="39" s="1"/>
  <c r="P52" i="28"/>
  <c r="L64" i="19"/>
  <c r="I64" i="19"/>
  <c r="L5" i="19"/>
  <c r="H5" i="19"/>
  <c r="N41" i="19"/>
  <c r="K41" i="19"/>
  <c r="P80" i="19"/>
  <c r="K80" i="19"/>
  <c r="S80" i="19"/>
  <c r="N97" i="40"/>
  <c r="P80" i="40"/>
  <c r="O80" i="40"/>
  <c r="C3" i="40"/>
  <c r="C20" i="40" s="1"/>
  <c r="C20" i="28"/>
  <c r="P12" i="19"/>
  <c r="L12" i="19"/>
  <c r="P94" i="40"/>
  <c r="O94" i="40"/>
  <c r="Q114" i="40" s="1"/>
  <c r="F8" i="40"/>
  <c r="N8" i="40" s="1"/>
  <c r="N8" i="28"/>
  <c r="B7" i="45" s="1"/>
  <c r="H18" i="19"/>
  <c r="N18" i="19"/>
  <c r="H48" i="19"/>
  <c r="N48" i="19"/>
  <c r="H15" i="19"/>
  <c r="N15" i="19"/>
  <c r="N4" i="28"/>
  <c r="B3" i="45" s="1"/>
  <c r="P50" i="40"/>
  <c r="O50" i="40"/>
  <c r="N47" i="19"/>
  <c r="H47" i="19"/>
  <c r="K68" i="19"/>
  <c r="Q68" i="19"/>
  <c r="N42" i="19"/>
  <c r="H42" i="19"/>
  <c r="H49" i="19"/>
  <c r="N49" i="19"/>
  <c r="S34" i="19"/>
  <c r="O34" i="19"/>
  <c r="P92" i="40"/>
  <c r="O92" i="40"/>
  <c r="Q112" i="40" s="1"/>
  <c r="H20" i="40"/>
  <c r="G20" i="40"/>
  <c r="I9" i="19"/>
  <c r="N9" i="19"/>
  <c r="N55" i="19"/>
  <c r="H55" i="19"/>
  <c r="N72" i="19"/>
  <c r="S72" i="19"/>
  <c r="M21" i="19"/>
  <c r="H21" i="19"/>
  <c r="Q70" i="19"/>
  <c r="K70" i="19"/>
  <c r="L63" i="19"/>
  <c r="I63" i="19"/>
  <c r="N54" i="19"/>
  <c r="H54" i="19"/>
  <c r="O98" i="28"/>
  <c r="L18" i="39" s="1"/>
  <c r="N18" i="39" s="1"/>
  <c r="P98" i="28"/>
  <c r="O96" i="28"/>
  <c r="L16" i="39" s="1"/>
  <c r="N16" i="39" s="1"/>
  <c r="P96" i="28"/>
  <c r="P82" i="40"/>
  <c r="O82" i="40"/>
  <c r="Q102" i="40" s="1"/>
  <c r="B13" i="40"/>
  <c r="N13" i="28"/>
  <c r="B12" i="45" s="1"/>
  <c r="P88" i="40"/>
  <c r="O88" i="40"/>
  <c r="Q108" i="40" s="1"/>
  <c r="O27" i="19"/>
  <c r="H27" i="19"/>
  <c r="O85" i="28"/>
  <c r="L6" i="39" s="1"/>
  <c r="N6" i="39" s="1"/>
  <c r="P85" i="28"/>
  <c r="O56" i="28"/>
  <c r="F17" i="39" s="1"/>
  <c r="P56" i="28"/>
  <c r="O91" i="28"/>
  <c r="L12" i="39" s="1"/>
  <c r="N12" i="39" s="1"/>
  <c r="P91" i="28"/>
  <c r="O26" i="19"/>
  <c r="H26" i="19"/>
  <c r="N73" i="19"/>
  <c r="S73" i="19"/>
  <c r="L11" i="19"/>
  <c r="Q11" i="19"/>
  <c r="P85" i="40"/>
  <c r="O85" i="40"/>
  <c r="Q105" i="40" s="1"/>
  <c r="S33" i="19"/>
  <c r="O33" i="19"/>
  <c r="S71" i="19"/>
  <c r="N71" i="19"/>
  <c r="O43" i="28"/>
  <c r="F5" i="39" s="1"/>
  <c r="P43" i="28"/>
  <c r="O99" i="28"/>
  <c r="L19" i="39" s="1"/>
  <c r="N19" i="39" s="1"/>
  <c r="P99" i="28"/>
  <c r="O59" i="28"/>
  <c r="F20" i="39" s="1"/>
  <c r="P59" i="28"/>
  <c r="O54" i="28"/>
  <c r="F15" i="39" s="1"/>
  <c r="P54" i="28"/>
  <c r="O47" i="28"/>
  <c r="F9" i="39" s="1"/>
  <c r="P47" i="28"/>
  <c r="O88" i="28"/>
  <c r="L9" i="39" s="1"/>
  <c r="N9" i="39" s="1"/>
  <c r="P88" i="28"/>
  <c r="O58" i="28"/>
  <c r="F19" i="39" s="1"/>
  <c r="P58" i="28"/>
  <c r="B11" i="45" l="1"/>
  <c r="P12" i="28"/>
  <c r="N13" i="40"/>
  <c r="O13" i="40" s="1"/>
  <c r="N60" i="28"/>
  <c r="O60" i="28" s="1"/>
  <c r="O53" i="28"/>
  <c r="F14" i="39" s="1"/>
  <c r="F21" i="39" s="1"/>
  <c r="P14" i="40"/>
  <c r="O51" i="40"/>
  <c r="P53" i="28"/>
  <c r="O9" i="40"/>
  <c r="D19" i="45"/>
  <c r="D20" i="45" s="1"/>
  <c r="O44" i="40"/>
  <c r="O9" i="28"/>
  <c r="B11" i="39" s="1"/>
  <c r="P14" i="28"/>
  <c r="O14" i="28"/>
  <c r="B15" i="39" s="1"/>
  <c r="M20" i="28"/>
  <c r="O3" i="28"/>
  <c r="B5" i="39" s="1"/>
  <c r="B63" i="40"/>
  <c r="N63" i="40" s="1"/>
  <c r="N65" i="28"/>
  <c r="V21" i="42"/>
  <c r="T70" i="19"/>
  <c r="P3" i="28"/>
  <c r="T41" i="19"/>
  <c r="L80" i="28"/>
  <c r="B65" i="40"/>
  <c r="N65" i="40" s="1"/>
  <c r="O65" i="40" s="1"/>
  <c r="N67" i="28"/>
  <c r="L64" i="40"/>
  <c r="N64" i="40" s="1"/>
  <c r="N66" i="28"/>
  <c r="N70" i="28"/>
  <c r="B68" i="40"/>
  <c r="N68" i="40" s="1"/>
  <c r="P68" i="40" s="1"/>
  <c r="I20" i="40"/>
  <c r="T33" i="19"/>
  <c r="C67" i="40"/>
  <c r="N69" i="28"/>
  <c r="H31" i="28"/>
  <c r="H30" i="28"/>
  <c r="H30" i="40" s="1"/>
  <c r="O12" i="40"/>
  <c r="P12" i="40"/>
  <c r="D73" i="40"/>
  <c r="N76" i="28"/>
  <c r="D80" i="28"/>
  <c r="T55" i="19"/>
  <c r="T12" i="19"/>
  <c r="T5" i="19"/>
  <c r="O10" i="40"/>
  <c r="T56" i="19"/>
  <c r="H85" i="38"/>
  <c r="H84" i="38"/>
  <c r="N72" i="28"/>
  <c r="E69" i="40"/>
  <c r="E80" i="28"/>
  <c r="F72" i="40"/>
  <c r="F77" i="40" s="1"/>
  <c r="F80" i="28"/>
  <c r="B72" i="40"/>
  <c r="N75" i="28"/>
  <c r="T54" i="19"/>
  <c r="B30" i="28"/>
  <c r="H32" i="28"/>
  <c r="H31" i="40" s="1"/>
  <c r="O84" i="38"/>
  <c r="O85" i="38"/>
  <c r="M32" i="28"/>
  <c r="M31" i="40" s="1"/>
  <c r="N85" i="38"/>
  <c r="N84" i="38"/>
  <c r="B10" i="45"/>
  <c r="P11" i="28"/>
  <c r="O11" i="28"/>
  <c r="T69" i="19"/>
  <c r="B74" i="40"/>
  <c r="N74" i="40" s="1"/>
  <c r="N77" i="28"/>
  <c r="O11" i="40"/>
  <c r="P11" i="40"/>
  <c r="Y84" i="35"/>
  <c r="D85" i="38"/>
  <c r="D87" i="38"/>
  <c r="D88" i="38" s="1"/>
  <c r="D89" i="38" s="1"/>
  <c r="D84" i="38"/>
  <c r="B31" i="28"/>
  <c r="E85" i="38"/>
  <c r="E84" i="38"/>
  <c r="M84" i="38"/>
  <c r="M85" i="38"/>
  <c r="N71" i="28"/>
  <c r="C80" i="28"/>
  <c r="B70" i="40"/>
  <c r="N73" i="28"/>
  <c r="B80" i="28"/>
  <c r="T74" i="19"/>
  <c r="T44" i="19"/>
  <c r="F85" i="38"/>
  <c r="F84" i="38"/>
  <c r="G85" i="38"/>
  <c r="G84" i="38"/>
  <c r="T8" i="19"/>
  <c r="T32" i="19"/>
  <c r="T81" i="19"/>
  <c r="T25" i="19"/>
  <c r="T38" i="19"/>
  <c r="B13" i="39"/>
  <c r="P18" i="40"/>
  <c r="P16" i="40"/>
  <c r="U21" i="42"/>
  <c r="O7" i="40"/>
  <c r="P9" i="28"/>
  <c r="O19" i="28"/>
  <c r="B20" i="39" s="1"/>
  <c r="T72" i="19"/>
  <c r="T34" i="19"/>
  <c r="T77" i="19"/>
  <c r="T24" i="19"/>
  <c r="T53" i="19"/>
  <c r="T63" i="19"/>
  <c r="T67" i="19"/>
  <c r="T68" i="19"/>
  <c r="T79" i="19"/>
  <c r="T29" i="19"/>
  <c r="T35" i="19"/>
  <c r="T82" i="19"/>
  <c r="T45" i="19"/>
  <c r="M39" i="28"/>
  <c r="M38" i="40" s="1"/>
  <c r="O6" i="40"/>
  <c r="O16" i="28"/>
  <c r="B17" i="39" s="1"/>
  <c r="P15" i="40"/>
  <c r="P17" i="28"/>
  <c r="O17" i="28"/>
  <c r="B18" i="39" s="1"/>
  <c r="P19" i="28"/>
  <c r="P7" i="28"/>
  <c r="O7" i="28"/>
  <c r="B9" i="39" s="1"/>
  <c r="P10" i="28"/>
  <c r="P18" i="28"/>
  <c r="O10" i="28"/>
  <c r="B12" i="39" s="1"/>
  <c r="O18" i="28"/>
  <c r="B19" i="39" s="1"/>
  <c r="P16" i="28"/>
  <c r="O19" i="40"/>
  <c r="P19" i="40"/>
  <c r="P15" i="28"/>
  <c r="O15" i="28"/>
  <c r="B16" i="39" s="1"/>
  <c r="T78" i="19"/>
  <c r="O6" i="28"/>
  <c r="B8" i="39" s="1"/>
  <c r="P6" i="28"/>
  <c r="B25" i="28"/>
  <c r="T14" i="19"/>
  <c r="P42" i="40"/>
  <c r="N58" i="40"/>
  <c r="O42" i="40"/>
  <c r="G34" i="28"/>
  <c r="G33" i="40" s="1"/>
  <c r="T60" i="19"/>
  <c r="T11" i="19"/>
  <c r="T21" i="19"/>
  <c r="F20" i="40"/>
  <c r="J24" i="28"/>
  <c r="P83" i="19"/>
  <c r="T65" i="19"/>
  <c r="O101" i="28"/>
  <c r="Q1" i="28" s="1"/>
  <c r="P101" i="28"/>
  <c r="T59" i="19"/>
  <c r="T22" i="19"/>
  <c r="E39" i="28"/>
  <c r="T80" i="19"/>
  <c r="B20" i="40"/>
  <c r="E29" i="28"/>
  <c r="T36" i="19"/>
  <c r="K83" i="19"/>
  <c r="G26" i="28"/>
  <c r="M83" i="19"/>
  <c r="T73" i="19"/>
  <c r="T27" i="19"/>
  <c r="T47" i="19"/>
  <c r="F23" i="28"/>
  <c r="L83" i="19"/>
  <c r="T51" i="19"/>
  <c r="P48" i="40"/>
  <c r="O48" i="40"/>
  <c r="N3" i="40"/>
  <c r="L21" i="39"/>
  <c r="N4" i="39"/>
  <c r="T23" i="19"/>
  <c r="T62" i="19"/>
  <c r="C35" i="28"/>
  <c r="C34" i="40" s="1"/>
  <c r="I29" i="28"/>
  <c r="I29" i="40" s="1"/>
  <c r="T20" i="19"/>
  <c r="C38" i="28"/>
  <c r="T75" i="19"/>
  <c r="K24" i="28"/>
  <c r="Q83" i="19"/>
  <c r="B27" i="28"/>
  <c r="T26" i="19"/>
  <c r="T48" i="19"/>
  <c r="T64" i="19"/>
  <c r="F24" i="28"/>
  <c r="T10" i="19"/>
  <c r="T76" i="19"/>
  <c r="O5" i="40"/>
  <c r="P5" i="40"/>
  <c r="H29" i="28"/>
  <c r="H29" i="40" s="1"/>
  <c r="T17" i="19"/>
  <c r="T13" i="19"/>
  <c r="T6" i="19"/>
  <c r="E36" i="28"/>
  <c r="T66" i="19"/>
  <c r="T42" i="19"/>
  <c r="I27" i="28"/>
  <c r="O83" i="19"/>
  <c r="L24" i="28"/>
  <c r="R83" i="19"/>
  <c r="N20" i="39"/>
  <c r="B35" i="28"/>
  <c r="T61" i="19"/>
  <c r="K36" i="28"/>
  <c r="K35" i="40" s="1"/>
  <c r="M37" i="28"/>
  <c r="M36" i="40" s="1"/>
  <c r="T18" i="19"/>
  <c r="Q100" i="40"/>
  <c r="Q118" i="40" s="1"/>
  <c r="O97" i="40"/>
  <c r="B33" i="28"/>
  <c r="T52" i="19"/>
  <c r="T37" i="19"/>
  <c r="F35" i="28"/>
  <c r="F34" i="40" s="1"/>
  <c r="T28" i="19"/>
  <c r="T7" i="19"/>
  <c r="C23" i="28"/>
  <c r="I83" i="19"/>
  <c r="F34" i="28"/>
  <c r="T58" i="19"/>
  <c r="M28" i="28"/>
  <c r="S83" i="19"/>
  <c r="H33" i="28"/>
  <c r="H32" i="40" s="1"/>
  <c r="J39" i="28"/>
  <c r="J38" i="40" s="1"/>
  <c r="H37" i="28"/>
  <c r="T71" i="19"/>
  <c r="O4" i="28"/>
  <c r="B6" i="39" s="1"/>
  <c r="P4" i="28"/>
  <c r="P97" i="40"/>
  <c r="E20" i="40"/>
  <c r="N4" i="40"/>
  <c r="L34" i="28"/>
  <c r="L33" i="40" s="1"/>
  <c r="I28" i="28"/>
  <c r="T31" i="19"/>
  <c r="N20" i="28"/>
  <c r="O13" i="28"/>
  <c r="B14" i="39" s="1"/>
  <c r="P13" i="28"/>
  <c r="T9" i="19"/>
  <c r="O8" i="28"/>
  <c r="B10" i="39" s="1"/>
  <c r="P8" i="28"/>
  <c r="T30" i="19"/>
  <c r="O5" i="28"/>
  <c r="B7" i="39" s="1"/>
  <c r="P5" i="28"/>
  <c r="T40" i="19"/>
  <c r="T46" i="19"/>
  <c r="T57" i="19"/>
  <c r="T50" i="19"/>
  <c r="P8" i="40"/>
  <c r="O8" i="40"/>
  <c r="B23" i="28"/>
  <c r="T4" i="19"/>
  <c r="H83" i="19"/>
  <c r="T43" i="19"/>
  <c r="H23" i="28"/>
  <c r="N83" i="19"/>
  <c r="I38" i="28"/>
  <c r="I37" i="40" s="1"/>
  <c r="T16" i="19"/>
  <c r="T49" i="19"/>
  <c r="T15" i="19"/>
  <c r="H25" i="28"/>
  <c r="H25" i="40" s="1"/>
  <c r="B26" i="28"/>
  <c r="T19" i="19"/>
  <c r="B19" i="45" l="1"/>
  <c r="B20" i="45" s="1"/>
  <c r="P13" i="40"/>
  <c r="P60" i="28"/>
  <c r="P65" i="40"/>
  <c r="O68" i="40"/>
  <c r="N31" i="28"/>
  <c r="C10" i="45" s="1"/>
  <c r="E4" i="45"/>
  <c r="I4" i="45" s="1"/>
  <c r="O65" i="28"/>
  <c r="H7" i="39" s="1"/>
  <c r="P65" i="28"/>
  <c r="P63" i="40"/>
  <c r="O63" i="40"/>
  <c r="L77" i="40"/>
  <c r="E8" i="45"/>
  <c r="I8" i="45" s="1"/>
  <c r="P69" i="28"/>
  <c r="O69" i="28"/>
  <c r="H11" i="39" s="1"/>
  <c r="N67" i="40"/>
  <c r="C77" i="40"/>
  <c r="E9" i="45"/>
  <c r="I9" i="45" s="1"/>
  <c r="O70" i="28"/>
  <c r="H12" i="39" s="1"/>
  <c r="P70" i="28"/>
  <c r="E5" i="45"/>
  <c r="I5" i="45" s="1"/>
  <c r="O66" i="28"/>
  <c r="H8" i="39" s="1"/>
  <c r="P66" i="28"/>
  <c r="O64" i="40"/>
  <c r="P64" i="40"/>
  <c r="E6" i="45"/>
  <c r="I6" i="45" s="1"/>
  <c r="O67" i="28"/>
  <c r="H9" i="39" s="1"/>
  <c r="P67" i="28"/>
  <c r="E10" i="45"/>
  <c r="O71" i="28"/>
  <c r="P71" i="28"/>
  <c r="N80" i="28"/>
  <c r="O74" i="40"/>
  <c r="P74" i="40"/>
  <c r="E14" i="45"/>
  <c r="I14" i="45" s="1"/>
  <c r="P75" i="28"/>
  <c r="O75" i="28"/>
  <c r="H16" i="39" s="1"/>
  <c r="N72" i="40"/>
  <c r="P83" i="38"/>
  <c r="E15" i="45"/>
  <c r="I15" i="45" s="1"/>
  <c r="O76" i="28"/>
  <c r="H17" i="39" s="1"/>
  <c r="P76" i="28"/>
  <c r="E16" i="45"/>
  <c r="I16" i="45" s="1"/>
  <c r="O77" i="28"/>
  <c r="H18" i="39" s="1"/>
  <c r="P77" i="28"/>
  <c r="N73" i="40"/>
  <c r="D77" i="40"/>
  <c r="E12" i="45"/>
  <c r="I12" i="45" s="1"/>
  <c r="O73" i="28"/>
  <c r="H14" i="39" s="1"/>
  <c r="P73" i="28"/>
  <c r="E77" i="40"/>
  <c r="N69" i="40"/>
  <c r="N70" i="40"/>
  <c r="B77" i="40"/>
  <c r="O72" i="28"/>
  <c r="H13" i="39" s="1"/>
  <c r="P72" i="28"/>
  <c r="E11" i="45"/>
  <c r="I11" i="45" s="1"/>
  <c r="O20" i="28"/>
  <c r="P20" i="28"/>
  <c r="J24" i="40"/>
  <c r="J39" i="40" s="1"/>
  <c r="J40" i="28"/>
  <c r="L24" i="40"/>
  <c r="L39" i="40" s="1"/>
  <c r="L40" i="28"/>
  <c r="N23" i="28"/>
  <c r="C2" i="45" s="1"/>
  <c r="B23" i="40"/>
  <c r="B40" i="28"/>
  <c r="C23" i="40"/>
  <c r="C40" i="28"/>
  <c r="N21" i="39"/>
  <c r="AD4" i="39" s="1"/>
  <c r="AE4" i="39" s="1"/>
  <c r="H36" i="40"/>
  <c r="N36" i="40" s="1"/>
  <c r="N37" i="28"/>
  <c r="C16" i="45" s="1"/>
  <c r="I28" i="40"/>
  <c r="N28" i="28"/>
  <c r="C7" i="45" s="1"/>
  <c r="F7" i="45" s="1"/>
  <c r="G7" i="45" s="1"/>
  <c r="B26" i="40"/>
  <c r="N26" i="28"/>
  <c r="C5" i="45" s="1"/>
  <c r="I27" i="40"/>
  <c r="I40" i="28"/>
  <c r="G26" i="40"/>
  <c r="G39" i="40" s="1"/>
  <c r="G40" i="28"/>
  <c r="B25" i="40"/>
  <c r="N25" i="40" s="1"/>
  <c r="N25" i="28"/>
  <c r="C4" i="45" s="1"/>
  <c r="B27" i="40"/>
  <c r="N27" i="28"/>
  <c r="C6" i="45" s="1"/>
  <c r="T83" i="19"/>
  <c r="F24" i="40"/>
  <c r="N24" i="28"/>
  <c r="C3" i="45" s="1"/>
  <c r="F3" i="45" s="1"/>
  <c r="G3" i="45" s="1"/>
  <c r="K24" i="40"/>
  <c r="K39" i="40" s="1"/>
  <c r="K40" i="28"/>
  <c r="P3" i="40"/>
  <c r="O3" i="40"/>
  <c r="N20" i="40"/>
  <c r="B30" i="40"/>
  <c r="N30" i="40" s="1"/>
  <c r="N30" i="28"/>
  <c r="C9" i="45" s="1"/>
  <c r="E38" i="40"/>
  <c r="N38" i="40" s="1"/>
  <c r="N39" i="28"/>
  <c r="C18" i="45" s="1"/>
  <c r="F18" i="45" s="1"/>
  <c r="G18" i="45" s="1"/>
  <c r="F23" i="40"/>
  <c r="F40" i="28"/>
  <c r="P4" i="40"/>
  <c r="O4" i="40"/>
  <c r="B21" i="39"/>
  <c r="N38" i="28"/>
  <c r="C17" i="45" s="1"/>
  <c r="F17" i="45" s="1"/>
  <c r="G17" i="45" s="1"/>
  <c r="C37" i="40"/>
  <c r="N37" i="40" s="1"/>
  <c r="E29" i="40"/>
  <c r="E40" i="28"/>
  <c r="N29" i="28"/>
  <c r="C8" i="45" s="1"/>
  <c r="E35" i="40"/>
  <c r="N35" i="40" s="1"/>
  <c r="N36" i="28"/>
  <c r="C15" i="45" s="1"/>
  <c r="B31" i="40"/>
  <c r="N31" i="40" s="1"/>
  <c r="N32" i="28"/>
  <c r="C11" i="45" s="1"/>
  <c r="M28" i="40"/>
  <c r="M39" i="40" s="1"/>
  <c r="M40" i="28"/>
  <c r="N33" i="28"/>
  <c r="C12" i="45" s="1"/>
  <c r="B32" i="40"/>
  <c r="N32" i="40" s="1"/>
  <c r="B34" i="40"/>
  <c r="N34" i="40" s="1"/>
  <c r="N35" i="28"/>
  <c r="C14" i="45" s="1"/>
  <c r="H40" i="28"/>
  <c r="H23" i="40"/>
  <c r="F33" i="40"/>
  <c r="N33" i="40" s="1"/>
  <c r="N34" i="28"/>
  <c r="C13" i="45" s="1"/>
  <c r="F13" i="45" s="1"/>
  <c r="G13" i="45" s="1"/>
  <c r="P58" i="40"/>
  <c r="O58" i="40"/>
  <c r="F6" i="45" l="1"/>
  <c r="G6" i="45" s="1"/>
  <c r="O31" i="28"/>
  <c r="P31" i="28"/>
  <c r="F4" i="45"/>
  <c r="G4" i="45" s="1"/>
  <c r="F8" i="45"/>
  <c r="G8" i="45" s="1"/>
  <c r="F9" i="45"/>
  <c r="G9" i="45" s="1"/>
  <c r="F15" i="45"/>
  <c r="G15" i="45" s="1"/>
  <c r="F16" i="45"/>
  <c r="G16" i="45" s="1"/>
  <c r="F5" i="45"/>
  <c r="G5" i="45" s="1"/>
  <c r="F11" i="45"/>
  <c r="G11" i="45" s="1"/>
  <c r="F14" i="45"/>
  <c r="G14" i="45" s="1"/>
  <c r="O67" i="40"/>
  <c r="P67" i="40"/>
  <c r="F10" i="45"/>
  <c r="G10" i="45" s="1"/>
  <c r="P73" i="40"/>
  <c r="O73" i="40"/>
  <c r="H21" i="39"/>
  <c r="O70" i="40"/>
  <c r="P70" i="40"/>
  <c r="P69" i="40"/>
  <c r="O69" i="40"/>
  <c r="N77" i="40"/>
  <c r="P80" i="28"/>
  <c r="O80" i="28"/>
  <c r="O72" i="40"/>
  <c r="P72" i="40"/>
  <c r="I10" i="45"/>
  <c r="E19" i="45"/>
  <c r="F12" i="45"/>
  <c r="G12" i="45" s="1"/>
  <c r="C39" i="40"/>
  <c r="N27" i="40"/>
  <c r="O27" i="40" s="1"/>
  <c r="I39" i="40"/>
  <c r="C19" i="45"/>
  <c r="C20" i="45" s="1"/>
  <c r="F2" i="45"/>
  <c r="F39" i="40"/>
  <c r="R4" i="39"/>
  <c r="S4" i="39" s="1"/>
  <c r="V4" i="39" s="1"/>
  <c r="AD20" i="39"/>
  <c r="AE20" i="39" s="1"/>
  <c r="AF20" i="39" s="1"/>
  <c r="AK20" i="39" s="1"/>
  <c r="R20" i="39"/>
  <c r="S20" i="39" s="1"/>
  <c r="Z20" i="39" s="1"/>
  <c r="O20" i="40"/>
  <c r="P20" i="40"/>
  <c r="O32" i="28"/>
  <c r="D13" i="39" s="1"/>
  <c r="J13" i="39" s="1"/>
  <c r="P32" i="28"/>
  <c r="O31" i="40"/>
  <c r="P31" i="40"/>
  <c r="P33" i="40"/>
  <c r="O33" i="40"/>
  <c r="P35" i="40"/>
  <c r="O35" i="40"/>
  <c r="O24" i="28"/>
  <c r="D6" i="39" s="1"/>
  <c r="J6" i="39" s="1"/>
  <c r="P24" i="28"/>
  <c r="R21" i="39"/>
  <c r="AD21" i="39"/>
  <c r="AD7" i="39"/>
  <c r="AE7" i="39" s="1"/>
  <c r="R7" i="39"/>
  <c r="S7" i="39" s="1"/>
  <c r="AD15" i="39"/>
  <c r="AE15" i="39" s="1"/>
  <c r="R15" i="39"/>
  <c r="S15" i="39" s="1"/>
  <c r="AD8" i="39"/>
  <c r="AE8" i="39" s="1"/>
  <c r="AD11" i="39"/>
  <c r="AE11" i="39" s="1"/>
  <c r="AD14" i="39"/>
  <c r="AE14" i="39" s="1"/>
  <c r="R14" i="39"/>
  <c r="S14" i="39" s="1"/>
  <c r="R12" i="39"/>
  <c r="S12" i="39" s="1"/>
  <c r="R13" i="39"/>
  <c r="S13" i="39" s="1"/>
  <c r="R19" i="39"/>
  <c r="S19" i="39" s="1"/>
  <c r="AD12" i="39"/>
  <c r="AE12" i="39" s="1"/>
  <c r="AD13" i="39"/>
  <c r="AE13" i="39" s="1"/>
  <c r="AD19" i="39"/>
  <c r="AE19" i="39" s="1"/>
  <c r="AD16" i="39"/>
  <c r="AE16" i="39" s="1"/>
  <c r="AD9" i="39"/>
  <c r="AE9" i="39" s="1"/>
  <c r="AD17" i="39"/>
  <c r="AE17" i="39" s="1"/>
  <c r="R18" i="39"/>
  <c r="S18" i="39" s="1"/>
  <c r="R8" i="39"/>
  <c r="S8" i="39" s="1"/>
  <c r="R11" i="39"/>
  <c r="S11" i="39" s="1"/>
  <c r="R10" i="39"/>
  <c r="S10" i="39" s="1"/>
  <c r="R5" i="39"/>
  <c r="S5" i="39" s="1"/>
  <c r="R16" i="39"/>
  <c r="S16" i="39" s="1"/>
  <c r="R9" i="39"/>
  <c r="S9" i="39" s="1"/>
  <c r="R17" i="39"/>
  <c r="S17" i="39" s="1"/>
  <c r="AD5" i="39"/>
  <c r="AE5" i="39" s="1"/>
  <c r="R6" i="39"/>
  <c r="S6" i="39" s="1"/>
  <c r="AD6" i="39"/>
  <c r="AE6" i="39" s="1"/>
  <c r="AD18" i="39"/>
  <c r="AE18" i="39" s="1"/>
  <c r="AD10" i="39"/>
  <c r="AE10" i="39" s="1"/>
  <c r="O30" i="40"/>
  <c r="P30" i="40"/>
  <c r="O25" i="28"/>
  <c r="D7" i="39" s="1"/>
  <c r="J7" i="39" s="1"/>
  <c r="P25" i="28"/>
  <c r="O25" i="40"/>
  <c r="P25" i="40"/>
  <c r="O34" i="28"/>
  <c r="D15" i="39" s="1"/>
  <c r="J15" i="39" s="1"/>
  <c r="P34" i="28"/>
  <c r="H39" i="40"/>
  <c r="O26" i="28"/>
  <c r="D8" i="39" s="1"/>
  <c r="J8" i="39" s="1"/>
  <c r="P26" i="28"/>
  <c r="O39" i="28"/>
  <c r="D20" i="39" s="1"/>
  <c r="J20" i="39" s="1"/>
  <c r="P39" i="28"/>
  <c r="N26" i="40"/>
  <c r="O38" i="28"/>
  <c r="D19" i="39" s="1"/>
  <c r="J19" i="39" s="1"/>
  <c r="P38" i="28"/>
  <c r="O37" i="28"/>
  <c r="D18" i="39" s="1"/>
  <c r="J18" i="39" s="1"/>
  <c r="P37" i="28"/>
  <c r="AJ4" i="39"/>
  <c r="AF4" i="39"/>
  <c r="AX4" i="39"/>
  <c r="O36" i="28"/>
  <c r="D17" i="39" s="1"/>
  <c r="J17" i="39" s="1"/>
  <c r="P36" i="28"/>
  <c r="N24" i="40"/>
  <c r="P34" i="40"/>
  <c r="O34" i="40"/>
  <c r="E39" i="40"/>
  <c r="N29" i="40"/>
  <c r="O38" i="40"/>
  <c r="P38" i="40"/>
  <c r="O28" i="28"/>
  <c r="D10" i="39" s="1"/>
  <c r="J10" i="39" s="1"/>
  <c r="P28" i="28"/>
  <c r="N23" i="40"/>
  <c r="B39" i="40"/>
  <c r="O33" i="28"/>
  <c r="D14" i="39" s="1"/>
  <c r="J14" i="39" s="1"/>
  <c r="P33" i="28"/>
  <c r="O36" i="40"/>
  <c r="P36" i="40"/>
  <c r="O29" i="28"/>
  <c r="D11" i="39" s="1"/>
  <c r="J11" i="39" s="1"/>
  <c r="P29" i="28"/>
  <c r="O35" i="28"/>
  <c r="D16" i="39" s="1"/>
  <c r="J16" i="39" s="1"/>
  <c r="P35" i="28"/>
  <c r="P32" i="40"/>
  <c r="O32" i="40"/>
  <c r="O37" i="40"/>
  <c r="P37" i="40"/>
  <c r="O30" i="28"/>
  <c r="D12" i="39" s="1"/>
  <c r="J12" i="39" s="1"/>
  <c r="P30" i="28"/>
  <c r="O27" i="28"/>
  <c r="D9" i="39" s="1"/>
  <c r="J9" i="39" s="1"/>
  <c r="P27" i="28"/>
  <c r="N28" i="40"/>
  <c r="O23" i="28"/>
  <c r="D5" i="39" s="1"/>
  <c r="N40" i="28"/>
  <c r="P23" i="28"/>
  <c r="AJ20" i="39" l="1"/>
  <c r="Z4" i="39"/>
  <c r="X4" i="39" s="1"/>
  <c r="T4" i="39"/>
  <c r="O77" i="40"/>
  <c r="P77" i="40"/>
  <c r="E20" i="45"/>
  <c r="I19" i="45"/>
  <c r="P27" i="40"/>
  <c r="F19" i="45"/>
  <c r="G2" i="45"/>
  <c r="S21" i="39"/>
  <c r="T20" i="39"/>
  <c r="AX20" i="39"/>
  <c r="V20" i="39"/>
  <c r="X20" i="39" s="1"/>
  <c r="T14" i="39"/>
  <c r="Z14" i="39"/>
  <c r="V14" i="39"/>
  <c r="V8" i="39"/>
  <c r="Z8" i="39"/>
  <c r="T8" i="39"/>
  <c r="AF14" i="39"/>
  <c r="AK14" i="39" s="1"/>
  <c r="AX14" i="39"/>
  <c r="AJ14" i="39"/>
  <c r="AX10" i="39"/>
  <c r="AF10" i="39"/>
  <c r="AK10" i="39" s="1"/>
  <c r="AJ10" i="39"/>
  <c r="T18" i="39"/>
  <c r="V18" i="39"/>
  <c r="Z18" i="39"/>
  <c r="AF11" i="39"/>
  <c r="AK11" i="39" s="1"/>
  <c r="AJ11" i="39"/>
  <c r="AX11" i="39"/>
  <c r="V9" i="39"/>
  <c r="Z9" i="39"/>
  <c r="T9" i="39"/>
  <c r="V19" i="39"/>
  <c r="T19" i="39"/>
  <c r="Z19" i="39"/>
  <c r="T10" i="39"/>
  <c r="V10" i="39"/>
  <c r="Z10" i="39"/>
  <c r="P28" i="40"/>
  <c r="O28" i="40"/>
  <c r="AF17" i="39"/>
  <c r="AK17" i="39" s="1"/>
  <c r="AX17" i="39"/>
  <c r="AJ17" i="39"/>
  <c r="AQ4" i="39"/>
  <c r="AX6" i="39"/>
  <c r="AF6" i="39"/>
  <c r="AK6" i="39" s="1"/>
  <c r="AJ6" i="39"/>
  <c r="Z15" i="39"/>
  <c r="T15" i="39"/>
  <c r="V15" i="39"/>
  <c r="AE21" i="39"/>
  <c r="V6" i="39"/>
  <c r="T6" i="39"/>
  <c r="Z6" i="39"/>
  <c r="AX16" i="39"/>
  <c r="AF16" i="39"/>
  <c r="AK16" i="39" s="1"/>
  <c r="AJ16" i="39"/>
  <c r="AF15" i="39"/>
  <c r="AK15" i="39" s="1"/>
  <c r="AX15" i="39"/>
  <c r="AJ15" i="39"/>
  <c r="V16" i="39"/>
  <c r="Z16" i="39"/>
  <c r="T16" i="39"/>
  <c r="T12" i="39"/>
  <c r="Z12" i="39"/>
  <c r="V12" i="39"/>
  <c r="AF8" i="39"/>
  <c r="AK8" i="39" s="1"/>
  <c r="AX8" i="39"/>
  <c r="AJ8" i="39"/>
  <c r="AK4" i="39"/>
  <c r="AF5" i="39"/>
  <c r="AK5" i="39" s="1"/>
  <c r="AJ5" i="39"/>
  <c r="AX5" i="39"/>
  <c r="AX19" i="39"/>
  <c r="AJ19" i="39"/>
  <c r="AF19" i="39"/>
  <c r="AK19" i="39" s="1"/>
  <c r="Z7" i="39"/>
  <c r="T7" i="39"/>
  <c r="V7" i="39"/>
  <c r="P29" i="40"/>
  <c r="O29" i="40"/>
  <c r="D21" i="39"/>
  <c r="J5" i="39"/>
  <c r="P26" i="40"/>
  <c r="O26" i="40"/>
  <c r="Z11" i="39"/>
  <c r="T11" i="39"/>
  <c r="V11" i="39"/>
  <c r="AX18" i="39"/>
  <c r="AJ18" i="39"/>
  <c r="AF18" i="39"/>
  <c r="AK18" i="39" s="1"/>
  <c r="P23" i="40"/>
  <c r="O23" i="40"/>
  <c r="N39" i="40"/>
  <c r="AX9" i="39"/>
  <c r="AJ9" i="39"/>
  <c r="AF9" i="39"/>
  <c r="AK9" i="39" s="1"/>
  <c r="Z17" i="39"/>
  <c r="V17" i="39"/>
  <c r="T17" i="39"/>
  <c r="AF13" i="39"/>
  <c r="AK13" i="39" s="1"/>
  <c r="AX13" i="39"/>
  <c r="AJ13" i="39"/>
  <c r="AX7" i="39"/>
  <c r="AJ7" i="39"/>
  <c r="AF7" i="39"/>
  <c r="AK7" i="39" s="1"/>
  <c r="T5" i="39"/>
  <c r="Z5" i="39"/>
  <c r="V5" i="39"/>
  <c r="Z13" i="39"/>
  <c r="V13" i="39"/>
  <c r="T13" i="39"/>
  <c r="AJ12" i="39"/>
  <c r="AX12" i="39"/>
  <c r="AF12" i="39"/>
  <c r="AK12" i="39" s="1"/>
  <c r="O40" i="28"/>
  <c r="O1" i="28" s="1"/>
  <c r="P40" i="28"/>
  <c r="P1" i="28" s="1"/>
  <c r="O24" i="40"/>
  <c r="P24" i="40"/>
  <c r="AQ20" i="39" l="1"/>
  <c r="AR20" i="39" s="1"/>
  <c r="AQ11" i="39"/>
  <c r="AR11" i="39" s="1"/>
  <c r="X16" i="39"/>
  <c r="H18" i="45"/>
  <c r="F20" i="45"/>
  <c r="G19" i="45"/>
  <c r="Z21" i="39"/>
  <c r="Y23" i="39" s="1"/>
  <c r="AQ6" i="39"/>
  <c r="AR6" i="39" s="1"/>
  <c r="AQ9" i="39"/>
  <c r="AR9" i="39" s="1"/>
  <c r="X11" i="39"/>
  <c r="X10" i="39"/>
  <c r="X18" i="39"/>
  <c r="V21" i="39"/>
  <c r="U23" i="39" s="1"/>
  <c r="AX21" i="39"/>
  <c r="AQ19" i="39"/>
  <c r="AR19" i="39" s="1"/>
  <c r="AJ21" i="39"/>
  <c r="AQ7" i="39"/>
  <c r="AR7" i="39" s="1"/>
  <c r="AQ8" i="39"/>
  <c r="AR8" i="39" s="1"/>
  <c r="AQ10" i="39"/>
  <c r="AR10" i="39" s="1"/>
  <c r="AQ13" i="39"/>
  <c r="AR13" i="39" s="1"/>
  <c r="T21" i="39"/>
  <c r="Q23" i="39" s="1"/>
  <c r="X7" i="39"/>
  <c r="X12" i="39"/>
  <c r="X9" i="39"/>
  <c r="AK21" i="39"/>
  <c r="AQ17" i="39"/>
  <c r="X5" i="39"/>
  <c r="AQ18" i="39"/>
  <c r="AQ15" i="39"/>
  <c r="X15" i="39"/>
  <c r="X13" i="39"/>
  <c r="J21" i="39"/>
  <c r="AA5" i="39" s="1"/>
  <c r="AB5" i="39" s="1"/>
  <c r="X17" i="39"/>
  <c r="AQ16" i="39"/>
  <c r="AR4" i="39"/>
  <c r="X6" i="39"/>
  <c r="X14" i="39"/>
  <c r="AF21" i="39"/>
  <c r="AQ14" i="39"/>
  <c r="AQ12" i="39"/>
  <c r="P39" i="40"/>
  <c r="P1" i="40" s="1"/>
  <c r="O39" i="40"/>
  <c r="O1" i="40" s="1"/>
  <c r="AQ5" i="39"/>
  <c r="X19" i="39"/>
  <c r="X8" i="39"/>
  <c r="X21" i="39" l="1"/>
  <c r="W23" i="39" s="1"/>
  <c r="AR16" i="39"/>
  <c r="AR5" i="39"/>
  <c r="AG5" i="39"/>
  <c r="AC5" i="39"/>
  <c r="AW5" i="39"/>
  <c r="AR12" i="39"/>
  <c r="AR18" i="39"/>
  <c r="AA4" i="39"/>
  <c r="AB4" i="39" s="1"/>
  <c r="AA21" i="39"/>
  <c r="AA11" i="39"/>
  <c r="AB11" i="39" s="1"/>
  <c r="AA12" i="39"/>
  <c r="AB12" i="39" s="1"/>
  <c r="AA7" i="39"/>
  <c r="AB7" i="39" s="1"/>
  <c r="AA13" i="39"/>
  <c r="AB13" i="39" s="1"/>
  <c r="AA10" i="39"/>
  <c r="AB10" i="39" s="1"/>
  <c r="AA20" i="39"/>
  <c r="AB20" i="39" s="1"/>
  <c r="AA16" i="39"/>
  <c r="AB16" i="39" s="1"/>
  <c r="AA19" i="39"/>
  <c r="AB19" i="39" s="1"/>
  <c r="AA18" i="39"/>
  <c r="AB18" i="39" s="1"/>
  <c r="AA9" i="39"/>
  <c r="AB9" i="39" s="1"/>
  <c r="AA8" i="39"/>
  <c r="AB8" i="39" s="1"/>
  <c r="AA15" i="39"/>
  <c r="AB15" i="39" s="1"/>
  <c r="AA6" i="39"/>
  <c r="AB6" i="39" s="1"/>
  <c r="AA17" i="39"/>
  <c r="AB17" i="39" s="1"/>
  <c r="AA14" i="39"/>
  <c r="AB14" i="39" s="1"/>
  <c r="AR14" i="39"/>
  <c r="AR17" i="39"/>
  <c r="AQ21" i="39"/>
  <c r="AR15" i="39"/>
  <c r="AO5" i="39" l="1"/>
  <c r="AP5" i="39" s="1"/>
  <c r="AS5" i="39" s="1"/>
  <c r="AT5" i="39" s="1"/>
  <c r="AR21" i="39"/>
  <c r="AG18" i="39"/>
  <c r="AC18" i="39"/>
  <c r="AW18" i="39"/>
  <c r="AW7" i="39"/>
  <c r="AG7" i="39"/>
  <c r="AC7" i="39"/>
  <c r="AH5" i="39"/>
  <c r="AL5" i="39"/>
  <c r="AG20" i="39"/>
  <c r="AC20" i="39"/>
  <c r="AW20" i="39"/>
  <c r="AC13" i="39"/>
  <c r="AG13" i="39"/>
  <c r="AW13" i="39"/>
  <c r="AW12" i="39"/>
  <c r="AG12" i="39"/>
  <c r="AC12" i="39"/>
  <c r="AW16" i="39"/>
  <c r="AG16" i="39"/>
  <c r="AC16" i="39"/>
  <c r="AY5" i="39"/>
  <c r="AI5" i="39"/>
  <c r="AC14" i="39"/>
  <c r="AG14" i="39"/>
  <c r="AW14" i="39"/>
  <c r="AC17" i="39"/>
  <c r="AW17" i="39"/>
  <c r="AG17" i="39"/>
  <c r="AC6" i="39"/>
  <c r="AW6" i="39"/>
  <c r="AG6" i="39"/>
  <c r="AG11" i="39"/>
  <c r="AC11" i="39"/>
  <c r="AW11" i="39"/>
  <c r="AW9" i="39"/>
  <c r="AC9" i="39"/>
  <c r="AG9" i="39"/>
  <c r="AC10" i="39"/>
  <c r="AG10" i="39"/>
  <c r="AW10" i="39"/>
  <c r="AG15" i="39"/>
  <c r="AW15" i="39"/>
  <c r="AC15" i="39"/>
  <c r="AG19" i="39"/>
  <c r="AW19" i="39"/>
  <c r="AC19" i="39"/>
  <c r="AG8" i="39"/>
  <c r="AW8" i="39"/>
  <c r="AC8" i="39"/>
  <c r="AB21" i="39"/>
  <c r="AC4" i="39"/>
  <c r="AW4" i="39"/>
  <c r="AG4" i="39"/>
  <c r="AO19" i="39" l="1"/>
  <c r="AP19" i="39" s="1"/>
  <c r="AS19" i="39" s="1"/>
  <c r="AT19" i="39" s="1"/>
  <c r="AO15" i="39"/>
  <c r="AP15" i="39" s="1"/>
  <c r="AS15" i="39" s="1"/>
  <c r="AT15" i="39" s="1"/>
  <c r="AO8" i="39"/>
  <c r="AP8" i="39" s="1"/>
  <c r="AS8" i="39" s="1"/>
  <c r="AT8" i="39" s="1"/>
  <c r="AO10" i="39"/>
  <c r="AP10" i="39" s="1"/>
  <c r="AS10" i="39" s="1"/>
  <c r="AT10" i="39" s="1"/>
  <c r="AO7" i="39"/>
  <c r="AP7" i="39" s="1"/>
  <c r="AS7" i="39" s="1"/>
  <c r="AT7" i="39" s="1"/>
  <c r="AO14" i="39"/>
  <c r="AP14" i="39" s="1"/>
  <c r="AS14" i="39" s="1"/>
  <c r="AT14" i="39" s="1"/>
  <c r="AO18" i="39"/>
  <c r="AP18" i="39" s="1"/>
  <c r="AS18" i="39" s="1"/>
  <c r="AT18" i="39" s="1"/>
  <c r="AO13" i="39"/>
  <c r="AP13" i="39" s="1"/>
  <c r="AO17" i="39"/>
  <c r="AY10" i="39"/>
  <c r="AI10" i="39"/>
  <c r="AY8" i="39"/>
  <c r="AI8" i="39"/>
  <c r="AL9" i="39"/>
  <c r="AH9" i="39"/>
  <c r="AL13" i="39"/>
  <c r="AH13" i="39"/>
  <c r="AI9" i="39"/>
  <c r="AY9" i="39"/>
  <c r="AH14" i="39"/>
  <c r="AL14" i="39"/>
  <c r="AY13" i="39"/>
  <c r="AI13" i="39"/>
  <c r="AH8" i="39"/>
  <c r="AL8" i="39"/>
  <c r="AO9" i="39"/>
  <c r="AI14" i="39"/>
  <c r="AY14" i="39"/>
  <c r="AO20" i="39"/>
  <c r="AI19" i="39"/>
  <c r="AY19" i="39"/>
  <c r="AO11" i="39"/>
  <c r="AI20" i="39"/>
  <c r="AY20" i="39"/>
  <c r="AW21" i="39"/>
  <c r="AO4" i="39"/>
  <c r="AL17" i="39"/>
  <c r="AH17" i="39"/>
  <c r="AH12" i="39"/>
  <c r="AL12" i="39"/>
  <c r="AY4" i="39"/>
  <c r="AC21" i="39"/>
  <c r="AC23" i="39" s="1"/>
  <c r="AI4" i="39"/>
  <c r="AL10" i="39"/>
  <c r="AH10" i="39"/>
  <c r="AO12" i="39"/>
  <c r="AI17" i="39"/>
  <c r="AY17" i="39"/>
  <c r="AI18" i="39"/>
  <c r="AY18" i="39"/>
  <c r="AL18" i="39"/>
  <c r="AH18" i="39"/>
  <c r="AI11" i="39"/>
  <c r="AY11" i="39"/>
  <c r="AH20" i="39"/>
  <c r="AL20" i="39"/>
  <c r="AL19" i="39"/>
  <c r="AH19" i="39"/>
  <c r="AH11" i="39"/>
  <c r="AL11" i="39"/>
  <c r="AI16" i="39"/>
  <c r="AY16" i="39"/>
  <c r="AM5" i="39"/>
  <c r="AU5" i="39"/>
  <c r="AI15" i="39"/>
  <c r="AY15" i="39"/>
  <c r="AH6" i="39"/>
  <c r="AL6" i="39"/>
  <c r="AH16" i="39"/>
  <c r="AL16" i="39"/>
  <c r="AO6" i="39"/>
  <c r="AO16" i="39"/>
  <c r="AI7" i="39"/>
  <c r="AY7" i="39"/>
  <c r="AG21" i="39"/>
  <c r="AG25" i="39"/>
  <c r="AH4" i="39"/>
  <c r="AL4" i="39"/>
  <c r="AH15" i="39"/>
  <c r="AL15" i="39"/>
  <c r="AI6" i="39"/>
  <c r="AY6" i="39"/>
  <c r="AY12" i="39"/>
  <c r="AI12" i="39"/>
  <c r="AH7" i="39"/>
  <c r="AL7" i="39"/>
  <c r="AS13" i="39" l="1"/>
  <c r="AT13" i="39" s="1"/>
  <c r="BG5" i="39"/>
  <c r="BH5" i="39" s="1"/>
  <c r="AP11" i="39"/>
  <c r="AS11" i="39" s="1"/>
  <c r="AT11" i="39" s="1"/>
  <c r="AM14" i="39"/>
  <c r="AU14" i="39"/>
  <c r="AM10" i="39"/>
  <c r="AU10" i="39"/>
  <c r="AP6" i="39"/>
  <c r="AS6" i="39" s="1"/>
  <c r="AT6" i="39" s="1"/>
  <c r="AI21" i="39"/>
  <c r="AP12" i="39"/>
  <c r="AS12" i="39" s="1"/>
  <c r="AT12" i="39" s="1"/>
  <c r="AP20" i="39"/>
  <c r="AS20" i="39" s="1"/>
  <c r="AT20" i="39" s="1"/>
  <c r="AM16" i="39"/>
  <c r="AU16" i="39"/>
  <c r="AP17" i="39"/>
  <c r="AS17" i="39" s="1"/>
  <c r="AT17" i="39" s="1"/>
  <c r="BH25" i="39"/>
  <c r="BE25" i="39"/>
  <c r="BB25" i="39"/>
  <c r="AW23" i="39"/>
  <c r="AN5" i="39" s="1"/>
  <c r="AM7" i="39"/>
  <c r="AU7" i="39"/>
  <c r="AP16" i="39"/>
  <c r="AS16" i="39" s="1"/>
  <c r="AT16" i="39" s="1"/>
  <c r="AM18" i="39"/>
  <c r="AU18" i="39"/>
  <c r="AM15" i="39"/>
  <c r="AU15" i="39"/>
  <c r="AM12" i="39"/>
  <c r="AU12" i="39"/>
  <c r="AL21" i="39"/>
  <c r="AM4" i="39"/>
  <c r="AU4" i="39"/>
  <c r="AM6" i="39"/>
  <c r="AU6" i="39"/>
  <c r="AM19" i="39"/>
  <c r="AU19" i="39"/>
  <c r="AP9" i="39"/>
  <c r="AS9" i="39" s="1"/>
  <c r="AT9" i="39" s="1"/>
  <c r="AM13" i="39"/>
  <c r="AU13" i="39"/>
  <c r="AM11" i="39"/>
  <c r="AU11" i="39"/>
  <c r="AY21" i="39"/>
  <c r="AZ5" i="39" s="1"/>
  <c r="AH21" i="39"/>
  <c r="AM20" i="39"/>
  <c r="AU20" i="39"/>
  <c r="AM17" i="39"/>
  <c r="AU17" i="39"/>
  <c r="AM8" i="39"/>
  <c r="AU8" i="39"/>
  <c r="AP4" i="39"/>
  <c r="AS4" i="39" s="1"/>
  <c r="AT4" i="39" s="1"/>
  <c r="AO21" i="39"/>
  <c r="AM9" i="39"/>
  <c r="AU9" i="39"/>
  <c r="AG23" i="39" l="1"/>
  <c r="AN13" i="39"/>
  <c r="AN17" i="39"/>
  <c r="AN4" i="39"/>
  <c r="AN21" i="39"/>
  <c r="AN12" i="39"/>
  <c r="AN19" i="39"/>
  <c r="AN9" i="39"/>
  <c r="AN20" i="39"/>
  <c r="AN15" i="39"/>
  <c r="AN6" i="39"/>
  <c r="AN14" i="39"/>
  <c r="AN11" i="39"/>
  <c r="AN18" i="39"/>
  <c r="AN16" i="39"/>
  <c r="AN8" i="39"/>
  <c r="BB27" i="39"/>
  <c r="BB28" i="39" s="1"/>
  <c r="BC27" i="39"/>
  <c r="BC28" i="39" s="1"/>
  <c r="BA27" i="39"/>
  <c r="BG11" i="39"/>
  <c r="BH11" i="39" s="1"/>
  <c r="AV11" i="39"/>
  <c r="AZ7" i="39"/>
  <c r="BF27" i="39"/>
  <c r="BF28" i="39" s="1"/>
  <c r="BD27" i="39"/>
  <c r="BD28" i="39" s="1"/>
  <c r="BE27" i="39"/>
  <c r="BE28" i="39" s="1"/>
  <c r="AZ9" i="39"/>
  <c r="BG9" i="39"/>
  <c r="BH9" i="39" s="1"/>
  <c r="AV9" i="39"/>
  <c r="BG4" i="39"/>
  <c r="AU21" i="39"/>
  <c r="AV4" i="39"/>
  <c r="AZ14" i="39"/>
  <c r="AZ16" i="39"/>
  <c r="AZ19" i="39"/>
  <c r="AV14" i="39"/>
  <c r="BG14" i="39"/>
  <c r="BH14" i="39" s="1"/>
  <c r="AV6" i="39"/>
  <c r="BG6" i="39"/>
  <c r="BH6" i="39" s="1"/>
  <c r="BG18" i="39"/>
  <c r="BH18" i="39" s="1"/>
  <c r="AV18" i="39"/>
  <c r="AZ6" i="39"/>
  <c r="BG13" i="39"/>
  <c r="BH13" i="39" s="1"/>
  <c r="AV13" i="39"/>
  <c r="BG16" i="39"/>
  <c r="BH16" i="39" s="1"/>
  <c r="AV16" i="39"/>
  <c r="AZ11" i="39"/>
  <c r="BG7" i="39"/>
  <c r="BH7" i="39" s="1"/>
  <c r="AV7" i="39"/>
  <c r="AZ12" i="39"/>
  <c r="BG15" i="39"/>
  <c r="BH15" i="39" s="1"/>
  <c r="AV15" i="39"/>
  <c r="AZ10" i="39"/>
  <c r="AM21" i="39"/>
  <c r="AV12" i="39"/>
  <c r="BG12" i="39"/>
  <c r="BH12" i="39" s="1"/>
  <c r="BG10" i="39"/>
  <c r="BH10" i="39" s="1"/>
  <c r="AV10" i="39"/>
  <c r="AZ8" i="39"/>
  <c r="AV8" i="39"/>
  <c r="BG8" i="39"/>
  <c r="BH8" i="39" s="1"/>
  <c r="BH27" i="39"/>
  <c r="BH28" i="39" s="1"/>
  <c r="BG27" i="39"/>
  <c r="BG28" i="39" s="1"/>
  <c r="AZ20" i="39"/>
  <c r="BG20" i="39"/>
  <c r="BH20" i="39" s="1"/>
  <c r="AV20" i="39"/>
  <c r="AP21" i="39"/>
  <c r="AP23" i="39" s="1"/>
  <c r="AZ18" i="39"/>
  <c r="AN7" i="39"/>
  <c r="AN10" i="39"/>
  <c r="AZ13" i="39"/>
  <c r="AZ15" i="39"/>
  <c r="BG17" i="39"/>
  <c r="BH17" i="39" s="1"/>
  <c r="AV17" i="39"/>
  <c r="AO23" i="39"/>
  <c r="AQ25" i="39" s="1"/>
  <c r="AZ17" i="39"/>
  <c r="AZ4" i="39"/>
  <c r="BG19" i="39"/>
  <c r="BH19" i="39" s="1"/>
  <c r="AV19" i="39"/>
  <c r="AV5" i="39"/>
  <c r="AS21" i="39" l="1"/>
  <c r="AZ21" i="39"/>
  <c r="BG21" i="39"/>
  <c r="BH4" i="39"/>
  <c r="BH21" i="39" s="1"/>
  <c r="AP25" i="39"/>
  <c r="AO25" i="39"/>
  <c r="AS27" i="39"/>
  <c r="AT27" i="39"/>
  <c r="AU27" i="39"/>
  <c r="AV21" i="39"/>
  <c r="BA28" i="39"/>
  <c r="BJ28" i="39" s="1"/>
  <c r="BJ27" i="39"/>
  <c r="AS41" i="39" l="1"/>
  <c r="AV27" i="39"/>
  <c r="BG23" i="39" s="1"/>
  <c r="AS38" i="39"/>
  <c r="AS30" i="39"/>
  <c r="AS29" i="39"/>
  <c r="AS43" i="39"/>
  <c r="AS31" i="39"/>
  <c r="AS28" i="39"/>
  <c r="AS42" i="39"/>
  <c r="AS40" i="39"/>
  <c r="AS35" i="39"/>
  <c r="AS39" i="39"/>
  <c r="AS36" i="39"/>
  <c r="AS34" i="39"/>
  <c r="AS32" i="39"/>
  <c r="AS44" i="39"/>
  <c r="AS37" i="39"/>
  <c r="AS33" i="39"/>
  <c r="AU44" i="39"/>
  <c r="AU36" i="39"/>
  <c r="AU35" i="39"/>
  <c r="AU43" i="39"/>
  <c r="AU31" i="39"/>
  <c r="AU41" i="39"/>
  <c r="AU32" i="39"/>
  <c r="AU40" i="39"/>
  <c r="AU29" i="39"/>
  <c r="AU34" i="39"/>
  <c r="AU37" i="39"/>
  <c r="AU33" i="39"/>
  <c r="AU30" i="39"/>
  <c r="AU38" i="39"/>
  <c r="AU42" i="39"/>
  <c r="AU39" i="39"/>
  <c r="AU28" i="39"/>
  <c r="AT44" i="39"/>
  <c r="AT39" i="39"/>
  <c r="AT30" i="39"/>
  <c r="AT34" i="39"/>
  <c r="AT41" i="39"/>
  <c r="AT31" i="39"/>
  <c r="AT37" i="39"/>
  <c r="AT43" i="39"/>
  <c r="AT36" i="39"/>
  <c r="AT40" i="39"/>
  <c r="AT32" i="39"/>
  <c r="AT29" i="39"/>
  <c r="AT42" i="39"/>
  <c r="AT33" i="39"/>
  <c r="AT28" i="39"/>
  <c r="AT35" i="39"/>
  <c r="AT38" i="39"/>
  <c r="AV35" i="39" l="1"/>
  <c r="AV39" i="39"/>
  <c r="AV40" i="39"/>
  <c r="AV42" i="39"/>
  <c r="AV28" i="39"/>
  <c r="AV31" i="39"/>
  <c r="AV37" i="39"/>
  <c r="AV29" i="39"/>
  <c r="AV43" i="39"/>
  <c r="AV44" i="39"/>
  <c r="AV30" i="39"/>
  <c r="AV32" i="39"/>
  <c r="AV38" i="39"/>
  <c r="AV33" i="39"/>
  <c r="AV34" i="39"/>
  <c r="AV36" i="39"/>
  <c r="AV41" i="39"/>
  <c r="V12" i="29"/>
  <c r="W12" i="29" s="1"/>
  <c r="W11" i="29" s="1"/>
  <c r="X11" i="29" s="1"/>
  <c r="Y11" i="29" s="1"/>
  <c r="U12" i="29"/>
  <c r="K12" i="29"/>
  <c r="Z14" i="29" l="1"/>
  <c r="Z15" i="29"/>
  <c r="Z13" i="29"/>
  <c r="Z11" i="29" l="1"/>
  <c r="AA13" i="29" s="1"/>
  <c r="Z12" i="29"/>
  <c r="AA15" i="29" l="1"/>
  <c r="AA12" i="29"/>
  <c r="AA14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M87" authorId="0" shapeId="0" xr:uid="{3AB8C935-017E-4C47-916C-4FBE487E598D}">
      <text>
        <r>
          <rPr>
            <b/>
            <sz val="9"/>
            <color rgb="FF000000"/>
            <rFont val="Tahoma"/>
            <family val="2"/>
          </rPr>
          <t>Admin: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at 1L per day</t>
        </r>
      </text>
    </comment>
    <comment ref="L88" authorId="0" shapeId="0" xr:uid="{CFF7022A-D129-4A9F-BAEC-9925A00C40E7}">
      <text>
        <r>
          <rPr>
            <b/>
            <sz val="9"/>
            <color rgb="FF000000"/>
            <rFont val="Tahoma"/>
            <family val="2"/>
          </rPr>
          <t>Admin: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63 garungan pond - 218 hectare
</t>
        </r>
        <r>
          <rPr>
            <sz val="9"/>
            <color rgb="FF000000"/>
            <rFont val="Tahoma"/>
            <family val="2"/>
          </rPr>
          <t xml:space="preserve">14 grow out pond - 21.2299
</t>
        </r>
        <r>
          <rPr>
            <sz val="9"/>
            <color rgb="FF000000"/>
            <rFont val="Tahoma"/>
            <family val="2"/>
          </rPr>
          <t xml:space="preserve">5666 tilapia grow out - 403.605
</t>
        </r>
        <r>
          <rPr>
            <sz val="9"/>
            <color rgb="FF000000"/>
            <rFont val="Tahoma"/>
            <family val="2"/>
          </rPr>
          <t>48 shrimp grow out</t>
        </r>
      </text>
    </comment>
    <comment ref="M88" authorId="0" shapeId="0" xr:uid="{E9C9F253-671E-4A22-8943-E9AD870D102A}">
      <text>
        <r>
          <rPr>
            <b/>
            <sz val="9"/>
            <color rgb="FF000000"/>
            <rFont val="Tahoma"/>
            <family val="2"/>
          </rPr>
          <t>Admin: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 
</t>
        </r>
        <r>
          <rPr>
            <sz val="9"/>
            <color rgb="FF000000"/>
            <rFont val="Tahoma"/>
            <family val="2"/>
          </rPr>
          <t xml:space="preserve">1L/day
</t>
        </r>
      </text>
    </comment>
  </commentList>
</comments>
</file>

<file path=xl/sharedStrings.xml><?xml version="1.0" encoding="utf-8"?>
<sst xmlns="http://schemas.openxmlformats.org/spreadsheetml/2006/main" count="11210" uniqueCount="787">
  <si>
    <t>Row Labels</t>
  </si>
  <si>
    <t>Crop Care and Management</t>
  </si>
  <si>
    <t>Drying</t>
  </si>
  <si>
    <t>Harvesting</t>
  </si>
  <si>
    <t>Hauling/Transport</t>
  </si>
  <si>
    <t>Irrigation</t>
  </si>
  <si>
    <t>Land Preparation</t>
  </si>
  <si>
    <t>Planting</t>
  </si>
  <si>
    <t>Processing</t>
  </si>
  <si>
    <t>Grand Total</t>
  </si>
  <si>
    <t>Batanes</t>
  </si>
  <si>
    <t>Ilocos Norte</t>
  </si>
  <si>
    <t>Ilocos Sur</t>
  </si>
  <si>
    <t>La Union</t>
  </si>
  <si>
    <t>Pangasinan</t>
  </si>
  <si>
    <t>Cagayan</t>
  </si>
  <si>
    <t>Isabela</t>
  </si>
  <si>
    <t>Nueva Vizcaya</t>
  </si>
  <si>
    <t>Quirino</t>
  </si>
  <si>
    <t>Aurora</t>
  </si>
  <si>
    <t>Bataan</t>
  </si>
  <si>
    <t>Bulacan</t>
  </si>
  <si>
    <t>Nueva Ecija</t>
  </si>
  <si>
    <t>Pampanga</t>
  </si>
  <si>
    <t>Tarlac</t>
  </si>
  <si>
    <t>Zambales</t>
  </si>
  <si>
    <t>Laguna</t>
  </si>
  <si>
    <t>Marinduque</t>
  </si>
  <si>
    <t>Occidental Mindoro</t>
  </si>
  <si>
    <t>Oriental Mindoro</t>
  </si>
  <si>
    <t>Palawan</t>
  </si>
  <si>
    <t>Romblon</t>
  </si>
  <si>
    <t>Albay</t>
  </si>
  <si>
    <t>Camarines Norte</t>
  </si>
  <si>
    <t>Camarines Sur</t>
  </si>
  <si>
    <t>Catanduanes</t>
  </si>
  <si>
    <t>Masbate</t>
  </si>
  <si>
    <t>Sorsogon</t>
  </si>
  <si>
    <t>Aklan</t>
  </si>
  <si>
    <t>Antique</t>
  </si>
  <si>
    <t>Capiz</t>
  </si>
  <si>
    <t>Guimaras</t>
  </si>
  <si>
    <t>Iloilo</t>
  </si>
  <si>
    <t>Negros Occidental</t>
  </si>
  <si>
    <t>Biliran</t>
  </si>
  <si>
    <t>Samar</t>
  </si>
  <si>
    <t>Southern Leyte</t>
  </si>
  <si>
    <t>Zamboanga Sibugay</t>
  </si>
  <si>
    <t>Camiguin</t>
  </si>
  <si>
    <t>Sarangani</t>
  </si>
  <si>
    <t>South Cotabato</t>
  </si>
  <si>
    <t>Sultan Kudarat</t>
  </si>
  <si>
    <t>Dinagat Islands</t>
  </si>
  <si>
    <t>Maguindanao</t>
  </si>
  <si>
    <t>Four-Wheel Tractor</t>
  </si>
  <si>
    <t>Bukidnon</t>
  </si>
  <si>
    <t>Multi-crop Dryer</t>
  </si>
  <si>
    <t>Quezon</t>
  </si>
  <si>
    <t>Rice Thresher</t>
  </si>
  <si>
    <t>Misamis Occidental</t>
  </si>
  <si>
    <t>Walking-type Agricultural Tractor: Pull type</t>
  </si>
  <si>
    <t>Rice Combine Harvester</t>
  </si>
  <si>
    <t>Transplanter: Walk-behind Type</t>
  </si>
  <si>
    <t>Chipping Machine</t>
  </si>
  <si>
    <t>Batangas</t>
  </si>
  <si>
    <t>Cassava Granulator</t>
  </si>
  <si>
    <t>Multicrop Grater</t>
  </si>
  <si>
    <t>Multipupose Pulverizer</t>
  </si>
  <si>
    <t>Corn Mill</t>
  </si>
  <si>
    <t>Corn Combine harvester</t>
  </si>
  <si>
    <t>Forage/Silage Chopper</t>
  </si>
  <si>
    <t>Hammer Mill</t>
  </si>
  <si>
    <t>Cavite</t>
  </si>
  <si>
    <t>Corn Sheller</t>
  </si>
  <si>
    <t>Rizal</t>
  </si>
  <si>
    <t>Pump and Engine Set</t>
  </si>
  <si>
    <t>Mechanical Dryer (Mobile)</t>
  </si>
  <si>
    <t>Bohol</t>
  </si>
  <si>
    <t>Cebu</t>
  </si>
  <si>
    <t>Negros Oriental</t>
  </si>
  <si>
    <t>Siquijor</t>
  </si>
  <si>
    <t>Misamis Oriental</t>
  </si>
  <si>
    <t>Corn Picker</t>
  </si>
  <si>
    <t>Davao Occidental</t>
  </si>
  <si>
    <t>Ifugao</t>
  </si>
  <si>
    <t>Apayao</t>
  </si>
  <si>
    <t>Kalinga</t>
  </si>
  <si>
    <t>Mountain Province</t>
  </si>
  <si>
    <t>Abra</t>
  </si>
  <si>
    <t>Recirculating Dryer</t>
  </si>
  <si>
    <t>Multi-crop Combine Harvester</t>
  </si>
  <si>
    <t>Leyte</t>
  </si>
  <si>
    <t>Eastern Samar</t>
  </si>
  <si>
    <t>Irrigation Pump</t>
  </si>
  <si>
    <t>Northern Samar</t>
  </si>
  <si>
    <t>Shredder</t>
  </si>
  <si>
    <t>Davao Oriental</t>
  </si>
  <si>
    <t>Transplanter: Ride-on Type</t>
  </si>
  <si>
    <t>Walking-type Agricultural Tractor: Float-Assist type</t>
  </si>
  <si>
    <t>Rice Reaper</t>
  </si>
  <si>
    <t>Riding-type Palay Seeder</t>
  </si>
  <si>
    <t>Flatbed Type Batch Dryer</t>
  </si>
  <si>
    <t>Power Sprayer</t>
  </si>
  <si>
    <t>Walking-type Agricultural Tractor: Rotary-Tilling type</t>
  </si>
  <si>
    <t>Weeder</t>
  </si>
  <si>
    <t>Prime Mover Truck (Self-loading)</t>
  </si>
  <si>
    <t>Open Source Pump</t>
  </si>
  <si>
    <t>Mobile Recirculating Grain Dryer</t>
  </si>
  <si>
    <t>Recirculating Dryer with Biomass Furnace</t>
  </si>
  <si>
    <t>Vertical Mobile Grain Dryer</t>
  </si>
  <si>
    <t>Peanut Sheller</t>
  </si>
  <si>
    <t>Mungbean Thresher (t/h)</t>
  </si>
  <si>
    <t>Pump and Engine Sets (PISOS)</t>
  </si>
  <si>
    <t>Rice Program Reaper</t>
  </si>
  <si>
    <t>Rice Program Transplanter - Riding-type</t>
  </si>
  <si>
    <t>Rice Program Combine Harvester</t>
  </si>
  <si>
    <t>Precision Planter</t>
  </si>
  <si>
    <t>Four-Wheel Drive Tractor</t>
  </si>
  <si>
    <t>Pump &amp; Engine sets (Diesel)</t>
  </si>
  <si>
    <t>Pump &amp; Engine sets (Gasoline 2x2)</t>
  </si>
  <si>
    <t>Pump &amp; Engine sets (Gasoline 3x3)</t>
  </si>
  <si>
    <t>Cassava Grater</t>
  </si>
  <si>
    <t>Cassava Pulverizer</t>
  </si>
  <si>
    <t>Tunnel-Type Batch Dryer</t>
  </si>
  <si>
    <t>Coffee Huller</t>
  </si>
  <si>
    <t>Coffee Pulper</t>
  </si>
  <si>
    <t>Coffee Grinder</t>
  </si>
  <si>
    <t>Coffee/Cacao Dryer</t>
  </si>
  <si>
    <t>Drip Irrigation</t>
  </si>
  <si>
    <t>Cacao Grinder</t>
  </si>
  <si>
    <t>Knapsack Sprayer</t>
  </si>
  <si>
    <t>Brush Cutter</t>
  </si>
  <si>
    <t>All Weather Type Dryer</t>
  </si>
  <si>
    <t>Mini Corn Mill</t>
  </si>
  <si>
    <t>Cassava Granulator cum shredder</t>
  </si>
  <si>
    <t>Cassava Grater w/presser</t>
  </si>
  <si>
    <t>Mechanical sheller</t>
  </si>
  <si>
    <t>Compact Cornmill</t>
  </si>
  <si>
    <t>Mobile Cornmill</t>
  </si>
  <si>
    <t>Vertical Dryer</t>
  </si>
  <si>
    <t>Drilling Rig</t>
  </si>
  <si>
    <t>Paddy Seed Cleaner</t>
  </si>
  <si>
    <t>Mini Four Wheel Tractor</t>
  </si>
  <si>
    <t>Rice Cutter</t>
  </si>
  <si>
    <t>Mini Rice Thresher</t>
  </si>
  <si>
    <t>Agusan Del Norte</t>
  </si>
  <si>
    <t>Benguet</t>
  </si>
  <si>
    <t>Micro Mill</t>
  </si>
  <si>
    <t>Cassava Chipper</t>
  </si>
  <si>
    <t>Granule Applicator</t>
  </si>
  <si>
    <t>Multi-commodity Grinding Machine</t>
  </si>
  <si>
    <t>Power Duster</t>
  </si>
  <si>
    <t>Forage Harvester</t>
  </si>
  <si>
    <t>Cacao Huller</t>
  </si>
  <si>
    <t>Wood Chipper</t>
  </si>
  <si>
    <t>Multipupose Thresher</t>
  </si>
  <si>
    <t>Pump and Engine Set (STW))</t>
  </si>
  <si>
    <t>Mechanical Dryer (Recirculating)</t>
  </si>
  <si>
    <t>Mungbean Sheller</t>
  </si>
  <si>
    <t>Fertilizer Applicator</t>
  </si>
  <si>
    <t>Basilan</t>
  </si>
  <si>
    <t>Biomass Furnace</t>
  </si>
  <si>
    <t>Flash Dryer</t>
  </si>
  <si>
    <t>Grass Cutter</t>
  </si>
  <si>
    <t>Walking-type Agricultural Tractor: Float assist-type</t>
  </si>
  <si>
    <t>Rice Transplanter-Walk behind</t>
  </si>
  <si>
    <t>Seed Spreader</t>
  </si>
  <si>
    <t>Reaper</t>
  </si>
  <si>
    <t>Grain Collector</t>
  </si>
  <si>
    <t>Hauling Truck</t>
  </si>
  <si>
    <t>Sugarcrane Planter</t>
  </si>
  <si>
    <t>Coconut Coir Decorticator</t>
  </si>
  <si>
    <t>Fiber Decorticator</t>
  </si>
  <si>
    <t>Soybean Thresher</t>
  </si>
  <si>
    <t>Chainsaw</t>
  </si>
  <si>
    <t>Corn Husker/Sheller</t>
  </si>
  <si>
    <t>Generator</t>
  </si>
  <si>
    <t>Abaca Stripper</t>
  </si>
  <si>
    <t>Electric / Submersible Pump</t>
  </si>
  <si>
    <t>Multi-cultivator</t>
  </si>
  <si>
    <t>Cashew Nut Sheller</t>
  </si>
  <si>
    <t>Marine Engine</t>
  </si>
  <si>
    <t>Seaweed Solar Dyer</t>
  </si>
  <si>
    <t>Boom Sprayer</t>
  </si>
  <si>
    <t>Brown Rice Mill</t>
  </si>
  <si>
    <t>Vibrating Cleaner</t>
  </si>
  <si>
    <t>Cacao/Coffee Dryer</t>
  </si>
  <si>
    <t>Rice Paddy Separator</t>
  </si>
  <si>
    <t>Soil Pulverizer</t>
  </si>
  <si>
    <t>LSU-type Dryer</t>
  </si>
  <si>
    <t>Soybean Sorter</t>
  </si>
  <si>
    <t>Peanut Roaster</t>
  </si>
  <si>
    <t>Peanut Grinder</t>
  </si>
  <si>
    <t>Hold-on Thresher</t>
  </si>
  <si>
    <t>Dehusked Corn Dryer</t>
  </si>
  <si>
    <t>Sorghum Thresher</t>
  </si>
  <si>
    <t>Forklift</t>
  </si>
  <si>
    <t>Gasoline Engine</t>
  </si>
  <si>
    <t>Diesel Engine</t>
  </si>
  <si>
    <t>Multi-commodity Pulverizer</t>
  </si>
  <si>
    <t>Crawler-wheel Tractor</t>
  </si>
  <si>
    <t>Biomass Mixer</t>
  </si>
  <si>
    <t>Province</t>
  </si>
  <si>
    <t>Lanao Del Sur</t>
  </si>
  <si>
    <t>Agusan Del Sur</t>
  </si>
  <si>
    <t>Surigao Del Norte</t>
  </si>
  <si>
    <t>Surigao Del Sur</t>
  </si>
  <si>
    <t>Davao Del Norte</t>
  </si>
  <si>
    <t>Davao Del Sur</t>
  </si>
  <si>
    <t>Lanao Del Norte</t>
  </si>
  <si>
    <t>Zamboanga Del Norte</t>
  </si>
  <si>
    <t>Zamboanga Del Sur</t>
  </si>
  <si>
    <t>Davao De Oro</t>
  </si>
  <si>
    <t>Cotabato</t>
  </si>
  <si>
    <t>Four wheel Tractor</t>
  </si>
  <si>
    <t>Hand tractor</t>
  </si>
  <si>
    <t>Engine</t>
  </si>
  <si>
    <t>Precision Seeder and Planter</t>
  </si>
  <si>
    <t>Rice Transplanter (Ride-on-Type)</t>
  </si>
  <si>
    <t>Rice Transplanter (Walking-Type)</t>
  </si>
  <si>
    <t>Fertilizer Aplicator</t>
  </si>
  <si>
    <t>Combine Harvester</t>
  </si>
  <si>
    <t>Dryer</t>
  </si>
  <si>
    <t>Truck</t>
  </si>
  <si>
    <t>Tractor</t>
  </si>
  <si>
    <t>Planter</t>
  </si>
  <si>
    <t>Chainsaw and others</t>
  </si>
  <si>
    <t>Harvester</t>
  </si>
  <si>
    <t>Size Reduction Machine</t>
  </si>
  <si>
    <t>Dryers</t>
  </si>
  <si>
    <t>Trucks</t>
  </si>
  <si>
    <t>Hauling</t>
  </si>
  <si>
    <t>Crop Care and Maintenance</t>
  </si>
  <si>
    <t xml:space="preserve">Processing </t>
  </si>
  <si>
    <t>Transport</t>
  </si>
  <si>
    <t>LP</t>
  </si>
  <si>
    <t>May</t>
  </si>
  <si>
    <t>June</t>
  </si>
  <si>
    <t>January</t>
  </si>
  <si>
    <t>February</t>
  </si>
  <si>
    <t>March</t>
  </si>
  <si>
    <t>April</t>
  </si>
  <si>
    <t>July</t>
  </si>
  <si>
    <t>August</t>
  </si>
  <si>
    <t>September</t>
  </si>
  <si>
    <t>October</t>
  </si>
  <si>
    <t>November</t>
  </si>
  <si>
    <t>December</t>
  </si>
  <si>
    <t>Hauling/ Transport</t>
  </si>
  <si>
    <t>Fuel Requirement per Machinery/Equipment (L/Operation)</t>
  </si>
  <si>
    <t>Operation</t>
  </si>
  <si>
    <t>Hand Tractor</t>
  </si>
  <si>
    <t>Hand Tractor/ Cultivator</t>
  </si>
  <si>
    <t>Provinces</t>
  </si>
  <si>
    <t>Total per Province</t>
  </si>
  <si>
    <t>Total Per Month</t>
  </si>
  <si>
    <t>Ratio of Privately owned vs Government Procured (%)</t>
  </si>
  <si>
    <t>Total</t>
  </si>
  <si>
    <t>Processing Machinery</t>
  </si>
  <si>
    <t>Grand total</t>
  </si>
  <si>
    <t>Engines</t>
  </si>
  <si>
    <t>Thermal Processing</t>
  </si>
  <si>
    <t>Pre Processing and Size Reduction Machinery</t>
  </si>
  <si>
    <t>Harvesters</t>
  </si>
  <si>
    <t>Harvesting and Processing</t>
  </si>
  <si>
    <t>4WD Tractor</t>
  </si>
  <si>
    <t>HVC</t>
  </si>
  <si>
    <t>Combine Harvesters</t>
  </si>
  <si>
    <t>Corn</t>
  </si>
  <si>
    <t>Truck/ Forklift</t>
  </si>
  <si>
    <t>Thresher</t>
  </si>
  <si>
    <t>Mechanical Reaper</t>
  </si>
  <si>
    <t>Crop Care</t>
  </si>
  <si>
    <t>Transplanting</t>
  </si>
  <si>
    <t>Rice</t>
  </si>
  <si>
    <t>KEROSENE</t>
  </si>
  <si>
    <t>DIESEL</t>
  </si>
  <si>
    <t>GASOLINE</t>
  </si>
  <si>
    <t>FC (L/hr)</t>
  </si>
  <si>
    <t>Cost Per ha</t>
  </si>
  <si>
    <t>Land Area (ha/day)</t>
  </si>
  <si>
    <t>TOTAL COST (Php)</t>
  </si>
  <si>
    <t>TOTAL VOLUME OF FUEL</t>
  </si>
  <si>
    <t>ASSUMPTIONS</t>
  </si>
  <si>
    <t>Number of Units</t>
  </si>
  <si>
    <t>MACHINERY</t>
  </si>
  <si>
    <t>OPERATION</t>
  </si>
  <si>
    <t>Subsidy (%)</t>
  </si>
  <si>
    <t>Kerosene (Php/L)</t>
  </si>
  <si>
    <t>Diesel (Php/L)</t>
  </si>
  <si>
    <t>Gasoline (Php/L)</t>
  </si>
  <si>
    <t>Assumptions:</t>
  </si>
  <si>
    <t>AGRICULTURAL AND FISHERIES MACHINERY</t>
  </si>
  <si>
    <t>Processing and Size Reduction Machinery</t>
  </si>
  <si>
    <t>CAR</t>
  </si>
  <si>
    <t>Region I</t>
  </si>
  <si>
    <t>Region II</t>
  </si>
  <si>
    <t>Region III</t>
  </si>
  <si>
    <t>CALABARZON</t>
  </si>
  <si>
    <t>MIMAROPA</t>
  </si>
  <si>
    <t>Region V</t>
  </si>
  <si>
    <t>Region VI</t>
  </si>
  <si>
    <t>Region VII</t>
  </si>
  <si>
    <t>Region VIII</t>
  </si>
  <si>
    <t>Region IX</t>
  </si>
  <si>
    <t>Region X</t>
  </si>
  <si>
    <t>Region XI</t>
  </si>
  <si>
    <t>Region XII</t>
  </si>
  <si>
    <t>Region XIII</t>
  </si>
  <si>
    <t>BARMM</t>
  </si>
  <si>
    <t>REGIONAL FUEL REQUIREMENT PER MONTH</t>
  </si>
  <si>
    <t>Total per Month</t>
  </si>
  <si>
    <t>Days/ Operation</t>
  </si>
  <si>
    <t>Hr/ day</t>
  </si>
  <si>
    <t>Hr/ Operation</t>
  </si>
  <si>
    <t>Total Cost/ Operation Per Unit</t>
  </si>
  <si>
    <t>L/Operation</t>
  </si>
  <si>
    <t>TOTAL COST (PHP)</t>
  </si>
  <si>
    <t>Philippine Peso per US Dollar Rate</t>
  </si>
  <si>
    <r>
      <t xml:space="preserve">Frequency: </t>
    </r>
    <r>
      <rPr>
        <b/>
        <sz val="12"/>
        <rFont val="Lora"/>
      </rPr>
      <t>Daily</t>
    </r>
  </si>
  <si>
    <r>
      <t xml:space="preserve">Conversion: </t>
    </r>
    <r>
      <rPr>
        <b/>
        <sz val="12"/>
        <rFont val="Lora"/>
      </rPr>
      <t>None</t>
    </r>
  </si>
  <si>
    <r>
      <t xml:space="preserve">Range: </t>
    </r>
    <r>
      <rPr>
        <b/>
        <sz val="12"/>
        <rFont val="Lora"/>
      </rPr>
      <t>1978 - 2022</t>
    </r>
  </si>
  <si>
    <t>Day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</si>
  <si>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</si>
  <si>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</si>
  <si>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</si>
  <si>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</si>
  <si>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</si>
  <si>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</si>
  <si>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</si>
  <si>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</si>
  <si>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</si>
  <si>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</si>
  <si>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</si>
  <si>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..</t>
  </si>
  <si>
    <t>...</t>
  </si>
  <si>
    <t>…</t>
  </si>
  <si>
    <t>ESTIMATED FUEL CONSUMPTION FOR LAND PREPARATION AND HAULING OF SUGARCANE</t>
  </si>
  <si>
    <t>Mill District</t>
  </si>
  <si>
    <t>Region</t>
  </si>
  <si>
    <t>*Land Preparation and Cultivation (Farm Tractors)</t>
  </si>
  <si>
    <t>TOTAL</t>
  </si>
  <si>
    <t>**Hauling of Sugarcane (Cane trucks)</t>
  </si>
  <si>
    <t>AREA FOR LAND PREP + CULTIVATION (ha)</t>
  </si>
  <si>
    <t>No. of Months
Peak Operations</t>
  </si>
  <si>
    <t>Tons of Canes Milled</t>
  </si>
  <si>
    <t>Carsumco</t>
  </si>
  <si>
    <t>II</t>
  </si>
  <si>
    <t>III</t>
  </si>
  <si>
    <t>Don Pedro</t>
  </si>
  <si>
    <t>IV-A</t>
  </si>
  <si>
    <t>Balayan</t>
  </si>
  <si>
    <t>Pensumil</t>
  </si>
  <si>
    <t>V</t>
  </si>
  <si>
    <t>La Carlota</t>
  </si>
  <si>
    <t>VI</t>
  </si>
  <si>
    <t>Ma-ao</t>
  </si>
  <si>
    <t>First Farmers / Bac-mur</t>
  </si>
  <si>
    <t>HPCO</t>
  </si>
  <si>
    <t>Victorias</t>
  </si>
  <si>
    <t>Lopez</t>
  </si>
  <si>
    <t>Sagay - Danao</t>
  </si>
  <si>
    <t>San Carlos</t>
  </si>
  <si>
    <t>Biscom</t>
  </si>
  <si>
    <t>Sonedco/Dacongcogon</t>
  </si>
  <si>
    <t>Tolong</t>
  </si>
  <si>
    <t xml:space="preserve">Negros Oriental </t>
  </si>
  <si>
    <t>VII</t>
  </si>
  <si>
    <t>Bais-Ursumco</t>
  </si>
  <si>
    <t>Bogo-Medellin</t>
  </si>
  <si>
    <t>Ormoc-Kananga</t>
  </si>
  <si>
    <t>VIII</t>
  </si>
  <si>
    <t>X</t>
  </si>
  <si>
    <t>Davao</t>
  </si>
  <si>
    <t>Davao del Sur</t>
  </si>
  <si>
    <t>XI</t>
  </si>
  <si>
    <t>North Cotabato</t>
  </si>
  <si>
    <t>XII</t>
  </si>
  <si>
    <t>PHILIPPINES</t>
  </si>
  <si>
    <t>* Assumption 20% of the planted area will be Newly Established (Plant cane)</t>
  </si>
  <si>
    <t>Plowing (L/ha)</t>
  </si>
  <si>
    <t>Harrowing (L/ha) , 2 passing</t>
  </si>
  <si>
    <t>Furrowing (L/ha)</t>
  </si>
  <si>
    <t>Cultivation (L/ha) (assuming only 20% is employing mechanical cultivation)</t>
  </si>
  <si>
    <t>TOTAL (L/ha)</t>
  </si>
  <si>
    <t>** Assumption Hauling From Farm to Sugar Mill to Farm</t>
  </si>
  <si>
    <t>Say @ average truck load of 15 tons of canes @30L vice versa trip, (40km total distance vice-versa)</t>
  </si>
  <si>
    <t>Hauling (L of fuel/ tons of canes)</t>
  </si>
  <si>
    <t>ESTIMATED FUEL CONSUMPTION (in Liters) FOR LAND PREPARATION AND HAULING OF SUGARCANE</t>
  </si>
  <si>
    <t>Landprep + cultivation</t>
  </si>
  <si>
    <t>Hauling of Sugarcane</t>
  </si>
  <si>
    <t>ESTIMATED FUEL CONSUMPTION (in Liters) FOR SUGAR PRODUCTION</t>
  </si>
  <si>
    <t>Don Pedro, Balayan</t>
  </si>
  <si>
    <t>La Carlota, Ma-ao, First Farmers/ Bac-mur, HPCO, Victorias, Lopez, Sagay - Danao, San Carlos, Biscom, Sonedco/Dacongcogon</t>
  </si>
  <si>
    <t>Tolong, Bais-Ursumco</t>
  </si>
  <si>
    <t>I</t>
  </si>
  <si>
    <t>IX</t>
  </si>
  <si>
    <t>XIII</t>
  </si>
  <si>
    <t>L/ha-day</t>
  </si>
  <si>
    <t>Cost per ha-day</t>
  </si>
  <si>
    <t>Sugar</t>
  </si>
  <si>
    <t>T/ha</t>
  </si>
  <si>
    <t>L/ha</t>
  </si>
  <si>
    <t>Average Fuel Cost</t>
  </si>
  <si>
    <t>MOPS</t>
  </si>
  <si>
    <t>World Bank Commodity Price Data (The Pink Sheet)</t>
  </si>
  <si>
    <t>annual prices, 1960 to present, nominal US dollars</t>
  </si>
  <si>
    <t>(annual series are available in nominal and real dollars)</t>
  </si>
  <si>
    <t>Updated on August 02, 2022</t>
  </si>
  <si>
    <t>Crude oil, average</t>
  </si>
  <si>
    <t>Crude oil, Brent</t>
  </si>
  <si>
    <t>Crude oil, Dubai</t>
  </si>
  <si>
    <t>Crude oil, WTI</t>
  </si>
  <si>
    <t>Coal, Australian</t>
  </si>
  <si>
    <t>Coal, South Afican</t>
  </si>
  <si>
    <t>Natural gas, US</t>
  </si>
  <si>
    <t>Natural gas, Europe</t>
  </si>
  <si>
    <t>Liquefied natural gas, Japan</t>
  </si>
  <si>
    <t>Natural gas index</t>
  </si>
  <si>
    <t>Cocoa</t>
  </si>
  <si>
    <t>Coffee, Arabica</t>
  </si>
  <si>
    <t>Coffee, Robusta</t>
  </si>
  <si>
    <t>Tea, avg 3 auctions</t>
  </si>
  <si>
    <t>Tea, Colombo</t>
  </si>
  <si>
    <t>Tea, Kolkata</t>
  </si>
  <si>
    <t>Tea, Mombasa</t>
  </si>
  <si>
    <t>Coconut oil</t>
  </si>
  <si>
    <t>Groundnuts</t>
  </si>
  <si>
    <t>Fish meal</t>
  </si>
  <si>
    <t>Groundnut oil</t>
  </si>
  <si>
    <t>Palm oil</t>
  </si>
  <si>
    <t>Palm kernel oil</t>
  </si>
  <si>
    <t>Soybeans</t>
  </si>
  <si>
    <t>Soybean oil</t>
  </si>
  <si>
    <t>Soybean meal</t>
  </si>
  <si>
    <t>Barley</t>
  </si>
  <si>
    <t>Maize</t>
  </si>
  <si>
    <t>Sorghum</t>
  </si>
  <si>
    <t xml:space="preserve">Rice, Thai 5% </t>
  </si>
  <si>
    <t xml:space="preserve">Rice, Thai 25% </t>
  </si>
  <si>
    <t>Rice, Thai A.1</t>
  </si>
  <si>
    <t>Rice, Viet Namese 5%</t>
  </si>
  <si>
    <t>Wheat, US SRW</t>
  </si>
  <si>
    <t>Wheat, US HRW</t>
  </si>
  <si>
    <t>Banana, Europe</t>
  </si>
  <si>
    <t>Banana, US</t>
  </si>
  <si>
    <t>Orange</t>
  </si>
  <si>
    <t>Beef</t>
  </si>
  <si>
    <t>Meat, chicken</t>
  </si>
  <si>
    <t>Meat, sheep</t>
  </si>
  <si>
    <t>Shrimps, Mexican</t>
  </si>
  <si>
    <t>Sugar, EU</t>
  </si>
  <si>
    <t>Sugar, US</t>
  </si>
  <si>
    <t>Sugar, world</t>
  </si>
  <si>
    <t>Tobacco, US import u.v.</t>
  </si>
  <si>
    <t>Logs, Cameroon</t>
  </si>
  <si>
    <t>Logs, Malaysian</t>
  </si>
  <si>
    <t>Sawnwood, Cameroon</t>
  </si>
  <si>
    <t>Sawnwood, Malaysian</t>
  </si>
  <si>
    <t>Plywood</t>
  </si>
  <si>
    <t>Cotton, A Index</t>
  </si>
  <si>
    <t>Rubber, TSR20</t>
  </si>
  <si>
    <t>Rubber, SGP/MYS</t>
  </si>
  <si>
    <t>Phosphate rock</t>
  </si>
  <si>
    <t>DAP</t>
  </si>
  <si>
    <t>TSP</t>
  </si>
  <si>
    <t xml:space="preserve">Urea </t>
  </si>
  <si>
    <t>Potassium chloride</t>
  </si>
  <si>
    <t>Aluminum</t>
  </si>
  <si>
    <t>Iron ore, cfr spot</t>
  </si>
  <si>
    <t>Copper</t>
  </si>
  <si>
    <t>Lead</t>
  </si>
  <si>
    <t>Tin</t>
  </si>
  <si>
    <t>Nickel</t>
  </si>
  <si>
    <t>Zinc</t>
  </si>
  <si>
    <t>Gold</t>
  </si>
  <si>
    <t>Platinum</t>
  </si>
  <si>
    <t>Silver</t>
  </si>
  <si>
    <t>($/bbl)</t>
  </si>
  <si>
    <t>($/mt)</t>
  </si>
  <si>
    <t>($/mmbtu)</t>
  </si>
  <si>
    <t>(2010=100)</t>
  </si>
  <si>
    <t>($/kg)</t>
  </si>
  <si>
    <t>($/cubic meter)</t>
  </si>
  <si>
    <t>(¢/sheet)</t>
  </si>
  <si>
    <t>($/dmtu)</t>
  </si>
  <si>
    <t>($/troy oz)</t>
  </si>
  <si>
    <t>CRUDE_PETRO</t>
  </si>
  <si>
    <t>CRUDE_BRENT</t>
  </si>
  <si>
    <t>CRUDE_DUBAI</t>
  </si>
  <si>
    <t>CRUDE_WTI</t>
  </si>
  <si>
    <t>COAL_AUS</t>
  </si>
  <si>
    <t>COAL_SAFRICA</t>
  </si>
  <si>
    <t>NGAS_US</t>
  </si>
  <si>
    <t>NGAS_EUR</t>
  </si>
  <si>
    <t>NGAS_JP</t>
  </si>
  <si>
    <t>iNATGAS</t>
  </si>
  <si>
    <t>COCOA</t>
  </si>
  <si>
    <t>COFFEE_ARABIC</t>
  </si>
  <si>
    <t>COFFEE_ROBUS</t>
  </si>
  <si>
    <t>TEA_AVG</t>
  </si>
  <si>
    <t>TEA_COLOMBO</t>
  </si>
  <si>
    <t>TEA_KOLKATA</t>
  </si>
  <si>
    <t>TEA_MOMBASA</t>
  </si>
  <si>
    <t>COCONUT_OIL</t>
  </si>
  <si>
    <t>GRNUT</t>
  </si>
  <si>
    <t>FISH_MEAL</t>
  </si>
  <si>
    <t>GRNUT_OIL</t>
  </si>
  <si>
    <t>PALM_OIL</t>
  </si>
  <si>
    <t>PLMKRNL_OIL</t>
  </si>
  <si>
    <t>SOYBEANS</t>
  </si>
  <si>
    <t>SOYBEAN_OIL</t>
  </si>
  <si>
    <t>SOYBEAN_MEAL</t>
  </si>
  <si>
    <t>BARLEY</t>
  </si>
  <si>
    <t>MAIZE</t>
  </si>
  <si>
    <t>SORGHUM</t>
  </si>
  <si>
    <t>RICE_05</t>
  </si>
  <si>
    <t>RICE_25</t>
  </si>
  <si>
    <t>RICE_A1</t>
  </si>
  <si>
    <t>RICE_05_VNM</t>
  </si>
  <si>
    <t>WHEAT_US_SRW</t>
  </si>
  <si>
    <t>WHEAT_US_HRW</t>
  </si>
  <si>
    <t>BANANA_EU</t>
  </si>
  <si>
    <t>BANANA_US</t>
  </si>
  <si>
    <t>ORANGE</t>
  </si>
  <si>
    <t>BEEF</t>
  </si>
  <si>
    <t>CHICKEN</t>
  </si>
  <si>
    <t>LAMB</t>
  </si>
  <si>
    <t>SHRIMP_MEX</t>
  </si>
  <si>
    <t>SUGAR_EU</t>
  </si>
  <si>
    <t>SUGAR_US</t>
  </si>
  <si>
    <t>SUGAR_WLD</t>
  </si>
  <si>
    <t>TOBAC_US</t>
  </si>
  <si>
    <t>LOGS_CMR</t>
  </si>
  <si>
    <t>LOGS_MYS</t>
  </si>
  <si>
    <t>SAWNWD_CMR</t>
  </si>
  <si>
    <t>SAWNWD_MYS</t>
  </si>
  <si>
    <t>PLYWOOD</t>
  </si>
  <si>
    <t>COTTON_A_INDX</t>
  </si>
  <si>
    <t>RUBBER_TSR20</t>
  </si>
  <si>
    <t>RUBBER1_MYSG</t>
  </si>
  <si>
    <t>PHOSROCK</t>
  </si>
  <si>
    <t>UREA_EE_BULK</t>
  </si>
  <si>
    <t>POTASH</t>
  </si>
  <si>
    <t>ALUMINUM</t>
  </si>
  <si>
    <t>IRON_ORE</t>
  </si>
  <si>
    <t>COPPER</t>
  </si>
  <si>
    <t>LEAD</t>
  </si>
  <si>
    <t>NICKEL</t>
  </si>
  <si>
    <t>GOLD</t>
  </si>
  <si>
    <t>PLATINUM</t>
  </si>
  <si>
    <t>SILVER</t>
  </si>
  <si>
    <t xml:space="preserve">DUBAI CRUDE OIL PRICE ASSESSMENT </t>
  </si>
  <si>
    <t>reference: S&amp;P Global Platts</t>
  </si>
  <si>
    <t>Price per Barrel ($/BBL)</t>
  </si>
  <si>
    <t>Weekly Average</t>
  </si>
  <si>
    <t>Monthly Average</t>
  </si>
  <si>
    <t>3-month Average</t>
  </si>
  <si>
    <t>$/L</t>
  </si>
  <si>
    <t>Average Price Graph</t>
  </si>
  <si>
    <t>2022-2021 Incremental</t>
  </si>
  <si>
    <t>2021-2020 Incremental</t>
  </si>
  <si>
    <t>2020-2019 Incremental</t>
  </si>
  <si>
    <t>2019-2018 Incremental</t>
  </si>
  <si>
    <t>2022-2020 Incremental</t>
  </si>
  <si>
    <r>
      <rPr>
        <sz val="11"/>
        <color theme="1"/>
        <rFont val="Calibri"/>
        <family val="2"/>
        <scheme val="minor"/>
      </rPr>
      <t>SUBSIDY (PHP)</t>
    </r>
  </si>
  <si>
    <t>Presets</t>
  </si>
  <si>
    <t>Total Fuel (L) Per Region</t>
  </si>
  <si>
    <t>Cost (Php) Per Region @ incremental cost</t>
  </si>
  <si>
    <t>Cost (Php) Per Region @ average fuel cost</t>
  </si>
  <si>
    <t>RICE</t>
  </si>
  <si>
    <t>CORN</t>
  </si>
  <si>
    <t>SUGAR</t>
  </si>
  <si>
    <t>100% Subsidy</t>
  </si>
  <si>
    <t xml:space="preserve"> incremental Cost</t>
  </si>
  <si>
    <t>REGION</t>
  </si>
  <si>
    <t xml:space="preserve">FUEL COST PER REGION (Php) </t>
  </si>
  <si>
    <t>Total Fuel Assistance</t>
  </si>
  <si>
    <t>DA Share</t>
  </si>
  <si>
    <t>BFAR Share</t>
  </si>
  <si>
    <t>Fuel Assistance per Farmer</t>
  </si>
  <si>
    <t>Number of DA Bex</t>
  </si>
  <si>
    <t>Number of BFAR Bex</t>
  </si>
  <si>
    <t>NCR</t>
  </si>
  <si>
    <t>MARINE CAPTURE</t>
  </si>
  <si>
    <t>AQUACULTURE CAPTURE</t>
  </si>
  <si>
    <t>AQUACULTURE</t>
  </si>
  <si>
    <t>Total Number of Bex</t>
  </si>
  <si>
    <t>Fishing Boats/Vessels Estimated Fuel Consumption</t>
  </si>
  <si>
    <t>Classification</t>
  </si>
  <si>
    <t>Vessel Type</t>
  </si>
  <si>
    <t>Total boats</t>
  </si>
  <si>
    <t>Estimated Monthly Fuel Consumption (ltrs) per catcher</t>
  </si>
  <si>
    <t>Estimated Monthly Fuel Consumption (ltrs) of Support boats</t>
  </si>
  <si>
    <t>Total Fuel Monthly Consumption (ltrs) of catcher boats</t>
  </si>
  <si>
    <t>Total Fuel Monthly Consumption (ltrs) of support boats</t>
  </si>
  <si>
    <r>
      <t xml:space="preserve">Est. Fuel Consumption Demand from </t>
    </r>
    <r>
      <rPr>
        <b/>
        <sz val="12"/>
        <color theme="4" tint="-0.249977111117893"/>
        <rFont val="Cambria"/>
        <family val="1"/>
      </rPr>
      <t>Jan-Jul 2023</t>
    </r>
    <r>
      <rPr>
        <b/>
        <sz val="12"/>
        <color theme="1"/>
        <rFont val="Cambria"/>
        <family val="1"/>
      </rPr>
      <t xml:space="preserve">  (ltrs; 7months) of Catcher Boats</t>
    </r>
  </si>
  <si>
    <r>
      <t xml:space="preserve">Est. Fuel Consumption Demand from </t>
    </r>
    <r>
      <rPr>
        <b/>
        <sz val="12"/>
        <color theme="4" tint="-0.249977111117893"/>
        <rFont val="Cambria"/>
        <family val="1"/>
      </rPr>
      <t>Jan-Jul 2023</t>
    </r>
    <r>
      <rPr>
        <b/>
        <sz val="12"/>
        <color theme="1"/>
        <rFont val="Cambria"/>
        <family val="1"/>
      </rPr>
      <t xml:space="preserve">  (ltrs; 7months) of Support boats</t>
    </r>
  </si>
  <si>
    <r>
      <t xml:space="preserve">Estimated Subsidy for Total Cost @ Current Price (July) of </t>
    </r>
    <r>
      <rPr>
        <b/>
        <sz val="12"/>
        <color rgb="FFC00000"/>
        <rFont val="Cambria"/>
        <family val="1"/>
      </rPr>
      <t>Catcher boats and Support boats</t>
    </r>
  </si>
  <si>
    <r>
      <t xml:space="preserve">Estimated Subsidy for Price Difference (Jan - Jul) of </t>
    </r>
    <r>
      <rPr>
        <b/>
        <sz val="12"/>
        <color rgb="FFC00000"/>
        <rFont val="Cambria"/>
        <family val="1"/>
      </rPr>
      <t>Catcher boats and Support boats</t>
    </r>
  </si>
  <si>
    <t>Est. Fuel Consumption by Fishing Season</t>
  </si>
  <si>
    <t>Diesel</t>
  </si>
  <si>
    <t>Gas</t>
  </si>
  <si>
    <t>Diesel
(Php77)</t>
  </si>
  <si>
    <t>Gas
(PhP77)</t>
  </si>
  <si>
    <t>Diesel (Php28/ltr)
 Jan (Php49) -Jul (Php77)</t>
  </si>
  <si>
    <t>Gas (PhP14/ltr)
Jan (Php63) -Jul (Php77)</t>
  </si>
  <si>
    <t>Peak Months is 100% of the Est. Monthly Consumption</t>
  </si>
  <si>
    <t>Lean Months is about 80% of the Est. Monthly Consumption.</t>
  </si>
  <si>
    <t>MUNICIPAL FISHING</t>
  </si>
  <si>
    <t>Municipal boats</t>
  </si>
  <si>
    <t>-</t>
  </si>
  <si>
    <t>Mar to Aug</t>
  </si>
  <si>
    <t>Sept to Feb</t>
  </si>
  <si>
    <t>Region 1</t>
  </si>
  <si>
    <t>Region 2</t>
  </si>
  <si>
    <t>Region 3</t>
  </si>
  <si>
    <t>Region 4A</t>
  </si>
  <si>
    <t>Region 4B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</si>
  <si>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</si>
  <si>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</si>
  <si>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</si>
  <si>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</si>
  <si>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</si>
  <si>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</si>
  <si>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</si>
  <si>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</si>
  <si>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CARAGA</t>
  </si>
  <si>
    <t>ARMM</t>
  </si>
  <si>
    <t>SMALL SCALE COMMERCIAL</t>
  </si>
  <si>
    <r>
      <rPr>
        <b/>
        <sz val="10"/>
        <color theme="1"/>
        <rFont val="Cambria"/>
        <family val="1"/>
      </rPr>
      <t xml:space="preserve">Sardine/Mackerel/SCAD Purse Seine (Catcher). </t>
    </r>
    <r>
      <rPr>
        <sz val="10"/>
        <color theme="1"/>
        <rFont val="Cambria"/>
        <family val="1"/>
      </rPr>
      <t xml:space="preserve">
</t>
    </r>
    <r>
      <rPr>
        <b/>
        <sz val="10"/>
        <color theme="1"/>
        <rFont val="Cambria"/>
        <family val="1"/>
      </rPr>
      <t>Note:</t>
    </r>
    <r>
      <rPr>
        <sz val="10"/>
        <color theme="1"/>
        <rFont val="Cambria"/>
        <family val="1"/>
      </rPr>
      <t xml:space="preserve"> 1 catcher is supported by an average of 1 carrier boat with the same fuel consumption as the catcher boat; and 2 lightboats with fuel consumption of about 2,000 ltrs/month </t>
    </r>
  </si>
  <si>
    <t>Sept to Feb; closed fishing season in northern palawan, 3months (Nov 1 - Jan 31)</t>
  </si>
  <si>
    <t>Sept to Feb; 3 months closed fishing season (Nov 15-Feb 15) in Visayan Sea.</t>
  </si>
  <si>
    <t>Sept to Feb; 3 months closed fishing season (Dec 1 to Mar 1) in Zamboanga.</t>
  </si>
  <si>
    <t>Jan-Feb &amp; Sep-Dec</t>
  </si>
  <si>
    <r>
      <rPr>
        <b/>
        <sz val="10"/>
        <color theme="1"/>
        <rFont val="Cambria"/>
        <family val="1"/>
      </rPr>
      <t>Ringnet (Catcher)</t>
    </r>
    <r>
      <rPr>
        <sz val="10"/>
        <color theme="1"/>
        <rFont val="Cambria"/>
        <family val="1"/>
      </rPr>
      <t xml:space="preserve">
 Note: 1 catcher is supported by an average of 1 carrier boat with the same fuel consumption as the catcher boat; and 2 lightboats with fuel consumption of about 2,000 ltrs/month </t>
    </r>
  </si>
  <si>
    <t>Jan-May &amp; Sep-Dec</t>
  </si>
  <si>
    <t>Sept to Feb; 3 months closed fishing season (Jun 1 to Aug 31) in Davao Gulf.</t>
  </si>
  <si>
    <r>
      <rPr>
        <b/>
        <sz val="10"/>
        <color theme="1"/>
        <rFont val="Cambria"/>
        <family val="1"/>
      </rPr>
      <t>Bag Net (Catcher)</t>
    </r>
    <r>
      <rPr>
        <sz val="10"/>
        <color theme="1"/>
        <rFont val="Cambria"/>
        <family val="1"/>
      </rPr>
      <t xml:space="preserve">
Note: 1 catcher is supported by an average of 1 carrier boat with the same fuel consumption as the catcher boat</t>
    </r>
  </si>
  <si>
    <r>
      <rPr>
        <b/>
        <sz val="10"/>
        <color theme="1"/>
        <rFont val="Cambria"/>
        <family val="1"/>
      </rPr>
      <t>Hook and Line/Handline (Catcher)</t>
    </r>
    <r>
      <rPr>
        <sz val="10"/>
        <color theme="1"/>
        <rFont val="Cambria"/>
        <family val="1"/>
      </rPr>
      <t xml:space="preserve">
Note: 1 HL is supported by an average of 6 pakuras with a fuel consumption of 100ltrs gas for each pakura</t>
    </r>
  </si>
  <si>
    <t>Gill Net</t>
  </si>
  <si>
    <t>Trawl</t>
  </si>
  <si>
    <t>Push Net</t>
  </si>
  <si>
    <t>Paaling/Drive-in-net</t>
  </si>
  <si>
    <t>Round Haul Seine</t>
  </si>
  <si>
    <t>Others</t>
  </si>
  <si>
    <t>MEDIUM SCALE COMMERCIAL</t>
  </si>
  <si>
    <r>
      <rPr>
        <b/>
        <sz val="10"/>
        <color theme="1"/>
        <rFont val="Cambria"/>
        <family val="1"/>
      </rPr>
      <t>Sardine/Mackerel/SCAD Purse Seine (Catcher)</t>
    </r>
    <r>
      <rPr>
        <sz val="10"/>
        <color theme="1"/>
        <rFont val="Cambria"/>
        <family val="1"/>
      </rPr>
      <t xml:space="preserve">
Note: 1 catcher is supported by an average of 2 carrier boat with the same fuel consumption as the catcher boat; and 2 lightboats with fuel consumption of about 2,000 ltrs/month </t>
    </r>
  </si>
  <si>
    <r>
      <rPr>
        <b/>
        <sz val="10"/>
        <color theme="1"/>
        <rFont val="Cambria"/>
        <family val="1"/>
      </rPr>
      <t xml:space="preserve">Tuna Purse Seine/Ringnet (Catcher)
</t>
    </r>
    <r>
      <rPr>
        <sz val="10"/>
        <color theme="1"/>
        <rFont val="Cambria"/>
        <family val="1"/>
      </rPr>
      <t xml:space="preserve">
Note: 1 catcher is supported by an average of 2 carrier boat with the same fuel consumption as the catcher boat; and 2 lightboats with fuel consumption of about 2,000 ltrs/month </t>
    </r>
  </si>
  <si>
    <r>
      <rPr>
        <b/>
        <sz val="10"/>
        <color theme="1"/>
        <rFont val="Cambria"/>
        <family val="1"/>
      </rPr>
      <t>Bag Net</t>
    </r>
    <r>
      <rPr>
        <sz val="10"/>
        <color theme="1"/>
        <rFont val="Cambria"/>
        <family val="1"/>
      </rPr>
      <t xml:space="preserve">
Note: 1 catcher is supported by 1 carrier boat of the same fuel consumption.</t>
    </r>
  </si>
  <si>
    <r>
      <rPr>
        <b/>
        <sz val="10"/>
        <color theme="1"/>
        <rFont val="Cambria"/>
        <family val="1"/>
      </rPr>
      <t>Hook and Line/Handline (Catcher)</t>
    </r>
    <r>
      <rPr>
        <sz val="10"/>
        <color theme="1"/>
        <rFont val="Cambria"/>
        <family val="1"/>
      </rPr>
      <t xml:space="preserve">
Note: 1 HL is supported by an average of 8 pakuras with a fuel consumption of 100ltrs gas for each pakura</t>
    </r>
  </si>
  <si>
    <t>Beach/Drag Seine</t>
  </si>
  <si>
    <t>LARGE SCALE COMMERCIAL</t>
  </si>
  <si>
    <r>
      <rPr>
        <b/>
        <sz val="10"/>
        <color theme="1"/>
        <rFont val="Cambria"/>
        <family val="1"/>
      </rPr>
      <t xml:space="preserve">Sardine/Mackerel/SCAD Purse Seine (Catcher). </t>
    </r>
    <r>
      <rPr>
        <sz val="10"/>
        <color theme="1"/>
        <rFont val="Cambria"/>
        <family val="1"/>
      </rPr>
      <t xml:space="preserve">
Note: 1 catcher is supported by an average of 2 carrier boat with the same fuel consumption as the catcher boat; and 2 lightboats with fuel consumption of about 2,000 ltrs/month </t>
    </r>
  </si>
  <si>
    <r>
      <rPr>
        <b/>
        <sz val="10"/>
        <color theme="1"/>
        <rFont val="Cambria"/>
        <family val="1"/>
      </rPr>
      <t xml:space="preserve">Tuna Purse Seine/Ringnet  (Catcher)
</t>
    </r>
    <r>
      <rPr>
        <sz val="10"/>
        <color theme="1"/>
        <rFont val="Cambria"/>
        <family val="1"/>
      </rPr>
      <t xml:space="preserve">
Note: 1 catcher is supported by an average of 2 carrier boat with the same fuel consumption as the catcher boat; and 2 lightboats with fuel consumption of about 2,000 ltrs/month </t>
    </r>
  </si>
  <si>
    <t>Bag Net</t>
  </si>
  <si>
    <r>
      <rPr>
        <b/>
        <sz val="10"/>
        <color theme="1"/>
        <rFont val="Cambria"/>
        <family val="1"/>
      </rPr>
      <t xml:space="preserve">Hook and Line/Handline </t>
    </r>
    <r>
      <rPr>
        <sz val="10"/>
        <color theme="1"/>
        <rFont val="Cambria"/>
        <family val="1"/>
      </rPr>
      <t xml:space="preserve">
Note: 1 HL is supported by an average of 12 pakuras with a fuel consumption of 100ltrs gas for each pakur</t>
    </r>
  </si>
  <si>
    <t>Longline</t>
  </si>
  <si>
    <t>GRAND TOTAL</t>
  </si>
  <si>
    <t>Commodity</t>
  </si>
  <si>
    <t xml:space="preserve">Culture Method </t>
  </si>
  <si>
    <t>Area (in Ha)</t>
  </si>
  <si>
    <t>No. of Beneficiaries/ Operators</t>
  </si>
  <si>
    <t>Fuel Consumption per month (in Liters)</t>
  </si>
  <si>
    <t>Fuel Subsidy (in Pesos); July rate</t>
  </si>
  <si>
    <t>Estimated Fuel Subsidy for Price Difference; July (Php77) - January (Php63)</t>
  </si>
  <si>
    <t>Pen</t>
  </si>
  <si>
    <t>Cage</t>
  </si>
  <si>
    <t>Pond</t>
  </si>
  <si>
    <t>Raft</t>
  </si>
  <si>
    <t>450 cu.m.</t>
  </si>
  <si>
    <t>38.224 cu.m.</t>
  </si>
  <si>
    <t>*</t>
  </si>
  <si>
    <t>314 units</t>
  </si>
  <si>
    <t>46 associations</t>
  </si>
  <si>
    <t>Legend:</t>
  </si>
  <si>
    <t>from PSA data</t>
  </si>
  <si>
    <t>1 hectare = 1 operator/beneficiary</t>
  </si>
  <si>
    <t>area multiplied by 3000 pesos per ha per month regardless of liters</t>
  </si>
  <si>
    <t>77 per liter</t>
  </si>
  <si>
    <t>14 per liter</t>
  </si>
  <si>
    <t>no submission</t>
  </si>
  <si>
    <t>Region I
Ilocos Region</t>
  </si>
  <si>
    <t>Siganids</t>
  </si>
  <si>
    <t>Milkfish</t>
  </si>
  <si>
    <t>Milkfish/Tilapia</t>
  </si>
  <si>
    <t>Milkfish/Shrimp</t>
  </si>
  <si>
    <t>Milkfish/Siganid</t>
  </si>
  <si>
    <t>Milkfish/Tilapia/Crab</t>
  </si>
  <si>
    <t>Catfish</t>
  </si>
  <si>
    <t>Seaweeds</t>
  </si>
  <si>
    <t>Sea Urchin</t>
  </si>
  <si>
    <t>Talakitok</t>
  </si>
  <si>
    <t>Lapu-lapu</t>
  </si>
  <si>
    <t>Shrimp</t>
  </si>
  <si>
    <t>Tilapia</t>
  </si>
  <si>
    <t>Oyster</t>
  </si>
  <si>
    <t>Region II
Cagayan Valley</t>
  </si>
  <si>
    <t>area plus 450 cu.m.</t>
  </si>
  <si>
    <t>Tilapia/Milkfish/Siganids/Crabs Polyculture</t>
  </si>
  <si>
    <t>Tilapia/Catfish</t>
  </si>
  <si>
    <t>Region III
Central Luzon</t>
  </si>
  <si>
    <t>Milkfish/Shrimp/Crab etc.</t>
  </si>
  <si>
    <t>6,000 - 7,000</t>
  </si>
  <si>
    <t>25--62.4</t>
  </si>
  <si>
    <t>30-36</t>
  </si>
  <si>
    <t>25 - 40</t>
  </si>
  <si>
    <t>6567-7582</t>
  </si>
  <si>
    <t>323-366.4</t>
  </si>
  <si>
    <t>8,000 - 9,000</t>
  </si>
  <si>
    <t>60-100</t>
  </si>
  <si>
    <t>120-150</t>
  </si>
  <si>
    <t>8120-9120</t>
  </si>
  <si>
    <t>180-250</t>
  </si>
  <si>
    <t>14687-16,702</t>
  </si>
  <si>
    <t>503-616.4</t>
  </si>
  <si>
    <t>Region IV-A
CALABARZON</t>
  </si>
  <si>
    <t>All species</t>
  </si>
  <si>
    <t>see breakdown on different excel</t>
  </si>
  <si>
    <t>Region IX
Zamboanga Peninsula</t>
  </si>
  <si>
    <t>Shellfish</t>
  </si>
  <si>
    <t>(3.7966, average area)</t>
  </si>
  <si>
    <t>(4.7174, average area)</t>
  </si>
  <si>
    <t>(4.4336, average area)</t>
  </si>
  <si>
    <t>(4.2896, average area)</t>
  </si>
  <si>
    <t>4 units</t>
  </si>
  <si>
    <t>units</t>
  </si>
  <si>
    <t>229 units</t>
  </si>
  <si>
    <t>11 units</t>
  </si>
  <si>
    <t>255 units</t>
  </si>
  <si>
    <t>Milkfish/Grouper</t>
  </si>
  <si>
    <t>59 units</t>
  </si>
  <si>
    <t>Region XI
Davao Region</t>
  </si>
  <si>
    <t>Region XIII
CARAGA</t>
  </si>
  <si>
    <t>14 associations</t>
  </si>
  <si>
    <t>10 associations</t>
  </si>
  <si>
    <t>Lobster</t>
  </si>
  <si>
    <t>12 associations</t>
  </si>
  <si>
    <t>Milkfish/Crab</t>
  </si>
  <si>
    <t>Tilapia/Crab</t>
  </si>
  <si>
    <t>Milkfish/Siganids</t>
  </si>
  <si>
    <t>Milkfish/Shrimp/Siganids</t>
  </si>
  <si>
    <t>Tilapia/Carp</t>
  </si>
  <si>
    <t>Shrimp/Crab</t>
  </si>
  <si>
    <t>Milkfish/Shrimp/Crab</t>
  </si>
  <si>
    <t>Crab</t>
  </si>
  <si>
    <t>Milkfish/Lobster/Siganids/Caranx</t>
  </si>
  <si>
    <t>x</t>
  </si>
  <si>
    <t>Milkfish/Caranx</t>
  </si>
  <si>
    <t>Cordillera Administrative Region</t>
  </si>
  <si>
    <t>Capture Production Fuel Consumption (L)</t>
  </si>
  <si>
    <t>Aquaculture Fuel Consumption (L)</t>
  </si>
  <si>
    <t>Marine Capture</t>
  </si>
  <si>
    <t>Aquaculture</t>
  </si>
  <si>
    <t>Fisheries</t>
  </si>
  <si>
    <t>Crop</t>
  </si>
  <si>
    <t>Financial Allocation</t>
  </si>
  <si>
    <t>Administrative Fund</t>
  </si>
  <si>
    <t>Total Fund Allocation</t>
  </si>
  <si>
    <t>Target No of Beneficiaries</t>
  </si>
  <si>
    <t>For NPCG</t>
  </si>
  <si>
    <t>BAFE</t>
  </si>
  <si>
    <t>ICTS</t>
  </si>
  <si>
    <t>PROGRAMS</t>
  </si>
  <si>
    <t>CROPS</t>
  </si>
  <si>
    <t>FISHERIES</t>
  </si>
  <si>
    <t>Percentage Share</t>
  </si>
  <si>
    <t>Crops (Corn)</t>
  </si>
  <si>
    <t>Number of Beneficiaries</t>
  </si>
  <si>
    <t>Total Fuel Fund</t>
  </si>
  <si>
    <t>Total Percentage Share</t>
  </si>
  <si>
    <t>Total Number of Beneficiaries</t>
  </si>
  <si>
    <t>Increment</t>
  </si>
  <si>
    <t>Percentage Increment</t>
  </si>
  <si>
    <t>Total ('000)</t>
  </si>
  <si>
    <t>Total Regional Fund (Program and Administrative)</t>
  </si>
  <si>
    <t>Round</t>
  </si>
  <si>
    <t>Total Cost</t>
  </si>
  <si>
    <t>Budget</t>
  </si>
  <si>
    <t>Philippine Gasoline Prices</t>
  </si>
  <si>
    <t>Year</t>
  </si>
  <si>
    <t>USD/Liter</t>
  </si>
  <si>
    <t>NIR</t>
  </si>
  <si>
    <t>Estimated Total Cost per ha</t>
  </si>
  <si>
    <t>Subsidy</t>
  </si>
  <si>
    <t>Percentage compared to average cost per ha-day</t>
  </si>
  <si>
    <t>Percentage compared to Total Cost per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</si>
</sst>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* #,##0_-;\-* #,##0_-;_-* &quot;-&quot;??_-;_-@_-"/>
    <numFmt numFmtId="165" formatCode="_(&quot;₱&quot;* #,##0.00_);_(&quot;₱&quot;* \(#,##0.00\);_(&quot;₱&quot;* &quot;-&quot;??_);_(@_)"/>
    <numFmt numFmtId="166" formatCode="_(* #,##0_);_(* \(#,##0\);_(* &quot;-&quot;??_);_(@_)"/>
    <numFmt numFmtId="167" formatCode="_(* #,##0.00_);_(* \(#,##0.00\);_(* &quot;-&quot;??_);_(@_)"/>
    <numFmt numFmtId="168" formatCode="0.0"/>
    <numFmt numFmtId="169" formatCode="0.0000_)"/>
    <numFmt numFmtId="170" formatCode="0.0000"/>
    <numFmt numFmtId="171" formatCode="0.000"/>
    <numFmt numFmtId="172" formatCode="_-* #,##0.000_-;\-* #,##0.000_-;_-* &quot;-&quot;??_-;_-@_-"/>
    <numFmt numFmtId="173" formatCode="_-* #,##0.0_-;\-* #,##0.0_-;_-* &quot;-&quot;??_-;_-@_-"/>
    <numFmt numFmtId="174" formatCode="#,##0.0"/>
    <numFmt numFmtId="175" formatCode="[$-3409]dd\-mmm\-yy;@"/>
  </numFmts>
  <fonts count="8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i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2"/>
      <name val="Arial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Lora"/>
    </font>
    <font>
      <sz val="12"/>
      <name val="Helv"/>
    </font>
    <font>
      <sz val="12"/>
      <name val="Lora"/>
    </font>
    <font>
      <b/>
      <sz val="12"/>
      <name val="Lora"/>
    </font>
    <font>
      <sz val="12"/>
      <color indexed="56"/>
      <name val="Lora"/>
    </font>
    <font>
      <sz val="12"/>
      <color indexed="48"/>
      <name val="Lora"/>
    </font>
    <font>
      <sz val="11"/>
      <color theme="1"/>
      <name val="Arial Narrow"/>
      <family val="2"/>
    </font>
    <font>
      <sz val="11"/>
      <color theme="1"/>
      <name val="Century Gothic"/>
      <family val="2"/>
    </font>
    <font>
      <b/>
      <sz val="11"/>
      <name val="Arial Narrow"/>
      <family val="2"/>
    </font>
    <font>
      <b/>
      <sz val="11"/>
      <color theme="1"/>
      <name val="Arial Narrow"/>
      <family val="2"/>
    </font>
    <font>
      <sz val="9"/>
      <color theme="1"/>
      <name val="Century Gothic"/>
      <family val="2"/>
    </font>
    <font>
      <sz val="11"/>
      <name val="Arial Narrow"/>
      <family val="2"/>
    </font>
    <font>
      <sz val="11"/>
      <name val="Century Gothic"/>
      <family val="2"/>
    </font>
    <font>
      <sz val="11"/>
      <color rgb="FFFF0000"/>
      <name val="Arial Narrow"/>
      <family val="2"/>
    </font>
    <font>
      <sz val="11"/>
      <color rgb="FFFF0000"/>
      <name val="Century Gothic"/>
      <family val="2"/>
    </font>
    <font>
      <i/>
      <sz val="11"/>
      <color theme="1"/>
      <name val="Century Gothic"/>
      <family val="2"/>
    </font>
    <font>
      <sz val="14"/>
      <color theme="1"/>
      <name val="Century Gothic"/>
      <family val="2"/>
    </font>
    <font>
      <sz val="14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i/>
      <sz val="11"/>
      <color theme="1"/>
      <name val="Calibri"/>
      <family val="2"/>
    </font>
    <font>
      <b/>
      <sz val="18"/>
      <name val="Arial"/>
      <family val="2"/>
    </font>
    <font>
      <b/>
      <sz val="24"/>
      <name val="Estrangelo Edessa"/>
      <family val="4"/>
    </font>
    <font>
      <sz val="10"/>
      <name val="Estrangelo Edessa"/>
      <family val="4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Estrangelo Edessa"/>
      <family val="4"/>
    </font>
    <font>
      <sz val="12"/>
      <name val="Estrangelo Edessa"/>
      <family val="4"/>
    </font>
    <font>
      <b/>
      <sz val="10"/>
      <name val="Arial"/>
      <family val="2"/>
    </font>
    <font>
      <sz val="10"/>
      <name val="AngsanaUPC"/>
      <family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Arial"/>
      <family val="2"/>
    </font>
    <font>
      <b/>
      <sz val="24"/>
      <color rgb="FF000000"/>
      <name val="Cambria"/>
      <family val="1"/>
    </font>
    <font>
      <b/>
      <sz val="16"/>
      <color rgb="FF000000"/>
      <name val="Arial"/>
      <family val="2"/>
    </font>
    <font>
      <sz val="8"/>
      <color rgb="FF000000"/>
      <name val="Arial"/>
      <family val="2"/>
    </font>
    <font>
      <b/>
      <sz val="14"/>
      <color rgb="FF000000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2"/>
      <color theme="4" tint="-0.249977111117893"/>
      <name val="Cambria"/>
      <family val="1"/>
    </font>
    <font>
      <b/>
      <sz val="12"/>
      <color rgb="FFC00000"/>
      <name val="Cambria"/>
      <family val="1"/>
    </font>
    <font>
      <b/>
      <i/>
      <sz val="12"/>
      <color theme="1"/>
      <name val="Cambria"/>
      <family val="1"/>
    </font>
    <font>
      <b/>
      <sz val="11"/>
      <color rgb="FF000000"/>
      <name val="Cambria"/>
      <family val="1"/>
    </font>
    <font>
      <sz val="10"/>
      <color rgb="FF000000"/>
      <name val="Cambria"/>
      <family val="1"/>
    </font>
    <font>
      <sz val="10"/>
      <color rgb="FF000000"/>
      <name val="Arial"/>
      <family val="2"/>
    </font>
    <font>
      <sz val="22"/>
      <color theme="1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0"/>
      <color rgb="FFFF0000"/>
      <name val="Cambria"/>
      <family val="1"/>
    </font>
    <font>
      <u/>
      <sz val="10"/>
      <color rgb="FF000000"/>
      <name val="Arial"/>
      <family val="2"/>
    </font>
    <font>
      <b/>
      <sz val="10"/>
      <color rgb="FF000000"/>
      <name val="Cambria"/>
      <family val="1"/>
    </font>
    <font>
      <b/>
      <sz val="12"/>
      <color theme="0"/>
      <name val="Cambria"/>
      <family val="1"/>
    </font>
    <font>
      <b/>
      <sz val="10"/>
      <color theme="1"/>
      <name val="Arial"/>
      <family val="2"/>
    </font>
    <font>
      <sz val="12"/>
      <color theme="1"/>
      <name val="Cambria"/>
      <family val="1"/>
    </font>
    <font>
      <sz val="12"/>
      <name val="Cambria"/>
      <family val="1"/>
    </font>
    <font>
      <sz val="12"/>
      <color rgb="FF000000"/>
      <name val="Calibri"/>
      <family val="2"/>
      <scheme val="minor"/>
    </font>
    <font>
      <sz val="12"/>
      <color rgb="FF000000"/>
      <name val="Cambria"/>
      <family val="1"/>
    </font>
    <font>
      <b/>
      <sz val="12"/>
      <color rgb="FF000000"/>
      <name val="Cambria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E9D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theme="9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2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0" fontId="10" fillId="0" borderId="0"/>
    <xf numFmtId="169" fontId="12" fillId="0" borderId="0"/>
    <xf numFmtId="0" fontId="44" fillId="0" borderId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/>
    <xf numFmtId="167" fontId="66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47" fillId="0" borderId="0"/>
    <xf numFmtId="167" fontId="47" fillId="0" borderId="0" applyFont="0" applyFill="0" applyBorder="0" applyAlignment="0" applyProtection="0"/>
    <xf numFmtId="0" fontId="2" fillId="0" borderId="0"/>
  </cellStyleXfs>
  <cellXfs count="742">
    <xf numFmtId="0" fontId="0" fillId="0" borderId="0" xfId="0"/>
    <xf numFmtId="0" fontId="0" fillId="0" borderId="0" xfId="0" applyAlignment="1">
      <alignment horizontal="left" indent="1"/>
    </xf>
    <xf numFmtId="0" fontId="0" fillId="0" borderId="1" xfId="0" applyBorder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left" indent="1"/>
    </xf>
    <xf numFmtId="0" fontId="5" fillId="0" borderId="0" xfId="0" applyFont="1"/>
    <xf numFmtId="0" fontId="1" fillId="0" borderId="1" xfId="0" applyFont="1" applyBorder="1"/>
    <xf numFmtId="0" fontId="5" fillId="0" borderId="1" xfId="0" applyFont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0" borderId="1" xfId="1" applyNumberFormat="1" applyFont="1" applyBorder="1"/>
    <xf numFmtId="164" fontId="1" fillId="0" borderId="1" xfId="1" applyNumberFormat="1" applyFont="1" applyBorder="1"/>
    <xf numFmtId="164" fontId="1" fillId="0" borderId="0" xfId="1" applyNumberFormat="1" applyFont="1" applyBorder="1"/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2" applyNumberFormat="1" applyFont="1" applyBorder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 wrapText="1"/>
    </xf>
    <xf numFmtId="164" fontId="9" fillId="0" borderId="1" xfId="0" applyNumberFormat="1" applyFont="1" applyBorder="1" applyAlignment="1">
      <alignment horizontal="center" vertical="center"/>
    </xf>
    <xf numFmtId="0" fontId="9" fillId="0" borderId="0" xfId="0" applyFont="1"/>
    <xf numFmtId="169" fontId="13" fillId="0" borderId="0" xfId="6" applyFont="1"/>
    <xf numFmtId="0" fontId="15" fillId="2" borderId="14" xfId="5" applyFont="1" applyFill="1" applyBorder="1" applyAlignment="1">
      <alignment wrapText="1"/>
    </xf>
    <xf numFmtId="0" fontId="15" fillId="2" borderId="15" xfId="5" applyFont="1" applyFill="1" applyBorder="1" applyAlignment="1">
      <alignment wrapText="1"/>
    </xf>
    <xf numFmtId="0" fontId="15" fillId="2" borderId="16" xfId="5" applyFont="1" applyFill="1" applyBorder="1" applyAlignment="1">
      <alignment wrapText="1"/>
    </xf>
    <xf numFmtId="0" fontId="14" fillId="0" borderId="12" xfId="5" applyFont="1" applyBorder="1" applyAlignment="1">
      <alignment horizontal="center"/>
    </xf>
    <xf numFmtId="0" fontId="14" fillId="0" borderId="0" xfId="5" applyFont="1" applyAlignment="1">
      <alignment horizontal="center"/>
    </xf>
    <xf numFmtId="0" fontId="14" fillId="0" borderId="13" xfId="5" applyFont="1" applyBorder="1" applyAlignment="1">
      <alignment horizontal="center"/>
    </xf>
    <xf numFmtId="0" fontId="13" fillId="0" borderId="9" xfId="5" applyFont="1" applyBorder="1" applyAlignment="1">
      <alignment horizontal="center"/>
    </xf>
    <xf numFmtId="170" fontId="13" fillId="0" borderId="10" xfId="5" applyNumberFormat="1" applyFont="1" applyBorder="1" applyAlignment="1">
      <alignment horizontal="right"/>
    </xf>
    <xf numFmtId="170" fontId="13" fillId="0" borderId="11" xfId="5" applyNumberFormat="1" applyFont="1" applyBorder="1" applyAlignment="1">
      <alignment horizontal="right"/>
    </xf>
    <xf numFmtId="0" fontId="13" fillId="0" borderId="12" xfId="5" applyFont="1" applyBorder="1" applyAlignment="1">
      <alignment horizontal="center"/>
    </xf>
    <xf numFmtId="170" fontId="13" fillId="0" borderId="0" xfId="5" applyNumberFormat="1" applyFont="1" applyAlignment="1">
      <alignment horizontal="right"/>
    </xf>
    <xf numFmtId="170" fontId="13" fillId="0" borderId="13" xfId="5" applyNumberFormat="1" applyFont="1" applyBorder="1" applyAlignment="1">
      <alignment horizontal="right"/>
    </xf>
    <xf numFmtId="0" fontId="13" fillId="0" borderId="14" xfId="5" applyFont="1" applyBorder="1" applyAlignment="1">
      <alignment horizontal="center"/>
    </xf>
    <xf numFmtId="170" fontId="13" fillId="0" borderId="15" xfId="5" applyNumberFormat="1" applyFont="1" applyBorder="1" applyAlignment="1">
      <alignment horizontal="right"/>
    </xf>
    <xf numFmtId="170" fontId="13" fillId="0" borderId="16" xfId="5" applyNumberFormat="1" applyFont="1" applyBorder="1" applyAlignment="1">
      <alignment horizontal="right"/>
    </xf>
    <xf numFmtId="0" fontId="14" fillId="0" borderId="14" xfId="5" applyFont="1" applyBorder="1" applyAlignment="1">
      <alignment horizontal="center"/>
    </xf>
    <xf numFmtId="0" fontId="14" fillId="0" borderId="15" xfId="5" applyFont="1" applyBorder="1" applyAlignment="1">
      <alignment horizontal="center"/>
    </xf>
    <xf numFmtId="0" fontId="14" fillId="0" borderId="16" xfId="5" applyFont="1" applyBorder="1" applyAlignment="1">
      <alignment horizontal="center"/>
    </xf>
    <xf numFmtId="0" fontId="15" fillId="0" borderId="14" xfId="5" applyFont="1" applyBorder="1" applyAlignment="1">
      <alignment wrapText="1"/>
    </xf>
    <xf numFmtId="0" fontId="15" fillId="0" borderId="15" xfId="5" applyFont="1" applyBorder="1" applyAlignment="1">
      <alignment wrapText="1"/>
    </xf>
    <xf numFmtId="0" fontId="15" fillId="0" borderId="16" xfId="5" applyFont="1" applyBorder="1" applyAlignment="1">
      <alignment wrapText="1"/>
    </xf>
    <xf numFmtId="0" fontId="13" fillId="0" borderId="15" xfId="5" applyFont="1" applyBorder="1" applyAlignment="1">
      <alignment horizontal="right"/>
    </xf>
    <xf numFmtId="171" fontId="13" fillId="0" borderId="10" xfId="5" applyNumberFormat="1" applyFont="1" applyBorder="1"/>
    <xf numFmtId="171" fontId="13" fillId="0" borderId="11" xfId="5" applyNumberFormat="1" applyFont="1" applyBorder="1"/>
    <xf numFmtId="171" fontId="13" fillId="0" borderId="0" xfId="5" applyNumberFormat="1" applyFont="1"/>
    <xf numFmtId="171" fontId="13" fillId="0" borderId="13" xfId="5" applyNumberFormat="1" applyFont="1" applyBorder="1"/>
    <xf numFmtId="0" fontId="16" fillId="0" borderId="14" xfId="5" applyFont="1" applyBorder="1" applyAlignment="1">
      <alignment horizontal="left"/>
    </xf>
    <xf numFmtId="171" fontId="13" fillId="0" borderId="16" xfId="5" applyNumberFormat="1" applyFont="1" applyBorder="1"/>
    <xf numFmtId="169" fontId="13" fillId="0" borderId="14" xfId="6" applyFont="1" applyBorder="1"/>
    <xf numFmtId="169" fontId="13" fillId="0" borderId="15" xfId="6" applyFont="1" applyBorder="1"/>
    <xf numFmtId="169" fontId="13" fillId="0" borderId="16" xfId="6" applyFont="1" applyBorder="1"/>
    <xf numFmtId="0" fontId="11" fillId="2" borderId="0" xfId="5" applyFont="1" applyFill="1" applyAlignment="1">
      <alignment wrapText="1"/>
    </xf>
    <xf numFmtId="0" fontId="13" fillId="2" borderId="0" xfId="5" applyFont="1" applyFill="1" applyAlignment="1">
      <alignment wrapText="1"/>
    </xf>
    <xf numFmtId="0" fontId="13" fillId="2" borderId="0" xfId="5" applyFont="1" applyFill="1"/>
    <xf numFmtId="0" fontId="15" fillId="2" borderId="0" xfId="5" applyFont="1" applyFill="1" applyAlignment="1">
      <alignment wrapText="1"/>
    </xf>
    <xf numFmtId="0" fontId="13" fillId="0" borderId="0" xfId="5" applyFont="1" applyAlignment="1">
      <alignment horizontal="right"/>
    </xf>
    <xf numFmtId="10" fontId="0" fillId="0" borderId="0" xfId="0" applyNumberFormat="1" applyAlignment="1">
      <alignment horizontal="center" vertical="top" wrapText="1"/>
    </xf>
    <xf numFmtId="43" fontId="17" fillId="0" borderId="18" xfId="1" applyFont="1" applyBorder="1" applyAlignment="1">
      <alignment horizontal="center" vertical="center"/>
    </xf>
    <xf numFmtId="164" fontId="17" fillId="0" borderId="0" xfId="1" applyNumberFormat="1" applyFont="1" applyAlignment="1">
      <alignment horizontal="center" vertical="center"/>
    </xf>
    <xf numFmtId="43" fontId="17" fillId="0" borderId="0" xfId="1" applyFont="1" applyAlignment="1">
      <alignment horizontal="center" vertical="center"/>
    </xf>
    <xf numFmtId="43" fontId="17" fillId="0" borderId="0" xfId="1" applyFont="1" applyFill="1" applyAlignment="1">
      <alignment vertical="center"/>
    </xf>
    <xf numFmtId="43" fontId="17" fillId="0" borderId="0" xfId="1" applyFont="1" applyAlignment="1">
      <alignment vertical="center"/>
    </xf>
    <xf numFmtId="43" fontId="17" fillId="0" borderId="0" xfId="1" applyFont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164" fontId="20" fillId="0" borderId="1" xfId="1" applyNumberFormat="1" applyFont="1" applyFill="1" applyBorder="1" applyAlignment="1">
      <alignment horizontal="center" vertical="center" wrapText="1"/>
    </xf>
    <xf numFmtId="43" fontId="20" fillId="0" borderId="1" xfId="1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43" fontId="22" fillId="0" borderId="1" xfId="1" applyFont="1" applyBorder="1" applyAlignment="1">
      <alignment horizontal="left" vertical="center"/>
    </xf>
    <xf numFmtId="43" fontId="22" fillId="0" borderId="4" xfId="1" applyFont="1" applyBorder="1" applyAlignment="1">
      <alignment horizontal="center" vertical="center"/>
    </xf>
    <xf numFmtId="43" fontId="22" fillId="3" borderId="1" xfId="1" applyFont="1" applyFill="1" applyBorder="1" applyAlignment="1">
      <alignment horizontal="center" vertical="center"/>
    </xf>
    <xf numFmtId="43" fontId="22" fillId="0" borderId="1" xfId="1" applyFont="1" applyBorder="1" applyAlignment="1">
      <alignment vertical="center" wrapText="1"/>
    </xf>
    <xf numFmtId="43" fontId="22" fillId="0" borderId="1" xfId="1" applyFont="1" applyBorder="1" applyAlignment="1">
      <alignment vertical="center"/>
    </xf>
    <xf numFmtId="164" fontId="22" fillId="0" borderId="1" xfId="1" applyNumberFormat="1" applyFont="1" applyBorder="1" applyAlignment="1">
      <alignment horizontal="center" vertical="center"/>
    </xf>
    <xf numFmtId="43" fontId="22" fillId="4" borderId="1" xfId="1" applyFont="1" applyFill="1" applyBorder="1" applyAlignment="1">
      <alignment horizontal="center" vertical="center"/>
    </xf>
    <xf numFmtId="43" fontId="22" fillId="0" borderId="24" xfId="1" applyFont="1" applyBorder="1" applyAlignment="1">
      <alignment vertical="center"/>
    </xf>
    <xf numFmtId="0" fontId="23" fillId="0" borderId="0" xfId="0" applyFont="1" applyAlignment="1">
      <alignment vertical="center"/>
    </xf>
    <xf numFmtId="43" fontId="22" fillId="0" borderId="1" xfId="1" applyFont="1" applyFill="1" applyBorder="1" applyAlignment="1">
      <alignment horizontal="center" vertical="center"/>
    </xf>
    <xf numFmtId="43" fontId="22" fillId="0" borderId="1" xfId="1" applyFont="1" applyFill="1" applyBorder="1" applyAlignment="1">
      <alignment vertical="center"/>
    </xf>
    <xf numFmtId="43" fontId="22" fillId="0" borderId="1" xfId="1" applyFont="1" applyFill="1" applyBorder="1" applyAlignment="1">
      <alignment vertical="center" wrapText="1"/>
    </xf>
    <xf numFmtId="43" fontId="22" fillId="0" borderId="1" xfId="1" applyFont="1" applyBorder="1" applyAlignment="1">
      <alignment horizontal="left" vertical="center" wrapText="1"/>
    </xf>
    <xf numFmtId="43" fontId="22" fillId="0" borderId="2" xfId="1" applyFont="1" applyBorder="1" applyAlignment="1">
      <alignment horizontal="left" vertical="center" wrapText="1"/>
    </xf>
    <xf numFmtId="43" fontId="22" fillId="0" borderId="18" xfId="1" applyFont="1" applyBorder="1" applyAlignment="1">
      <alignment horizontal="center" vertical="center"/>
    </xf>
    <xf numFmtId="43" fontId="17" fillId="0" borderId="1" xfId="1" applyFont="1" applyBorder="1" applyAlignment="1">
      <alignment vertical="center" wrapText="1"/>
    </xf>
    <xf numFmtId="43" fontId="17" fillId="0" borderId="1" xfId="1" applyFont="1" applyBorder="1" applyAlignment="1">
      <alignment vertical="center"/>
    </xf>
    <xf numFmtId="43" fontId="22" fillId="0" borderId="3" xfId="1" applyFont="1" applyBorder="1" applyAlignment="1">
      <alignment horizontal="left" vertical="center" wrapText="1"/>
    </xf>
    <xf numFmtId="43" fontId="24" fillId="0" borderId="1" xfId="1" applyFont="1" applyBorder="1" applyAlignment="1">
      <alignment vertical="center"/>
    </xf>
    <xf numFmtId="43" fontId="24" fillId="0" borderId="1" xfId="1" applyFont="1" applyFill="1" applyBorder="1" applyAlignment="1">
      <alignment vertical="center"/>
    </xf>
    <xf numFmtId="0" fontId="25" fillId="0" borderId="0" xfId="0" applyFont="1" applyAlignment="1">
      <alignment vertical="center"/>
    </xf>
    <xf numFmtId="43" fontId="20" fillId="0" borderId="1" xfId="1" applyFont="1" applyBorder="1" applyAlignment="1">
      <alignment vertical="center"/>
    </xf>
    <xf numFmtId="43" fontId="20" fillId="0" borderId="26" xfId="1" applyFont="1" applyFill="1" applyBorder="1" applyAlignment="1">
      <alignment horizontal="center" vertical="center"/>
    </xf>
    <xf numFmtId="43" fontId="20" fillId="0" borderId="26" xfId="1" applyFont="1" applyBorder="1" applyAlignment="1">
      <alignment horizontal="center" vertical="center"/>
    </xf>
    <xf numFmtId="164" fontId="17" fillId="0" borderId="26" xfId="1" applyNumberFormat="1" applyFont="1" applyBorder="1" applyAlignment="1">
      <alignment horizontal="center" vertical="center"/>
    </xf>
    <xf numFmtId="43" fontId="20" fillId="0" borderId="29" xfId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164" fontId="18" fillId="0" borderId="0" xfId="1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43" fontId="18" fillId="0" borderId="0" xfId="1" applyFont="1" applyFill="1" applyAlignment="1">
      <alignment horizontal="center" vertical="center"/>
    </xf>
    <xf numFmtId="173" fontId="18" fillId="0" borderId="0" xfId="0" applyNumberFormat="1" applyFont="1" applyAlignment="1">
      <alignment vertical="center"/>
    </xf>
    <xf numFmtId="173" fontId="23" fillId="0" borderId="0" xfId="0" applyNumberFormat="1" applyFont="1" applyAlignment="1">
      <alignment vertical="center"/>
    </xf>
    <xf numFmtId="173" fontId="18" fillId="0" borderId="0" xfId="0" applyNumberFormat="1" applyFont="1" applyAlignment="1">
      <alignment vertical="center" wrapText="1"/>
    </xf>
    <xf numFmtId="172" fontId="18" fillId="0" borderId="0" xfId="0" applyNumberFormat="1" applyFont="1" applyAlignment="1">
      <alignment vertical="center"/>
    </xf>
    <xf numFmtId="164" fontId="18" fillId="0" borderId="0" xfId="0" applyNumberFormat="1" applyFont="1" applyAlignment="1">
      <alignment vertical="center"/>
    </xf>
    <xf numFmtId="0" fontId="27" fillId="0" borderId="0" xfId="0" applyFont="1" applyAlignment="1">
      <alignment horizontal="center" vertical="center"/>
    </xf>
    <xf numFmtId="164" fontId="27" fillId="0" borderId="0" xfId="0" applyNumberFormat="1" applyFont="1" applyAlignment="1">
      <alignment vertical="center"/>
    </xf>
    <xf numFmtId="173" fontId="28" fillId="0" borderId="0" xfId="0" applyNumberFormat="1" applyFont="1" applyAlignment="1">
      <alignment vertical="center"/>
    </xf>
    <xf numFmtId="173" fontId="27" fillId="0" borderId="0" xfId="0" applyNumberFormat="1" applyFont="1" applyAlignment="1">
      <alignment vertical="center"/>
    </xf>
    <xf numFmtId="173" fontId="27" fillId="0" borderId="0" xfId="0" applyNumberFormat="1" applyFont="1" applyAlignment="1">
      <alignment vertical="center" wrapText="1"/>
    </xf>
    <xf numFmtId="172" fontId="27" fillId="0" borderId="0" xfId="0" applyNumberFormat="1" applyFont="1" applyAlignment="1">
      <alignment vertical="center"/>
    </xf>
    <xf numFmtId="164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43" fontId="18" fillId="0" borderId="0" xfId="0" applyNumberFormat="1" applyFont="1" applyAlignment="1">
      <alignment horizontal="center" vertical="center"/>
    </xf>
    <xf numFmtId="43" fontId="23" fillId="0" borderId="0" xfId="0" applyNumberFormat="1" applyFont="1" applyAlignment="1">
      <alignment vertical="center"/>
    </xf>
    <xf numFmtId="43" fontId="20" fillId="0" borderId="6" xfId="1" applyFont="1" applyBorder="1" applyAlignment="1">
      <alignment horizontal="center" vertical="center" wrapText="1"/>
    </xf>
    <xf numFmtId="43" fontId="22" fillId="0" borderId="23" xfId="1" applyFont="1" applyFill="1" applyBorder="1" applyAlignment="1">
      <alignment horizontal="left" vertical="center"/>
    </xf>
    <xf numFmtId="43" fontId="22" fillId="0" borderId="24" xfId="1" applyFont="1" applyBorder="1" applyAlignment="1">
      <alignment horizontal="center" vertical="center"/>
    </xf>
    <xf numFmtId="43" fontId="17" fillId="0" borderId="6" xfId="1" applyFont="1" applyFill="1" applyBorder="1" applyAlignment="1">
      <alignment horizontal="right" vertical="center"/>
    </xf>
    <xf numFmtId="43" fontId="22" fillId="0" borderId="23" xfId="1" applyFont="1" applyFill="1" applyBorder="1" applyAlignment="1">
      <alignment vertical="center"/>
    </xf>
    <xf numFmtId="43" fontId="22" fillId="0" borderId="32" xfId="1" applyFont="1" applyFill="1" applyBorder="1" applyAlignment="1">
      <alignment horizontal="left" vertical="center"/>
    </xf>
    <xf numFmtId="43" fontId="22" fillId="0" borderId="23" xfId="1" applyFont="1" applyFill="1" applyBorder="1" applyAlignment="1">
      <alignment horizontal="left" vertical="center" wrapText="1"/>
    </xf>
    <xf numFmtId="43" fontId="22" fillId="0" borderId="33" xfId="1" applyFont="1" applyFill="1" applyBorder="1" applyAlignment="1">
      <alignment vertical="center"/>
    </xf>
    <xf numFmtId="43" fontId="22" fillId="0" borderId="23" xfId="1" applyFont="1" applyFill="1" applyBorder="1" applyAlignment="1">
      <alignment vertical="center" wrapText="1"/>
    </xf>
    <xf numFmtId="43" fontId="22" fillId="0" borderId="2" xfId="1" applyFont="1" applyBorder="1" applyAlignment="1">
      <alignment horizontal="left" vertical="center"/>
    </xf>
    <xf numFmtId="43" fontId="20" fillId="0" borderId="1" xfId="1" applyFont="1" applyBorder="1" applyAlignment="1">
      <alignment horizontal="center" vertical="center"/>
    </xf>
    <xf numFmtId="43" fontId="17" fillId="0" borderId="35" xfId="1" applyFont="1" applyBorder="1" applyAlignment="1">
      <alignment horizontal="center" vertical="center"/>
    </xf>
    <xf numFmtId="43" fontId="20" fillId="0" borderId="2" xfId="1" applyFont="1" applyBorder="1" applyAlignment="1">
      <alignment vertical="center"/>
    </xf>
    <xf numFmtId="43" fontId="17" fillId="0" borderId="0" xfId="1" applyFont="1" applyBorder="1" applyAlignment="1">
      <alignment horizontal="center" vertical="center"/>
    </xf>
    <xf numFmtId="164" fontId="17" fillId="0" borderId="0" xfId="1" applyNumberFormat="1" applyFont="1" applyBorder="1" applyAlignment="1">
      <alignment horizontal="center" vertical="center"/>
    </xf>
    <xf numFmtId="43" fontId="20" fillId="0" borderId="0" xfId="1" applyFont="1" applyBorder="1" applyAlignment="1">
      <alignment horizontal="center" vertical="center"/>
    </xf>
    <xf numFmtId="43" fontId="20" fillId="0" borderId="0" xfId="1" applyFont="1" applyBorder="1" applyAlignment="1">
      <alignment vertical="center"/>
    </xf>
    <xf numFmtId="0" fontId="20" fillId="0" borderId="26" xfId="0" applyFont="1" applyBorder="1" applyAlignment="1">
      <alignment vertical="center"/>
    </xf>
    <xf numFmtId="0" fontId="18" fillId="0" borderId="0" xfId="1" applyNumberFormat="1" applyFont="1" applyAlignment="1">
      <alignment horizontal="center" vertical="center"/>
    </xf>
    <xf numFmtId="43" fontId="20" fillId="0" borderId="4" xfId="1" applyFont="1" applyFill="1" applyBorder="1" applyAlignment="1">
      <alignment horizontal="center" vertical="center" wrapText="1"/>
    </xf>
    <xf numFmtId="43" fontId="22" fillId="5" borderId="1" xfId="1" applyFont="1" applyFill="1" applyBorder="1" applyAlignment="1">
      <alignment horizontal="center" vertical="center"/>
    </xf>
    <xf numFmtId="43" fontId="20" fillId="0" borderId="23" xfId="1" applyFont="1" applyBorder="1" applyAlignment="1">
      <alignment horizontal="center" vertical="center"/>
    </xf>
    <xf numFmtId="43" fontId="19" fillId="5" borderId="1" xfId="1" applyFont="1" applyFill="1" applyBorder="1" applyAlignment="1">
      <alignment horizontal="center" vertical="center"/>
    </xf>
    <xf numFmtId="43" fontId="20" fillId="0" borderId="34" xfId="1" applyFont="1" applyBorder="1" applyAlignment="1">
      <alignment vertical="center"/>
    </xf>
    <xf numFmtId="43" fontId="27" fillId="0" borderId="0" xfId="0" applyNumberFormat="1" applyFont="1" applyAlignment="1">
      <alignment horizontal="center" vertical="center"/>
    </xf>
    <xf numFmtId="43" fontId="30" fillId="0" borderId="1" xfId="1" applyFont="1" applyBorder="1" applyAlignment="1">
      <alignment horizontal="center" vertical="center"/>
    </xf>
    <xf numFmtId="164" fontId="30" fillId="0" borderId="1" xfId="1" applyNumberFormat="1" applyFont="1" applyBorder="1" applyAlignment="1">
      <alignment horizontal="center" vertical="center"/>
    </xf>
    <xf numFmtId="43" fontId="30" fillId="0" borderId="1" xfId="1" applyFont="1" applyFill="1" applyBorder="1" applyAlignment="1">
      <alignment vertical="center"/>
    </xf>
    <xf numFmtId="43" fontId="30" fillId="0" borderId="1" xfId="1" applyFont="1" applyBorder="1" applyAlignment="1">
      <alignment vertical="center"/>
    </xf>
    <xf numFmtId="43" fontId="30" fillId="0" borderId="1" xfId="1" applyFont="1" applyBorder="1" applyAlignment="1">
      <alignment vertical="center" wrapText="1"/>
    </xf>
    <xf numFmtId="0" fontId="30" fillId="0" borderId="0" xfId="0" applyFont="1" applyAlignment="1">
      <alignment vertical="center"/>
    </xf>
    <xf numFmtId="0" fontId="30" fillId="0" borderId="0" xfId="0" applyFont="1" applyAlignment="1">
      <alignment vertical="center" wrapText="1"/>
    </xf>
    <xf numFmtId="43" fontId="4" fillId="0" borderId="1" xfId="1" applyFont="1" applyFill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43" fontId="31" fillId="0" borderId="1" xfId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indent="1"/>
    </xf>
    <xf numFmtId="43" fontId="32" fillId="0" borderId="1" xfId="1" applyFont="1" applyFill="1" applyBorder="1" applyAlignment="1">
      <alignment horizontal="left" vertical="center"/>
    </xf>
    <xf numFmtId="43" fontId="31" fillId="0" borderId="1" xfId="1" applyFont="1" applyFill="1" applyBorder="1" applyAlignment="1">
      <alignment horizontal="center" vertical="center" wrapText="1"/>
    </xf>
    <xf numFmtId="43" fontId="32" fillId="0" borderId="1" xfId="1" applyFont="1" applyFill="1" applyBorder="1" applyAlignment="1">
      <alignment horizontal="center" vertical="center"/>
    </xf>
    <xf numFmtId="43" fontId="30" fillId="0" borderId="1" xfId="1" applyFont="1" applyFill="1" applyBorder="1" applyAlignment="1">
      <alignment horizontal="right" vertical="center"/>
    </xf>
    <xf numFmtId="164" fontId="32" fillId="0" borderId="1" xfId="1" applyNumberFormat="1" applyFont="1" applyFill="1" applyBorder="1" applyAlignment="1">
      <alignment horizontal="center" vertical="center"/>
    </xf>
    <xf numFmtId="43" fontId="32" fillId="0" borderId="1" xfId="1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2" fillId="0" borderId="1" xfId="1" applyFont="1" applyFill="1" applyBorder="1" applyAlignment="1">
      <alignment vertical="center" wrapText="1"/>
    </xf>
    <xf numFmtId="0" fontId="30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center" vertical="center"/>
    </xf>
    <xf numFmtId="164" fontId="30" fillId="0" borderId="1" xfId="1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vertical="center" wrapText="1"/>
    </xf>
    <xf numFmtId="43" fontId="30" fillId="0" borderId="1" xfId="1" applyFont="1" applyFill="1" applyBorder="1" applyAlignment="1">
      <alignment vertical="center" wrapText="1"/>
    </xf>
    <xf numFmtId="43" fontId="33" fillId="0" borderId="1" xfId="1" applyFont="1" applyFill="1" applyBorder="1" applyAlignment="1">
      <alignment vertical="center"/>
    </xf>
    <xf numFmtId="0" fontId="33" fillId="0" borderId="0" xfId="0" applyFont="1" applyAlignment="1">
      <alignment vertical="center"/>
    </xf>
    <xf numFmtId="43" fontId="32" fillId="0" borderId="1" xfId="1" applyFont="1" applyBorder="1" applyAlignment="1">
      <alignment horizontal="center" vertical="center"/>
    </xf>
    <xf numFmtId="164" fontId="32" fillId="0" borderId="1" xfId="1" applyNumberFormat="1" applyFont="1" applyBorder="1" applyAlignment="1">
      <alignment horizontal="center" vertical="center"/>
    </xf>
    <xf numFmtId="43" fontId="32" fillId="4" borderId="1" xfId="1" applyFont="1" applyFill="1" applyBorder="1" applyAlignment="1">
      <alignment horizontal="center" vertical="center"/>
    </xf>
    <xf numFmtId="43" fontId="33" fillId="0" borderId="1" xfId="1" applyFont="1" applyBorder="1" applyAlignment="1">
      <alignment vertical="center"/>
    </xf>
    <xf numFmtId="43" fontId="32" fillId="0" borderId="1" xfId="1" applyFont="1" applyBorder="1" applyAlignment="1">
      <alignment vertical="center"/>
    </xf>
    <xf numFmtId="43" fontId="4" fillId="0" borderId="1" xfId="1" applyFont="1" applyBorder="1" applyAlignment="1">
      <alignment vertical="center"/>
    </xf>
    <xf numFmtId="43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3" fontId="4" fillId="0" borderId="1" xfId="1" applyFont="1" applyFill="1" applyBorder="1" applyAlignment="1">
      <alignment horizontal="center" vertical="center"/>
    </xf>
    <xf numFmtId="0" fontId="30" fillId="0" borderId="1" xfId="1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43" fontId="30" fillId="0" borderId="0" xfId="1" applyFont="1" applyFill="1" applyAlignment="1">
      <alignment horizontal="center" vertical="center"/>
    </xf>
    <xf numFmtId="173" fontId="30" fillId="0" borderId="0" xfId="0" applyNumberFormat="1" applyFont="1" applyAlignment="1">
      <alignment vertical="center"/>
    </xf>
    <xf numFmtId="173" fontId="32" fillId="0" borderId="0" xfId="0" applyNumberFormat="1" applyFont="1" applyAlignment="1">
      <alignment vertical="center"/>
    </xf>
    <xf numFmtId="173" fontId="30" fillId="0" borderId="0" xfId="0" applyNumberFormat="1" applyFont="1" applyAlignment="1">
      <alignment vertical="center" wrapText="1"/>
    </xf>
    <xf numFmtId="164" fontId="30" fillId="0" borderId="0" xfId="0" applyNumberFormat="1" applyFont="1" applyAlignment="1">
      <alignment vertical="center"/>
    </xf>
    <xf numFmtId="164" fontId="30" fillId="0" borderId="0" xfId="1" applyNumberFormat="1" applyFont="1" applyAlignment="1">
      <alignment horizontal="center" vertical="center"/>
    </xf>
    <xf numFmtId="43" fontId="30" fillId="0" borderId="0" xfId="0" applyNumberFormat="1" applyFont="1" applyAlignment="1">
      <alignment horizontal="center" vertical="center"/>
    </xf>
    <xf numFmtId="172" fontId="30" fillId="0" borderId="0" xfId="0" applyNumberFormat="1" applyFont="1" applyAlignment="1">
      <alignment vertical="center"/>
    </xf>
    <xf numFmtId="43" fontId="3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3" fontId="30" fillId="0" borderId="18" xfId="1" applyFont="1" applyBorder="1" applyAlignment="1">
      <alignment horizontal="center" vertical="center"/>
    </xf>
    <xf numFmtId="43" fontId="30" fillId="0" borderId="0" xfId="1" applyFont="1" applyAlignment="1">
      <alignment horizontal="center" vertical="center"/>
    </xf>
    <xf numFmtId="43" fontId="30" fillId="0" borderId="0" xfId="1" applyFont="1" applyFill="1" applyAlignment="1">
      <alignment vertical="center"/>
    </xf>
    <xf numFmtId="43" fontId="30" fillId="0" borderId="0" xfId="1" applyFont="1" applyAlignment="1">
      <alignment vertical="center"/>
    </xf>
    <xf numFmtId="43" fontId="30" fillId="0" borderId="0" xfId="1" applyFont="1" applyAlignment="1">
      <alignment vertical="center" wrapText="1"/>
    </xf>
    <xf numFmtId="43" fontId="4" fillId="0" borderId="23" xfId="1" applyFont="1" applyBorder="1" applyAlignment="1">
      <alignment horizontal="center" vertical="center" wrapText="1"/>
    </xf>
    <xf numFmtId="43" fontId="32" fillId="0" borderId="1" xfId="1" applyFont="1" applyBorder="1" applyAlignment="1">
      <alignment horizontal="left" vertical="center"/>
    </xf>
    <xf numFmtId="43" fontId="32" fillId="0" borderId="4" xfId="1" applyFont="1" applyBorder="1" applyAlignment="1">
      <alignment horizontal="center" vertical="center"/>
    </xf>
    <xf numFmtId="43" fontId="30" fillId="0" borderId="1" xfId="1" applyFont="1" applyFill="1" applyBorder="1" applyAlignment="1">
      <alignment horizontal="center" vertical="center"/>
    </xf>
    <xf numFmtId="43" fontId="32" fillId="3" borderId="1" xfId="1" applyFont="1" applyFill="1" applyBorder="1" applyAlignment="1">
      <alignment horizontal="center" vertical="center"/>
    </xf>
    <xf numFmtId="43" fontId="32" fillId="0" borderId="1" xfId="1" applyFont="1" applyBorder="1" applyAlignment="1">
      <alignment horizontal="right" vertical="center"/>
    </xf>
    <xf numFmtId="43" fontId="32" fillId="0" borderId="1" xfId="1" applyFont="1" applyBorder="1" applyAlignment="1">
      <alignment vertical="center" wrapText="1"/>
    </xf>
    <xf numFmtId="43" fontId="30" fillId="0" borderId="23" xfId="1" applyFont="1" applyFill="1" applyBorder="1" applyAlignment="1">
      <alignment horizontal="right" vertical="center"/>
    </xf>
    <xf numFmtId="43" fontId="32" fillId="0" borderId="24" xfId="1" applyFont="1" applyBorder="1" applyAlignment="1">
      <alignment vertical="center"/>
    </xf>
    <xf numFmtId="43" fontId="32" fillId="0" borderId="1" xfId="1" applyFont="1" applyBorder="1" applyAlignment="1">
      <alignment horizontal="left" vertical="center" wrapText="1"/>
    </xf>
    <xf numFmtId="43" fontId="32" fillId="0" borderId="2" xfId="1" applyFont="1" applyFill="1" applyBorder="1" applyAlignment="1">
      <alignment horizontal="left" vertical="center"/>
    </xf>
    <xf numFmtId="43" fontId="32" fillId="0" borderId="2" xfId="1" applyFont="1" applyBorder="1" applyAlignment="1">
      <alignment horizontal="left" vertical="center" wrapText="1"/>
    </xf>
    <xf numFmtId="43" fontId="32" fillId="0" borderId="1" xfId="1" applyFont="1" applyFill="1" applyBorder="1" applyAlignment="1">
      <alignment horizontal="left" vertical="center" wrapText="1"/>
    </xf>
    <xf numFmtId="43" fontId="30" fillId="0" borderId="1" xfId="1" applyFont="1" applyBorder="1" applyAlignment="1">
      <alignment horizontal="center" vertical="center" wrapText="1"/>
    </xf>
    <xf numFmtId="43" fontId="32" fillId="0" borderId="1" xfId="1" applyFont="1" applyBorder="1" applyAlignment="1">
      <alignment horizontal="right" vertical="center" wrapText="1"/>
    </xf>
    <xf numFmtId="43" fontId="32" fillId="0" borderId="3" xfId="1" applyFont="1" applyFill="1" applyBorder="1" applyAlignment="1">
      <alignment vertical="center"/>
    </xf>
    <xf numFmtId="43" fontId="32" fillId="0" borderId="3" xfId="1" applyFont="1" applyBorder="1" applyAlignment="1">
      <alignment horizontal="left" vertical="center" wrapText="1"/>
    </xf>
    <xf numFmtId="43" fontId="4" fillId="0" borderId="4" xfId="1" applyFont="1" applyBorder="1" applyAlignment="1">
      <alignment vertical="center"/>
    </xf>
    <xf numFmtId="43" fontId="4" fillId="0" borderId="26" xfId="1" applyFont="1" applyFill="1" applyBorder="1" applyAlignment="1">
      <alignment horizontal="center" vertical="center"/>
    </xf>
    <xf numFmtId="164" fontId="4" fillId="0" borderId="26" xfId="1" applyNumberFormat="1" applyFont="1" applyFill="1" applyBorder="1" applyAlignment="1">
      <alignment horizontal="center" vertical="center"/>
    </xf>
    <xf numFmtId="43" fontId="4" fillId="0" borderId="26" xfId="1" applyFont="1" applyBorder="1" applyAlignment="1">
      <alignment horizontal="center" vertical="center"/>
    </xf>
    <xf numFmtId="43" fontId="4" fillId="0" borderId="27" xfId="1" applyFont="1" applyBorder="1" applyAlignment="1">
      <alignment horizontal="center" vertical="center"/>
    </xf>
    <xf numFmtId="43" fontId="30" fillId="0" borderId="28" xfId="1" applyFont="1" applyBorder="1" applyAlignment="1">
      <alignment horizontal="center" vertical="center"/>
    </xf>
    <xf numFmtId="164" fontId="30" fillId="0" borderId="26" xfId="1" applyNumberFormat="1" applyFont="1" applyBorder="1" applyAlignment="1">
      <alignment horizontal="center" vertical="center"/>
    </xf>
    <xf numFmtId="43" fontId="4" fillId="0" borderId="29" xfId="1" applyFont="1" applyBorder="1" applyAlignment="1">
      <alignment vertical="center"/>
    </xf>
    <xf numFmtId="173" fontId="4" fillId="0" borderId="0" xfId="0" applyNumberFormat="1" applyFont="1" applyAlignment="1">
      <alignment vertical="center" wrapText="1"/>
    </xf>
    <xf numFmtId="172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73" fontId="4" fillId="0" borderId="0" xfId="0" applyNumberFormat="1" applyFont="1" applyAlignment="1">
      <alignment vertical="center"/>
    </xf>
    <xf numFmtId="172" fontId="30" fillId="0" borderId="0" xfId="1" applyNumberFormat="1" applyFont="1" applyFill="1" applyAlignment="1">
      <alignment horizontal="center" vertical="center"/>
    </xf>
    <xf numFmtId="164" fontId="30" fillId="0" borderId="0" xfId="1" applyNumberFormat="1" applyFont="1" applyFill="1" applyAlignment="1">
      <alignment horizontal="center" vertical="center"/>
    </xf>
    <xf numFmtId="43" fontId="30" fillId="0" borderId="0" xfId="0" applyNumberFormat="1" applyFont="1" applyAlignment="1">
      <alignment vertical="center"/>
    </xf>
    <xf numFmtId="172" fontId="4" fillId="0" borderId="0" xfId="1" applyNumberFormat="1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43" fontId="4" fillId="0" borderId="0" xfId="1" applyFont="1" applyFill="1" applyBorder="1" applyAlignment="1">
      <alignment horizontal="center" vertical="center"/>
    </xf>
    <xf numFmtId="43" fontId="31" fillId="0" borderId="0" xfId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3" fontId="31" fillId="0" borderId="1" xfId="0" applyNumberFormat="1" applyFont="1" applyBorder="1" applyAlignment="1">
      <alignment vertical="center"/>
    </xf>
    <xf numFmtId="164" fontId="4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43" fontId="30" fillId="0" borderId="0" xfId="1" applyFont="1" applyBorder="1" applyAlignment="1">
      <alignment horizontal="left" vertical="center"/>
    </xf>
    <xf numFmtId="43" fontId="4" fillId="0" borderId="30" xfId="1" applyFont="1" applyFill="1" applyBorder="1" applyAlignment="1">
      <alignment horizontal="center" vertical="center" wrapText="1"/>
    </xf>
    <xf numFmtId="43" fontId="4" fillId="0" borderId="5" xfId="1" applyFont="1" applyFill="1" applyBorder="1" applyAlignment="1">
      <alignment horizontal="center" vertical="center" wrapText="1"/>
    </xf>
    <xf numFmtId="43" fontId="32" fillId="0" borderId="5" xfId="1" applyFont="1" applyBorder="1" applyAlignment="1">
      <alignment horizontal="center" vertical="center"/>
    </xf>
    <xf numFmtId="0" fontId="35" fillId="0" borderId="36" xfId="5" applyFont="1" applyBorder="1" applyAlignment="1">
      <alignment vertical="center"/>
    </xf>
    <xf numFmtId="0" fontId="36" fillId="0" borderId="36" xfId="5" applyFont="1" applyBorder="1" applyAlignment="1">
      <alignment vertical="center"/>
    </xf>
    <xf numFmtId="0" fontId="37" fillId="0" borderId="0" xfId="5" applyFont="1"/>
    <xf numFmtId="0" fontId="38" fillId="0" borderId="0" xfId="5" applyFont="1"/>
    <xf numFmtId="0" fontId="39" fillId="0" borderId="0" xfId="5" applyFont="1"/>
    <xf numFmtId="0" fontId="40" fillId="0" borderId="0" xfId="5" applyFont="1"/>
    <xf numFmtId="0" fontId="10" fillId="0" borderId="0" xfId="5"/>
    <xf numFmtId="0" fontId="41" fillId="0" borderId="0" xfId="5" applyFont="1"/>
    <xf numFmtId="0" fontId="42" fillId="0" borderId="0" xfId="5" applyFont="1"/>
    <xf numFmtId="0" fontId="10" fillId="0" borderId="0" xfId="5" applyAlignment="1">
      <alignment wrapText="1"/>
    </xf>
    <xf numFmtId="0" fontId="7" fillId="0" borderId="0" xfId="5" applyFont="1"/>
    <xf numFmtId="0" fontId="10" fillId="6" borderId="0" xfId="5" applyFill="1"/>
    <xf numFmtId="2" fontId="10" fillId="6" borderId="0" xfId="5" applyNumberFormat="1" applyFill="1" applyAlignment="1">
      <alignment horizontal="right"/>
    </xf>
    <xf numFmtId="2" fontId="10" fillId="0" borderId="0" xfId="5" applyNumberFormat="1" applyAlignment="1">
      <alignment horizontal="right"/>
    </xf>
    <xf numFmtId="2" fontId="10" fillId="0" borderId="0" xfId="5" applyNumberFormat="1"/>
    <xf numFmtId="2" fontId="10" fillId="6" borderId="0" xfId="5" applyNumberFormat="1" applyFill="1"/>
    <xf numFmtId="0" fontId="43" fillId="0" borderId="0" xfId="5" applyFont="1"/>
    <xf numFmtId="0" fontId="45" fillId="0" borderId="0" xfId="7" applyFont="1"/>
    <xf numFmtId="2" fontId="45" fillId="0" borderId="0" xfId="7" applyNumberFormat="1" applyFont="1"/>
    <xf numFmtId="0" fontId="44" fillId="0" borderId="0" xfId="7"/>
    <xf numFmtId="14" fontId="45" fillId="0" borderId="0" xfId="7" applyNumberFormat="1" applyFont="1"/>
    <xf numFmtId="0" fontId="46" fillId="0" borderId="0" xfId="3" applyFont="1"/>
    <xf numFmtId="0" fontId="47" fillId="0" borderId="0" xfId="3" applyFont="1"/>
    <xf numFmtId="2" fontId="47" fillId="0" borderId="0" xfId="3" applyNumberFormat="1" applyFont="1" applyAlignment="1">
      <alignment horizontal="left"/>
    </xf>
    <xf numFmtId="2" fontId="47" fillId="0" borderId="0" xfId="3" applyNumberFormat="1" applyFont="1"/>
    <xf numFmtId="2" fontId="47" fillId="0" borderId="0" xfId="3" applyNumberFormat="1" applyFont="1" applyAlignment="1">
      <alignment horizontal="right"/>
    </xf>
    <xf numFmtId="0" fontId="47" fillId="0" borderId="0" xfId="3" applyFont="1" applyAlignment="1">
      <alignment horizontal="right"/>
    </xf>
    <xf numFmtId="0" fontId="47" fillId="0" borderId="1" xfId="3" applyFont="1" applyBorder="1" applyAlignment="1">
      <alignment horizontal="center" vertical="center" wrapText="1"/>
    </xf>
    <xf numFmtId="0" fontId="47" fillId="0" borderId="0" xfId="3" applyFont="1" applyAlignment="1">
      <alignment vertical="center" wrapText="1"/>
    </xf>
    <xf numFmtId="0" fontId="45" fillId="0" borderId="1" xfId="3" applyFont="1" applyBorder="1" applyAlignment="1">
      <alignment horizontal="center" vertical="center" wrapText="1"/>
    </xf>
    <xf numFmtId="0" fontId="47" fillId="0" borderId="1" xfId="3" applyFont="1" applyBorder="1"/>
    <xf numFmtId="3" fontId="49" fillId="0" borderId="1" xfId="3" applyNumberFormat="1" applyFont="1" applyBorder="1" applyAlignment="1">
      <alignment horizontal="center"/>
    </xf>
    <xf numFmtId="0" fontId="47" fillId="0" borderId="1" xfId="3" applyFont="1" applyBorder="1" applyAlignment="1">
      <alignment horizontal="center"/>
    </xf>
    <xf numFmtId="167" fontId="47" fillId="0" borderId="1" xfId="4" applyFont="1" applyBorder="1" applyAlignment="1">
      <alignment horizontal="center"/>
    </xf>
    <xf numFmtId="166" fontId="47" fillId="0" borderId="1" xfId="3" applyNumberFormat="1" applyFont="1" applyBorder="1" applyAlignment="1">
      <alignment horizontal="center"/>
    </xf>
    <xf numFmtId="165" fontId="46" fillId="0" borderId="1" xfId="3" applyNumberFormat="1" applyFont="1" applyBorder="1" applyAlignment="1">
      <alignment horizontal="center"/>
    </xf>
    <xf numFmtId="165" fontId="46" fillId="0" borderId="1" xfId="3" applyNumberFormat="1" applyFont="1" applyBorder="1"/>
    <xf numFmtId="0" fontId="46" fillId="0" borderId="1" xfId="3" applyFont="1" applyBorder="1"/>
    <xf numFmtId="43" fontId="46" fillId="0" borderId="1" xfId="3" applyNumberFormat="1" applyFont="1" applyBorder="1"/>
    <xf numFmtId="0" fontId="47" fillId="0" borderId="1" xfId="3" applyFont="1" applyBorder="1" applyAlignment="1">
      <alignment horizontal="left" indent="1"/>
    </xf>
    <xf numFmtId="0" fontId="50" fillId="0" borderId="1" xfId="3" applyFont="1" applyBorder="1"/>
    <xf numFmtId="165" fontId="47" fillId="0" borderId="1" xfId="3" applyNumberFormat="1" applyFont="1" applyBorder="1" applyAlignment="1">
      <alignment horizontal="center"/>
    </xf>
    <xf numFmtId="165" fontId="47" fillId="0" borderId="1" xfId="3" applyNumberFormat="1" applyFont="1" applyBorder="1"/>
    <xf numFmtId="43" fontId="47" fillId="0" borderId="1" xfId="3" applyNumberFormat="1" applyFont="1" applyBorder="1"/>
    <xf numFmtId="168" fontId="47" fillId="0" borderId="1" xfId="3" applyNumberFormat="1" applyFont="1" applyBorder="1"/>
    <xf numFmtId="2" fontId="47" fillId="0" borderId="1" xfId="3" applyNumberFormat="1" applyFont="1" applyBorder="1" applyAlignment="1">
      <alignment horizontal="center" vertical="center" wrapText="1"/>
    </xf>
    <xf numFmtId="0" fontId="47" fillId="0" borderId="0" xfId="3" applyFont="1" applyAlignment="1">
      <alignment horizontal="center" vertical="center"/>
    </xf>
    <xf numFmtId="2" fontId="47" fillId="0" borderId="0" xfId="3" applyNumberFormat="1" applyFont="1" applyAlignment="1">
      <alignment horizontal="center" vertical="center"/>
    </xf>
    <xf numFmtId="0" fontId="50" fillId="0" borderId="1" xfId="3" applyFont="1" applyBorder="1" applyAlignment="1">
      <alignment horizontal="center" vertical="center" wrapText="1"/>
    </xf>
    <xf numFmtId="0" fontId="46" fillId="7" borderId="4" xfId="3" applyFont="1" applyFill="1" applyBorder="1" applyAlignment="1">
      <alignment horizontal="center" vertical="center"/>
    </xf>
    <xf numFmtId="2" fontId="46" fillId="7" borderId="4" xfId="3" applyNumberFormat="1" applyFont="1" applyFill="1" applyBorder="1" applyAlignment="1">
      <alignment horizontal="center" vertical="center"/>
    </xf>
    <xf numFmtId="2" fontId="46" fillId="7" borderId="1" xfId="3" applyNumberFormat="1" applyFont="1" applyFill="1" applyBorder="1" applyAlignment="1">
      <alignment horizontal="center" vertical="center"/>
    </xf>
    <xf numFmtId="9" fontId="46" fillId="7" borderId="1" xfId="3" applyNumberFormat="1" applyFont="1" applyFill="1" applyBorder="1" applyAlignment="1">
      <alignment horizontal="center" vertical="center"/>
    </xf>
    <xf numFmtId="3" fontId="51" fillId="0" borderId="1" xfId="3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0" borderId="1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6" fillId="4" borderId="0" xfId="86" applyFont="1" applyFill="1" applyAlignment="1">
      <alignment horizontal="center" vertical="center"/>
    </xf>
    <xf numFmtId="0" fontId="54" fillId="0" borderId="0" xfId="86"/>
    <xf numFmtId="0" fontId="57" fillId="0" borderId="0" xfId="86" applyFont="1"/>
    <xf numFmtId="0" fontId="63" fillId="9" borderId="41" xfId="86" applyFont="1" applyFill="1" applyBorder="1" applyAlignment="1">
      <alignment horizontal="center" vertical="top"/>
    </xf>
    <xf numFmtId="0" fontId="63" fillId="9" borderId="42" xfId="86" applyFont="1" applyFill="1" applyBorder="1" applyAlignment="1">
      <alignment horizontal="center" vertical="top"/>
    </xf>
    <xf numFmtId="0" fontId="63" fillId="10" borderId="41" xfId="86" applyFont="1" applyFill="1" applyBorder="1" applyAlignment="1">
      <alignment horizontal="center" vertical="top" wrapText="1"/>
    </xf>
    <xf numFmtId="0" fontId="63" fillId="10" borderId="42" xfId="86" applyFont="1" applyFill="1" applyBorder="1" applyAlignment="1">
      <alignment horizontal="center" vertical="top" wrapText="1"/>
    </xf>
    <xf numFmtId="0" fontId="64" fillId="11" borderId="43" xfId="86" applyFont="1" applyFill="1" applyBorder="1" applyAlignment="1">
      <alignment horizontal="center" vertical="top" wrapText="1"/>
    </xf>
    <xf numFmtId="0" fontId="65" fillId="0" borderId="3" xfId="86" applyFont="1" applyBorder="1" applyAlignment="1">
      <alignment vertical="top"/>
    </xf>
    <xf numFmtId="166" fontId="65" fillId="0" borderId="3" xfId="87" applyNumberFormat="1" applyFont="1" applyFill="1" applyBorder="1" applyAlignment="1">
      <alignment horizontal="right" vertical="top"/>
    </xf>
    <xf numFmtId="3" fontId="65" fillId="0" borderId="3" xfId="86" applyNumberFormat="1" applyFont="1" applyBorder="1" applyAlignment="1">
      <alignment horizontal="right" vertical="top"/>
    </xf>
    <xf numFmtId="0" fontId="65" fillId="0" borderId="3" xfId="86" applyFont="1" applyBorder="1" applyAlignment="1">
      <alignment horizontal="right" vertical="top"/>
    </xf>
    <xf numFmtId="4" fontId="65" fillId="0" borderId="3" xfId="86" applyNumberFormat="1" applyFont="1" applyBorder="1" applyAlignment="1">
      <alignment horizontal="right" vertical="top"/>
    </xf>
    <xf numFmtId="4" fontId="65" fillId="0" borderId="25" xfId="86" applyNumberFormat="1" applyFont="1" applyBorder="1" applyAlignment="1">
      <alignment horizontal="right" vertical="top"/>
    </xf>
    <xf numFmtId="0" fontId="65" fillId="0" borderId="25" xfId="86" applyFont="1" applyBorder="1" applyAlignment="1">
      <alignment horizontal="right" vertical="top"/>
    </xf>
    <xf numFmtId="166" fontId="65" fillId="0" borderId="25" xfId="86" applyNumberFormat="1" applyFont="1" applyBorder="1" applyAlignment="1">
      <alignment horizontal="right" vertical="top"/>
    </xf>
    <xf numFmtId="166" fontId="65" fillId="0" borderId="25" xfId="86" applyNumberFormat="1" applyFont="1" applyBorder="1" applyAlignment="1">
      <alignment horizontal="center" vertical="top"/>
    </xf>
    <xf numFmtId="166" fontId="66" fillId="0" borderId="3" xfId="86" applyNumberFormat="1" applyFont="1" applyBorder="1" applyAlignment="1">
      <alignment horizontal="left" vertical="top"/>
    </xf>
    <xf numFmtId="4" fontId="57" fillId="0" borderId="0" xfId="86" applyNumberFormat="1" applyFont="1"/>
    <xf numFmtId="0" fontId="65" fillId="0" borderId="1" xfId="86" applyFont="1" applyBorder="1" applyAlignment="1">
      <alignment vertical="top"/>
    </xf>
    <xf numFmtId="166" fontId="65" fillId="0" borderId="1" xfId="87" applyNumberFormat="1" applyFont="1" applyFill="1" applyBorder="1" applyAlignment="1">
      <alignment horizontal="right" vertical="top"/>
    </xf>
    <xf numFmtId="3" fontId="65" fillId="0" borderId="1" xfId="86" applyNumberFormat="1" applyFont="1" applyBorder="1" applyAlignment="1">
      <alignment horizontal="right" vertical="top"/>
    </xf>
    <xf numFmtId="0" fontId="65" fillId="0" borderId="1" xfId="86" applyFont="1" applyBorder="1" applyAlignment="1">
      <alignment horizontal="right" vertical="top"/>
    </xf>
    <xf numFmtId="4" fontId="65" fillId="0" borderId="1" xfId="86" applyNumberFormat="1" applyFont="1" applyBorder="1" applyAlignment="1">
      <alignment horizontal="right" vertical="top"/>
    </xf>
    <xf numFmtId="4" fontId="65" fillId="0" borderId="4" xfId="86" applyNumberFormat="1" applyFont="1" applyBorder="1" applyAlignment="1">
      <alignment horizontal="right" vertical="top"/>
    </xf>
    <xf numFmtId="3" fontId="54" fillId="0" borderId="3" xfId="86" applyNumberFormat="1" applyBorder="1" applyAlignment="1">
      <alignment vertical="top"/>
    </xf>
    <xf numFmtId="166" fontId="65" fillId="0" borderId="3" xfId="86" applyNumberFormat="1" applyFont="1" applyBorder="1" applyAlignment="1">
      <alignment horizontal="right" vertical="top"/>
    </xf>
    <xf numFmtId="166" fontId="65" fillId="0" borderId="1" xfId="86" applyNumberFormat="1" applyFont="1" applyBorder="1" applyAlignment="1">
      <alignment horizontal="right" vertical="top"/>
    </xf>
    <xf numFmtId="166" fontId="66" fillId="0" borderId="3" xfId="86" applyNumberFormat="1" applyFont="1" applyBorder="1" applyAlignment="1">
      <alignment horizontal="left" vertical="top" wrapText="1"/>
    </xf>
    <xf numFmtId="0" fontId="66" fillId="0" borderId="3" xfId="86" applyFont="1" applyBorder="1" applyAlignment="1">
      <alignment horizontal="left" vertical="top"/>
    </xf>
    <xf numFmtId="0" fontId="69" fillId="0" borderId="1" xfId="86" applyFont="1" applyBorder="1" applyAlignment="1">
      <alignment horizontal="right" vertical="top"/>
    </xf>
    <xf numFmtId="3" fontId="54" fillId="0" borderId="1" xfId="86" applyNumberFormat="1" applyBorder="1" applyAlignment="1">
      <alignment vertical="top"/>
    </xf>
    <xf numFmtId="166" fontId="65" fillId="0" borderId="3" xfId="87" applyNumberFormat="1" applyFont="1" applyBorder="1" applyAlignment="1">
      <alignment horizontal="right" vertical="top"/>
    </xf>
    <xf numFmtId="0" fontId="69" fillId="0" borderId="1" xfId="86" applyFont="1" applyBorder="1" applyAlignment="1">
      <alignment vertical="top"/>
    </xf>
    <xf numFmtId="0" fontId="71" fillId="0" borderId="0" xfId="86" applyFont="1"/>
    <xf numFmtId="166" fontId="65" fillId="0" borderId="1" xfId="87" applyNumberFormat="1" applyFont="1" applyBorder="1" applyAlignment="1">
      <alignment horizontal="right" vertical="top"/>
    </xf>
    <xf numFmtId="0" fontId="68" fillId="0" borderId="1" xfId="86" applyFont="1" applyBorder="1" applyAlignment="1">
      <alignment vertical="top"/>
    </xf>
    <xf numFmtId="0" fontId="72" fillId="0" borderId="1" xfId="86" applyFont="1" applyBorder="1" applyAlignment="1">
      <alignment vertical="top"/>
    </xf>
    <xf numFmtId="0" fontId="73" fillId="12" borderId="45" xfId="86" applyFont="1" applyFill="1" applyBorder="1" applyAlignment="1">
      <alignment horizontal="center" vertical="center"/>
    </xf>
    <xf numFmtId="166" fontId="73" fillId="12" borderId="45" xfId="86" applyNumberFormat="1" applyFont="1" applyFill="1" applyBorder="1" applyAlignment="1">
      <alignment horizontal="center" vertical="center"/>
    </xf>
    <xf numFmtId="0" fontId="73" fillId="12" borderId="46" xfId="86" applyFont="1" applyFill="1" applyBorder="1" applyAlignment="1">
      <alignment horizontal="center" vertical="center"/>
    </xf>
    <xf numFmtId="166" fontId="57" fillId="0" borderId="0" xfId="86" applyNumberFormat="1" applyFont="1"/>
    <xf numFmtId="166" fontId="54" fillId="0" borderId="0" xfId="86" applyNumberFormat="1"/>
    <xf numFmtId="0" fontId="74" fillId="0" borderId="47" xfId="86" applyFont="1" applyBorder="1" applyAlignment="1">
      <alignment horizontal="left"/>
    </xf>
    <xf numFmtId="0" fontId="74" fillId="0" borderId="0" xfId="86" applyFont="1"/>
    <xf numFmtId="0" fontId="54" fillId="0" borderId="0" xfId="86" applyAlignment="1">
      <alignment horizontal="left" indent="2"/>
    </xf>
    <xf numFmtId="167" fontId="0" fillId="0" borderId="0" xfId="87" applyFont="1" applyAlignment="1"/>
    <xf numFmtId="167" fontId="54" fillId="0" borderId="0" xfId="86" applyNumberFormat="1"/>
    <xf numFmtId="10" fontId="0" fillId="0" borderId="0" xfId="88" applyNumberFormat="1" applyFont="1" applyAlignment="1"/>
    <xf numFmtId="0" fontId="75" fillId="0" borderId="0" xfId="89" applyFont="1"/>
    <xf numFmtId="0" fontId="60" fillId="4" borderId="1" xfId="89" applyFont="1" applyFill="1" applyBorder="1" applyAlignment="1">
      <alignment horizontal="center" vertical="center"/>
    </xf>
    <xf numFmtId="0" fontId="75" fillId="0" borderId="23" xfId="89" applyFont="1" applyBorder="1" applyAlignment="1">
      <alignment horizontal="center" vertical="center"/>
    </xf>
    <xf numFmtId="0" fontId="75" fillId="0" borderId="1" xfId="89" applyFont="1" applyBorder="1" applyAlignment="1">
      <alignment horizontal="center" vertical="center"/>
    </xf>
    <xf numFmtId="167" fontId="75" fillId="0" borderId="1" xfId="90" applyFont="1" applyFill="1" applyBorder="1" applyAlignment="1">
      <alignment horizontal="right"/>
    </xf>
    <xf numFmtId="166" fontId="75" fillId="0" borderId="1" xfId="90" applyNumberFormat="1" applyFont="1" applyFill="1" applyBorder="1" applyAlignment="1">
      <alignment horizontal="right"/>
    </xf>
    <xf numFmtId="167" fontId="75" fillId="0" borderId="24" xfId="90" applyFont="1" applyFill="1" applyBorder="1" applyAlignment="1">
      <alignment horizontal="right"/>
    </xf>
    <xf numFmtId="0" fontId="75" fillId="0" borderId="1" xfId="89" applyFont="1" applyBorder="1"/>
    <xf numFmtId="167" fontId="75" fillId="0" borderId="1" xfId="90" applyFont="1" applyBorder="1" applyAlignment="1">
      <alignment horizontal="right"/>
    </xf>
    <xf numFmtId="166" fontId="75" fillId="0" borderId="1" xfId="90" applyNumberFormat="1" applyFont="1" applyBorder="1" applyAlignment="1">
      <alignment horizontal="right"/>
    </xf>
    <xf numFmtId="167" fontId="75" fillId="5" borderId="1" xfId="90" applyFont="1" applyFill="1" applyBorder="1" applyAlignment="1">
      <alignment horizontal="right"/>
    </xf>
    <xf numFmtId="166" fontId="75" fillId="5" borderId="1" xfId="90" applyNumberFormat="1" applyFont="1" applyFill="1" applyBorder="1" applyAlignment="1">
      <alignment horizontal="right"/>
    </xf>
    <xf numFmtId="166" fontId="75" fillId="0" borderId="1" xfId="90" applyNumberFormat="1" applyFont="1" applyBorder="1" applyAlignment="1">
      <alignment horizontal="right" wrapText="1"/>
    </xf>
    <xf numFmtId="0" fontId="60" fillId="0" borderId="28" xfId="89" applyFont="1" applyBorder="1" applyAlignment="1">
      <alignment horizontal="center" vertical="center"/>
    </xf>
    <xf numFmtId="0" fontId="60" fillId="0" borderId="26" xfId="89" applyFont="1" applyBorder="1" applyAlignment="1">
      <alignment horizontal="center" vertical="center"/>
    </xf>
    <xf numFmtId="167" fontId="60" fillId="0" borderId="26" xfId="89" applyNumberFormat="1" applyFont="1" applyBorder="1" applyAlignment="1">
      <alignment horizontal="right"/>
    </xf>
    <xf numFmtId="166" fontId="60" fillId="0" borderId="26" xfId="89" applyNumberFormat="1" applyFont="1" applyBorder="1" applyAlignment="1">
      <alignment horizontal="right"/>
    </xf>
    <xf numFmtId="167" fontId="60" fillId="0" borderId="29" xfId="89" applyNumberFormat="1" applyFont="1" applyBorder="1" applyAlignment="1">
      <alignment horizontal="right"/>
    </xf>
    <xf numFmtId="0" fontId="75" fillId="5" borderId="0" xfId="89" applyFont="1" applyFill="1" applyAlignment="1">
      <alignment vertical="top"/>
    </xf>
    <xf numFmtId="0" fontId="75" fillId="0" borderId="0" xfId="89" applyFont="1" applyAlignment="1">
      <alignment vertical="top"/>
    </xf>
    <xf numFmtId="0" fontId="75" fillId="0" borderId="0" xfId="89" applyFont="1" applyAlignment="1">
      <alignment vertical="top" wrapText="1"/>
    </xf>
    <xf numFmtId="0" fontId="75" fillId="0" borderId="0" xfId="89" applyFont="1" applyAlignment="1">
      <alignment horizontal="center"/>
    </xf>
    <xf numFmtId="0" fontId="60" fillId="0" borderId="0" xfId="89" applyFont="1" applyAlignment="1">
      <alignment horizontal="center" vertical="center"/>
    </xf>
    <xf numFmtId="0" fontId="60" fillId="4" borderId="26" xfId="89" applyFont="1" applyFill="1" applyBorder="1" applyAlignment="1">
      <alignment horizontal="center" vertical="center"/>
    </xf>
    <xf numFmtId="0" fontId="75" fillId="0" borderId="19" xfId="89" applyFont="1" applyBorder="1" applyAlignment="1">
      <alignment vertical="center"/>
    </xf>
    <xf numFmtId="2" fontId="75" fillId="0" borderId="19" xfId="89" applyNumberFormat="1" applyFont="1" applyBorder="1" applyAlignment="1">
      <alignment vertical="center"/>
    </xf>
    <xf numFmtId="0" fontId="75" fillId="0" borderId="22" xfId="89" applyFont="1" applyBorder="1" applyAlignment="1">
      <alignment vertical="center"/>
    </xf>
    <xf numFmtId="0" fontId="75" fillId="0" borderId="1" xfId="89" applyFont="1" applyBorder="1" applyAlignment="1">
      <alignment vertical="center"/>
    </xf>
    <xf numFmtId="2" fontId="75" fillId="0" borderId="1" xfId="89" applyNumberFormat="1" applyFont="1" applyBorder="1" applyAlignment="1">
      <alignment vertical="center"/>
    </xf>
    <xf numFmtId="0" fontId="75" fillId="0" borderId="24" xfId="89" applyFont="1" applyBorder="1" applyAlignment="1">
      <alignment vertical="center"/>
    </xf>
    <xf numFmtId="0" fontId="75" fillId="0" borderId="1" xfId="89" applyFont="1" applyBorder="1" applyAlignment="1">
      <alignment horizontal="right" vertical="center"/>
    </xf>
    <xf numFmtId="3" fontId="75" fillId="0" borderId="24" xfId="89" applyNumberFormat="1" applyFont="1" applyBorder="1" applyAlignment="1">
      <alignment horizontal="right" vertical="center"/>
    </xf>
    <xf numFmtId="2" fontId="60" fillId="5" borderId="1" xfId="89" applyNumberFormat="1" applyFont="1" applyFill="1" applyBorder="1" applyAlignment="1">
      <alignment horizontal="right" vertical="center"/>
    </xf>
    <xf numFmtId="1" fontId="60" fillId="5" borderId="1" xfId="89" applyNumberFormat="1" applyFont="1" applyFill="1" applyBorder="1" applyAlignment="1">
      <alignment horizontal="right" vertical="center"/>
    </xf>
    <xf numFmtId="2" fontId="60" fillId="5" borderId="24" xfId="89" applyNumberFormat="1" applyFont="1" applyFill="1" applyBorder="1" applyAlignment="1">
      <alignment horizontal="right" vertical="center"/>
    </xf>
    <xf numFmtId="1" fontId="75" fillId="0" borderId="1" xfId="89" applyNumberFormat="1" applyFont="1" applyBorder="1" applyAlignment="1">
      <alignment vertical="center"/>
    </xf>
    <xf numFmtId="2" fontId="47" fillId="0" borderId="1" xfId="89" applyNumberFormat="1" applyBorder="1" applyAlignment="1">
      <alignment vertical="center"/>
    </xf>
    <xf numFmtId="1" fontId="47" fillId="0" borderId="1" xfId="89" applyNumberFormat="1" applyBorder="1" applyAlignment="1">
      <alignment vertical="center"/>
    </xf>
    <xf numFmtId="4" fontId="75" fillId="0" borderId="1" xfId="89" applyNumberFormat="1" applyFont="1" applyBorder="1" applyAlignment="1">
      <alignment horizontal="right" vertical="center"/>
    </xf>
    <xf numFmtId="1" fontId="75" fillId="0" borderId="1" xfId="89" applyNumberFormat="1" applyFont="1" applyBorder="1" applyAlignment="1">
      <alignment horizontal="right" vertical="center"/>
    </xf>
    <xf numFmtId="2" fontId="75" fillId="0" borderId="1" xfId="89" applyNumberFormat="1" applyFont="1" applyBorder="1" applyAlignment="1">
      <alignment horizontal="right" vertical="center"/>
    </xf>
    <xf numFmtId="4" fontId="75" fillId="0" borderId="24" xfId="89" applyNumberFormat="1" applyFont="1" applyBorder="1" applyAlignment="1">
      <alignment horizontal="right" vertical="center"/>
    </xf>
    <xf numFmtId="2" fontId="60" fillId="5" borderId="1" xfId="89" applyNumberFormat="1" applyFont="1" applyFill="1" applyBorder="1" applyAlignment="1">
      <alignment vertical="center"/>
    </xf>
    <xf numFmtId="1" fontId="60" fillId="5" borderId="1" xfId="89" applyNumberFormat="1" applyFont="1" applyFill="1" applyBorder="1" applyAlignment="1">
      <alignment vertical="center"/>
    </xf>
    <xf numFmtId="2" fontId="60" fillId="5" borderId="24" xfId="89" applyNumberFormat="1" applyFont="1" applyFill="1" applyBorder="1" applyAlignment="1">
      <alignment vertical="center"/>
    </xf>
    <xf numFmtId="0" fontId="60" fillId="5" borderId="24" xfId="89" applyFont="1" applyFill="1" applyBorder="1" applyAlignment="1">
      <alignment vertical="center"/>
    </xf>
    <xf numFmtId="0" fontId="60" fillId="5" borderId="1" xfId="89" applyFont="1" applyFill="1" applyBorder="1" applyAlignment="1">
      <alignment horizontal="right" vertical="center"/>
    </xf>
    <xf numFmtId="3" fontId="60" fillId="5" borderId="24" xfId="89" applyNumberFormat="1" applyFont="1" applyFill="1" applyBorder="1" applyAlignment="1">
      <alignment horizontal="right" vertical="center"/>
    </xf>
    <xf numFmtId="2" fontId="75" fillId="0" borderId="1" xfId="91" applyNumberFormat="1" applyFont="1" applyBorder="1" applyAlignment="1">
      <alignment vertical="center"/>
    </xf>
    <xf numFmtId="0" fontId="75" fillId="0" borderId="2" xfId="89" applyFont="1" applyBorder="1" applyAlignment="1">
      <alignment vertical="center"/>
    </xf>
    <xf numFmtId="0" fontId="60" fillId="11" borderId="2" xfId="89" applyFont="1" applyFill="1" applyBorder="1" applyAlignment="1">
      <alignment horizontal="center" vertical="center"/>
    </xf>
    <xf numFmtId="0" fontId="75" fillId="11" borderId="2" xfId="89" applyFont="1" applyFill="1" applyBorder="1" applyAlignment="1">
      <alignment vertical="center"/>
    </xf>
    <xf numFmtId="167" fontId="60" fillId="11" borderId="2" xfId="90" applyFont="1" applyFill="1" applyBorder="1" applyAlignment="1">
      <alignment vertical="center"/>
    </xf>
    <xf numFmtId="166" fontId="60" fillId="11" borderId="2" xfId="90" applyNumberFormat="1" applyFont="1" applyFill="1" applyBorder="1" applyAlignment="1">
      <alignment vertical="center"/>
    </xf>
    <xf numFmtId="167" fontId="60" fillId="11" borderId="48" xfId="90" applyFont="1" applyFill="1" applyBorder="1" applyAlignment="1">
      <alignment vertical="center"/>
    </xf>
    <xf numFmtId="0" fontId="75" fillId="0" borderId="19" xfId="89" applyFont="1" applyBorder="1" applyAlignment="1">
      <alignment horizontal="right" vertical="center"/>
    </xf>
    <xf numFmtId="3" fontId="75" fillId="0" borderId="22" xfId="90" applyNumberFormat="1" applyFont="1" applyBorder="1" applyAlignment="1">
      <alignment horizontal="right" vertical="center"/>
    </xf>
    <xf numFmtId="3" fontId="75" fillId="0" borderId="24" xfId="90" applyNumberFormat="1" applyFont="1" applyBorder="1" applyAlignment="1">
      <alignment horizontal="right" vertical="center"/>
    </xf>
    <xf numFmtId="0" fontId="76" fillId="0" borderId="1" xfId="91" applyFont="1" applyBorder="1" applyAlignment="1">
      <alignment horizontal="right" vertical="center"/>
    </xf>
    <xf numFmtId="3" fontId="76" fillId="0" borderId="24" xfId="91" applyNumberFormat="1" applyFont="1" applyBorder="1" applyAlignment="1">
      <alignment horizontal="right" vertical="center"/>
    </xf>
    <xf numFmtId="0" fontId="60" fillId="5" borderId="1" xfId="89" applyFont="1" applyFill="1" applyBorder="1" applyAlignment="1">
      <alignment vertical="center"/>
    </xf>
    <xf numFmtId="0" fontId="75" fillId="0" borderId="1" xfId="89" applyFont="1" applyBorder="1" applyAlignment="1">
      <alignment horizontal="center" vertical="center" wrapText="1"/>
    </xf>
    <xf numFmtId="4" fontId="60" fillId="5" borderId="1" xfId="89" applyNumberFormat="1" applyFont="1" applyFill="1" applyBorder="1" applyAlignment="1">
      <alignment horizontal="right" vertical="center"/>
    </xf>
    <xf numFmtId="3" fontId="60" fillId="5" borderId="1" xfId="89" applyNumberFormat="1" applyFont="1" applyFill="1" applyBorder="1" applyAlignment="1">
      <alignment horizontal="right" vertical="center"/>
    </xf>
    <xf numFmtId="3" fontId="60" fillId="5" borderId="24" xfId="90" applyNumberFormat="1" applyFont="1" applyFill="1" applyBorder="1" applyAlignment="1">
      <alignment horizontal="right" vertical="center"/>
    </xf>
    <xf numFmtId="0" fontId="60" fillId="11" borderId="2" xfId="89" applyFont="1" applyFill="1" applyBorder="1" applyAlignment="1">
      <alignment vertical="center"/>
    </xf>
    <xf numFmtId="0" fontId="60" fillId="0" borderId="19" xfId="89" applyFont="1" applyBorder="1" applyAlignment="1">
      <alignment vertical="center"/>
    </xf>
    <xf numFmtId="167" fontId="75" fillId="0" borderId="19" xfId="90" applyFont="1" applyBorder="1" applyAlignment="1">
      <alignment horizontal="right" vertical="center"/>
    </xf>
    <xf numFmtId="167" fontId="75" fillId="0" borderId="22" xfId="90" applyFont="1" applyFill="1" applyBorder="1" applyAlignment="1">
      <alignment horizontal="right" vertical="center"/>
    </xf>
    <xf numFmtId="0" fontId="60" fillId="0" borderId="1" xfId="89" applyFont="1" applyBorder="1" applyAlignment="1">
      <alignment vertical="center"/>
    </xf>
    <xf numFmtId="167" fontId="75" fillId="0" borderId="1" xfId="90" applyFont="1" applyBorder="1" applyAlignment="1">
      <alignment horizontal="right" vertical="center"/>
    </xf>
    <xf numFmtId="167" fontId="75" fillId="0" borderId="24" xfId="90" applyFont="1" applyFill="1" applyBorder="1" applyAlignment="1">
      <alignment horizontal="right" vertical="center"/>
    </xf>
    <xf numFmtId="167" fontId="75" fillId="0" borderId="1" xfId="90" applyFont="1" applyFill="1" applyBorder="1" applyAlignment="1">
      <alignment horizontal="right" vertical="center"/>
    </xf>
    <xf numFmtId="167" fontId="60" fillId="5" borderId="1" xfId="90" applyFont="1" applyFill="1" applyBorder="1" applyAlignment="1">
      <alignment vertical="center"/>
    </xf>
    <xf numFmtId="166" fontId="60" fillId="5" borderId="1" xfId="90" applyNumberFormat="1" applyFont="1" applyFill="1" applyBorder="1" applyAlignment="1">
      <alignment horizontal="right" vertical="center"/>
    </xf>
    <xf numFmtId="167" fontId="60" fillId="5" borderId="24" xfId="90" applyFont="1" applyFill="1" applyBorder="1" applyAlignment="1">
      <alignment horizontal="right" vertical="center"/>
    </xf>
    <xf numFmtId="167" fontId="60" fillId="11" borderId="2" xfId="90" applyFont="1" applyFill="1" applyBorder="1" applyAlignment="1">
      <alignment horizontal="center" vertical="center"/>
    </xf>
    <xf numFmtId="166" fontId="60" fillId="11" borderId="2" xfId="90" applyNumberFormat="1" applyFont="1" applyFill="1" applyBorder="1" applyAlignment="1">
      <alignment horizontal="right" vertical="center"/>
    </xf>
    <xf numFmtId="167" fontId="60" fillId="11" borderId="48" xfId="90" applyFont="1" applyFill="1" applyBorder="1" applyAlignment="1">
      <alignment horizontal="right" vertical="center"/>
    </xf>
    <xf numFmtId="0" fontId="75" fillId="0" borderId="38" xfId="89" applyFont="1" applyBorder="1" applyAlignment="1">
      <alignment vertical="center"/>
    </xf>
    <xf numFmtId="0" fontId="75" fillId="0" borderId="19" xfId="89" applyFont="1" applyBorder="1" applyAlignment="1">
      <alignment horizontal="center" vertical="center"/>
    </xf>
    <xf numFmtId="0" fontId="60" fillId="0" borderId="19" xfId="89" applyFont="1" applyBorder="1" applyAlignment="1">
      <alignment horizontal="center" vertical="center"/>
    </xf>
    <xf numFmtId="167" fontId="60" fillId="0" borderId="19" xfId="90" applyFont="1" applyFill="1" applyBorder="1" applyAlignment="1">
      <alignment horizontal="center" vertical="center"/>
    </xf>
    <xf numFmtId="166" fontId="60" fillId="0" borderId="19" xfId="90" applyNumberFormat="1" applyFont="1" applyFill="1" applyBorder="1" applyAlignment="1">
      <alignment horizontal="right" vertical="center"/>
    </xf>
    <xf numFmtId="167" fontId="60" fillId="0" borderId="22" xfId="90" applyFont="1" applyFill="1" applyBorder="1" applyAlignment="1">
      <alignment horizontal="right" vertical="center"/>
    </xf>
    <xf numFmtId="0" fontId="75" fillId="0" borderId="45" xfId="89" applyFont="1" applyBorder="1" applyAlignment="1">
      <alignment vertical="center"/>
    </xf>
    <xf numFmtId="0" fontId="60" fillId="11" borderId="26" xfId="89" applyFont="1" applyFill="1" applyBorder="1" applyAlignment="1">
      <alignment horizontal="center" vertical="center"/>
    </xf>
    <xf numFmtId="167" fontId="60" fillId="11" borderId="26" xfId="90" applyFont="1" applyFill="1" applyBorder="1" applyAlignment="1">
      <alignment horizontal="center" vertical="center"/>
    </xf>
    <xf numFmtId="167" fontId="60" fillId="11" borderId="29" xfId="90" applyFont="1" applyFill="1" applyBorder="1" applyAlignment="1">
      <alignment horizontal="center" vertical="center"/>
    </xf>
    <xf numFmtId="0" fontId="75" fillId="0" borderId="3" xfId="89" applyFont="1" applyBorder="1" applyAlignment="1">
      <alignment vertical="center"/>
    </xf>
    <xf numFmtId="167" fontId="75" fillId="0" borderId="3" xfId="90" applyFont="1" applyFill="1" applyBorder="1" applyAlignment="1">
      <alignment horizontal="center" vertical="center" wrapText="1"/>
    </xf>
    <xf numFmtId="166" fontId="75" fillId="0" borderId="3" xfId="90" applyNumberFormat="1" applyFont="1" applyFill="1" applyBorder="1" applyAlignment="1">
      <alignment vertical="center"/>
    </xf>
    <xf numFmtId="166" fontId="75" fillId="0" borderId="50" xfId="89" applyNumberFormat="1" applyFont="1" applyBorder="1" applyAlignment="1">
      <alignment horizontal="right" vertical="center"/>
    </xf>
    <xf numFmtId="167" fontId="75" fillId="0" borderId="1" xfId="90" applyFont="1" applyFill="1" applyBorder="1" applyAlignment="1">
      <alignment horizontal="center" vertical="center" wrapText="1"/>
    </xf>
    <xf numFmtId="166" fontId="75" fillId="0" borderId="1" xfId="90" applyNumberFormat="1" applyFont="1" applyFill="1" applyBorder="1" applyAlignment="1">
      <alignment vertical="center"/>
    </xf>
    <xf numFmtId="166" fontId="75" fillId="0" borderId="24" xfId="89" applyNumberFormat="1" applyFont="1" applyBorder="1" applyAlignment="1">
      <alignment horizontal="right" vertical="center"/>
    </xf>
    <xf numFmtId="167" fontId="60" fillId="5" borderId="1" xfId="90" applyFont="1" applyFill="1" applyBorder="1" applyAlignment="1">
      <alignment horizontal="center" vertical="center" wrapText="1"/>
    </xf>
    <xf numFmtId="166" fontId="60" fillId="5" borderId="1" xfId="90" applyNumberFormat="1" applyFont="1" applyFill="1" applyBorder="1" applyAlignment="1">
      <alignment horizontal="center" vertical="center" wrapText="1"/>
    </xf>
    <xf numFmtId="167" fontId="60" fillId="5" borderId="24" xfId="90" applyFont="1" applyFill="1" applyBorder="1" applyAlignment="1">
      <alignment horizontal="center" vertical="center" wrapText="1"/>
    </xf>
    <xf numFmtId="0" fontId="75" fillId="0" borderId="1" xfId="89" applyFont="1" applyBorder="1" applyAlignment="1">
      <alignment horizontal="right" vertical="center" wrapText="1"/>
    </xf>
    <xf numFmtId="0" fontId="75" fillId="0" borderId="24" xfId="89" applyFont="1" applyBorder="1" applyAlignment="1">
      <alignment horizontal="right" vertical="center"/>
    </xf>
    <xf numFmtId="0" fontId="60" fillId="5" borderId="1" xfId="89" applyFont="1" applyFill="1" applyBorder="1" applyAlignment="1">
      <alignment horizontal="right" vertical="center" wrapText="1"/>
    </xf>
    <xf numFmtId="0" fontId="60" fillId="5" borderId="24" xfId="89" applyFont="1" applyFill="1" applyBorder="1" applyAlignment="1">
      <alignment horizontal="right" vertical="center" wrapText="1"/>
    </xf>
    <xf numFmtId="167" fontId="75" fillId="0" borderId="1" xfId="90" applyFont="1" applyFill="1" applyBorder="1" applyAlignment="1">
      <alignment horizontal="right" vertical="center" wrapText="1"/>
    </xf>
    <xf numFmtId="166" fontId="75" fillId="0" borderId="1" xfId="90" applyNumberFormat="1" applyFont="1" applyFill="1" applyBorder="1" applyAlignment="1">
      <alignment horizontal="right" vertical="center"/>
    </xf>
    <xf numFmtId="166" fontId="60" fillId="5" borderId="24" xfId="90" applyNumberFormat="1" applyFont="1" applyFill="1" applyBorder="1" applyAlignment="1">
      <alignment horizontal="right" vertical="center"/>
    </xf>
    <xf numFmtId="166" fontId="60" fillId="5" borderId="1" xfId="90" applyNumberFormat="1" applyFont="1" applyFill="1" applyBorder="1" applyAlignment="1">
      <alignment vertical="center"/>
    </xf>
    <xf numFmtId="166" fontId="60" fillId="5" borderId="24" xfId="89" applyNumberFormat="1" applyFont="1" applyFill="1" applyBorder="1" applyAlignment="1">
      <alignment horizontal="right" vertical="center"/>
    </xf>
    <xf numFmtId="167" fontId="60" fillId="11" borderId="2" xfId="89" applyNumberFormat="1" applyFont="1" applyFill="1" applyBorder="1" applyAlignment="1">
      <alignment vertical="center"/>
    </xf>
    <xf numFmtId="166" fontId="60" fillId="11" borderId="2" xfId="89" applyNumberFormat="1" applyFont="1" applyFill="1" applyBorder="1" applyAlignment="1">
      <alignment vertical="center"/>
    </xf>
    <xf numFmtId="166" fontId="60" fillId="11" borderId="48" xfId="89" applyNumberFormat="1" applyFont="1" applyFill="1" applyBorder="1" applyAlignment="1">
      <alignment vertical="center"/>
    </xf>
    <xf numFmtId="0" fontId="60" fillId="5" borderId="19" xfId="89" applyFont="1" applyFill="1" applyBorder="1" applyAlignment="1">
      <alignment horizontal="right" vertical="center"/>
    </xf>
    <xf numFmtId="3" fontId="60" fillId="5" borderId="22" xfId="89" applyNumberFormat="1" applyFont="1" applyFill="1" applyBorder="1" applyAlignment="1">
      <alignment horizontal="right" vertical="center"/>
    </xf>
    <xf numFmtId="0" fontId="60" fillId="5" borderId="24" xfId="89" applyFont="1" applyFill="1" applyBorder="1" applyAlignment="1">
      <alignment horizontal="right" vertical="center"/>
    </xf>
    <xf numFmtId="0" fontId="75" fillId="0" borderId="22" xfId="89" applyFont="1" applyBorder="1" applyAlignment="1">
      <alignment horizontal="right" vertical="center"/>
    </xf>
    <xf numFmtId="0" fontId="47" fillId="0" borderId="1" xfId="89" applyBorder="1" applyAlignment="1">
      <alignment horizontal="right" vertical="center"/>
    </xf>
    <xf numFmtId="174" fontId="75" fillId="0" borderId="24" xfId="89" applyNumberFormat="1" applyFont="1" applyBorder="1" applyAlignment="1">
      <alignment horizontal="right" vertical="center"/>
    </xf>
    <xf numFmtId="0" fontId="77" fillId="0" borderId="1" xfId="89" applyFont="1" applyBorder="1" applyAlignment="1">
      <alignment horizontal="right" vertical="center"/>
    </xf>
    <xf numFmtId="0" fontId="78" fillId="0" borderId="1" xfId="89" applyFont="1" applyBorder="1" applyAlignment="1">
      <alignment horizontal="right" vertical="center"/>
    </xf>
    <xf numFmtId="0" fontId="78" fillId="0" borderId="24" xfId="89" applyFont="1" applyBorder="1" applyAlignment="1">
      <alignment horizontal="right" vertical="center"/>
    </xf>
    <xf numFmtId="0" fontId="79" fillId="5" borderId="1" xfId="89" applyFont="1" applyFill="1" applyBorder="1" applyAlignment="1">
      <alignment horizontal="right" vertical="center"/>
    </xf>
    <xf numFmtId="0" fontId="79" fillId="5" borderId="24" xfId="89" applyFont="1" applyFill="1" applyBorder="1" applyAlignment="1">
      <alignment horizontal="right" vertical="center"/>
    </xf>
    <xf numFmtId="0" fontId="60" fillId="5" borderId="1" xfId="89" applyFont="1" applyFill="1" applyBorder="1"/>
    <xf numFmtId="0" fontId="60" fillId="5" borderId="24" xfId="89" applyFont="1" applyFill="1" applyBorder="1"/>
    <xf numFmtId="0" fontId="60" fillId="5" borderId="1" xfId="89" applyFont="1" applyFill="1" applyBorder="1" applyAlignment="1">
      <alignment horizontal="right"/>
    </xf>
    <xf numFmtId="0" fontId="60" fillId="5" borderId="24" xfId="89" applyFont="1" applyFill="1" applyBorder="1" applyAlignment="1">
      <alignment horizontal="right"/>
    </xf>
    <xf numFmtId="0" fontId="75" fillId="0" borderId="1" xfId="89" applyFont="1" applyBorder="1" applyAlignment="1">
      <alignment horizontal="center"/>
    </xf>
    <xf numFmtId="0" fontId="75" fillId="5" borderId="1" xfId="89" applyFont="1" applyFill="1" applyBorder="1" applyAlignment="1">
      <alignment horizontal="right" vertical="center"/>
    </xf>
    <xf numFmtId="0" fontId="75" fillId="5" borderId="24" xfId="89" applyFont="1" applyFill="1" applyBorder="1" applyAlignment="1">
      <alignment horizontal="right" vertical="center"/>
    </xf>
    <xf numFmtId="0" fontId="75" fillId="0" borderId="2" xfId="89" applyFont="1" applyBorder="1"/>
    <xf numFmtId="0" fontId="60" fillId="11" borderId="2" xfId="89" applyFont="1" applyFill="1" applyBorder="1" applyAlignment="1">
      <alignment horizontal="center"/>
    </xf>
    <xf numFmtId="0" fontId="75" fillId="11" borderId="2" xfId="89" applyFont="1" applyFill="1" applyBorder="1"/>
    <xf numFmtId="167" fontId="60" fillId="11" borderId="2" xfId="90" applyFont="1" applyFill="1" applyBorder="1"/>
    <xf numFmtId="166" fontId="60" fillId="11" borderId="2" xfId="90" applyNumberFormat="1" applyFont="1" applyFill="1" applyBorder="1" applyAlignment="1">
      <alignment wrapText="1"/>
    </xf>
    <xf numFmtId="167" fontId="60" fillId="11" borderId="48" xfId="90" applyFont="1" applyFill="1" applyBorder="1"/>
    <xf numFmtId="0" fontId="75" fillId="0" borderId="19" xfId="89" applyFont="1" applyBorder="1"/>
    <xf numFmtId="2" fontId="75" fillId="0" borderId="19" xfId="89" applyNumberFormat="1" applyFont="1" applyBorder="1" applyAlignment="1">
      <alignment horizontal="right" vertical="center"/>
    </xf>
    <xf numFmtId="164" fontId="75" fillId="0" borderId="19" xfId="90" applyNumberFormat="1" applyFont="1" applyBorder="1" applyAlignment="1">
      <alignment horizontal="right" vertical="center"/>
    </xf>
    <xf numFmtId="164" fontId="75" fillId="0" borderId="1" xfId="90" applyNumberFormat="1" applyFont="1" applyBorder="1" applyAlignment="1">
      <alignment horizontal="right" vertical="center"/>
    </xf>
    <xf numFmtId="167" fontId="76" fillId="0" borderId="1" xfId="90" applyFont="1" applyBorder="1" applyAlignment="1">
      <alignment horizontal="center" vertical="center"/>
    </xf>
    <xf numFmtId="2" fontId="60" fillId="5" borderId="1" xfId="89" applyNumberFormat="1" applyFont="1" applyFill="1" applyBorder="1"/>
    <xf numFmtId="1" fontId="60" fillId="5" borderId="1" xfId="89" applyNumberFormat="1" applyFont="1" applyFill="1" applyBorder="1" applyAlignment="1">
      <alignment horizontal="right"/>
    </xf>
    <xf numFmtId="2" fontId="60" fillId="5" borderId="24" xfId="89" applyNumberFormat="1" applyFont="1" applyFill="1" applyBorder="1"/>
    <xf numFmtId="1" fontId="60" fillId="5" borderId="1" xfId="90" applyNumberFormat="1" applyFont="1" applyFill="1" applyBorder="1" applyAlignment="1">
      <alignment horizontal="right" vertical="center"/>
    </xf>
    <xf numFmtId="0" fontId="60" fillId="5" borderId="24" xfId="89" applyFont="1" applyFill="1" applyBorder="1" applyAlignment="1">
      <alignment horizontal="center" vertical="center"/>
    </xf>
    <xf numFmtId="0" fontId="75" fillId="0" borderId="26" xfId="89" applyFont="1" applyBorder="1"/>
    <xf numFmtId="0" fontId="60" fillId="11" borderId="26" xfId="89" applyFont="1" applyFill="1" applyBorder="1" applyAlignment="1">
      <alignment horizontal="center"/>
    </xf>
    <xf numFmtId="0" fontId="60" fillId="11" borderId="26" xfId="89" applyFont="1" applyFill="1" applyBorder="1"/>
    <xf numFmtId="2" fontId="60" fillId="11" borderId="26" xfId="89" applyNumberFormat="1" applyFont="1" applyFill="1" applyBorder="1"/>
    <xf numFmtId="1" fontId="60" fillId="11" borderId="26" xfId="89" applyNumberFormat="1" applyFont="1" applyFill="1" applyBorder="1" applyAlignment="1">
      <alignment horizontal="right"/>
    </xf>
    <xf numFmtId="2" fontId="60" fillId="11" borderId="29" xfId="89" applyNumberFormat="1" applyFont="1" applyFill="1" applyBorder="1"/>
    <xf numFmtId="10" fontId="0" fillId="0" borderId="0" xfId="2" applyNumberFormat="1" applyFont="1" applyAlignment="1"/>
    <xf numFmtId="43" fontId="0" fillId="0" borderId="1" xfId="0" applyNumberFormat="1" applyBorder="1" applyAlignment="1">
      <alignment horizontal="center" vertical="center"/>
    </xf>
    <xf numFmtId="164" fontId="2" fillId="0" borderId="1" xfId="1" applyNumberFormat="1" applyFont="1" applyBorder="1" applyAlignment="1">
      <alignment vertical="center"/>
    </xf>
    <xf numFmtId="164" fontId="2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9" fontId="0" fillId="0" borderId="1" xfId="2" applyFont="1" applyBorder="1" applyAlignment="1">
      <alignment vertical="center"/>
    </xf>
    <xf numFmtId="43" fontId="0" fillId="0" borderId="1" xfId="0" applyNumberFormat="1" applyBorder="1" applyAlignment="1">
      <alignment vertical="center"/>
    </xf>
    <xf numFmtId="9" fontId="0" fillId="0" borderId="1" xfId="2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1" xfId="1" applyFont="1" applyBorder="1" applyAlignment="1">
      <alignment vertical="center"/>
    </xf>
    <xf numFmtId="10" fontId="0" fillId="0" borderId="1" xfId="2" applyNumberFormat="1" applyFont="1" applyBorder="1" applyAlignment="1">
      <alignment vertical="center"/>
    </xf>
    <xf numFmtId="10" fontId="0" fillId="0" borderId="1" xfId="2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4" fontId="1" fillId="0" borderId="1" xfId="1" applyNumberFormat="1" applyFont="1" applyBorder="1" applyAlignment="1">
      <alignment vertical="center"/>
    </xf>
    <xf numFmtId="43" fontId="1" fillId="0" borderId="1" xfId="0" applyNumberFormat="1" applyFont="1" applyBorder="1" applyAlignment="1">
      <alignment vertical="center"/>
    </xf>
    <xf numFmtId="43" fontId="1" fillId="0" borderId="1" xfId="0" applyNumberFormat="1" applyFont="1" applyBorder="1" applyAlignment="1">
      <alignment horizontal="center" vertical="center"/>
    </xf>
    <xf numFmtId="10" fontId="1" fillId="0" borderId="1" xfId="2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vertical="center"/>
    </xf>
    <xf numFmtId="43" fontId="1" fillId="0" borderId="1" xfId="1" applyFont="1" applyBorder="1" applyAlignment="1">
      <alignment vertical="center"/>
    </xf>
    <xf numFmtId="10" fontId="1" fillId="0" borderId="1" xfId="2" applyNumberFormat="1" applyFont="1" applyBorder="1" applyAlignment="1">
      <alignment vertical="center"/>
    </xf>
    <xf numFmtId="164" fontId="2" fillId="0" borderId="0" xfId="1" applyNumberFormat="1" applyFont="1" applyAlignment="1">
      <alignment vertical="center"/>
    </xf>
    <xf numFmtId="0" fontId="9" fillId="0" borderId="1" xfId="0" applyFont="1" applyBorder="1" applyAlignment="1">
      <alignment vertical="center"/>
    </xf>
    <xf numFmtId="43" fontId="9" fillId="0" borderId="1" xfId="0" applyNumberFormat="1" applyFont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10" fontId="0" fillId="0" borderId="0" xfId="2" applyNumberFormat="1" applyFont="1" applyAlignment="1">
      <alignment vertical="center"/>
    </xf>
    <xf numFmtId="164" fontId="0" fillId="0" borderId="1" xfId="1" applyNumberFormat="1" applyFon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164" fontId="1" fillId="0" borderId="1" xfId="1" applyNumberFormat="1" applyFont="1" applyBorder="1" applyAlignment="1">
      <alignment vertical="center" wrapText="1"/>
    </xf>
    <xf numFmtId="164" fontId="1" fillId="0" borderId="0" xfId="1" applyNumberFormat="1" applyFont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43" fontId="9" fillId="0" borderId="4" xfId="0" applyNumberFormat="1" applyFont="1" applyBorder="1" applyAlignment="1">
      <alignment vertical="center"/>
    </xf>
    <xf numFmtId="43" fontId="9" fillId="0" borderId="5" xfId="0" applyNumberFormat="1" applyFont="1" applyBorder="1" applyAlignment="1">
      <alignment vertical="center"/>
    </xf>
    <xf numFmtId="43" fontId="9" fillId="0" borderId="6" xfId="0" applyNumberFormat="1" applyFont="1" applyBorder="1" applyAlignment="1">
      <alignment vertical="center"/>
    </xf>
    <xf numFmtId="9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3" fontId="47" fillId="0" borderId="0" xfId="3" applyNumberFormat="1" applyFont="1"/>
    <xf numFmtId="43" fontId="0" fillId="0" borderId="1" xfId="1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/>
    <xf numFmtId="43" fontId="1" fillId="0" borderId="0" xfId="0" applyNumberFormat="1" applyFont="1"/>
    <xf numFmtId="43" fontId="1" fillId="0" borderId="1" xfId="1" applyFont="1" applyBorder="1"/>
    <xf numFmtId="175" fontId="0" fillId="0" borderId="0" xfId="0" applyNumberFormat="1"/>
    <xf numFmtId="10" fontId="0" fillId="0" borderId="0" xfId="2" applyNumberFormat="1" applyFont="1"/>
    <xf numFmtId="0" fontId="65" fillId="0" borderId="0" xfId="86" applyFont="1" applyAlignment="1">
      <alignment vertical="top"/>
    </xf>
    <xf numFmtId="43" fontId="0" fillId="0" borderId="0" xfId="0" applyNumberFormat="1"/>
    <xf numFmtId="0" fontId="47" fillId="0" borderId="1" xfId="3" applyFont="1" applyBorder="1" applyAlignment="1">
      <alignment horizontal="center" vertical="center" wrapText="1"/>
    </xf>
    <xf numFmtId="0" fontId="48" fillId="0" borderId="1" xfId="3" applyFont="1" applyBorder="1"/>
    <xf numFmtId="0" fontId="46" fillId="0" borderId="1" xfId="3" applyFont="1" applyBorder="1" applyAlignment="1">
      <alignment horizontal="center" vertical="center" wrapText="1"/>
    </xf>
    <xf numFmtId="0" fontId="47" fillId="0" borderId="4" xfId="3" applyFont="1" applyBorder="1" applyAlignment="1">
      <alignment horizontal="center" vertical="center" wrapText="1"/>
    </xf>
    <xf numFmtId="0" fontId="47" fillId="0" borderId="5" xfId="3" applyFont="1" applyBorder="1" applyAlignment="1">
      <alignment horizontal="center" vertical="center" wrapText="1"/>
    </xf>
    <xf numFmtId="0" fontId="47" fillId="0" borderId="6" xfId="3" applyFont="1" applyBorder="1" applyAlignment="1">
      <alignment horizontal="center" vertical="center" wrapText="1"/>
    </xf>
    <xf numFmtId="0" fontId="50" fillId="0" borderId="4" xfId="3" applyFont="1" applyBorder="1" applyAlignment="1">
      <alignment horizontal="center"/>
    </xf>
    <xf numFmtId="0" fontId="50" fillId="0" borderId="5" xfId="3" applyFont="1" applyBorder="1" applyAlignment="1">
      <alignment horizontal="center"/>
    </xf>
    <xf numFmtId="0" fontId="50" fillId="0" borderId="6" xfId="3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4" fillId="0" borderId="12" xfId="5" applyFont="1" applyBorder="1" applyAlignment="1">
      <alignment horizontal="center"/>
    </xf>
    <xf numFmtId="0" fontId="14" fillId="0" borderId="0" xfId="5" applyFont="1" applyAlignment="1">
      <alignment horizontal="center"/>
    </xf>
    <xf numFmtId="0" fontId="14" fillId="0" borderId="13" xfId="5" applyFont="1" applyBorder="1" applyAlignment="1">
      <alignment horizontal="center"/>
    </xf>
    <xf numFmtId="0" fontId="11" fillId="2" borderId="9" xfId="5" applyFont="1" applyFill="1" applyBorder="1" applyAlignment="1">
      <alignment wrapText="1"/>
    </xf>
    <xf numFmtId="0" fontId="11" fillId="2" borderId="10" xfId="5" applyFont="1" applyFill="1" applyBorder="1" applyAlignment="1">
      <alignment wrapText="1"/>
    </xf>
    <xf numFmtId="0" fontId="11" fillId="2" borderId="11" xfId="5" applyFont="1" applyFill="1" applyBorder="1" applyAlignment="1">
      <alignment wrapText="1"/>
    </xf>
    <xf numFmtId="0" fontId="13" fillId="2" borderId="12" xfId="5" applyFont="1" applyFill="1" applyBorder="1" applyAlignment="1">
      <alignment wrapText="1"/>
    </xf>
    <xf numFmtId="0" fontId="13" fillId="2" borderId="0" xfId="5" applyFont="1" applyFill="1" applyAlignment="1">
      <alignment wrapText="1"/>
    </xf>
    <xf numFmtId="0" fontId="13" fillId="2" borderId="13" xfId="5" applyFont="1" applyFill="1" applyBorder="1" applyAlignment="1">
      <alignment wrapText="1"/>
    </xf>
    <xf numFmtId="0" fontId="13" fillId="2" borderId="0" xfId="5" applyFont="1" applyFill="1"/>
    <xf numFmtId="0" fontId="13" fillId="2" borderId="13" xfId="5" applyFont="1" applyFill="1" applyBorder="1"/>
    <xf numFmtId="0" fontId="14" fillId="0" borderId="0" xfId="5" applyFont="1"/>
    <xf numFmtId="0" fontId="14" fillId="0" borderId="13" xfId="5" applyFont="1" applyBorder="1"/>
    <xf numFmtId="0" fontId="14" fillId="0" borderId="9" xfId="5" applyFont="1" applyBorder="1" applyAlignment="1">
      <alignment horizontal="center"/>
    </xf>
    <xf numFmtId="0" fontId="14" fillId="0" borderId="10" xfId="5" applyFont="1" applyBorder="1" applyAlignment="1">
      <alignment horizontal="center"/>
    </xf>
    <xf numFmtId="0" fontId="14" fillId="0" borderId="11" xfId="5" applyFont="1" applyBorder="1" applyAlignment="1">
      <alignment horizontal="center"/>
    </xf>
    <xf numFmtId="0" fontId="14" fillId="0" borderId="10" xfId="5" applyFont="1" applyBorder="1"/>
    <xf numFmtId="0" fontId="14" fillId="0" borderId="11" xfId="5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3" fontId="4" fillId="4" borderId="21" xfId="1" applyFont="1" applyFill="1" applyBorder="1" applyAlignment="1">
      <alignment horizontal="center" vertical="center" wrapText="1"/>
    </xf>
    <xf numFmtId="43" fontId="4" fillId="4" borderId="19" xfId="1" applyFont="1" applyFill="1" applyBorder="1" applyAlignment="1">
      <alignment horizontal="center" vertical="center" wrapText="1"/>
    </xf>
    <xf numFmtId="43" fontId="4" fillId="0" borderId="22" xfId="1" applyFont="1" applyFill="1" applyBorder="1" applyAlignment="1">
      <alignment horizontal="center" vertical="center" wrapText="1"/>
    </xf>
    <xf numFmtId="43" fontId="4" fillId="0" borderId="24" xfId="1" applyFont="1" applyFill="1" applyBorder="1" applyAlignment="1">
      <alignment horizontal="center" vertical="center" wrapText="1"/>
    </xf>
    <xf numFmtId="43" fontId="30" fillId="0" borderId="0" xfId="1" applyFont="1" applyAlignment="1">
      <alignment horizontal="left" vertical="center"/>
    </xf>
    <xf numFmtId="43" fontId="30" fillId="0" borderId="17" xfId="1" applyFont="1" applyBorder="1" applyAlignment="1">
      <alignment horizontal="left" vertical="center"/>
    </xf>
    <xf numFmtId="43" fontId="31" fillId="0" borderId="1" xfId="1" applyFont="1" applyBorder="1" applyAlignment="1">
      <alignment horizontal="center" vertical="center" wrapText="1"/>
    </xf>
    <xf numFmtId="43" fontId="31" fillId="0" borderId="4" xfId="1" applyFont="1" applyBorder="1" applyAlignment="1">
      <alignment horizontal="center" vertical="center" wrapText="1"/>
    </xf>
    <xf numFmtId="43" fontId="4" fillId="3" borderId="19" xfId="1" applyFont="1" applyFill="1" applyBorder="1" applyAlignment="1">
      <alignment horizontal="center" vertical="center" wrapText="1"/>
    </xf>
    <xf numFmtId="43" fontId="4" fillId="0" borderId="20" xfId="1" applyFont="1" applyFill="1" applyBorder="1" applyAlignment="1">
      <alignment horizontal="center" vertical="center" wrapText="1"/>
    </xf>
    <xf numFmtId="43" fontId="4" fillId="0" borderId="4" xfId="1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43" fontId="20" fillId="0" borderId="4" xfId="1" applyFont="1" applyFill="1" applyBorder="1" applyAlignment="1">
      <alignment horizontal="center" vertical="center" wrapText="1"/>
    </xf>
    <xf numFmtId="43" fontId="20" fillId="0" borderId="6" xfId="1" applyFont="1" applyFill="1" applyBorder="1" applyAlignment="1">
      <alignment horizontal="center" vertical="center" wrapText="1"/>
    </xf>
    <xf numFmtId="43" fontId="20" fillId="0" borderId="26" xfId="1" applyFont="1" applyFill="1" applyBorder="1" applyAlignment="1">
      <alignment horizontal="center" vertical="center"/>
    </xf>
    <xf numFmtId="43" fontId="20" fillId="0" borderId="23" xfId="1" applyFont="1" applyBorder="1" applyAlignment="1">
      <alignment horizontal="center" vertical="center"/>
    </xf>
    <xf numFmtId="43" fontId="20" fillId="0" borderId="32" xfId="1" applyFont="1" applyBorder="1" applyAlignment="1">
      <alignment horizontal="center" vertical="center"/>
    </xf>
    <xf numFmtId="43" fontId="20" fillId="0" borderId="28" xfId="1" applyFont="1" applyBorder="1" applyAlignment="1">
      <alignment horizontal="center" vertical="center"/>
    </xf>
    <xf numFmtId="43" fontId="20" fillId="0" borderId="34" xfId="1" applyFont="1" applyBorder="1" applyAlignment="1">
      <alignment horizontal="center" vertical="center"/>
    </xf>
    <xf numFmtId="43" fontId="20" fillId="0" borderId="13" xfId="1" applyFont="1" applyBorder="1" applyAlignment="1">
      <alignment horizontal="center" vertical="center"/>
    </xf>
    <xf numFmtId="43" fontId="20" fillId="0" borderId="16" xfId="1" applyFont="1" applyBorder="1" applyAlignment="1">
      <alignment horizontal="center" vertical="center"/>
    </xf>
    <xf numFmtId="43" fontId="20" fillId="4" borderId="31" xfId="1" applyFont="1" applyFill="1" applyBorder="1" applyAlignment="1">
      <alignment horizontal="center" vertical="center" wrapText="1"/>
    </xf>
    <xf numFmtId="43" fontId="20" fillId="4" borderId="19" xfId="1" applyFont="1" applyFill="1" applyBorder="1" applyAlignment="1">
      <alignment horizontal="center" vertical="center" wrapText="1"/>
    </xf>
    <xf numFmtId="43" fontId="20" fillId="0" borderId="22" xfId="1" applyFont="1" applyFill="1" applyBorder="1" applyAlignment="1">
      <alignment horizontal="center" vertical="center" wrapText="1"/>
    </xf>
    <xf numFmtId="43" fontId="20" fillId="0" borderId="24" xfId="1" applyFont="1" applyFill="1" applyBorder="1" applyAlignment="1">
      <alignment horizontal="center" vertical="center" wrapText="1"/>
    </xf>
    <xf numFmtId="43" fontId="17" fillId="0" borderId="0" xfId="1" applyFont="1" applyAlignment="1">
      <alignment horizontal="left" vertical="center"/>
    </xf>
    <xf numFmtId="43" fontId="17" fillId="0" borderId="17" xfId="1" applyFont="1" applyBorder="1" applyAlignment="1">
      <alignment horizontal="left" vertical="center"/>
    </xf>
    <xf numFmtId="43" fontId="19" fillId="0" borderId="21" xfId="1" applyFont="1" applyBorder="1" applyAlignment="1">
      <alignment horizontal="center" vertical="center" wrapText="1"/>
    </xf>
    <xf numFmtId="43" fontId="19" fillId="0" borderId="23" xfId="1" applyFont="1" applyBorder="1" applyAlignment="1">
      <alignment horizontal="center" vertical="center" wrapText="1"/>
    </xf>
    <xf numFmtId="43" fontId="19" fillId="0" borderId="19" xfId="1" applyFont="1" applyBorder="1" applyAlignment="1">
      <alignment horizontal="center" vertical="center" wrapText="1"/>
    </xf>
    <xf numFmtId="43" fontId="19" fillId="0" borderId="1" xfId="1" applyFont="1" applyBorder="1" applyAlignment="1">
      <alignment horizontal="center" vertical="center" wrapText="1"/>
    </xf>
    <xf numFmtId="43" fontId="19" fillId="0" borderId="20" xfId="1" applyFont="1" applyBorder="1" applyAlignment="1">
      <alignment horizontal="center" vertical="center" wrapText="1"/>
    </xf>
    <xf numFmtId="43" fontId="19" fillId="0" borderId="4" xfId="1" applyFont="1" applyBorder="1" applyAlignment="1">
      <alignment horizontal="center" vertical="center" wrapText="1"/>
    </xf>
    <xf numFmtId="43" fontId="20" fillId="0" borderId="20" xfId="1" applyFont="1" applyFill="1" applyBorder="1" applyAlignment="1">
      <alignment horizontal="center" vertical="center" wrapText="1"/>
    </xf>
    <xf numFmtId="43" fontId="20" fillId="0" borderId="30" xfId="1" applyFont="1" applyFill="1" applyBorder="1" applyAlignment="1">
      <alignment horizontal="center" vertical="center" wrapText="1"/>
    </xf>
    <xf numFmtId="43" fontId="20" fillId="0" borderId="31" xfId="1" applyFont="1" applyFill="1" applyBorder="1" applyAlignment="1">
      <alignment horizontal="center" vertical="center" wrapText="1"/>
    </xf>
    <xf numFmtId="43" fontId="30" fillId="0" borderId="1" xfId="1" applyFont="1" applyBorder="1" applyAlignment="1">
      <alignment horizontal="left" vertical="center"/>
    </xf>
    <xf numFmtId="43" fontId="4" fillId="0" borderId="1" xfId="1" applyFont="1" applyFill="1" applyBorder="1" applyAlignment="1">
      <alignment horizontal="center" vertical="center" wrapText="1"/>
    </xf>
    <xf numFmtId="43" fontId="4" fillId="0" borderId="1" xfId="1" applyFont="1" applyFill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43" fontId="4" fillId="4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43" fontId="4" fillId="0" borderId="1" xfId="1" applyFont="1" applyBorder="1" applyAlignment="1">
      <alignment horizontal="right" vertical="center"/>
    </xf>
    <xf numFmtId="0" fontId="55" fillId="0" borderId="0" xfId="86" applyFont="1" applyAlignment="1">
      <alignment horizontal="center" vertical="top"/>
    </xf>
    <xf numFmtId="0" fontId="58" fillId="8" borderId="37" xfId="86" applyFont="1" applyFill="1" applyBorder="1" applyAlignment="1">
      <alignment horizontal="center" vertical="center"/>
    </xf>
    <xf numFmtId="0" fontId="58" fillId="8" borderId="39" xfId="86" applyFont="1" applyFill="1" applyBorder="1" applyAlignment="1">
      <alignment horizontal="center" vertical="center"/>
    </xf>
    <xf numFmtId="0" fontId="58" fillId="8" borderId="38" xfId="86" applyFont="1" applyFill="1" applyBorder="1" applyAlignment="1">
      <alignment horizontal="center" vertical="center"/>
    </xf>
    <xf numFmtId="0" fontId="58" fillId="8" borderId="40" xfId="86" applyFont="1" applyFill="1" applyBorder="1" applyAlignment="1">
      <alignment horizontal="center" vertical="center"/>
    </xf>
    <xf numFmtId="0" fontId="59" fillId="8" borderId="38" xfId="86" applyFont="1" applyFill="1" applyBorder="1" applyAlignment="1">
      <alignment horizontal="center" vertical="center"/>
    </xf>
    <xf numFmtId="0" fontId="59" fillId="8" borderId="40" xfId="86" applyFont="1" applyFill="1" applyBorder="1" applyAlignment="1">
      <alignment horizontal="center" vertical="center"/>
    </xf>
    <xf numFmtId="0" fontId="60" fillId="9" borderId="20" xfId="86" applyFont="1" applyFill="1" applyBorder="1" applyAlignment="1">
      <alignment horizontal="center" vertical="top" wrapText="1"/>
    </xf>
    <xf numFmtId="0" fontId="60" fillId="9" borderId="31" xfId="86" applyFont="1" applyFill="1" applyBorder="1" applyAlignment="1">
      <alignment horizontal="center" vertical="top" wrapText="1"/>
    </xf>
    <xf numFmtId="0" fontId="60" fillId="10" borderId="20" xfId="86" applyFont="1" applyFill="1" applyBorder="1" applyAlignment="1">
      <alignment horizontal="center" vertical="top" wrapText="1"/>
    </xf>
    <xf numFmtId="0" fontId="60" fillId="10" borderId="31" xfId="86" applyFont="1" applyFill="1" applyBorder="1" applyAlignment="1">
      <alignment horizontal="center" vertical="top" wrapText="1"/>
    </xf>
    <xf numFmtId="0" fontId="58" fillId="11" borderId="19" xfId="86" applyFont="1" applyFill="1" applyBorder="1" applyAlignment="1">
      <alignment horizontal="center" vertical="top"/>
    </xf>
    <xf numFmtId="0" fontId="58" fillId="11" borderId="22" xfId="86" applyFont="1" applyFill="1" applyBorder="1" applyAlignment="1">
      <alignment horizontal="center" vertical="top"/>
    </xf>
    <xf numFmtId="0" fontId="60" fillId="0" borderId="3" xfId="86" applyFont="1" applyBorder="1" applyAlignment="1">
      <alignment horizontal="center" vertical="top" textRotation="45"/>
    </xf>
    <xf numFmtId="0" fontId="60" fillId="0" borderId="1" xfId="86" applyFont="1" applyBorder="1" applyAlignment="1">
      <alignment horizontal="center" vertical="top" textRotation="45"/>
    </xf>
    <xf numFmtId="0" fontId="60" fillId="0" borderId="3" xfId="86" applyFont="1" applyBorder="1" applyAlignment="1">
      <alignment vertical="top"/>
    </xf>
    <xf numFmtId="0" fontId="60" fillId="0" borderId="1" xfId="86" applyFont="1" applyBorder="1" applyAlignment="1">
      <alignment vertical="top"/>
    </xf>
    <xf numFmtId="0" fontId="69" fillId="0" borderId="1" xfId="86" applyFont="1" applyBorder="1" applyAlignment="1">
      <alignment horizontal="left" vertical="top"/>
    </xf>
    <xf numFmtId="0" fontId="68" fillId="0" borderId="1" xfId="86" applyFont="1" applyBorder="1" applyAlignment="1">
      <alignment horizontal="left" vertical="top"/>
    </xf>
    <xf numFmtId="0" fontId="59" fillId="0" borderId="7" xfId="86" applyFont="1" applyBorder="1" applyAlignment="1">
      <alignment horizontal="center" vertical="top" textRotation="255" wrapText="1"/>
    </xf>
    <xf numFmtId="0" fontId="59" fillId="0" borderId="3" xfId="86" applyFont="1" applyBorder="1" applyAlignment="1">
      <alignment horizontal="center" vertical="top" textRotation="255" wrapText="1"/>
    </xf>
    <xf numFmtId="0" fontId="68" fillId="0" borderId="3" xfId="86" applyFont="1" applyBorder="1" applyAlignment="1">
      <alignment horizontal="left" vertical="top"/>
    </xf>
    <xf numFmtId="0" fontId="67" fillId="0" borderId="7" xfId="86" applyFont="1" applyBorder="1" applyAlignment="1">
      <alignment horizontal="center" vertical="top" textRotation="255"/>
    </xf>
    <xf numFmtId="0" fontId="67" fillId="0" borderId="3" xfId="86" applyFont="1" applyBorder="1" applyAlignment="1">
      <alignment horizontal="center" vertical="top" textRotation="255"/>
    </xf>
    <xf numFmtId="0" fontId="68" fillId="0" borderId="3" xfId="86" applyFont="1" applyBorder="1" applyAlignment="1">
      <alignment vertical="top"/>
    </xf>
    <xf numFmtId="0" fontId="68" fillId="0" borderId="1" xfId="86" applyFont="1" applyBorder="1" applyAlignment="1">
      <alignment vertical="top"/>
    </xf>
    <xf numFmtId="0" fontId="70" fillId="0" borderId="1" xfId="86" applyFont="1" applyBorder="1" applyAlignment="1">
      <alignment horizontal="left" vertical="top"/>
    </xf>
    <xf numFmtId="0" fontId="73" fillId="12" borderId="14" xfId="86" applyFont="1" applyFill="1" applyBorder="1" applyAlignment="1">
      <alignment horizontal="center" vertical="center"/>
    </xf>
    <xf numFmtId="0" fontId="73" fillId="12" borderId="44" xfId="86" applyFont="1" applyFill="1" applyBorder="1" applyAlignment="1">
      <alignment horizontal="center" vertical="center"/>
    </xf>
    <xf numFmtId="0" fontId="60" fillId="0" borderId="7" xfId="86" applyFont="1" applyBorder="1" applyAlignment="1">
      <alignment horizontal="center" vertical="top" textRotation="45"/>
    </xf>
    <xf numFmtId="0" fontId="54" fillId="0" borderId="0" xfId="86" applyAlignment="1">
      <alignment horizontal="center"/>
    </xf>
    <xf numFmtId="0" fontId="60" fillId="4" borderId="19" xfId="89" applyFont="1" applyFill="1" applyBorder="1" applyAlignment="1">
      <alignment horizontal="center" vertical="center" wrapText="1"/>
    </xf>
    <xf numFmtId="0" fontId="60" fillId="4" borderId="1" xfId="89" applyFont="1" applyFill="1" applyBorder="1" applyAlignment="1">
      <alignment horizontal="center" vertical="center" wrapText="1"/>
    </xf>
    <xf numFmtId="0" fontId="60" fillId="4" borderId="22" xfId="89" applyFont="1" applyFill="1" applyBorder="1" applyAlignment="1">
      <alignment horizontal="center" vertical="center" wrapText="1"/>
    </xf>
    <xf numFmtId="0" fontId="60" fillId="4" borderId="24" xfId="89" applyFont="1" applyFill="1" applyBorder="1" applyAlignment="1">
      <alignment horizontal="center" vertical="center" wrapText="1"/>
    </xf>
    <xf numFmtId="0" fontId="60" fillId="4" borderId="21" xfId="89" applyFont="1" applyFill="1" applyBorder="1" applyAlignment="1">
      <alignment horizontal="center" vertical="center"/>
    </xf>
    <xf numFmtId="0" fontId="60" fillId="4" borderId="23" xfId="89" applyFont="1" applyFill="1" applyBorder="1" applyAlignment="1">
      <alignment horizontal="center" vertical="center"/>
    </xf>
    <xf numFmtId="0" fontId="60" fillId="4" borderId="19" xfId="89" applyFont="1" applyFill="1" applyBorder="1" applyAlignment="1">
      <alignment horizontal="center" vertical="center"/>
    </xf>
    <xf numFmtId="0" fontId="60" fillId="4" borderId="1" xfId="89" applyFont="1" applyFill="1" applyBorder="1" applyAlignment="1">
      <alignment horizontal="center" vertical="center"/>
    </xf>
    <xf numFmtId="0" fontId="60" fillId="4" borderId="29" xfId="89" applyFont="1" applyFill="1" applyBorder="1" applyAlignment="1">
      <alignment horizontal="center" vertical="center" wrapText="1"/>
    </xf>
    <xf numFmtId="0" fontId="75" fillId="0" borderId="21" xfId="89" applyFont="1" applyBorder="1" applyAlignment="1">
      <alignment horizontal="center" vertical="center" wrapText="1"/>
    </xf>
    <xf numFmtId="0" fontId="75" fillId="0" borderId="23" xfId="89" applyFont="1" applyBorder="1" applyAlignment="1">
      <alignment horizontal="center" vertical="center"/>
    </xf>
    <xf numFmtId="0" fontId="75" fillId="0" borderId="32" xfId="89" applyFont="1" applyBorder="1" applyAlignment="1">
      <alignment horizontal="center" vertical="center"/>
    </xf>
    <xf numFmtId="0" fontId="75" fillId="0" borderId="19" xfId="89" applyFont="1" applyBorder="1" applyAlignment="1">
      <alignment horizontal="center" vertical="center"/>
    </xf>
    <xf numFmtId="0" fontId="75" fillId="0" borderId="1" xfId="89" applyFont="1" applyBorder="1" applyAlignment="1">
      <alignment horizontal="center" vertical="center"/>
    </xf>
    <xf numFmtId="0" fontId="60" fillId="4" borderId="28" xfId="89" applyFont="1" applyFill="1" applyBorder="1" applyAlignment="1">
      <alignment horizontal="center" vertical="center"/>
    </xf>
    <xf numFmtId="0" fontId="60" fillId="4" borderId="38" xfId="89" applyFont="1" applyFill="1" applyBorder="1" applyAlignment="1">
      <alignment horizontal="center" vertical="center"/>
    </xf>
    <xf numFmtId="0" fontId="60" fillId="4" borderId="45" xfId="89" applyFont="1" applyFill="1" applyBorder="1" applyAlignment="1">
      <alignment horizontal="center" vertical="center"/>
    </xf>
    <xf numFmtId="0" fontId="60" fillId="4" borderId="26" xfId="89" applyFont="1" applyFill="1" applyBorder="1" applyAlignment="1">
      <alignment horizontal="center" vertical="center"/>
    </xf>
    <xf numFmtId="0" fontId="60" fillId="4" borderId="26" xfId="89" applyFont="1" applyFill="1" applyBorder="1" applyAlignment="1">
      <alignment horizontal="center" vertical="center" wrapText="1"/>
    </xf>
    <xf numFmtId="0" fontId="75" fillId="0" borderId="23" xfId="89" applyFont="1" applyBorder="1" applyAlignment="1">
      <alignment horizontal="center" vertical="center" wrapText="1"/>
    </xf>
    <xf numFmtId="0" fontId="75" fillId="0" borderId="32" xfId="89" applyFont="1" applyBorder="1" applyAlignment="1">
      <alignment horizontal="center" vertical="center" wrapText="1"/>
    </xf>
    <xf numFmtId="0" fontId="75" fillId="0" borderId="37" xfId="89" applyFont="1" applyBorder="1" applyAlignment="1">
      <alignment horizontal="center" vertical="center" wrapText="1"/>
    </xf>
    <xf numFmtId="0" fontId="75" fillId="0" borderId="49" xfId="89" applyFont="1" applyBorder="1" applyAlignment="1">
      <alignment horizontal="center" vertical="center" wrapText="1"/>
    </xf>
    <xf numFmtId="0" fontId="75" fillId="0" borderId="33" xfId="89" applyFont="1" applyBorder="1" applyAlignment="1">
      <alignment horizontal="center" vertical="center" wrapText="1"/>
    </xf>
    <xf numFmtId="0" fontId="75" fillId="0" borderId="3" xfId="89" applyFont="1" applyBorder="1" applyAlignment="1">
      <alignment horizontal="center" vertical="center"/>
    </xf>
    <xf numFmtId="0" fontId="75" fillId="0" borderId="28" xfId="89" applyFont="1" applyBorder="1" applyAlignment="1">
      <alignment horizontal="center" vertical="center" wrapText="1"/>
    </xf>
    <xf numFmtId="0" fontId="75" fillId="0" borderId="1" xfId="89" applyFont="1" applyBorder="1" applyAlignment="1">
      <alignment horizontal="center" vertical="center" wrapText="1"/>
    </xf>
    <xf numFmtId="10" fontId="47" fillId="0" borderId="1" xfId="2" applyNumberFormat="1" applyFont="1" applyBorder="1"/>
    <xf numFmtId="10" fontId="47" fillId="0" borderId="1" xfId="3" applyNumberFormat="1" applyFont="1" applyBorder="1"/>
  </cellXfs>
  <cellStyles count="92">
    <cellStyle name="Comma" xfId="1" builtinId="3"/>
    <cellStyle name="Comma 2" xfId="4" xr:uid="{00000000-0005-0000-0000-000001000000}"/>
    <cellStyle name="Comma 3" xfId="87" xr:uid="{560414EE-ADA9-4814-BC6B-FAF3BDAD53A5}"/>
    <cellStyle name="Comma 4" xfId="90" xr:uid="{1F903EE8-ED21-41AD-8936-ECCD7AC5B8A5}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Normal" xfId="0" builtinId="0"/>
    <cellStyle name="Normal 2" xfId="3" xr:uid="{00000000-0005-0000-0000-000051000000}"/>
    <cellStyle name="Normal 2 2" xfId="5" xr:uid="{00000000-0005-0000-0000-000052000000}"/>
    <cellStyle name="Normal 2 3" xfId="91" xr:uid="{369BDBCD-A2D3-46F6-B96B-21DFEBE63A07}"/>
    <cellStyle name="Normal 3" xfId="6" xr:uid="{00000000-0005-0000-0000-000053000000}"/>
    <cellStyle name="Normal 4" xfId="7" xr:uid="{00000000-0005-0000-0000-000054000000}"/>
    <cellStyle name="Normal 5" xfId="86" xr:uid="{BC104E9C-54AA-4B88-A326-B7D47344159D}"/>
    <cellStyle name="Normal 6" xfId="89" xr:uid="{420FB24C-27B1-4B3F-B30C-77BF4C034DEA}"/>
    <cellStyle name="Percent" xfId="2" builtinId="5"/>
    <cellStyle name="Percent 2" xfId="88" xr:uid="{4788119F-BD45-49B2-A156-E99613C8EF58}"/>
  </cellStyles>
  <dxfs count="5">
    <dxf>
      <fill>
        <patternFill>
          <bgColor rgb="FFFF0000"/>
        </patternFill>
      </fill>
    </dxf>
    <dxf>
      <font>
        <color rgb="FF9C0006"/>
      </font>
    </dxf>
    <dxf>
      <fill>
        <patternFill>
          <bgColor theme="5"/>
        </patternFill>
      </fill>
    </dxf>
    <dxf>
      <font>
        <color rgb="FF9C0006"/>
      </font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586740</xdr:colOff>
      <xdr:row>16</xdr:row>
      <xdr:rowOff>167640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0B3B8C-9CFA-4ECD-861E-BAF786508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80"/>
          <a:ext cx="6682740" cy="2910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75"/>
  <sheetViews>
    <sheetView tabSelected="1" zoomScale="90" zoomScaleNormal="90" workbookViewId="0">
      <pane xSplit="2" ySplit="10" topLeftCell="T11" activePane="bottomRight" state="frozen"/>
      <selection pane="topRight" activeCell="C1" sqref="C1"/>
      <selection pane="bottomLeft" activeCell="A11" sqref="A11"/>
      <selection pane="bottomRight" activeCell="X10" sqref="X10:AA15"/>
    </sheetView>
  </sheetViews>
  <sheetFormatPr defaultColWidth="13.77734375" defaultRowHeight="15" customHeight="1"/>
  <cols>
    <col min="1" max="1" width="19.77734375" style="293" customWidth="1"/>
    <col min="2" max="2" width="35.109375" style="293" customWidth="1"/>
    <col min="3" max="12" width="15.6640625" style="293" customWidth="1"/>
    <col min="13" max="13" width="14.44140625" style="293" bestFit="1" customWidth="1"/>
    <col min="14" max="14" width="12.77734375" style="293" customWidth="1"/>
    <col min="15" max="15" width="20.109375" style="293" customWidth="1"/>
    <col min="16" max="16" width="22.33203125" style="293" bestFit="1" customWidth="1"/>
    <col min="17" max="17" width="20.33203125" style="293" bestFit="1" customWidth="1"/>
    <col min="18" max="19" width="22.33203125" style="293" customWidth="1"/>
    <col min="20" max="22" width="12.77734375" style="293" customWidth="1"/>
    <col min="23" max="23" width="14.109375" style="293" bestFit="1" customWidth="1"/>
    <col min="24" max="27" width="15.77734375" style="293" customWidth="1"/>
    <col min="28" max="16384" width="13.77734375" style="293"/>
  </cols>
  <sheetData>
    <row r="1" spans="1:27" ht="15.6">
      <c r="A1" s="292" t="s">
        <v>292</v>
      </c>
      <c r="D1" s="587" t="s">
        <v>566</v>
      </c>
      <c r="E1" s="588"/>
      <c r="F1" s="588"/>
      <c r="G1" s="588"/>
      <c r="H1" s="588"/>
      <c r="I1" s="588"/>
      <c r="J1" s="588"/>
      <c r="K1" s="588"/>
      <c r="L1" s="588"/>
      <c r="M1" s="589"/>
    </row>
    <row r="2" spans="1:27" ht="31.2">
      <c r="A2" s="292" t="s">
        <v>291</v>
      </c>
      <c r="B2" s="320">
        <v>2025</v>
      </c>
      <c r="C2" s="317"/>
      <c r="D2" s="319">
        <v>2022</v>
      </c>
      <c r="E2" s="319" t="s">
        <v>560</v>
      </c>
      <c r="F2" s="319">
        <v>2021</v>
      </c>
      <c r="G2" s="319" t="s">
        <v>561</v>
      </c>
      <c r="H2" s="319">
        <v>2020</v>
      </c>
      <c r="I2" s="319" t="s">
        <v>562</v>
      </c>
      <c r="J2" s="319">
        <v>2019</v>
      </c>
      <c r="K2" s="319" t="s">
        <v>563</v>
      </c>
      <c r="L2" s="319">
        <v>2018</v>
      </c>
      <c r="M2" s="319" t="s">
        <v>564</v>
      </c>
      <c r="N2" s="293">
        <v>2025</v>
      </c>
    </row>
    <row r="3" spans="1:27" ht="15.6">
      <c r="A3" s="293" t="s">
        <v>290</v>
      </c>
      <c r="B3" s="321">
        <v>70.25</v>
      </c>
      <c r="C3" s="318"/>
      <c r="D3" s="316">
        <v>70.7</v>
      </c>
      <c r="E3" s="316">
        <f>D3-F3</f>
        <v>15.149999999999991</v>
      </c>
      <c r="F3" s="316">
        <f>($D3*E$6)/$C$6</f>
        <v>55.550000000000011</v>
      </c>
      <c r="G3" s="316">
        <f>F3-H3</f>
        <v>10.100000000000009</v>
      </c>
      <c r="H3" s="316">
        <f>($D3*G$6)/$C$6</f>
        <v>45.45</v>
      </c>
      <c r="I3" s="316">
        <f>H3-J3</f>
        <v>-5.0500000000000043</v>
      </c>
      <c r="J3" s="316">
        <f>($D3*I$6)/$C$6</f>
        <v>50.500000000000007</v>
      </c>
      <c r="K3" s="316">
        <f>J3-L3</f>
        <v>2.5249999999999986</v>
      </c>
      <c r="L3" s="316">
        <f>($D3*K$6)/$C$6</f>
        <v>47.975000000000009</v>
      </c>
      <c r="M3" s="316">
        <f>E3+G3</f>
        <v>25.25</v>
      </c>
    </row>
    <row r="4" spans="1:27" ht="15.6">
      <c r="A4" s="293" t="s">
        <v>289</v>
      </c>
      <c r="B4" s="321">
        <v>58.3</v>
      </c>
      <c r="C4" s="318"/>
      <c r="D4" s="316">
        <v>69.7</v>
      </c>
      <c r="E4" s="316">
        <f>D4-F4</f>
        <v>14.935714285714276</v>
      </c>
      <c r="F4" s="316">
        <f>($D4*E$6)/$C$6</f>
        <v>54.764285714285727</v>
      </c>
      <c r="G4" s="316">
        <f>F4-H4</f>
        <v>9.9571428571428626</v>
      </c>
      <c r="H4" s="316">
        <f>($D4*G$6)/$C$6</f>
        <v>44.807142857142864</v>
      </c>
      <c r="I4" s="316">
        <f>H4-J4</f>
        <v>-4.9785714285714278</v>
      </c>
      <c r="J4" s="316">
        <f>($D4*I$6)/$C$6</f>
        <v>49.785714285714292</v>
      </c>
      <c r="K4" s="316">
        <f>J4-L4</f>
        <v>2.4892857142857139</v>
      </c>
      <c r="L4" s="316">
        <f>($D4*K$6)/$C$6</f>
        <v>47.296428571428578</v>
      </c>
      <c r="M4" s="316">
        <f>E4+G4</f>
        <v>24.892857142857139</v>
      </c>
    </row>
    <row r="5" spans="1:27" ht="15.6">
      <c r="A5" s="293" t="s">
        <v>288</v>
      </c>
      <c r="B5" s="321">
        <v>72.62</v>
      </c>
      <c r="C5" s="318"/>
      <c r="D5" s="316">
        <v>79.150000000000006</v>
      </c>
      <c r="E5" s="316">
        <f>D5-F5</f>
        <v>16.960714285714282</v>
      </c>
      <c r="F5" s="316">
        <f>($D5*E$6)/$C$6</f>
        <v>62.189285714285724</v>
      </c>
      <c r="G5" s="316">
        <f>F5-H5</f>
        <v>11.307142857142857</v>
      </c>
      <c r="H5" s="316">
        <f>($D5*G$6)/$C$6</f>
        <v>50.882142857142867</v>
      </c>
      <c r="I5" s="316">
        <f>H5-J5</f>
        <v>-5.6535714285714249</v>
      </c>
      <c r="J5" s="316">
        <f>($D5*I$6)/$C$6</f>
        <v>56.535714285714292</v>
      </c>
      <c r="K5" s="316">
        <f>J5-L5</f>
        <v>2.8267857142857196</v>
      </c>
      <c r="L5" s="316">
        <f>($D5*K$6)/$C$6</f>
        <v>53.708928571428572</v>
      </c>
      <c r="M5" s="316">
        <f>E5+G5</f>
        <v>28.267857142857139</v>
      </c>
    </row>
    <row r="6" spans="1:27" ht="15.6" hidden="1">
      <c r="A6" s="293" t="s">
        <v>559</v>
      </c>
      <c r="B6" s="322"/>
      <c r="C6" s="296">
        <v>1.4</v>
      </c>
      <c r="D6" s="296"/>
      <c r="E6" s="296">
        <v>1.1000000000000001</v>
      </c>
      <c r="F6" s="296"/>
      <c r="G6" s="297">
        <v>0.9</v>
      </c>
      <c r="H6" s="297"/>
      <c r="I6" s="297">
        <v>1</v>
      </c>
      <c r="J6" s="297"/>
      <c r="K6" s="297">
        <v>0.95</v>
      </c>
    </row>
    <row r="7" spans="1:27" ht="15.6" hidden="1">
      <c r="A7" s="293" t="s">
        <v>404</v>
      </c>
      <c r="B7" s="322"/>
      <c r="C7" s="295">
        <f>AVERAGE(MOPS!D150:D243)</f>
        <v>158.52310047846888</v>
      </c>
      <c r="D7" s="295"/>
      <c r="E7" s="294">
        <f>C6*'Daily Exchange Rate'!$O8</f>
        <v>74.280402424242439</v>
      </c>
      <c r="F7" s="294"/>
      <c r="G7" s="294">
        <f>E6*'Daily Exchange Rate'!$O42</f>
        <v>54.2001225806452</v>
      </c>
      <c r="H7" s="294"/>
      <c r="I7" s="294">
        <f>G6*'Daily Exchange Rate'!$O76</f>
        <v>44.671827272727278</v>
      </c>
      <c r="J7" s="294"/>
      <c r="K7" s="294">
        <f>I6*'Daily Exchange Rate'!$O110</f>
        <v>51.79688429752067</v>
      </c>
      <c r="L7" s="294">
        <f>K6*'Daily Exchange Rate'!$O144</f>
        <v>50.042479896694203</v>
      </c>
    </row>
    <row r="8" spans="1:27" ht="15.6">
      <c r="A8" s="293" t="s">
        <v>287</v>
      </c>
      <c r="B8" s="323">
        <v>1</v>
      </c>
    </row>
    <row r="9" spans="1:27" ht="15" customHeight="1">
      <c r="A9" s="581" t="s">
        <v>286</v>
      </c>
      <c r="B9" s="581" t="s">
        <v>285</v>
      </c>
      <c r="C9" s="581" t="s">
        <v>284</v>
      </c>
      <c r="D9" s="584" t="s">
        <v>283</v>
      </c>
      <c r="E9" s="585"/>
      <c r="F9" s="585"/>
      <c r="G9" s="585"/>
      <c r="H9" s="585"/>
      <c r="I9" s="585"/>
      <c r="J9" s="586"/>
      <c r="K9" s="581" t="s">
        <v>279</v>
      </c>
      <c r="L9" s="581" t="s">
        <v>282</v>
      </c>
      <c r="M9" s="581"/>
      <c r="N9" s="581"/>
      <c r="O9" s="581" t="s">
        <v>281</v>
      </c>
      <c r="P9" s="581"/>
      <c r="Q9" s="581"/>
      <c r="R9" s="581" t="s">
        <v>317</v>
      </c>
      <c r="S9" s="581" t="s">
        <v>565</v>
      </c>
      <c r="T9" s="581" t="s">
        <v>280</v>
      </c>
      <c r="U9" s="298"/>
      <c r="V9" s="581" t="s">
        <v>279</v>
      </c>
      <c r="W9" s="583" t="s">
        <v>399</v>
      </c>
      <c r="X9" s="299"/>
    </row>
    <row r="10" spans="1:27" ht="62.4">
      <c r="A10" s="582"/>
      <c r="B10" s="582"/>
      <c r="C10" s="581"/>
      <c r="D10" s="300" t="s">
        <v>313</v>
      </c>
      <c r="E10" s="300" t="s">
        <v>312</v>
      </c>
      <c r="F10" s="300" t="s">
        <v>314</v>
      </c>
      <c r="G10" s="300" t="s">
        <v>278</v>
      </c>
      <c r="H10" s="300" t="s">
        <v>316</v>
      </c>
      <c r="I10" s="300" t="s">
        <v>315</v>
      </c>
      <c r="J10" s="300"/>
      <c r="K10" s="581"/>
      <c r="L10" s="298" t="s">
        <v>277</v>
      </c>
      <c r="M10" s="298" t="s">
        <v>276</v>
      </c>
      <c r="N10" s="298" t="s">
        <v>275</v>
      </c>
      <c r="O10" s="298" t="s">
        <v>277</v>
      </c>
      <c r="P10" s="298" t="s">
        <v>276</v>
      </c>
      <c r="Q10" s="298" t="s">
        <v>275</v>
      </c>
      <c r="R10" s="582"/>
      <c r="S10" s="582"/>
      <c r="T10" s="581"/>
      <c r="U10" s="298"/>
      <c r="V10" s="581"/>
      <c r="W10" s="583"/>
      <c r="X10" s="298" t="s">
        <v>784</v>
      </c>
      <c r="Y10" s="298" t="s">
        <v>783</v>
      </c>
      <c r="Z10" s="298" t="s">
        <v>786</v>
      </c>
      <c r="AA10" s="298" t="s">
        <v>785</v>
      </c>
    </row>
    <row r="11" spans="1:27" ht="15.75" customHeight="1">
      <c r="A11" s="301" t="s">
        <v>274</v>
      </c>
      <c r="B11" s="301"/>
      <c r="C11" s="302"/>
      <c r="D11" s="303"/>
      <c r="E11" s="303"/>
      <c r="F11" s="303"/>
      <c r="G11" s="303"/>
      <c r="H11" s="303"/>
      <c r="I11" s="304"/>
      <c r="J11" s="304"/>
      <c r="K11" s="304"/>
      <c r="L11" s="305"/>
      <c r="M11" s="305"/>
      <c r="N11" s="305"/>
      <c r="O11" s="306">
        <f>$B$3*L11</f>
        <v>0</v>
      </c>
      <c r="P11" s="307">
        <f>$B$4*M11</f>
        <v>0</v>
      </c>
      <c r="Q11" s="307"/>
      <c r="R11" s="307">
        <f>SUM(O11:Q11)</f>
        <v>0</v>
      </c>
      <c r="S11" s="307">
        <f>R11*$B$8</f>
        <v>0</v>
      </c>
      <c r="T11" s="308"/>
      <c r="U11" s="308"/>
      <c r="V11" s="309"/>
      <c r="W11" s="309">
        <f>SUM(W12:W23)</f>
        <v>3890.7262199699699</v>
      </c>
      <c r="X11" s="314">
        <f>AVERAGE(W11,W24,W29,W39)</f>
        <v>3547.8179955893397</v>
      </c>
      <c r="Y11" s="314">
        <f>X11*E42</f>
        <v>68065.545248713999</v>
      </c>
      <c r="Z11" s="740">
        <f>X11/Y11</f>
        <v>5.2123552123552123E-2</v>
      </c>
      <c r="AA11" s="301"/>
    </row>
    <row r="12" spans="1:27" ht="15.6">
      <c r="A12" s="310" t="s">
        <v>6</v>
      </c>
      <c r="B12" s="311" t="s">
        <v>265</v>
      </c>
      <c r="C12" s="302">
        <f>'Total Inventory (Rice)'!C83</f>
        <v>24977</v>
      </c>
      <c r="D12" s="303">
        <v>8</v>
      </c>
      <c r="E12" s="303">
        <v>22</v>
      </c>
      <c r="F12" s="303">
        <f t="shared" ref="F12:F23" si="0">E12*D12</f>
        <v>176</v>
      </c>
      <c r="G12" s="303">
        <v>10</v>
      </c>
      <c r="H12" s="303">
        <f t="shared" ref="H12:H23" si="1">G12*F12</f>
        <v>1760</v>
      </c>
      <c r="I12" s="304">
        <f t="shared" ref="I12:I23" si="2">H12*$B$4</f>
        <v>102608</v>
      </c>
      <c r="J12" s="304">
        <f>I12/E12</f>
        <v>4664</v>
      </c>
      <c r="K12" s="304">
        <f>J12/T12</f>
        <v>971.66666666666674</v>
      </c>
      <c r="L12" s="305"/>
      <c r="M12" s="305">
        <f>G12*F12*C12</f>
        <v>43959520</v>
      </c>
      <c r="N12" s="305"/>
      <c r="O12" s="312">
        <f t="shared" ref="O12:O38" si="3">$B$3*L12</f>
        <v>0</v>
      </c>
      <c r="P12" s="313">
        <f t="shared" ref="P12:P38" si="4">$B$4*M12</f>
        <v>2562840016</v>
      </c>
      <c r="Q12" s="313"/>
      <c r="R12" s="313">
        <f>SUM(O12:Q12)</f>
        <v>2562840016</v>
      </c>
      <c r="S12" s="313">
        <f t="shared" ref="S12:S38" si="5">R12*$B$8</f>
        <v>2562840016</v>
      </c>
      <c r="T12" s="301">
        <f>0.6*D12</f>
        <v>4.8</v>
      </c>
      <c r="U12" s="301">
        <f>T12/D12</f>
        <v>0.6</v>
      </c>
      <c r="V12" s="314">
        <f t="shared" ref="V12:V23" si="6">I12/(T12*E12)*$B$8</f>
        <v>971.66666666666674</v>
      </c>
      <c r="W12" s="314">
        <f>AVERAGE(V12:V13)</f>
        <v>680.16666666666674</v>
      </c>
      <c r="X12" s="301">
        <v>3000</v>
      </c>
      <c r="Y12" s="301"/>
      <c r="Z12" s="740">
        <f>X12/Y11</f>
        <v>4.4075162977654701E-2</v>
      </c>
      <c r="AA12" s="741">
        <f>Z12/Z11</f>
        <v>0.84559016379352347</v>
      </c>
    </row>
    <row r="13" spans="1:27" ht="15.6">
      <c r="A13" s="310"/>
      <c r="B13" s="311" t="s">
        <v>251</v>
      </c>
      <c r="C13" s="302">
        <f>'Total Inventory (Rice)'!D83</f>
        <v>41132</v>
      </c>
      <c r="D13" s="303">
        <v>8</v>
      </c>
      <c r="E13" s="303">
        <v>22</v>
      </c>
      <c r="F13" s="303">
        <f t="shared" si="0"/>
        <v>176</v>
      </c>
      <c r="G13" s="303">
        <v>1</v>
      </c>
      <c r="H13" s="303">
        <f t="shared" si="1"/>
        <v>176</v>
      </c>
      <c r="I13" s="304">
        <f t="shared" si="2"/>
        <v>10260.799999999999</v>
      </c>
      <c r="J13" s="304">
        <f t="shared" ref="J13:J38" si="7">I13/E13</f>
        <v>466.4</v>
      </c>
      <c r="K13" s="304">
        <f t="shared" ref="K13:K38" si="8">J13/T13</f>
        <v>388.66666666666669</v>
      </c>
      <c r="L13" s="305"/>
      <c r="M13" s="305">
        <f>G13*F13*C13</f>
        <v>7239232</v>
      </c>
      <c r="N13" s="305"/>
      <c r="O13" s="312">
        <f t="shared" si="3"/>
        <v>0</v>
      </c>
      <c r="P13" s="313">
        <f t="shared" si="4"/>
        <v>422047225.59999996</v>
      </c>
      <c r="Q13" s="313"/>
      <c r="R13" s="313">
        <f>SUM(O13:Q13)</f>
        <v>422047225.59999996</v>
      </c>
      <c r="S13" s="313">
        <f t="shared" si="5"/>
        <v>422047225.59999996</v>
      </c>
      <c r="T13" s="301">
        <f>0.15*D13</f>
        <v>1.2</v>
      </c>
      <c r="U13" s="301">
        <f t="shared" ref="U13:U41" si="9">T13/D13</f>
        <v>0.15</v>
      </c>
      <c r="V13" s="314">
        <f t="shared" si="6"/>
        <v>388.66666666666669</v>
      </c>
      <c r="W13" s="301"/>
      <c r="X13" s="301">
        <v>5000</v>
      </c>
      <c r="Y13" s="301"/>
      <c r="Z13" s="740">
        <f>X13/Y11</f>
        <v>7.3458604962757829E-2</v>
      </c>
      <c r="AA13" s="741">
        <f>Z13/Z11</f>
        <v>1.4093169396558725</v>
      </c>
    </row>
    <row r="14" spans="1:27" ht="15.6">
      <c r="A14" s="310" t="s">
        <v>5</v>
      </c>
      <c r="B14" s="311" t="s">
        <v>260</v>
      </c>
      <c r="C14" s="302">
        <f>'Total Inventory (Rice)'!E83</f>
        <v>96776</v>
      </c>
      <c r="D14" s="303">
        <v>10</v>
      </c>
      <c r="E14" s="303">
        <v>20</v>
      </c>
      <c r="F14" s="303">
        <f t="shared" si="0"/>
        <v>200</v>
      </c>
      <c r="G14" s="303">
        <v>1.5</v>
      </c>
      <c r="H14" s="303">
        <f t="shared" si="1"/>
        <v>300</v>
      </c>
      <c r="I14" s="304">
        <f t="shared" si="2"/>
        <v>17490</v>
      </c>
      <c r="J14" s="304">
        <f t="shared" si="7"/>
        <v>874.5</v>
      </c>
      <c r="K14" s="304">
        <f t="shared" si="8"/>
        <v>874.5</v>
      </c>
      <c r="L14" s="305">
        <f>G14*F14*0.3*C14</f>
        <v>8709840</v>
      </c>
      <c r="M14" s="305">
        <f>G14*F14*0.7*C14</f>
        <v>20322960</v>
      </c>
      <c r="N14" s="305"/>
      <c r="O14" s="312">
        <f t="shared" si="3"/>
        <v>611866260</v>
      </c>
      <c r="P14" s="313">
        <f t="shared" si="4"/>
        <v>1184828568</v>
      </c>
      <c r="Q14" s="313"/>
      <c r="R14" s="313">
        <f>SUM(O14:P14)</f>
        <v>1796694828</v>
      </c>
      <c r="S14" s="313">
        <f t="shared" si="5"/>
        <v>1796694828</v>
      </c>
      <c r="T14" s="301">
        <v>1</v>
      </c>
      <c r="U14" s="301">
        <f t="shared" si="9"/>
        <v>0.1</v>
      </c>
      <c r="V14" s="314">
        <f t="shared" si="6"/>
        <v>874.5</v>
      </c>
      <c r="W14" s="314">
        <f>V14</f>
        <v>874.5</v>
      </c>
      <c r="X14" s="301">
        <v>7000</v>
      </c>
      <c r="Y14" s="301"/>
      <c r="Z14" s="740">
        <f>X14/Y11</f>
        <v>0.10284204694786096</v>
      </c>
      <c r="AA14" s="741">
        <f>Z14/Z11</f>
        <v>1.9730437155182214</v>
      </c>
    </row>
    <row r="15" spans="1:27" ht="15.6">
      <c r="A15" s="310" t="s">
        <v>273</v>
      </c>
      <c r="B15" s="311" t="s">
        <v>219</v>
      </c>
      <c r="C15" s="302">
        <f>'Total Inventory (Rice)'!H83</f>
        <v>6624</v>
      </c>
      <c r="D15" s="303">
        <v>8</v>
      </c>
      <c r="E15" s="303">
        <v>22</v>
      </c>
      <c r="F15" s="303">
        <f t="shared" si="0"/>
        <v>176</v>
      </c>
      <c r="G15" s="303">
        <v>0.8</v>
      </c>
      <c r="H15" s="303">
        <f t="shared" si="1"/>
        <v>140.80000000000001</v>
      </c>
      <c r="I15" s="304">
        <f t="shared" si="2"/>
        <v>8208.64</v>
      </c>
      <c r="J15" s="304">
        <f t="shared" si="7"/>
        <v>373.11999999999995</v>
      </c>
      <c r="K15" s="304">
        <f t="shared" si="8"/>
        <v>310.93333333333328</v>
      </c>
      <c r="L15" s="305">
        <f>G15*F15*C15</f>
        <v>932659.20000000007</v>
      </c>
      <c r="M15" s="305"/>
      <c r="N15" s="305"/>
      <c r="O15" s="312">
        <f t="shared" si="3"/>
        <v>65519308.800000004</v>
      </c>
      <c r="P15" s="313">
        <f t="shared" si="4"/>
        <v>0</v>
      </c>
      <c r="Q15" s="313"/>
      <c r="R15" s="313">
        <f t="shared" ref="R15:R36" si="10">SUM(O15:Q15)</f>
        <v>65519308.800000004</v>
      </c>
      <c r="S15" s="313">
        <f t="shared" si="5"/>
        <v>65519308.800000004</v>
      </c>
      <c r="T15" s="301">
        <f>0.15*D15</f>
        <v>1.2</v>
      </c>
      <c r="U15" s="301">
        <f t="shared" si="9"/>
        <v>0.15</v>
      </c>
      <c r="V15" s="314">
        <f t="shared" si="6"/>
        <v>310.93333333333334</v>
      </c>
      <c r="W15" s="314">
        <f>AVERAGE(V15:V17)</f>
        <v>285.02222222222224</v>
      </c>
      <c r="X15" s="301">
        <v>10000</v>
      </c>
      <c r="Y15" s="301"/>
      <c r="Z15" s="740">
        <f>X15/Y11</f>
        <v>0.14691720992551566</v>
      </c>
      <c r="AA15" s="741">
        <f>Z15/Z11</f>
        <v>2.8186338793117449</v>
      </c>
    </row>
    <row r="16" spans="1:27" ht="15.6">
      <c r="A16" s="310"/>
      <c r="B16" s="311" t="s">
        <v>218</v>
      </c>
      <c r="C16" s="302">
        <f>'Total Inventory (Rice)'!G83</f>
        <v>2477</v>
      </c>
      <c r="D16" s="303">
        <v>8</v>
      </c>
      <c r="E16" s="303">
        <v>22</v>
      </c>
      <c r="F16" s="303">
        <f t="shared" si="0"/>
        <v>176</v>
      </c>
      <c r="G16" s="303">
        <v>1</v>
      </c>
      <c r="H16" s="303">
        <f t="shared" si="1"/>
        <v>176</v>
      </c>
      <c r="I16" s="304">
        <f t="shared" si="2"/>
        <v>10260.799999999999</v>
      </c>
      <c r="J16" s="304">
        <f t="shared" si="7"/>
        <v>466.4</v>
      </c>
      <c r="K16" s="304">
        <f t="shared" si="8"/>
        <v>233.2</v>
      </c>
      <c r="L16" s="305">
        <f>G16*F16*C16</f>
        <v>435952</v>
      </c>
      <c r="M16" s="305"/>
      <c r="N16" s="305"/>
      <c r="O16" s="312">
        <f t="shared" si="3"/>
        <v>30625628</v>
      </c>
      <c r="P16" s="313">
        <f t="shared" si="4"/>
        <v>0</v>
      </c>
      <c r="Q16" s="313"/>
      <c r="R16" s="313">
        <f t="shared" si="10"/>
        <v>30625628</v>
      </c>
      <c r="S16" s="313">
        <f t="shared" si="5"/>
        <v>30625628</v>
      </c>
      <c r="T16" s="301">
        <f>0.25*D16</f>
        <v>2</v>
      </c>
      <c r="U16" s="301">
        <f t="shared" si="9"/>
        <v>0.25</v>
      </c>
      <c r="V16" s="314">
        <f t="shared" si="6"/>
        <v>233.2</v>
      </c>
      <c r="W16" s="301"/>
      <c r="X16" s="301"/>
      <c r="Y16" s="301"/>
      <c r="Z16" s="301"/>
      <c r="AA16" s="301"/>
    </row>
    <row r="17" spans="1:23" ht="15.6">
      <c r="A17" s="310"/>
      <c r="B17" s="311" t="s">
        <v>217</v>
      </c>
      <c r="C17" s="302">
        <f>'Total Inventory (Rice)'!F83</f>
        <v>2623</v>
      </c>
      <c r="D17" s="303">
        <v>6</v>
      </c>
      <c r="E17" s="303">
        <v>22</v>
      </c>
      <c r="F17" s="303">
        <f t="shared" si="0"/>
        <v>132</v>
      </c>
      <c r="G17" s="303">
        <v>0.8</v>
      </c>
      <c r="H17" s="303">
        <f t="shared" si="1"/>
        <v>105.60000000000001</v>
      </c>
      <c r="I17" s="304">
        <f t="shared" si="2"/>
        <v>6156.4800000000005</v>
      </c>
      <c r="J17" s="304">
        <f t="shared" si="7"/>
        <v>279.84000000000003</v>
      </c>
      <c r="K17" s="304">
        <f t="shared" si="8"/>
        <v>310.93333333333339</v>
      </c>
      <c r="L17" s="305">
        <f>G17*F17*C17</f>
        <v>276988.80000000005</v>
      </c>
      <c r="M17" s="305"/>
      <c r="N17" s="305"/>
      <c r="O17" s="312">
        <f t="shared" si="3"/>
        <v>19458463.200000003</v>
      </c>
      <c r="P17" s="313">
        <f t="shared" si="4"/>
        <v>0</v>
      </c>
      <c r="Q17" s="313"/>
      <c r="R17" s="313">
        <f t="shared" si="10"/>
        <v>19458463.200000003</v>
      </c>
      <c r="S17" s="313">
        <f t="shared" si="5"/>
        <v>19458463.200000003</v>
      </c>
      <c r="T17" s="301">
        <f>0.15*D17</f>
        <v>0.89999999999999991</v>
      </c>
      <c r="U17" s="301">
        <f t="shared" si="9"/>
        <v>0.15</v>
      </c>
      <c r="V17" s="314">
        <f t="shared" si="6"/>
        <v>310.93333333333339</v>
      </c>
      <c r="W17" s="301"/>
    </row>
    <row r="18" spans="1:23" ht="15.6">
      <c r="A18" s="310" t="s">
        <v>272</v>
      </c>
      <c r="B18" s="301" t="s">
        <v>220</v>
      </c>
      <c r="C18" s="302">
        <f>'Total Inventory (Rice)'!I83</f>
        <v>10942</v>
      </c>
      <c r="D18" s="303">
        <v>8</v>
      </c>
      <c r="E18" s="303">
        <v>10</v>
      </c>
      <c r="F18" s="303">
        <f t="shared" si="0"/>
        <v>80</v>
      </c>
      <c r="G18" s="303">
        <v>0.8</v>
      </c>
      <c r="H18" s="303">
        <f t="shared" si="1"/>
        <v>64</v>
      </c>
      <c r="I18" s="304">
        <f t="shared" si="2"/>
        <v>3731.2</v>
      </c>
      <c r="J18" s="304">
        <f t="shared" si="7"/>
        <v>373.12</v>
      </c>
      <c r="K18" s="304">
        <f t="shared" si="8"/>
        <v>126.05405405405406</v>
      </c>
      <c r="L18" s="305">
        <f>G18*F18*C18</f>
        <v>700288</v>
      </c>
      <c r="M18" s="305"/>
      <c r="N18" s="305"/>
      <c r="O18" s="312">
        <f t="shared" si="3"/>
        <v>49195232</v>
      </c>
      <c r="P18" s="313">
        <f t="shared" si="4"/>
        <v>0</v>
      </c>
      <c r="Q18" s="313"/>
      <c r="R18" s="313">
        <f t="shared" si="10"/>
        <v>49195232</v>
      </c>
      <c r="S18" s="313">
        <f t="shared" si="5"/>
        <v>49195232</v>
      </c>
      <c r="T18" s="315">
        <f>0.37*D18</f>
        <v>2.96</v>
      </c>
      <c r="U18" s="301">
        <f t="shared" si="9"/>
        <v>0.37</v>
      </c>
      <c r="V18" s="314">
        <f t="shared" si="6"/>
        <v>126.05405405405403</v>
      </c>
      <c r="W18" s="314">
        <f>V18</f>
        <v>126.05405405405403</v>
      </c>
    </row>
    <row r="19" spans="1:23" ht="15.6">
      <c r="A19" s="310" t="s">
        <v>3</v>
      </c>
      <c r="B19" s="301" t="s">
        <v>271</v>
      </c>
      <c r="C19" s="302">
        <f>'Total Inventory (Rice)'!J83</f>
        <v>4889</v>
      </c>
      <c r="D19" s="303">
        <v>8</v>
      </c>
      <c r="E19" s="303">
        <v>15</v>
      </c>
      <c r="F19" s="303">
        <f t="shared" si="0"/>
        <v>120</v>
      </c>
      <c r="G19" s="303">
        <v>0.8</v>
      </c>
      <c r="H19" s="303">
        <f t="shared" si="1"/>
        <v>96</v>
      </c>
      <c r="I19" s="304">
        <f t="shared" si="2"/>
        <v>5596.7999999999993</v>
      </c>
      <c r="J19" s="304">
        <f t="shared" si="7"/>
        <v>373.11999999999995</v>
      </c>
      <c r="K19" s="304">
        <f t="shared" si="8"/>
        <v>126.05405405405403</v>
      </c>
      <c r="L19" s="305">
        <f>G19*F19*C19</f>
        <v>469344</v>
      </c>
      <c r="M19" s="305"/>
      <c r="N19" s="305"/>
      <c r="O19" s="312">
        <f t="shared" si="3"/>
        <v>32971416</v>
      </c>
      <c r="P19" s="313">
        <f t="shared" si="4"/>
        <v>0</v>
      </c>
      <c r="Q19" s="313"/>
      <c r="R19" s="313">
        <f t="shared" si="10"/>
        <v>32971416</v>
      </c>
      <c r="S19" s="313">
        <f t="shared" si="5"/>
        <v>32971416</v>
      </c>
      <c r="T19" s="315">
        <f>0.37*D19</f>
        <v>2.96</v>
      </c>
      <c r="U19" s="301">
        <f t="shared" si="9"/>
        <v>0.37</v>
      </c>
      <c r="V19" s="314">
        <f t="shared" si="6"/>
        <v>126.05405405405403</v>
      </c>
      <c r="W19" s="314">
        <f>(V19+V21+V20)/2</f>
        <v>585.24927702702701</v>
      </c>
    </row>
    <row r="20" spans="1:23" ht="15.6">
      <c r="A20" s="310"/>
      <c r="B20" s="301" t="s">
        <v>221</v>
      </c>
      <c r="C20" s="302">
        <f>'Total Inventory (Rice)'!K83</f>
        <v>9129</v>
      </c>
      <c r="D20" s="303">
        <v>8</v>
      </c>
      <c r="E20" s="303">
        <v>40</v>
      </c>
      <c r="F20" s="303">
        <f t="shared" si="0"/>
        <v>320</v>
      </c>
      <c r="G20" s="303">
        <v>10</v>
      </c>
      <c r="H20" s="303">
        <f t="shared" si="1"/>
        <v>3200</v>
      </c>
      <c r="I20" s="304">
        <f t="shared" si="2"/>
        <v>186560</v>
      </c>
      <c r="J20" s="304">
        <f t="shared" si="7"/>
        <v>4664</v>
      </c>
      <c r="K20" s="304">
        <f t="shared" si="8"/>
        <v>932.8</v>
      </c>
      <c r="L20" s="305"/>
      <c r="M20" s="305">
        <f>G20*F20*C20</f>
        <v>29212800</v>
      </c>
      <c r="N20" s="305"/>
      <c r="O20" s="312">
        <f t="shared" si="3"/>
        <v>0</v>
      </c>
      <c r="P20" s="313">
        <f t="shared" si="4"/>
        <v>1703106240</v>
      </c>
      <c r="Q20" s="313"/>
      <c r="R20" s="313">
        <f t="shared" si="10"/>
        <v>1703106240</v>
      </c>
      <c r="S20" s="313">
        <f t="shared" si="5"/>
        <v>1703106240</v>
      </c>
      <c r="T20" s="315">
        <f>(0.625*D20)</f>
        <v>5</v>
      </c>
      <c r="U20" s="301">
        <f t="shared" si="9"/>
        <v>0.625</v>
      </c>
      <c r="V20" s="314">
        <f t="shared" si="6"/>
        <v>932.8</v>
      </c>
      <c r="W20" s="301"/>
    </row>
    <row r="21" spans="1:23" ht="15.6">
      <c r="A21" s="310" t="s">
        <v>8</v>
      </c>
      <c r="B21" s="301" t="s">
        <v>270</v>
      </c>
      <c r="C21" s="302">
        <f>'Total Inventory (Rice)'!M83</f>
        <v>14097</v>
      </c>
      <c r="D21" s="303">
        <v>8</v>
      </c>
      <c r="E21" s="303">
        <v>22</v>
      </c>
      <c r="F21" s="303">
        <f t="shared" si="0"/>
        <v>176</v>
      </c>
      <c r="G21" s="303">
        <v>1</v>
      </c>
      <c r="H21" s="303">
        <f t="shared" si="1"/>
        <v>176</v>
      </c>
      <c r="I21" s="304">
        <f t="shared" si="2"/>
        <v>10260.799999999999</v>
      </c>
      <c r="J21" s="304">
        <f t="shared" si="7"/>
        <v>466.4</v>
      </c>
      <c r="K21" s="304">
        <f t="shared" si="8"/>
        <v>111.64450000000001</v>
      </c>
      <c r="L21" s="305"/>
      <c r="M21" s="305">
        <f>G21*F21*C21</f>
        <v>2481072</v>
      </c>
      <c r="N21" s="305"/>
      <c r="O21" s="312">
        <f t="shared" si="3"/>
        <v>0</v>
      </c>
      <c r="P21" s="313">
        <f t="shared" si="4"/>
        <v>144646497.59999999</v>
      </c>
      <c r="Q21" s="313"/>
      <c r="R21" s="313">
        <f t="shared" si="10"/>
        <v>144646497.59999999</v>
      </c>
      <c r="S21" s="313">
        <f t="shared" si="5"/>
        <v>144646497.59999999</v>
      </c>
      <c r="T21" s="315">
        <f>(2/3.83)*D21</f>
        <v>4.1775456919060048</v>
      </c>
      <c r="U21" s="301">
        <f t="shared" si="9"/>
        <v>0.5221932114882506</v>
      </c>
      <c r="V21" s="314">
        <f t="shared" si="6"/>
        <v>111.64450000000001</v>
      </c>
      <c r="W21" s="301"/>
    </row>
    <row r="22" spans="1:23" ht="15" customHeight="1">
      <c r="A22" s="310" t="s">
        <v>2</v>
      </c>
      <c r="B22" s="301" t="s">
        <v>222</v>
      </c>
      <c r="C22" s="302">
        <f>'Total Inventory (Rice)'!L83</f>
        <v>1150</v>
      </c>
      <c r="D22" s="303">
        <v>8</v>
      </c>
      <c r="E22" s="303">
        <v>30</v>
      </c>
      <c r="F22" s="303">
        <f t="shared" si="0"/>
        <v>240</v>
      </c>
      <c r="G22" s="303">
        <v>9</v>
      </c>
      <c r="H22" s="303">
        <f t="shared" si="1"/>
        <v>2160</v>
      </c>
      <c r="I22" s="304">
        <f t="shared" si="2"/>
        <v>125928</v>
      </c>
      <c r="J22" s="304">
        <f t="shared" si="7"/>
        <v>4197.6000000000004</v>
      </c>
      <c r="K22" s="304">
        <f t="shared" si="8"/>
        <v>1004.8005000000002</v>
      </c>
      <c r="L22" s="305"/>
      <c r="M22" s="301"/>
      <c r="N22" s="305">
        <f>G22*F22*C22</f>
        <v>2484000</v>
      </c>
      <c r="O22" s="312">
        <f t="shared" si="3"/>
        <v>0</v>
      </c>
      <c r="P22" s="301"/>
      <c r="Q22" s="313">
        <f>$B$4*N22</f>
        <v>144817200</v>
      </c>
      <c r="R22" s="313">
        <f>SUM(O22:Q22)</f>
        <v>144817200</v>
      </c>
      <c r="S22" s="313">
        <f t="shared" si="5"/>
        <v>144817200</v>
      </c>
      <c r="T22" s="315">
        <f>(2/3.83)*D22</f>
        <v>4.1775456919060048</v>
      </c>
      <c r="U22" s="301">
        <f t="shared" si="9"/>
        <v>0.5221932114882506</v>
      </c>
      <c r="V22" s="314">
        <f t="shared" si="6"/>
        <v>1004.8005000000001</v>
      </c>
      <c r="W22" s="314">
        <f>V22</f>
        <v>1004.8005000000001</v>
      </c>
    </row>
    <row r="23" spans="1:23" ht="15" customHeight="1">
      <c r="A23" s="310" t="s">
        <v>248</v>
      </c>
      <c r="B23" s="301" t="s">
        <v>269</v>
      </c>
      <c r="C23" s="302">
        <f>'Total Inventory (Rice)'!N83</f>
        <v>5</v>
      </c>
      <c r="D23" s="303">
        <v>8</v>
      </c>
      <c r="E23" s="303">
        <v>15</v>
      </c>
      <c r="F23" s="303">
        <f t="shared" si="0"/>
        <v>120</v>
      </c>
      <c r="G23" s="303">
        <v>3</v>
      </c>
      <c r="H23" s="303">
        <f t="shared" si="1"/>
        <v>360</v>
      </c>
      <c r="I23" s="304">
        <f t="shared" si="2"/>
        <v>20988</v>
      </c>
      <c r="J23" s="304">
        <f t="shared" si="7"/>
        <v>1399.2</v>
      </c>
      <c r="K23" s="304">
        <f t="shared" si="8"/>
        <v>334.93350000000004</v>
      </c>
      <c r="L23" s="305"/>
      <c r="M23" s="305">
        <f>G23*F23*C23</f>
        <v>1800</v>
      </c>
      <c r="N23" s="305"/>
      <c r="O23" s="312">
        <f t="shared" si="3"/>
        <v>0</v>
      </c>
      <c r="P23" s="313">
        <f t="shared" si="4"/>
        <v>104940</v>
      </c>
      <c r="Q23" s="313"/>
      <c r="R23" s="313">
        <f t="shared" si="10"/>
        <v>104940</v>
      </c>
      <c r="S23" s="313">
        <f t="shared" si="5"/>
        <v>104940</v>
      </c>
      <c r="T23" s="315">
        <f>(2/3.83)*D23</f>
        <v>4.1775456919060048</v>
      </c>
      <c r="U23" s="301">
        <f t="shared" si="9"/>
        <v>0.5221932114882506</v>
      </c>
      <c r="V23" s="314">
        <f t="shared" si="6"/>
        <v>334.93350000000004</v>
      </c>
      <c r="W23" s="314">
        <f>V23</f>
        <v>334.93350000000004</v>
      </c>
    </row>
    <row r="24" spans="1:23" ht="15.75" customHeight="1">
      <c r="A24" s="301" t="s">
        <v>268</v>
      </c>
      <c r="B24" s="301"/>
      <c r="C24" s="302"/>
      <c r="D24" s="303"/>
      <c r="E24" s="303"/>
      <c r="F24" s="303"/>
      <c r="G24" s="303"/>
      <c r="H24" s="303"/>
      <c r="I24" s="304"/>
      <c r="J24" s="304"/>
      <c r="K24" s="304"/>
      <c r="L24" s="305"/>
      <c r="M24" s="305"/>
      <c r="N24" s="305"/>
      <c r="O24" s="312">
        <f t="shared" si="3"/>
        <v>0</v>
      </c>
      <c r="P24" s="313">
        <f t="shared" si="4"/>
        <v>0</v>
      </c>
      <c r="Q24" s="313"/>
      <c r="R24" s="313">
        <f t="shared" si="10"/>
        <v>0</v>
      </c>
      <c r="S24" s="313">
        <f t="shared" si="5"/>
        <v>0</v>
      </c>
      <c r="T24" s="301"/>
      <c r="U24" s="301"/>
      <c r="V24" s="314"/>
      <c r="W24" s="309">
        <f>SUM(W25:W28)</f>
        <v>4449.0673333333334</v>
      </c>
    </row>
    <row r="25" spans="1:23" ht="15.75" customHeight="1">
      <c r="A25" s="310" t="s">
        <v>6</v>
      </c>
      <c r="B25" s="301" t="s">
        <v>265</v>
      </c>
      <c r="C25" s="302">
        <f>'Total Inventory (Corn)'!C83</f>
        <v>13043</v>
      </c>
      <c r="D25" s="303">
        <v>8</v>
      </c>
      <c r="E25" s="303">
        <v>30</v>
      </c>
      <c r="F25" s="303">
        <f>E25*D25</f>
        <v>240</v>
      </c>
      <c r="G25" s="303">
        <v>20</v>
      </c>
      <c r="H25" s="303">
        <f>G25*F25</f>
        <v>4800</v>
      </c>
      <c r="I25" s="304">
        <f>H25*$B$4</f>
        <v>279840</v>
      </c>
      <c r="J25" s="304">
        <f t="shared" si="7"/>
        <v>9328</v>
      </c>
      <c r="K25" s="304">
        <f t="shared" si="8"/>
        <v>1943.3333333333335</v>
      </c>
      <c r="L25" s="305"/>
      <c r="M25" s="305">
        <f>G25*F25*C25</f>
        <v>62606400</v>
      </c>
      <c r="N25" s="305"/>
      <c r="O25" s="312">
        <f t="shared" si="3"/>
        <v>0</v>
      </c>
      <c r="P25" s="313">
        <f t="shared" si="4"/>
        <v>3649953120</v>
      </c>
      <c r="Q25" s="313"/>
      <c r="R25" s="313">
        <f t="shared" si="10"/>
        <v>3649953120</v>
      </c>
      <c r="S25" s="313">
        <f t="shared" si="5"/>
        <v>3649953120</v>
      </c>
      <c r="T25" s="301">
        <f>0.6*D12</f>
        <v>4.8</v>
      </c>
      <c r="U25" s="301">
        <f t="shared" si="9"/>
        <v>0.6</v>
      </c>
      <c r="V25" s="314">
        <f>I25/(T25*E25)*$B$8</f>
        <v>1943.3333333333333</v>
      </c>
      <c r="W25" s="314">
        <f>V25</f>
        <v>1943.3333333333333</v>
      </c>
    </row>
    <row r="26" spans="1:23" ht="15.75" customHeight="1">
      <c r="A26" s="310" t="s">
        <v>3</v>
      </c>
      <c r="B26" s="301" t="s">
        <v>267</v>
      </c>
      <c r="C26" s="302">
        <f>'Total Inventory (Corn)'!D83</f>
        <v>2164</v>
      </c>
      <c r="D26" s="303">
        <v>8</v>
      </c>
      <c r="E26" s="303">
        <v>22</v>
      </c>
      <c r="F26" s="303">
        <f>E26*D26</f>
        <v>176</v>
      </c>
      <c r="G26" s="303">
        <v>10</v>
      </c>
      <c r="H26" s="303">
        <f>G26*F26</f>
        <v>1760</v>
      </c>
      <c r="I26" s="304">
        <f>H26*$B$4</f>
        <v>102608</v>
      </c>
      <c r="J26" s="304">
        <f t="shared" si="7"/>
        <v>4664</v>
      </c>
      <c r="K26" s="304">
        <f t="shared" si="8"/>
        <v>1166</v>
      </c>
      <c r="L26" s="305"/>
      <c r="M26" s="305">
        <f>G26*F26*C26</f>
        <v>3808640</v>
      </c>
      <c r="N26" s="305"/>
      <c r="O26" s="312">
        <f t="shared" si="3"/>
        <v>0</v>
      </c>
      <c r="P26" s="313">
        <f t="shared" si="4"/>
        <v>222043712</v>
      </c>
      <c r="Q26" s="313"/>
      <c r="R26" s="313">
        <f t="shared" si="10"/>
        <v>222043712</v>
      </c>
      <c r="S26" s="313">
        <f t="shared" si="5"/>
        <v>222043712</v>
      </c>
      <c r="T26" s="315">
        <f>(0.5*D26)</f>
        <v>4</v>
      </c>
      <c r="U26" s="301">
        <f t="shared" si="9"/>
        <v>0.5</v>
      </c>
      <c r="V26" s="314">
        <f>I26/(T26*E26)*$B$8</f>
        <v>1166</v>
      </c>
      <c r="W26" s="314">
        <f>V26</f>
        <v>1166</v>
      </c>
    </row>
    <row r="27" spans="1:23" ht="15" customHeight="1">
      <c r="A27" s="310" t="s">
        <v>2</v>
      </c>
      <c r="B27" s="301" t="s">
        <v>222</v>
      </c>
      <c r="C27" s="302">
        <f>'Total Inventory (Corn)'!E83</f>
        <v>2901</v>
      </c>
      <c r="D27" s="303">
        <v>8</v>
      </c>
      <c r="E27" s="303">
        <v>30</v>
      </c>
      <c r="F27" s="303">
        <f>E27*D27</f>
        <v>240</v>
      </c>
      <c r="G27" s="303">
        <v>9</v>
      </c>
      <c r="H27" s="303">
        <f>G27*F27</f>
        <v>2160</v>
      </c>
      <c r="I27" s="304">
        <f>H27*$B$4</f>
        <v>125928</v>
      </c>
      <c r="J27" s="304">
        <f t="shared" si="7"/>
        <v>4197.6000000000004</v>
      </c>
      <c r="K27" s="304">
        <f t="shared" si="8"/>
        <v>1004.8005000000002</v>
      </c>
      <c r="L27" s="305"/>
      <c r="M27" s="305">
        <f>G27*F27*C27</f>
        <v>6266160</v>
      </c>
      <c r="N27" s="305"/>
      <c r="O27" s="312">
        <f t="shared" si="3"/>
        <v>0</v>
      </c>
      <c r="P27" s="313">
        <f t="shared" si="4"/>
        <v>365317128</v>
      </c>
      <c r="Q27" s="313"/>
      <c r="R27" s="313">
        <f t="shared" si="10"/>
        <v>365317128</v>
      </c>
      <c r="S27" s="313">
        <f t="shared" si="5"/>
        <v>365317128</v>
      </c>
      <c r="T27" s="315">
        <f>(2/3.83)*D27</f>
        <v>4.1775456919060048</v>
      </c>
      <c r="U27" s="301">
        <f t="shared" si="9"/>
        <v>0.5221932114882506</v>
      </c>
      <c r="V27" s="314">
        <f>I27/(T27*E27)*$B$8</f>
        <v>1004.8005000000001</v>
      </c>
      <c r="W27" s="314">
        <f>V27</f>
        <v>1004.8005000000001</v>
      </c>
    </row>
    <row r="28" spans="1:23" ht="15.75" customHeight="1">
      <c r="A28" s="310" t="s">
        <v>8</v>
      </c>
      <c r="B28" s="301" t="s">
        <v>262</v>
      </c>
      <c r="C28" s="302">
        <f>'Total Inventory (Corn)'!F83</f>
        <v>21007</v>
      </c>
      <c r="D28" s="303">
        <v>8</v>
      </c>
      <c r="E28" s="303">
        <v>22</v>
      </c>
      <c r="F28" s="303">
        <f>E28*D28</f>
        <v>176</v>
      </c>
      <c r="G28" s="303">
        <v>3</v>
      </c>
      <c r="H28" s="303">
        <f>G28*F28</f>
        <v>528</v>
      </c>
      <c r="I28" s="304">
        <f>H28*$B$4</f>
        <v>30782.399999999998</v>
      </c>
      <c r="J28" s="304">
        <f t="shared" si="7"/>
        <v>1399.1999999999998</v>
      </c>
      <c r="K28" s="304">
        <f t="shared" si="8"/>
        <v>334.93349999999998</v>
      </c>
      <c r="L28" s="305"/>
      <c r="M28" s="305">
        <f>G28*F28*C28</f>
        <v>11091696</v>
      </c>
      <c r="N28" s="305"/>
      <c r="O28" s="312">
        <f t="shared" si="3"/>
        <v>0</v>
      </c>
      <c r="P28" s="313">
        <f t="shared" si="4"/>
        <v>646645876.79999995</v>
      </c>
      <c r="Q28" s="313"/>
      <c r="R28" s="313">
        <f t="shared" si="10"/>
        <v>646645876.79999995</v>
      </c>
      <c r="S28" s="313">
        <f t="shared" si="5"/>
        <v>646645876.79999995</v>
      </c>
      <c r="T28" s="315">
        <f>(2/3.83)*D28</f>
        <v>4.1775456919060048</v>
      </c>
      <c r="U28" s="301">
        <f t="shared" si="9"/>
        <v>0.5221932114882506</v>
      </c>
      <c r="V28" s="314">
        <f>I28/(T28*E28)*$B$8</f>
        <v>334.93350000000004</v>
      </c>
      <c r="W28" s="314">
        <f>V28</f>
        <v>334.93350000000004</v>
      </c>
    </row>
    <row r="29" spans="1:23" ht="15.75" customHeight="1">
      <c r="A29" s="301" t="s">
        <v>266</v>
      </c>
      <c r="B29" s="301"/>
      <c r="C29" s="302"/>
      <c r="D29" s="303"/>
      <c r="E29" s="303"/>
      <c r="F29" s="303"/>
      <c r="G29" s="303"/>
      <c r="H29" s="303"/>
      <c r="I29" s="304"/>
      <c r="J29" s="304"/>
      <c r="K29" s="304"/>
      <c r="L29" s="305"/>
      <c r="M29" s="305"/>
      <c r="N29" s="305"/>
      <c r="O29" s="312">
        <f t="shared" si="3"/>
        <v>0</v>
      </c>
      <c r="P29" s="313">
        <f t="shared" si="4"/>
        <v>0</v>
      </c>
      <c r="Q29" s="313"/>
      <c r="R29" s="313">
        <f t="shared" si="10"/>
        <v>0</v>
      </c>
      <c r="S29" s="313">
        <f t="shared" si="5"/>
        <v>0</v>
      </c>
      <c r="T29" s="301"/>
      <c r="U29" s="301"/>
      <c r="V29" s="314"/>
      <c r="W29" s="309">
        <f>SUM(W30:W38)</f>
        <v>3559.583970720721</v>
      </c>
    </row>
    <row r="30" spans="1:23" ht="15.75" customHeight="1">
      <c r="A30" s="310" t="s">
        <v>6</v>
      </c>
      <c r="B30" s="301" t="s">
        <v>265</v>
      </c>
      <c r="C30" s="302">
        <f>'Total Inventory (HVC)'!C85</f>
        <v>23187</v>
      </c>
      <c r="D30" s="303">
        <v>6</v>
      </c>
      <c r="E30" s="303">
        <v>10</v>
      </c>
      <c r="F30" s="303">
        <f t="shared" ref="F30:F38" si="11">E30*D30</f>
        <v>60</v>
      </c>
      <c r="G30" s="303">
        <v>15</v>
      </c>
      <c r="H30" s="303">
        <f t="shared" ref="H30:H38" si="12">G30*F30</f>
        <v>900</v>
      </c>
      <c r="I30" s="304">
        <f t="shared" ref="I30:I38" si="13">H30*$B$4</f>
        <v>52470</v>
      </c>
      <c r="J30" s="304">
        <f t="shared" si="7"/>
        <v>5247</v>
      </c>
      <c r="K30" s="304">
        <f t="shared" si="8"/>
        <v>1093.125</v>
      </c>
      <c r="L30" s="305"/>
      <c r="M30" s="305">
        <f>G30*F30*C30</f>
        <v>20868300</v>
      </c>
      <c r="N30" s="305"/>
      <c r="O30" s="312">
        <f t="shared" si="3"/>
        <v>0</v>
      </c>
      <c r="P30" s="313">
        <f t="shared" si="4"/>
        <v>1216621890</v>
      </c>
      <c r="Q30" s="313"/>
      <c r="R30" s="313">
        <f t="shared" si="10"/>
        <v>1216621890</v>
      </c>
      <c r="S30" s="313">
        <f t="shared" si="5"/>
        <v>1216621890</v>
      </c>
      <c r="T30" s="301">
        <f>0.6*D21</f>
        <v>4.8</v>
      </c>
      <c r="U30" s="301">
        <f t="shared" si="9"/>
        <v>0.79999999999999993</v>
      </c>
      <c r="V30" s="314">
        <f t="shared" ref="V30:V38" si="14">I30/(T30*E30)*$B$8</f>
        <v>1093.125</v>
      </c>
      <c r="W30" s="314">
        <f>AVERAGE(V30:V31)</f>
        <v>740.89583333333337</v>
      </c>
    </row>
    <row r="31" spans="1:23" ht="15.6">
      <c r="A31" s="310"/>
      <c r="B31" s="301" t="s">
        <v>251</v>
      </c>
      <c r="C31" s="302"/>
      <c r="D31" s="303">
        <v>6</v>
      </c>
      <c r="E31" s="303">
        <v>10</v>
      </c>
      <c r="F31" s="303">
        <f t="shared" si="11"/>
        <v>60</v>
      </c>
      <c r="G31" s="303">
        <v>1</v>
      </c>
      <c r="H31" s="303">
        <f t="shared" si="12"/>
        <v>60</v>
      </c>
      <c r="I31" s="304">
        <f t="shared" si="13"/>
        <v>3498</v>
      </c>
      <c r="J31" s="304">
        <f t="shared" si="7"/>
        <v>349.8</v>
      </c>
      <c r="K31" s="304">
        <f t="shared" si="8"/>
        <v>388.66666666666674</v>
      </c>
      <c r="L31" s="305"/>
      <c r="M31" s="305">
        <f>G31*F31*C31</f>
        <v>0</v>
      </c>
      <c r="N31" s="305"/>
      <c r="O31" s="312">
        <f t="shared" si="3"/>
        <v>0</v>
      </c>
      <c r="P31" s="313">
        <f t="shared" si="4"/>
        <v>0</v>
      </c>
      <c r="Q31" s="313"/>
      <c r="R31" s="313">
        <f t="shared" si="10"/>
        <v>0</v>
      </c>
      <c r="S31" s="313">
        <f t="shared" si="5"/>
        <v>0</v>
      </c>
      <c r="T31" s="301">
        <f>0.15*D31</f>
        <v>0.89999999999999991</v>
      </c>
      <c r="U31" s="301">
        <f t="shared" si="9"/>
        <v>0.15</v>
      </c>
      <c r="V31" s="314">
        <f t="shared" si="14"/>
        <v>388.66666666666669</v>
      </c>
      <c r="W31" s="301"/>
    </row>
    <row r="32" spans="1:23" ht="15.6">
      <c r="A32" s="310" t="s">
        <v>225</v>
      </c>
      <c r="B32" s="311" t="s">
        <v>217</v>
      </c>
      <c r="C32" s="302">
        <f>'Total Inventory (HVC)'!E85</f>
        <v>5</v>
      </c>
      <c r="D32" s="303">
        <v>6</v>
      </c>
      <c r="E32" s="303">
        <v>22</v>
      </c>
      <c r="F32" s="303">
        <f t="shared" si="11"/>
        <v>132</v>
      </c>
      <c r="G32" s="303">
        <v>0.8</v>
      </c>
      <c r="H32" s="303">
        <f t="shared" si="12"/>
        <v>105.60000000000001</v>
      </c>
      <c r="I32" s="304">
        <f t="shared" si="13"/>
        <v>6156.4800000000005</v>
      </c>
      <c r="J32" s="304">
        <f t="shared" si="7"/>
        <v>279.84000000000003</v>
      </c>
      <c r="K32" s="304">
        <f t="shared" si="8"/>
        <v>310.93333333333339</v>
      </c>
      <c r="L32" s="305">
        <f>G32*F32*C32</f>
        <v>528</v>
      </c>
      <c r="M32" s="305"/>
      <c r="N32" s="305"/>
      <c r="O32" s="312">
        <f t="shared" si="3"/>
        <v>37092</v>
      </c>
      <c r="P32" s="313">
        <f t="shared" si="4"/>
        <v>0</v>
      </c>
      <c r="Q32" s="313"/>
      <c r="R32" s="313">
        <f t="shared" si="10"/>
        <v>37092</v>
      </c>
      <c r="S32" s="313">
        <f t="shared" si="5"/>
        <v>37092</v>
      </c>
      <c r="T32" s="301">
        <f>0.15*D32</f>
        <v>0.89999999999999991</v>
      </c>
      <c r="U32" s="301">
        <f t="shared" si="9"/>
        <v>0.15</v>
      </c>
      <c r="V32" s="314">
        <f t="shared" si="14"/>
        <v>310.93333333333339</v>
      </c>
      <c r="W32" s="314">
        <f>V32</f>
        <v>310.93333333333339</v>
      </c>
    </row>
    <row r="33" spans="1:23" ht="15.6">
      <c r="A33" s="310" t="s">
        <v>272</v>
      </c>
      <c r="B33" s="301" t="s">
        <v>220</v>
      </c>
      <c r="C33" s="302">
        <f>'Total Inventory (HVC)'!F85</f>
        <v>49320</v>
      </c>
      <c r="D33" s="303">
        <v>8</v>
      </c>
      <c r="E33" s="303">
        <v>10</v>
      </c>
      <c r="F33" s="303">
        <f t="shared" si="11"/>
        <v>80</v>
      </c>
      <c r="G33" s="303">
        <v>0.8</v>
      </c>
      <c r="H33" s="303">
        <f t="shared" si="12"/>
        <v>64</v>
      </c>
      <c r="I33" s="304">
        <f t="shared" si="13"/>
        <v>3731.2</v>
      </c>
      <c r="J33" s="304">
        <f t="shared" si="7"/>
        <v>373.12</v>
      </c>
      <c r="K33" s="304">
        <f t="shared" si="8"/>
        <v>126.05405405405406</v>
      </c>
      <c r="L33" s="305">
        <f>G33*F33*C33</f>
        <v>3156480</v>
      </c>
      <c r="M33" s="305"/>
      <c r="N33" s="305"/>
      <c r="O33" s="312">
        <f t="shared" si="3"/>
        <v>221742720</v>
      </c>
      <c r="P33" s="313">
        <f t="shared" si="4"/>
        <v>0</v>
      </c>
      <c r="Q33" s="313"/>
      <c r="R33" s="313">
        <f t="shared" si="10"/>
        <v>221742720</v>
      </c>
      <c r="S33" s="313">
        <f t="shared" si="5"/>
        <v>221742720</v>
      </c>
      <c r="T33" s="315">
        <f>0.37*D33</f>
        <v>2.96</v>
      </c>
      <c r="U33" s="301">
        <f t="shared" si="9"/>
        <v>0.37</v>
      </c>
      <c r="V33" s="314">
        <f t="shared" si="14"/>
        <v>126.05405405405403</v>
      </c>
      <c r="W33" s="314">
        <f t="shared" ref="W33:W38" si="15">V33</f>
        <v>126.05405405405403</v>
      </c>
    </row>
    <row r="34" spans="1:23" ht="15.75" customHeight="1">
      <c r="A34" s="310" t="s">
        <v>264</v>
      </c>
      <c r="B34" s="301" t="s">
        <v>263</v>
      </c>
      <c r="C34" s="302">
        <f>'Total Inventory (HVC)'!G85</f>
        <v>15</v>
      </c>
      <c r="D34" s="303">
        <v>6</v>
      </c>
      <c r="E34" s="303">
        <v>15</v>
      </c>
      <c r="F34" s="303">
        <f t="shared" si="11"/>
        <v>90</v>
      </c>
      <c r="G34" s="303">
        <v>10</v>
      </c>
      <c r="H34" s="303">
        <f t="shared" si="12"/>
        <v>900</v>
      </c>
      <c r="I34" s="304">
        <f t="shared" si="13"/>
        <v>52470</v>
      </c>
      <c r="J34" s="304">
        <f t="shared" si="7"/>
        <v>3498</v>
      </c>
      <c r="K34" s="304">
        <f t="shared" si="8"/>
        <v>1408.2125603864733</v>
      </c>
      <c r="L34" s="305"/>
      <c r="M34" s="305">
        <f>G34*F34*C34</f>
        <v>13500</v>
      </c>
      <c r="N34" s="305"/>
      <c r="O34" s="312">
        <f t="shared" si="3"/>
        <v>0</v>
      </c>
      <c r="P34" s="313">
        <f t="shared" si="4"/>
        <v>787050</v>
      </c>
      <c r="Q34" s="313"/>
      <c r="R34" s="313">
        <f t="shared" si="10"/>
        <v>787050</v>
      </c>
      <c r="S34" s="313">
        <f t="shared" si="5"/>
        <v>787050</v>
      </c>
      <c r="T34" s="315">
        <f>(0.414*D34)</f>
        <v>2.484</v>
      </c>
      <c r="U34" s="301">
        <f t="shared" si="9"/>
        <v>0.41399999999999998</v>
      </c>
      <c r="V34" s="314">
        <f t="shared" si="14"/>
        <v>1408.2125603864736</v>
      </c>
      <c r="W34" s="314"/>
    </row>
    <row r="35" spans="1:23" ht="15.75" customHeight="1">
      <c r="A35" s="310" t="s">
        <v>8</v>
      </c>
      <c r="B35" s="301" t="s">
        <v>293</v>
      </c>
      <c r="C35" s="302">
        <f>'Total Inventory (HVC)'!H85</f>
        <v>26185</v>
      </c>
      <c r="D35" s="303">
        <v>6</v>
      </c>
      <c r="E35" s="303">
        <v>15</v>
      </c>
      <c r="F35" s="303">
        <f t="shared" si="11"/>
        <v>90</v>
      </c>
      <c r="G35" s="303">
        <v>1.5</v>
      </c>
      <c r="H35" s="303">
        <f t="shared" si="12"/>
        <v>135</v>
      </c>
      <c r="I35" s="304">
        <f t="shared" si="13"/>
        <v>7870.5</v>
      </c>
      <c r="J35" s="304">
        <f t="shared" si="7"/>
        <v>524.70000000000005</v>
      </c>
      <c r="K35" s="304">
        <f t="shared" si="8"/>
        <v>167.46675000000002</v>
      </c>
      <c r="L35" s="305"/>
      <c r="M35" s="305">
        <f>G35*F35*C35</f>
        <v>3534975</v>
      </c>
      <c r="N35" s="305"/>
      <c r="O35" s="312">
        <f t="shared" si="3"/>
        <v>0</v>
      </c>
      <c r="P35" s="313">
        <f t="shared" si="4"/>
        <v>206089042.5</v>
      </c>
      <c r="Q35" s="313"/>
      <c r="R35" s="313">
        <f t="shared" si="10"/>
        <v>206089042.5</v>
      </c>
      <c r="S35" s="313">
        <f t="shared" si="5"/>
        <v>206089042.5</v>
      </c>
      <c r="T35" s="315">
        <f>(2/3.83)*D35</f>
        <v>3.1331592689295036</v>
      </c>
      <c r="U35" s="301">
        <f t="shared" si="9"/>
        <v>0.5221932114882506</v>
      </c>
      <c r="V35" s="314">
        <f t="shared" si="14"/>
        <v>167.46675000000002</v>
      </c>
      <c r="W35" s="314">
        <f t="shared" si="15"/>
        <v>167.46675000000002</v>
      </c>
    </row>
    <row r="36" spans="1:23" ht="15.75" customHeight="1">
      <c r="A36" s="310" t="s">
        <v>2</v>
      </c>
      <c r="B36" s="301" t="s">
        <v>261</v>
      </c>
      <c r="C36" s="302">
        <f>'Total Inventory (HVC)'!I85</f>
        <v>2625</v>
      </c>
      <c r="D36" s="303">
        <v>8</v>
      </c>
      <c r="E36" s="303">
        <v>30</v>
      </c>
      <c r="F36" s="303">
        <f t="shared" si="11"/>
        <v>240</v>
      </c>
      <c r="G36" s="303">
        <v>9</v>
      </c>
      <c r="H36" s="303">
        <f t="shared" si="12"/>
        <v>2160</v>
      </c>
      <c r="I36" s="304">
        <f t="shared" si="13"/>
        <v>125928</v>
      </c>
      <c r="J36" s="304">
        <f t="shared" si="7"/>
        <v>4197.6000000000004</v>
      </c>
      <c r="K36" s="304">
        <f t="shared" si="8"/>
        <v>1004.8005000000002</v>
      </c>
      <c r="L36" s="301"/>
      <c r="M36" s="305"/>
      <c r="N36" s="305">
        <f>G36*F36*C36</f>
        <v>5670000</v>
      </c>
      <c r="O36" s="312">
        <f t="shared" si="3"/>
        <v>0</v>
      </c>
      <c r="P36" s="313">
        <f t="shared" si="4"/>
        <v>0</v>
      </c>
      <c r="Q36" s="313">
        <f>$B$4*N36</f>
        <v>330561000</v>
      </c>
      <c r="R36" s="313">
        <f t="shared" si="10"/>
        <v>330561000</v>
      </c>
      <c r="S36" s="313">
        <f t="shared" si="5"/>
        <v>330561000</v>
      </c>
      <c r="T36" s="315">
        <f>(2/3.83)*D36</f>
        <v>4.1775456919060048</v>
      </c>
      <c r="U36" s="301">
        <f t="shared" si="9"/>
        <v>0.5221932114882506</v>
      </c>
      <c r="V36" s="314">
        <f t="shared" si="14"/>
        <v>1004.8005000000001</v>
      </c>
      <c r="W36" s="314">
        <f>V36</f>
        <v>1004.8005000000001</v>
      </c>
    </row>
    <row r="37" spans="1:23" ht="15.6">
      <c r="A37" s="310" t="s">
        <v>5</v>
      </c>
      <c r="B37" s="311" t="s">
        <v>260</v>
      </c>
      <c r="C37" s="302">
        <f>'Total Inventory (HVC)'!D85</f>
        <v>325</v>
      </c>
      <c r="D37" s="303">
        <v>10</v>
      </c>
      <c r="E37" s="303">
        <v>10</v>
      </c>
      <c r="F37" s="303">
        <f t="shared" si="11"/>
        <v>100</v>
      </c>
      <c r="G37" s="303">
        <v>1.5</v>
      </c>
      <c r="H37" s="303">
        <f t="shared" si="12"/>
        <v>150</v>
      </c>
      <c r="I37" s="304">
        <f t="shared" si="13"/>
        <v>8745</v>
      </c>
      <c r="J37" s="304">
        <f t="shared" si="7"/>
        <v>874.5</v>
      </c>
      <c r="K37" s="304">
        <f t="shared" si="8"/>
        <v>874.5</v>
      </c>
      <c r="L37" s="305">
        <f>G37*F37*0.3*C37</f>
        <v>14625</v>
      </c>
      <c r="M37" s="305">
        <f>G37*F37*0.7*C37</f>
        <v>34125</v>
      </c>
      <c r="N37" s="305"/>
      <c r="O37" s="312">
        <f t="shared" si="3"/>
        <v>1027406.25</v>
      </c>
      <c r="P37" s="313">
        <f t="shared" si="4"/>
        <v>1989487.5</v>
      </c>
      <c r="Q37" s="313"/>
      <c r="R37" s="313">
        <f>SUM(O37:P37)</f>
        <v>3016893.75</v>
      </c>
      <c r="S37" s="313">
        <f t="shared" si="5"/>
        <v>3016893.75</v>
      </c>
      <c r="T37" s="301">
        <v>1</v>
      </c>
      <c r="U37" s="301">
        <f t="shared" si="9"/>
        <v>0.1</v>
      </c>
      <c r="V37" s="314">
        <f t="shared" si="14"/>
        <v>874.5</v>
      </c>
      <c r="W37" s="314">
        <f t="shared" si="15"/>
        <v>874.5</v>
      </c>
    </row>
    <row r="38" spans="1:23" ht="15" customHeight="1">
      <c r="A38" s="310" t="s">
        <v>248</v>
      </c>
      <c r="B38" s="301" t="s">
        <v>269</v>
      </c>
      <c r="C38" s="302">
        <f>'Total Inventory (HVC)'!J85</f>
        <v>993</v>
      </c>
      <c r="D38" s="303">
        <v>8</v>
      </c>
      <c r="E38" s="303">
        <v>15</v>
      </c>
      <c r="F38" s="303">
        <f t="shared" si="11"/>
        <v>120</v>
      </c>
      <c r="G38" s="303">
        <v>3</v>
      </c>
      <c r="H38" s="303">
        <f t="shared" si="12"/>
        <v>360</v>
      </c>
      <c r="I38" s="304">
        <f t="shared" si="13"/>
        <v>20988</v>
      </c>
      <c r="J38" s="304">
        <f t="shared" si="7"/>
        <v>1399.2</v>
      </c>
      <c r="K38" s="304">
        <f t="shared" si="8"/>
        <v>334.93350000000004</v>
      </c>
      <c r="L38" s="305"/>
      <c r="M38" s="305">
        <f>G38*F38*C38</f>
        <v>357480</v>
      </c>
      <c r="N38" s="305"/>
      <c r="O38" s="312">
        <f t="shared" si="3"/>
        <v>0</v>
      </c>
      <c r="P38" s="313">
        <f t="shared" si="4"/>
        <v>20841084</v>
      </c>
      <c r="Q38" s="313"/>
      <c r="R38" s="313">
        <f>SUM(O38:Q38)</f>
        <v>20841084</v>
      </c>
      <c r="S38" s="313">
        <f t="shared" si="5"/>
        <v>20841084</v>
      </c>
      <c r="T38" s="315">
        <f>(2/3.83)*D38</f>
        <v>4.1775456919060048</v>
      </c>
      <c r="U38" s="301">
        <f t="shared" si="9"/>
        <v>0.5221932114882506</v>
      </c>
      <c r="V38" s="314">
        <f t="shared" si="14"/>
        <v>334.93350000000004</v>
      </c>
      <c r="W38" s="314">
        <f t="shared" si="15"/>
        <v>334.93350000000004</v>
      </c>
    </row>
    <row r="39" spans="1:23" ht="15.75" customHeight="1">
      <c r="A39" s="301" t="s">
        <v>400</v>
      </c>
      <c r="B39" s="301"/>
      <c r="C39" s="302"/>
      <c r="D39" s="303"/>
      <c r="E39" s="303"/>
      <c r="F39" s="303"/>
      <c r="G39" s="303"/>
      <c r="H39" s="303"/>
      <c r="I39" s="304"/>
      <c r="J39" s="304"/>
      <c r="K39" s="304"/>
      <c r="L39" s="305"/>
      <c r="M39" s="305"/>
      <c r="N39" s="305"/>
      <c r="O39" s="312"/>
      <c r="P39" s="313"/>
      <c r="Q39" s="313"/>
      <c r="R39" s="301"/>
      <c r="S39" s="313"/>
      <c r="T39" s="301"/>
      <c r="U39" s="301"/>
      <c r="V39" s="314"/>
      <c r="W39" s="309">
        <f>SUM(W40:W41)</f>
        <v>2291.8944583333337</v>
      </c>
    </row>
    <row r="40" spans="1:23" ht="15.75" customHeight="1">
      <c r="A40" s="310" t="s">
        <v>6</v>
      </c>
      <c r="B40" s="301" t="s">
        <v>265</v>
      </c>
      <c r="C40" s="324">
        <v>2911</v>
      </c>
      <c r="D40" s="303">
        <v>6</v>
      </c>
      <c r="E40" s="303">
        <v>10</v>
      </c>
      <c r="F40" s="303">
        <f>E40*D40</f>
        <v>60</v>
      </c>
      <c r="G40" s="303">
        <v>36.409999999999997</v>
      </c>
      <c r="H40" s="303">
        <f>BreakDown!B37</f>
        <v>80</v>
      </c>
      <c r="I40" s="304">
        <f>H40*$B$4</f>
        <v>4664</v>
      </c>
      <c r="J40" s="304">
        <f>I40/E40</f>
        <v>466.4</v>
      </c>
      <c r="K40" s="304">
        <f>J40/T40</f>
        <v>62.18666666666666</v>
      </c>
      <c r="L40" s="305"/>
      <c r="M40" s="305">
        <f>G40*F40*C40</f>
        <v>6359370.5999999996</v>
      </c>
      <c r="N40" s="305"/>
      <c r="O40" s="312">
        <f>$B$3*L40</f>
        <v>0</v>
      </c>
      <c r="P40" s="313">
        <f>$B$4*M40</f>
        <v>370751305.97999996</v>
      </c>
      <c r="Q40" s="313"/>
      <c r="R40" s="313">
        <f>SUM(O40:Q40)</f>
        <v>370751305.97999996</v>
      </c>
      <c r="S40" s="313">
        <f>R40*$B$8</f>
        <v>370751305.97999996</v>
      </c>
      <c r="T40" s="301">
        <f>1.5*5</f>
        <v>7.5</v>
      </c>
      <c r="U40" s="301">
        <f t="shared" si="9"/>
        <v>1.25</v>
      </c>
      <c r="V40" s="314">
        <f>I40/(T40*E40)*$B$8</f>
        <v>62.186666666666667</v>
      </c>
      <c r="W40" s="314">
        <f>AVERAGE(V40:V41)</f>
        <v>784.69370833333346</v>
      </c>
    </row>
    <row r="41" spans="1:23" ht="15" customHeight="1">
      <c r="A41" s="310" t="s">
        <v>248</v>
      </c>
      <c r="B41" s="301" t="s">
        <v>223</v>
      </c>
      <c r="C41" s="324">
        <v>70547</v>
      </c>
      <c r="D41" s="303">
        <v>8</v>
      </c>
      <c r="E41" s="303">
        <v>5</v>
      </c>
      <c r="F41" s="303">
        <f>D41*E41</f>
        <v>40</v>
      </c>
      <c r="G41" s="303">
        <f>(38/100)*40</f>
        <v>15.2</v>
      </c>
      <c r="H41" s="303">
        <f>BreakDown!B45</f>
        <v>540</v>
      </c>
      <c r="I41" s="304">
        <f>H41*$B$4</f>
        <v>31482</v>
      </c>
      <c r="J41" s="304">
        <f>I41/E41</f>
        <v>6296.4</v>
      </c>
      <c r="K41" s="304">
        <f>J41/T41</f>
        <v>1507.20075</v>
      </c>
      <c r="L41" s="305"/>
      <c r="M41" s="305">
        <f>G41*F41*C41</f>
        <v>42892576</v>
      </c>
      <c r="N41" s="305"/>
      <c r="O41" s="312">
        <f>$B$3*L41</f>
        <v>0</v>
      </c>
      <c r="P41" s="313">
        <f>$B$4*M41</f>
        <v>2500637180.7999997</v>
      </c>
      <c r="Q41" s="313"/>
      <c r="R41" s="313">
        <f>SUM(O41:Q41)</f>
        <v>2500637180.7999997</v>
      </c>
      <c r="S41" s="313">
        <f>R41*$B$8</f>
        <v>2500637180.7999997</v>
      </c>
      <c r="T41" s="315">
        <f>(2/3.83)*D41</f>
        <v>4.1775456919060048</v>
      </c>
      <c r="U41" s="301">
        <f t="shared" si="9"/>
        <v>0.5221932114882506</v>
      </c>
      <c r="V41" s="314">
        <f>I41/(T41*E41)*$B$8</f>
        <v>1507.2007500000002</v>
      </c>
      <c r="W41" s="314">
        <f>V41</f>
        <v>1507.2007500000002</v>
      </c>
    </row>
    <row r="42" spans="1:23" ht="15.75" customHeight="1">
      <c r="A42" s="301"/>
      <c r="B42" s="301"/>
      <c r="C42" s="301"/>
      <c r="D42" s="301"/>
      <c r="E42" s="301">
        <f>AVERAGE(E12:E41)</f>
        <v>19.185185185185187</v>
      </c>
      <c r="F42" s="301">
        <f>AVERAGE(F12:F41)</f>
        <v>148</v>
      </c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13">
        <f>SUM(R11:R41)</f>
        <v>16727072091.029999</v>
      </c>
      <c r="S42" s="313">
        <f>SUM(S11:S41)</f>
        <v>16727072091.029999</v>
      </c>
      <c r="T42" s="301"/>
      <c r="U42" s="301"/>
      <c r="V42" s="301"/>
      <c r="W42" s="301"/>
    </row>
    <row r="43" spans="1:23" ht="15.75" customHeight="1">
      <c r="C43" s="570">
        <f>SUM(C12:C41)</f>
        <v>430049</v>
      </c>
    </row>
    <row r="44" spans="1:23" ht="15.75" customHeight="1"/>
    <row r="45" spans="1:23" ht="15.75" customHeight="1"/>
    <row r="46" spans="1:23" ht="15.75" customHeight="1"/>
    <row r="47" spans="1:23" ht="15.75" customHeight="1"/>
    <row r="48" spans="1:2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13">
    <mergeCell ref="W9:W10"/>
    <mergeCell ref="D9:J9"/>
    <mergeCell ref="D1:M1"/>
    <mergeCell ref="T9:T10"/>
    <mergeCell ref="V9:V10"/>
    <mergeCell ref="L9:N9"/>
    <mergeCell ref="A9:A10"/>
    <mergeCell ref="B9:B10"/>
    <mergeCell ref="C9:C10"/>
    <mergeCell ref="R9:R10"/>
    <mergeCell ref="S9:S10"/>
    <mergeCell ref="O9:Q9"/>
    <mergeCell ref="K9:K10"/>
  </mergeCells>
  <dataValidations count="2">
    <dataValidation type="list" allowBlank="1" showInputMessage="1" showErrorMessage="1" sqref="C2" xr:uid="{00000000-0002-0000-0000-000000000000}">
      <formula1>$D$2:$M$2</formula1>
    </dataValidation>
    <dataValidation type="list" allowBlank="1" showInputMessage="1" showErrorMessage="1" sqref="B2" xr:uid="{2B17EADE-B192-413F-A3D5-37ABF3AD65C3}">
      <formula1>$D$2:$N$2</formula1>
    </dataValidation>
  </dataValidations>
  <pageMargins left="0.75" right="0.75" top="1" bottom="1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22"/>
  <sheetViews>
    <sheetView workbookViewId="0">
      <selection activeCell="B72" sqref="B72"/>
    </sheetView>
  </sheetViews>
  <sheetFormatPr defaultColWidth="8.77734375" defaultRowHeight="14.4"/>
  <cols>
    <col min="1" max="1" width="12.6640625" style="3" bestFit="1" customWidth="1"/>
    <col min="2" max="13" width="12.77734375" style="31" customWidth="1"/>
    <col min="14" max="14" width="15.6640625" style="326" bestFit="1" customWidth="1"/>
    <col min="15" max="15" width="16.77734375" style="326" bestFit="1" customWidth="1"/>
    <col min="16" max="16" width="15.6640625" style="326" bestFit="1" customWidth="1"/>
    <col min="17" max="17" width="15.109375" style="31" bestFit="1" customWidth="1"/>
  </cols>
  <sheetData>
    <row r="1" spans="1:17">
      <c r="A1" s="590" t="s">
        <v>310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O1" s="328">
        <f>SUM(O20,O40,O60,O80,O101,O121)</f>
        <v>110489848513.76114</v>
      </c>
      <c r="P1" s="328">
        <f>SUM(P20,P40,P60,P80)</f>
        <v>13201676559.63257</v>
      </c>
      <c r="Q1" s="332">
        <f>O121+O101</f>
        <v>76619716125.678253</v>
      </c>
    </row>
    <row r="2" spans="1:17" s="3" customFormat="1" ht="43.2">
      <c r="A2" s="325" t="s">
        <v>570</v>
      </c>
      <c r="B2" s="325" t="s">
        <v>238</v>
      </c>
      <c r="C2" s="325" t="s">
        <v>239</v>
      </c>
      <c r="D2" s="325" t="s">
        <v>240</v>
      </c>
      <c r="E2" s="325" t="s">
        <v>241</v>
      </c>
      <c r="F2" s="325" t="s">
        <v>236</v>
      </c>
      <c r="G2" s="325" t="s">
        <v>237</v>
      </c>
      <c r="H2" s="325" t="s">
        <v>242</v>
      </c>
      <c r="I2" s="325" t="s">
        <v>243</v>
      </c>
      <c r="J2" s="325" t="s">
        <v>244</v>
      </c>
      <c r="K2" s="325" t="s">
        <v>245</v>
      </c>
      <c r="L2" s="325" t="s">
        <v>246</v>
      </c>
      <c r="M2" s="325" t="s">
        <v>247</v>
      </c>
      <c r="N2" s="327" t="s">
        <v>567</v>
      </c>
      <c r="O2" s="327" t="s">
        <v>569</v>
      </c>
      <c r="P2" s="327" t="s">
        <v>568</v>
      </c>
    </row>
    <row r="3" spans="1:17">
      <c r="A3" s="7" t="s">
        <v>294</v>
      </c>
      <c r="B3" s="329">
        <f>SUM('Total Fuel per Operation (Rice)'!S$4:S$9)</f>
        <v>64895.8</v>
      </c>
      <c r="C3" s="329">
        <f>SUM('Total Fuel per Operation (Rice)'!T$4:T$9)</f>
        <v>68623</v>
      </c>
      <c r="D3" s="329">
        <f>SUM('Total Fuel per Operation (Rice)'!U$4:U$9)</f>
        <v>92490</v>
      </c>
      <c r="E3" s="329">
        <f>SUM('Total Fuel per Operation (Rice)'!V$4:V$9)</f>
        <v>111792</v>
      </c>
      <c r="F3" s="329">
        <f>SUM('Total Fuel per Operation (Rice)'!W$4:W$9)</f>
        <v>251946</v>
      </c>
      <c r="G3" s="329">
        <f>SUM('Total Fuel per Operation (Rice)'!X$4:X$9)</f>
        <v>178107</v>
      </c>
      <c r="H3" s="329">
        <f>SUM('Total Fuel per Operation (Rice)'!Y$4:Y$9)</f>
        <v>249908.8</v>
      </c>
      <c r="I3" s="329">
        <f>SUM('Total Fuel per Operation (Rice)'!Z$4:Z$9)</f>
        <v>197437</v>
      </c>
      <c r="J3" s="329">
        <f>SUM('Total Fuel per Operation (Rice)'!AA$4:AA$9)</f>
        <v>217488</v>
      </c>
      <c r="K3" s="329">
        <f>SUM('Total Fuel per Operation (Rice)'!AB$4:AB$9)</f>
        <v>184285</v>
      </c>
      <c r="L3" s="329">
        <f>SUM('Total Fuel per Operation (Rice)'!AC$4:AC$9)</f>
        <v>111837</v>
      </c>
      <c r="M3" s="329">
        <f>SUM('Total Fuel per Operation (Rice)'!AD$4:AD$9)</f>
        <v>279176</v>
      </c>
      <c r="N3" s="45">
        <f>SUM(B3:M3)</f>
        <v>2007985.6</v>
      </c>
      <c r="O3" s="45">
        <f>$N3*AVERAGE('Assumptions&amp;Calculations'!$B$3:$B$5)</f>
        <v>134648821.05066669</v>
      </c>
      <c r="P3" s="45">
        <f>$N3*AVERAGE('Assumptions&amp;Calculations'!$M$3:$M$5)</f>
        <v>52482528.39047619</v>
      </c>
    </row>
    <row r="4" spans="1:17">
      <c r="A4" s="7" t="s">
        <v>295</v>
      </c>
      <c r="B4" s="329">
        <f>SUM('Total Fuel per Operation (Rice)'!S$10:S$13)</f>
        <v>4163424</v>
      </c>
      <c r="C4" s="329">
        <f>SUM('Total Fuel per Operation (Rice)'!T$10:T$13)</f>
        <v>160688</v>
      </c>
      <c r="D4" s="329">
        <f>SUM('Total Fuel per Operation (Rice)'!U$10:U$13)</f>
        <v>10254712</v>
      </c>
      <c r="E4" s="329">
        <f>SUM('Total Fuel per Operation (Rice)'!V$10:V$13)</f>
        <v>1026727.7999999999</v>
      </c>
      <c r="F4" s="329">
        <f>SUM('Total Fuel per Operation (Rice)'!W$10:W$13)</f>
        <v>1206345</v>
      </c>
      <c r="G4" s="329">
        <f>SUM('Total Fuel per Operation (Rice)'!X$10:X$13)</f>
        <v>4163424</v>
      </c>
      <c r="H4" s="329">
        <f>SUM('Total Fuel per Operation (Rice)'!Y$10:Y$13)</f>
        <v>160688</v>
      </c>
      <c r="I4" s="329">
        <f>SUM('Total Fuel per Operation (Rice)'!Z$10:Z$13)</f>
        <v>0</v>
      </c>
      <c r="J4" s="329">
        <f>SUM('Total Fuel per Operation (Rice)'!AA$10:AA$13)</f>
        <v>0</v>
      </c>
      <c r="K4" s="329">
        <f>SUM('Total Fuel per Operation (Rice)'!AB$10:AB$13)</f>
        <v>10254712</v>
      </c>
      <c r="L4" s="329">
        <f>SUM('Total Fuel per Operation (Rice)'!AC$10:AC$13)</f>
        <v>1026727.7999999999</v>
      </c>
      <c r="M4" s="329">
        <f>SUM('Total Fuel per Operation (Rice)'!AD$10:AD$13)</f>
        <v>1206345</v>
      </c>
      <c r="N4" s="45">
        <f t="shared" ref="N4:N19" si="0">SUM(B4:M4)</f>
        <v>33623793.600000001</v>
      </c>
      <c r="O4" s="45">
        <f>$N4*AVERAGE('Assumptions&amp;Calculations'!$B$3:$B$5)</f>
        <v>2254699519.5040002</v>
      </c>
      <c r="P4" s="45">
        <f>$N4*AVERAGE('Assumptions&amp;Calculations'!$M$3:$M$5)</f>
        <v>878821891.05714285</v>
      </c>
    </row>
    <row r="5" spans="1:17">
      <c r="A5" s="7" t="s">
        <v>296</v>
      </c>
      <c r="B5" s="329">
        <f>SUM('Total Fuel per Operation (Rice)'!S$14:S$18)</f>
        <v>3389210.4</v>
      </c>
      <c r="C5" s="329">
        <f>SUM('Total Fuel per Operation (Rice)'!T$14:T$18)</f>
        <v>1644659</v>
      </c>
      <c r="D5" s="329">
        <f>SUM('Total Fuel per Operation (Rice)'!U$14:U$18)</f>
        <v>783584</v>
      </c>
      <c r="E5" s="329">
        <f>SUM('Total Fuel per Operation (Rice)'!V$14:V$18)</f>
        <v>4224</v>
      </c>
      <c r="F5" s="329">
        <f>SUM('Total Fuel per Operation (Rice)'!W$14:W$18)</f>
        <v>9573640</v>
      </c>
      <c r="G5" s="329">
        <f>SUM('Total Fuel per Operation (Rice)'!X$14:X$18)</f>
        <v>9526796.6000000015</v>
      </c>
      <c r="H5" s="329">
        <f>SUM('Total Fuel per Operation (Rice)'!Y$14:Y$18)</f>
        <v>2719410.6</v>
      </c>
      <c r="I5" s="329">
        <f>SUM('Total Fuel per Operation (Rice)'!Z$14:Z$18)</f>
        <v>3810152</v>
      </c>
      <c r="J5" s="329">
        <f>SUM('Total Fuel per Operation (Rice)'!AA$14:AA$18)</f>
        <v>2924248</v>
      </c>
      <c r="K5" s="329">
        <f>SUM('Total Fuel per Operation (Rice)'!AB$14:AB$18)</f>
        <v>8239815.7999999998</v>
      </c>
      <c r="L5" s="329">
        <f>SUM('Total Fuel per Operation (Rice)'!AC$14:AC$18)</f>
        <v>7816122.5999999996</v>
      </c>
      <c r="M5" s="329">
        <f>SUM('Total Fuel per Operation (Rice)'!AD$14:AD$18)</f>
        <v>4521644.4000000004</v>
      </c>
      <c r="N5" s="45">
        <f t="shared" si="0"/>
        <v>54953507.399999999</v>
      </c>
      <c r="O5" s="45">
        <f>$N5*AVERAGE('Assumptions&amp;Calculations'!$B$3:$B$5)</f>
        <v>3684999027.8860002</v>
      </c>
      <c r="P5" s="45">
        <f>$N5*AVERAGE('Assumptions&amp;Calculations'!$M$3:$M$5)</f>
        <v>1436314589.2464285</v>
      </c>
    </row>
    <row r="6" spans="1:17">
      <c r="A6" s="7" t="s">
        <v>297</v>
      </c>
      <c r="B6" s="329">
        <f>SUM('Total Fuel per Operation (Rice)'!S$19:S$25)</f>
        <v>2307900</v>
      </c>
      <c r="C6" s="329">
        <f>SUM('Total Fuel per Operation (Rice)'!T$19:T$25)</f>
        <v>4154144</v>
      </c>
      <c r="D6" s="329">
        <f>SUM('Total Fuel per Operation (Rice)'!U$19:U$25)</f>
        <v>705648</v>
      </c>
      <c r="E6" s="329">
        <f>SUM('Total Fuel per Operation (Rice)'!V$19:V$25)</f>
        <v>0</v>
      </c>
      <c r="F6" s="329">
        <f>SUM('Total Fuel per Operation (Rice)'!W$19:W$25)</f>
        <v>0</v>
      </c>
      <c r="G6" s="329">
        <f>SUM('Total Fuel per Operation (Rice)'!X$19:X$25)</f>
        <v>7325360</v>
      </c>
      <c r="H6" s="329">
        <f>SUM('Total Fuel per Operation (Rice)'!Y$19:Y$25)</f>
        <v>1794685.6</v>
      </c>
      <c r="I6" s="329">
        <f>SUM('Total Fuel per Operation (Rice)'!Z$19:Z$25)</f>
        <v>2307900</v>
      </c>
      <c r="J6" s="329">
        <f>SUM('Total Fuel per Operation (Rice)'!AA$19:AA$25)</f>
        <v>4154144</v>
      </c>
      <c r="K6" s="329">
        <f>SUM('Total Fuel per Operation (Rice)'!AB$19:AB$25)</f>
        <v>705648</v>
      </c>
      <c r="L6" s="329">
        <f>SUM('Total Fuel per Operation (Rice)'!AC$19:AC$25)</f>
        <v>7325360</v>
      </c>
      <c r="M6" s="329">
        <f>SUM('Total Fuel per Operation (Rice)'!AD$19:AD$25)</f>
        <v>2411155.6000000006</v>
      </c>
      <c r="N6" s="45">
        <f t="shared" si="0"/>
        <v>33191945.200000003</v>
      </c>
      <c r="O6" s="45">
        <f>$N6*AVERAGE('Assumptions&amp;Calculations'!$B$3:$B$5)</f>
        <v>2225741205.2946672</v>
      </c>
      <c r="P6" s="45">
        <f>$N6*AVERAGE('Assumptions&amp;Calculations'!$M$3:$M$5)</f>
        <v>867534710.55476189</v>
      </c>
    </row>
    <row r="7" spans="1:17">
      <c r="A7" s="7" t="s">
        <v>298</v>
      </c>
      <c r="B7" s="329">
        <f>SUM('Total Fuel per Operation (Rice)'!S$26:S$30)</f>
        <v>670858</v>
      </c>
      <c r="C7" s="329">
        <f>SUM('Total Fuel per Operation (Rice)'!T$26:T$30)</f>
        <v>1110176</v>
      </c>
      <c r="D7" s="329">
        <f>SUM('Total Fuel per Operation (Rice)'!U$26:U$30)</f>
        <v>158272</v>
      </c>
      <c r="E7" s="329">
        <f>SUM('Total Fuel per Operation (Rice)'!V$26:V$30)</f>
        <v>0</v>
      </c>
      <c r="F7" s="329">
        <f>SUM('Total Fuel per Operation (Rice)'!W$26:W$30)</f>
        <v>0</v>
      </c>
      <c r="G7" s="329">
        <f>SUM('Total Fuel per Operation (Rice)'!X$26:X$30)</f>
        <v>1281496</v>
      </c>
      <c r="H7" s="329">
        <f>SUM('Total Fuel per Operation (Rice)'!Y$26:Y$30)</f>
        <v>1790075.8</v>
      </c>
      <c r="I7" s="329">
        <f>SUM('Total Fuel per Operation (Rice)'!Z$26:Z$30)</f>
        <v>529449.4</v>
      </c>
      <c r="J7" s="329">
        <f>SUM('Total Fuel per Operation (Rice)'!AA$26:AA$30)</f>
        <v>670858</v>
      </c>
      <c r="K7" s="329">
        <f>SUM('Total Fuel per Operation (Rice)'!AB$26:AB$30)</f>
        <v>2391672</v>
      </c>
      <c r="L7" s="329">
        <f>SUM('Total Fuel per Operation (Rice)'!AC$26:AC$30)</f>
        <v>1948347.8</v>
      </c>
      <c r="M7" s="329">
        <f>SUM('Total Fuel per Operation (Rice)'!AD$26:AD$30)</f>
        <v>529449.4</v>
      </c>
      <c r="N7" s="45">
        <f t="shared" si="0"/>
        <v>11080654.4</v>
      </c>
      <c r="O7" s="45">
        <f>$N7*AVERAGE('Assumptions&amp;Calculations'!$B$3:$B$5)</f>
        <v>743031748.54933345</v>
      </c>
      <c r="P7" s="45">
        <f>$N7*AVERAGE('Assumptions&amp;Calculations'!$M$3:$M$5)</f>
        <v>289614008.75238091</v>
      </c>
    </row>
    <row r="8" spans="1:17">
      <c r="A8" s="7" t="s">
        <v>299</v>
      </c>
      <c r="B8" s="329">
        <f>SUM('Total Fuel per Operation (Rice)'!S$31:S$35)</f>
        <v>1159824</v>
      </c>
      <c r="C8" s="329">
        <f>SUM('Total Fuel per Operation (Rice)'!T$31:T$35)</f>
        <v>114032</v>
      </c>
      <c r="D8" s="329">
        <f>SUM('Total Fuel per Operation (Rice)'!U$31:U$35)</f>
        <v>0</v>
      </c>
      <c r="E8" s="329">
        <f>SUM('Total Fuel per Operation (Rice)'!V$31:V$35)</f>
        <v>1159136</v>
      </c>
      <c r="F8" s="329">
        <f>SUM('Total Fuel per Operation (Rice)'!W$31:W$35)</f>
        <v>1922404.4</v>
      </c>
      <c r="G8" s="329">
        <f>SUM('Total Fuel per Operation (Rice)'!X$31:X$35)</f>
        <v>384279.2</v>
      </c>
      <c r="H8" s="329">
        <f>SUM('Total Fuel per Operation (Rice)'!Y$31:Y$35)</f>
        <v>1314270</v>
      </c>
      <c r="I8" s="329">
        <f>SUM('Total Fuel per Operation (Rice)'!Z$31:Z$35)</f>
        <v>484720</v>
      </c>
      <c r="J8" s="329">
        <f>SUM('Total Fuel per Operation (Rice)'!AA$31:AA$35)</f>
        <v>1698664</v>
      </c>
      <c r="K8" s="329">
        <f>SUM('Total Fuel per Operation (Rice)'!AB$31:AB$35)</f>
        <v>1445864.2</v>
      </c>
      <c r="L8" s="329">
        <f>SUM('Total Fuel per Operation (Rice)'!AC$31:AC$35)</f>
        <v>390992.4</v>
      </c>
      <c r="M8" s="329">
        <f>SUM('Total Fuel per Operation (Rice)'!AD$31:AD$35)</f>
        <v>625705</v>
      </c>
      <c r="N8" s="45">
        <f t="shared" si="0"/>
        <v>10699891.200000001</v>
      </c>
      <c r="O8" s="45">
        <f>$N8*AVERAGE('Assumptions&amp;Calculations'!$B$3:$B$5)</f>
        <v>717499037.56800008</v>
      </c>
      <c r="P8" s="45">
        <f>$N8*AVERAGE('Assumptions&amp;Calculations'!$M$3:$M$5)</f>
        <v>279662037.25714284</v>
      </c>
    </row>
    <row r="9" spans="1:17">
      <c r="A9" s="7" t="s">
        <v>300</v>
      </c>
      <c r="B9" s="329">
        <f>SUM('Total Fuel per Operation (Rice)'!S$36:S$41)</f>
        <v>580284.6</v>
      </c>
      <c r="C9" s="329">
        <f>SUM('Total Fuel per Operation (Rice)'!T$36:T$41)</f>
        <v>1777156.6</v>
      </c>
      <c r="D9" s="329">
        <f>SUM('Total Fuel per Operation (Rice)'!U$36:U$41)</f>
        <v>1033653</v>
      </c>
      <c r="E9" s="329">
        <f>SUM('Total Fuel per Operation (Rice)'!V$36:V$41)</f>
        <v>530326.19999999995</v>
      </c>
      <c r="F9" s="329">
        <f>SUM('Total Fuel per Operation (Rice)'!W$36:W$41)</f>
        <v>202929</v>
      </c>
      <c r="G9" s="329">
        <f>SUM('Total Fuel per Operation (Rice)'!X$36:X$41)</f>
        <v>879288</v>
      </c>
      <c r="H9" s="329">
        <f>SUM('Total Fuel per Operation (Rice)'!Y$36:Y$41)</f>
        <v>2038654.2</v>
      </c>
      <c r="I9" s="329">
        <f>SUM('Total Fuel per Operation (Rice)'!Z$36:Z$41)</f>
        <v>334124.40000000008</v>
      </c>
      <c r="J9" s="329">
        <f>SUM('Total Fuel per Operation (Rice)'!AA$36:AA$41)</f>
        <v>724909.2</v>
      </c>
      <c r="K9" s="329">
        <f>SUM('Total Fuel per Operation (Rice)'!AB$36:AB$41)</f>
        <v>2011425</v>
      </c>
      <c r="L9" s="329">
        <f>SUM('Total Fuel per Operation (Rice)'!AC$36:AC$41)</f>
        <v>2658616</v>
      </c>
      <c r="M9" s="329">
        <f>SUM('Total Fuel per Operation (Rice)'!AD$36:AD$41)</f>
        <v>500603.40000000008</v>
      </c>
      <c r="N9" s="45">
        <f t="shared" si="0"/>
        <v>13271969.600000001</v>
      </c>
      <c r="O9" s="45">
        <f>$N9*AVERAGE('Assumptions&amp;Calculations'!$B$3:$B$5)</f>
        <v>889974041.47733355</v>
      </c>
      <c r="P9" s="45">
        <f>$N9*AVERAGE('Assumptions&amp;Calculations'!$M$3:$M$5)</f>
        <v>346888205.43809521</v>
      </c>
    </row>
    <row r="10" spans="1:17">
      <c r="A10" s="7" t="s">
        <v>301</v>
      </c>
      <c r="B10" s="329">
        <f>SUM('Total Fuel per Operation (Rice)'!S$42:S$46)</f>
        <v>838493</v>
      </c>
      <c r="C10" s="329">
        <f>SUM('Total Fuel per Operation (Rice)'!T$42:T$46)</f>
        <v>1241024</v>
      </c>
      <c r="D10" s="329">
        <f>SUM('Total Fuel per Operation (Rice)'!U$42:U$46)</f>
        <v>212672</v>
      </c>
      <c r="E10" s="329">
        <f>SUM('Total Fuel per Operation (Rice)'!V$42:V$46)</f>
        <v>0</v>
      </c>
      <c r="F10" s="329">
        <f>SUM('Total Fuel per Operation (Rice)'!W$42:W$46)</f>
        <v>1544632</v>
      </c>
      <c r="G10" s="329">
        <f>SUM('Total Fuel per Operation (Rice)'!X$42:X$46)</f>
        <v>257725.4</v>
      </c>
      <c r="H10" s="329">
        <f>SUM('Total Fuel per Operation (Rice)'!Y$42:Y$46)</f>
        <v>838493</v>
      </c>
      <c r="I10" s="329">
        <f>SUM('Total Fuel per Operation (Rice)'!Z$42:Z$46)</f>
        <v>1241024</v>
      </c>
      <c r="J10" s="329">
        <f>SUM('Total Fuel per Operation (Rice)'!AA$42:AA$46)</f>
        <v>212672</v>
      </c>
      <c r="K10" s="329">
        <f>SUM('Total Fuel per Operation (Rice)'!AB$42:AB$46)</f>
        <v>0</v>
      </c>
      <c r="L10" s="329">
        <f>SUM('Total Fuel per Operation (Rice)'!AC$42:AC$46)</f>
        <v>1544632</v>
      </c>
      <c r="M10" s="329">
        <f>SUM('Total Fuel per Operation (Rice)'!AD$42:AD$46)</f>
        <v>257725.4</v>
      </c>
      <c r="N10" s="45">
        <f t="shared" si="0"/>
        <v>8189092.8000000007</v>
      </c>
      <c r="O10" s="45">
        <f>$N10*AVERAGE('Assumptions&amp;Calculations'!$B$3:$B$5)</f>
        <v>549133266.19200015</v>
      </c>
      <c r="P10" s="45">
        <f>$N10*AVERAGE('Assumptions&amp;Calculations'!$M$3:$M$5)</f>
        <v>214037538.59999999</v>
      </c>
    </row>
    <row r="11" spans="1:17">
      <c r="A11" s="7" t="s">
        <v>782</v>
      </c>
      <c r="B11" s="329">
        <f>SUM('Total Fuel per Operation (Rice)'!S$47:S$49)</f>
        <v>123382</v>
      </c>
      <c r="C11" s="329">
        <f>SUM('Total Fuel per Operation (Rice)'!T$47:T$49)</f>
        <v>177024</v>
      </c>
      <c r="D11" s="329">
        <f>SUM('Total Fuel per Operation (Rice)'!U$47:U$49)</f>
        <v>27456</v>
      </c>
      <c r="E11" s="329">
        <f>SUM('Total Fuel per Operation (Rice)'!V$47:V$49)</f>
        <v>0</v>
      </c>
      <c r="F11" s="329">
        <f>SUM('Total Fuel per Operation (Rice)'!W$47:W$49)</f>
        <v>644048</v>
      </c>
      <c r="G11" s="329">
        <f>SUM('Total Fuel per Operation (Rice)'!X$47:X$49)</f>
        <v>55506.399999999994</v>
      </c>
      <c r="H11" s="329">
        <f>SUM('Total Fuel per Operation (Rice)'!Y$47:Y$49)</f>
        <v>75652</v>
      </c>
      <c r="I11" s="329">
        <f>SUM('Total Fuel per Operation (Rice)'!Z$47:Z$49)</f>
        <v>244640</v>
      </c>
      <c r="J11" s="329">
        <f>SUM('Total Fuel per Operation (Rice)'!AA$47:AA$49)</f>
        <v>438512</v>
      </c>
      <c r="K11" s="329">
        <f>SUM('Total Fuel per Operation (Rice)'!AB$47:AB$49)</f>
        <v>22653.200000000001</v>
      </c>
      <c r="L11" s="329">
        <f>SUM('Total Fuel per Operation (Rice)'!AC$47:AC$49)</f>
        <v>311182</v>
      </c>
      <c r="M11" s="329">
        <f>SUM('Total Fuel per Operation (Rice)'!AD$47:AD$49)</f>
        <v>100469.2</v>
      </c>
      <c r="N11" s="45">
        <f t="shared" ref="N11:N12" si="1">SUM(B11:M11)</f>
        <v>2220524.7999999998</v>
      </c>
      <c r="O11" s="45">
        <f>$N11*AVERAGE('Assumptions&amp;Calculations'!$B$3:$B$5)</f>
        <v>148900991.33866668</v>
      </c>
      <c r="P11" s="45">
        <f>$N11*AVERAGE('Assumptions&amp;Calculations'!$M$3:$M$5)</f>
        <v>58037645.219047606</v>
      </c>
    </row>
    <row r="12" spans="1:17">
      <c r="A12" s="7" t="s">
        <v>302</v>
      </c>
      <c r="B12" s="329">
        <f>SUM('Total Fuel per Operation (Rice)'!S$50:S$51)</f>
        <v>0</v>
      </c>
      <c r="C12" s="329">
        <f>SUM('Total Fuel per Operation (Rice)'!T$50:T$51)</f>
        <v>0</v>
      </c>
      <c r="D12" s="329">
        <f>SUM('Total Fuel per Operation (Rice)'!U$50:U$51)</f>
        <v>0</v>
      </c>
      <c r="E12" s="329">
        <f>SUM('Total Fuel per Operation (Rice)'!V$50:V$51)</f>
        <v>949928</v>
      </c>
      <c r="F12" s="329">
        <f>SUM('Total Fuel per Operation (Rice)'!W$50:W$51)</f>
        <v>78517.8</v>
      </c>
      <c r="G12" s="329">
        <f>SUM('Total Fuel per Operation (Rice)'!X$50:X$51)</f>
        <v>59955</v>
      </c>
      <c r="H12" s="329">
        <f>SUM('Total Fuel per Operation (Rice)'!Y$50:Y$51)</f>
        <v>100768</v>
      </c>
      <c r="I12" s="329">
        <f>SUM('Total Fuel per Operation (Rice)'!Z$50:Z$51)</f>
        <v>1220792</v>
      </c>
      <c r="J12" s="329">
        <f>SUM('Total Fuel per Operation (Rice)'!AA$50:AA$51)</f>
        <v>78517.8</v>
      </c>
      <c r="K12" s="329">
        <f>SUM('Total Fuel per Operation (Rice)'!AB$50:AB$51)</f>
        <v>59955</v>
      </c>
      <c r="L12" s="329">
        <f>SUM('Total Fuel per Operation (Rice)'!AC$50:AC$51)</f>
        <v>100768</v>
      </c>
      <c r="M12" s="329">
        <f>SUM('Total Fuel per Operation (Rice)'!AD$50:AD$51)</f>
        <v>270864</v>
      </c>
      <c r="N12" s="45">
        <f t="shared" si="1"/>
        <v>2920065.5999999996</v>
      </c>
      <c r="O12" s="45">
        <f>$N12*AVERAGE('Assumptions&amp;Calculations'!$B$3:$B$5)</f>
        <v>195809865.58399999</v>
      </c>
      <c r="P12" s="45">
        <f>$N12*AVERAGE('Assumptions&amp;Calculations'!$M$3:$M$5)</f>
        <v>76321476.485714272</v>
      </c>
    </row>
    <row r="13" spans="1:17">
      <c r="A13" s="7" t="s">
        <v>303</v>
      </c>
      <c r="B13" s="329">
        <f>SUM('Total Fuel per Operation (Rice)'!S$52:S$57)</f>
        <v>336891.6</v>
      </c>
      <c r="C13" s="329">
        <f>SUM('Total Fuel per Operation (Rice)'!T$52:T$57)</f>
        <v>321509</v>
      </c>
      <c r="D13" s="329">
        <f>SUM('Total Fuel per Operation (Rice)'!U$52:U$57)</f>
        <v>716912</v>
      </c>
      <c r="E13" s="329">
        <f>SUM('Total Fuel per Operation (Rice)'!V$52:V$57)</f>
        <v>371632</v>
      </c>
      <c r="F13" s="329">
        <f>SUM('Total Fuel per Operation (Rice)'!W$52:W$57)</f>
        <v>647048</v>
      </c>
      <c r="G13" s="329">
        <f>SUM('Total Fuel per Operation (Rice)'!X$52:X$57)</f>
        <v>1205885.8</v>
      </c>
      <c r="H13" s="329">
        <f>SUM('Total Fuel per Operation (Rice)'!Y$52:Y$57)</f>
        <v>336891.6</v>
      </c>
      <c r="I13" s="329">
        <f>SUM('Total Fuel per Operation (Rice)'!Z$52:Z$57)</f>
        <v>321509</v>
      </c>
      <c r="J13" s="329">
        <f>SUM('Total Fuel per Operation (Rice)'!AA$52:AA$57)</f>
        <v>716912</v>
      </c>
      <c r="K13" s="329">
        <f>SUM('Total Fuel per Operation (Rice)'!AB$52:AB$57)</f>
        <v>371632</v>
      </c>
      <c r="L13" s="329">
        <f>SUM('Total Fuel per Operation (Rice)'!AC$52:AC$57)</f>
        <v>647048</v>
      </c>
      <c r="M13" s="329">
        <f>SUM('Total Fuel per Operation (Rice)'!AD$52:AD$57)</f>
        <v>1205885.8</v>
      </c>
      <c r="N13" s="45">
        <f t="shared" si="0"/>
        <v>7199756.7999999998</v>
      </c>
      <c r="O13" s="45">
        <f>$N13*AVERAGE('Assumptions&amp;Calculations'!$B$3:$B$5)</f>
        <v>482791691.8186667</v>
      </c>
      <c r="P13" s="45">
        <f>$N13*AVERAGE('Assumptions&amp;Calculations'!$M$3:$M$5)</f>
        <v>188179357.79047617</v>
      </c>
    </row>
    <row r="14" spans="1:17">
      <c r="A14" s="7" t="s">
        <v>304</v>
      </c>
      <c r="B14" s="329">
        <f>SUM('Total Fuel per Operation (Rice)'!S$58:S$60)</f>
        <v>432822</v>
      </c>
      <c r="C14" s="329">
        <f>SUM('Total Fuel per Operation (Rice)'!T$58:T$60)</f>
        <v>493552</v>
      </c>
      <c r="D14" s="329">
        <f>SUM('Total Fuel per Operation (Rice)'!U$58:U$60)</f>
        <v>87648</v>
      </c>
      <c r="E14" s="329">
        <f>SUM('Total Fuel per Operation (Rice)'!V$58:V$60)</f>
        <v>0</v>
      </c>
      <c r="F14" s="329">
        <f>SUM('Total Fuel per Operation (Rice)'!W$58:W$60)</f>
        <v>1148736</v>
      </c>
      <c r="G14" s="329">
        <f>SUM('Total Fuel per Operation (Rice)'!X$58:X$60)</f>
        <v>127211.6</v>
      </c>
      <c r="H14" s="329">
        <f>SUM('Total Fuel per Operation (Rice)'!Y$58:Y$60)</f>
        <v>77910</v>
      </c>
      <c r="I14" s="329">
        <f>SUM('Total Fuel per Operation (Rice)'!Z$58:Z$60)</f>
        <v>778368</v>
      </c>
      <c r="J14" s="329">
        <f>SUM('Total Fuel per Operation (Rice)'!AA$58:AA$60)</f>
        <v>187984</v>
      </c>
      <c r="K14" s="329">
        <f>SUM('Total Fuel per Operation (Rice)'!AB$58:AB$60)</f>
        <v>474032</v>
      </c>
      <c r="L14" s="329">
        <f>SUM('Total Fuel per Operation (Rice)'!AC$58:AC$60)</f>
        <v>738192</v>
      </c>
      <c r="M14" s="329">
        <f>SUM('Total Fuel per Operation (Rice)'!AD$58:AD$60)</f>
        <v>93963.599999999991</v>
      </c>
      <c r="N14" s="45">
        <f t="shared" si="0"/>
        <v>4640419.1999999993</v>
      </c>
      <c r="O14" s="45">
        <f>$N14*AVERAGE('Assumptions&amp;Calculations'!$B$3:$B$5)</f>
        <v>311171043.48799998</v>
      </c>
      <c r="P14" s="45">
        <f>$N14*AVERAGE('Assumptions&amp;Calculations'!$M$3:$M$5)</f>
        <v>121286194.68571426</v>
      </c>
    </row>
    <row r="15" spans="1:17">
      <c r="A15" s="7" t="s">
        <v>305</v>
      </c>
      <c r="B15" s="329">
        <f>SUM('Total Fuel per Operation (Rice)'!S$61:S$65)</f>
        <v>1117885</v>
      </c>
      <c r="C15" s="329">
        <f>SUM('Total Fuel per Operation (Rice)'!T$61:T$65)</f>
        <v>1319856</v>
      </c>
      <c r="D15" s="329">
        <f>SUM('Total Fuel per Operation (Rice)'!U$61:U$65)</f>
        <v>77808</v>
      </c>
      <c r="E15" s="329">
        <f>SUM('Total Fuel per Operation (Rice)'!V$61:V$65)</f>
        <v>0</v>
      </c>
      <c r="F15" s="329">
        <f>SUM('Total Fuel per Operation (Rice)'!W$61:W$65)</f>
        <v>4431552</v>
      </c>
      <c r="G15" s="329">
        <f>SUM('Total Fuel per Operation (Rice)'!X$61:X$65)</f>
        <v>465158.40000000002</v>
      </c>
      <c r="H15" s="329">
        <f>SUM('Total Fuel per Operation (Rice)'!Y$61:Y$65)</f>
        <v>364560</v>
      </c>
      <c r="I15" s="329">
        <f>SUM('Total Fuel per Operation (Rice)'!Z$61:Z$65)</f>
        <v>2089216</v>
      </c>
      <c r="J15" s="329">
        <f>SUM('Total Fuel per Operation (Rice)'!AA$61:AA$65)</f>
        <v>286368</v>
      </c>
      <c r="K15" s="329">
        <f>SUM('Total Fuel per Operation (Rice)'!AB$61:AB$65)</f>
        <v>2500504</v>
      </c>
      <c r="L15" s="329">
        <f>SUM('Total Fuel per Operation (Rice)'!AC$61:AC$65)</f>
        <v>2238820.2000000002</v>
      </c>
      <c r="M15" s="329">
        <f>SUM('Total Fuel per Operation (Rice)'!AD$61:AD$65)</f>
        <v>381981.2</v>
      </c>
      <c r="N15" s="45">
        <f t="shared" si="0"/>
        <v>15273708.800000001</v>
      </c>
      <c r="O15" s="45">
        <f>$N15*AVERAGE('Assumptions&amp;Calculations'!$B$3:$B$5)</f>
        <v>1024203999.7653334</v>
      </c>
      <c r="P15" s="45">
        <f>$N15*AVERAGE('Assumptions&amp;Calculations'!$M$3:$M$5)</f>
        <v>399207472.26666665</v>
      </c>
    </row>
    <row r="16" spans="1:17">
      <c r="A16" s="7" t="s">
        <v>306</v>
      </c>
      <c r="B16" s="329">
        <f>SUM('Total Fuel per Operation (Rice)'!S$66:S$70)</f>
        <v>291183</v>
      </c>
      <c r="C16" s="329">
        <f>SUM('Total Fuel per Operation (Rice)'!T$66:T$70)</f>
        <v>1008816</v>
      </c>
      <c r="D16" s="329">
        <f>SUM('Total Fuel per Operation (Rice)'!U$66:U$70)</f>
        <v>101952</v>
      </c>
      <c r="E16" s="329">
        <f>SUM('Total Fuel per Operation (Rice)'!V$66:V$70)</f>
        <v>1250440</v>
      </c>
      <c r="F16" s="329">
        <f>SUM('Total Fuel per Operation (Rice)'!W$66:W$70)</f>
        <v>543789</v>
      </c>
      <c r="G16" s="329">
        <f>SUM('Total Fuel per Operation (Rice)'!X$66:X$70)</f>
        <v>165475</v>
      </c>
      <c r="H16" s="329">
        <f>SUM('Total Fuel per Operation (Rice)'!Y$66:Y$70)</f>
        <v>1003884</v>
      </c>
      <c r="I16" s="329">
        <f>SUM('Total Fuel per Operation (Rice)'!Z$66:Z$70)</f>
        <v>262016</v>
      </c>
      <c r="J16" s="329">
        <f>SUM('Total Fuel per Operation (Rice)'!AA$66:AA$70)</f>
        <v>620064</v>
      </c>
      <c r="K16" s="329">
        <f>SUM('Total Fuel per Operation (Rice)'!AB$66:AB$70)</f>
        <v>276626.40000000002</v>
      </c>
      <c r="L16" s="329">
        <f>SUM('Total Fuel per Operation (Rice)'!AC$66:AC$70)</f>
        <v>1283245.6000000001</v>
      </c>
      <c r="M16" s="329">
        <f>SUM('Total Fuel per Operation (Rice)'!AD$66:AD$70)</f>
        <v>184469</v>
      </c>
      <c r="N16" s="45">
        <f t="shared" si="0"/>
        <v>6991960</v>
      </c>
      <c r="O16" s="45">
        <f>$N16*AVERAGE('Assumptions&amp;Calculations'!$B$3:$B$5)</f>
        <v>468857531.06666672</v>
      </c>
      <c r="P16" s="45">
        <f>$N16*AVERAGE('Assumptions&amp;Calculations'!$M$3:$M$5)</f>
        <v>182748192.61904761</v>
      </c>
    </row>
    <row r="17" spans="1:17">
      <c r="A17" s="7" t="s">
        <v>307</v>
      </c>
      <c r="B17" s="329">
        <f>SUM('Total Fuel per Operation (Rice)'!S$71:S$74)</f>
        <v>220872</v>
      </c>
      <c r="C17" s="329">
        <f>SUM('Total Fuel per Operation (Rice)'!T$71:T$74)</f>
        <v>0</v>
      </c>
      <c r="D17" s="329">
        <f>SUM('Total Fuel per Operation (Rice)'!U$71:U$74)</f>
        <v>0</v>
      </c>
      <c r="E17" s="329">
        <f>SUM('Total Fuel per Operation (Rice)'!V$71:V$74)</f>
        <v>3871088</v>
      </c>
      <c r="F17" s="329">
        <f>SUM('Total Fuel per Operation (Rice)'!W$71:W$74)</f>
        <v>484437.6</v>
      </c>
      <c r="G17" s="329">
        <f>SUM('Total Fuel per Operation (Rice)'!X$71:X$74)</f>
        <v>665268</v>
      </c>
      <c r="H17" s="329">
        <f>SUM('Total Fuel per Operation (Rice)'!Y$71:Y$74)</f>
        <v>2650304</v>
      </c>
      <c r="I17" s="329">
        <f>SUM('Total Fuel per Operation (Rice)'!Z$71:Z$74)</f>
        <v>220872</v>
      </c>
      <c r="J17" s="329">
        <f>SUM('Total Fuel per Operation (Rice)'!AA$71:AA$74)</f>
        <v>3871088</v>
      </c>
      <c r="K17" s="329">
        <f>SUM('Total Fuel per Operation (Rice)'!AB$71:AB$74)</f>
        <v>484437.6</v>
      </c>
      <c r="L17" s="329">
        <f>SUM('Total Fuel per Operation (Rice)'!AC$71:AC$74)</f>
        <v>665268</v>
      </c>
      <c r="M17" s="329">
        <f>SUM('Total Fuel per Operation (Rice)'!AD$71:AD$74)</f>
        <v>2650304</v>
      </c>
      <c r="N17" s="45">
        <f t="shared" si="0"/>
        <v>15783939.199999999</v>
      </c>
      <c r="O17" s="45">
        <f>$N17*AVERAGE('Assumptions&amp;Calculations'!$B$3:$B$5)</f>
        <v>1058418349.6213334</v>
      </c>
      <c r="P17" s="45">
        <f>$N17*AVERAGE('Assumptions&amp;Calculations'!$M$3:$M$5)</f>
        <v>412543315.6380952</v>
      </c>
    </row>
    <row r="18" spans="1:17">
      <c r="A18" s="7" t="s">
        <v>308</v>
      </c>
      <c r="B18" s="329">
        <f>SUM('Total Fuel per Operation (Rice)'!S$75:S$79)</f>
        <v>1670895</v>
      </c>
      <c r="C18" s="329">
        <f>SUM('Total Fuel per Operation (Rice)'!T$75:T$79)</f>
        <v>1597200</v>
      </c>
      <c r="D18" s="329">
        <f>SUM('Total Fuel per Operation (Rice)'!U$75:U$79)</f>
        <v>146336</v>
      </c>
      <c r="E18" s="329">
        <f>SUM('Total Fuel per Operation (Rice)'!V$75:V$79)</f>
        <v>0</v>
      </c>
      <c r="F18" s="329">
        <f>SUM('Total Fuel per Operation (Rice)'!W$75:W$79)</f>
        <v>1020800</v>
      </c>
      <c r="G18" s="329">
        <f>SUM('Total Fuel per Operation (Rice)'!X$75:X$79)</f>
        <v>1619582</v>
      </c>
      <c r="H18" s="329">
        <f>SUM('Total Fuel per Operation (Rice)'!Y$75:Y$79)</f>
        <v>520883.4</v>
      </c>
      <c r="I18" s="329">
        <f>SUM('Total Fuel per Operation (Rice)'!Z$75:Z$79)</f>
        <v>1501385</v>
      </c>
      <c r="J18" s="329">
        <f>SUM('Total Fuel per Operation (Rice)'!AA$75:AA$79)</f>
        <v>1773440</v>
      </c>
      <c r="K18" s="329">
        <f>SUM('Total Fuel per Operation (Rice)'!AB$75:AB$79)</f>
        <v>3742936</v>
      </c>
      <c r="L18" s="329">
        <f>SUM('Total Fuel per Operation (Rice)'!AC$75:AC$79)</f>
        <v>1636296.8</v>
      </c>
      <c r="M18" s="329">
        <f>SUM('Total Fuel per Operation (Rice)'!AD$75:AD$79)</f>
        <v>511922.6</v>
      </c>
      <c r="N18" s="45">
        <f t="shared" si="0"/>
        <v>15741676.800000001</v>
      </c>
      <c r="O18" s="45">
        <f>$N18*AVERAGE('Assumptions&amp;Calculations'!$B$3:$B$5)</f>
        <v>1055584373.9520001</v>
      </c>
      <c r="P18" s="45">
        <f>$N18*AVERAGE('Assumptions&amp;Calculations'!$M$3:$M$5)</f>
        <v>411438707.3142857</v>
      </c>
    </row>
    <row r="19" spans="1:17">
      <c r="A19" s="7" t="s">
        <v>309</v>
      </c>
      <c r="B19" s="329">
        <f>SUM('Total Fuel per Operation (Rice)'!S$80:S$82)</f>
        <v>0</v>
      </c>
      <c r="C19" s="329">
        <f>SUM('Total Fuel per Operation (Rice)'!T$80:T$82)</f>
        <v>0</v>
      </c>
      <c r="D19" s="329">
        <f>SUM('Total Fuel per Operation (Rice)'!U$80:U$82)</f>
        <v>0</v>
      </c>
      <c r="E19" s="329">
        <f>SUM('Total Fuel per Operation (Rice)'!V$80:V$82)</f>
        <v>0</v>
      </c>
      <c r="F19" s="329">
        <f>SUM('Total Fuel per Operation (Rice)'!W$80:W$82)</f>
        <v>77440</v>
      </c>
      <c r="G19" s="329">
        <f>SUM('Total Fuel per Operation (Rice)'!X$80:X$82)</f>
        <v>0</v>
      </c>
      <c r="H19" s="329">
        <f>SUM('Total Fuel per Operation (Rice)'!Y$80:Y$82)</f>
        <v>0</v>
      </c>
      <c r="I19" s="329">
        <f>SUM('Total Fuel per Operation (Rice)'!Z$80:Z$82)</f>
        <v>77440</v>
      </c>
      <c r="J19" s="329">
        <f>SUM('Total Fuel per Operation (Rice)'!AA$80:AA$82)</f>
        <v>0</v>
      </c>
      <c r="K19" s="329">
        <f>SUM('Total Fuel per Operation (Rice)'!AB$80:AB$82)</f>
        <v>0</v>
      </c>
      <c r="L19" s="329">
        <f>SUM('Total Fuel per Operation (Rice)'!AC$80:AC$82)</f>
        <v>0</v>
      </c>
      <c r="M19" s="329">
        <f>SUM('Total Fuel per Operation (Rice)'!AD$80:AD$82)</f>
        <v>2640</v>
      </c>
      <c r="N19" s="45">
        <f t="shared" si="0"/>
        <v>157520</v>
      </c>
      <c r="O19" s="45">
        <f>$N19*AVERAGE('Assumptions&amp;Calculations'!$B$3:$B$5)</f>
        <v>10562766.133333335</v>
      </c>
      <c r="P19" s="45">
        <f>$N19*AVERAGE('Assumptions&amp;Calculations'!$M$3:$M$5)</f>
        <v>4117085.2380952379</v>
      </c>
    </row>
    <row r="20" spans="1:17" s="46" customFormat="1" ht="28.8">
      <c r="A20" s="44" t="s">
        <v>311</v>
      </c>
      <c r="B20" s="330">
        <f t="shared" ref="B20:N20" si="2">SUM(B3:B19)</f>
        <v>17368820.399999999</v>
      </c>
      <c r="C20" s="330">
        <f t="shared" si="2"/>
        <v>15188459.6</v>
      </c>
      <c r="D20" s="330">
        <f t="shared" si="2"/>
        <v>14399143</v>
      </c>
      <c r="E20" s="330">
        <f t="shared" si="2"/>
        <v>9275294</v>
      </c>
      <c r="F20" s="330">
        <f t="shared" si="2"/>
        <v>23778264.800000004</v>
      </c>
      <c r="G20" s="330">
        <f t="shared" si="2"/>
        <v>28360518.399999999</v>
      </c>
      <c r="H20" s="330">
        <f t="shared" si="2"/>
        <v>16037039</v>
      </c>
      <c r="I20" s="330">
        <f t="shared" si="2"/>
        <v>15621044.800000001</v>
      </c>
      <c r="J20" s="330">
        <f t="shared" si="2"/>
        <v>18575869</v>
      </c>
      <c r="K20" s="330">
        <f t="shared" si="2"/>
        <v>33166198.199999999</v>
      </c>
      <c r="L20" s="330">
        <f t="shared" si="2"/>
        <v>30443456.199999999</v>
      </c>
      <c r="M20" s="330">
        <f t="shared" si="2"/>
        <v>15734303.6</v>
      </c>
      <c r="N20" s="45">
        <f t="shared" si="2"/>
        <v>237948411</v>
      </c>
      <c r="O20" s="45">
        <f>$N20*AVERAGE('Assumptions&amp;Calculations'!$B$3:$B$5)</f>
        <v>15956027280.290001</v>
      </c>
      <c r="P20" s="45">
        <f>$N20*AVERAGE('Assumptions&amp;Calculations'!$M$3:$M$5)</f>
        <v>6219234956.5535707</v>
      </c>
      <c r="Q20" s="326"/>
    </row>
    <row r="22" spans="1:17" s="3" customFormat="1" ht="43.2">
      <c r="A22" s="19" t="s">
        <v>571</v>
      </c>
      <c r="B22" s="19" t="s">
        <v>238</v>
      </c>
      <c r="C22" s="19" t="s">
        <v>239</v>
      </c>
      <c r="D22" s="19" t="s">
        <v>240</v>
      </c>
      <c r="E22" s="19" t="s">
        <v>241</v>
      </c>
      <c r="F22" s="19" t="s">
        <v>236</v>
      </c>
      <c r="G22" s="19" t="s">
        <v>237</v>
      </c>
      <c r="H22" s="19" t="s">
        <v>242</v>
      </c>
      <c r="I22" s="19" t="s">
        <v>243</v>
      </c>
      <c r="J22" s="19" t="s">
        <v>244</v>
      </c>
      <c r="K22" s="19" t="s">
        <v>245</v>
      </c>
      <c r="L22" s="19" t="s">
        <v>246</v>
      </c>
      <c r="M22" s="19" t="s">
        <v>247</v>
      </c>
      <c r="N22" s="327" t="s">
        <v>567</v>
      </c>
      <c r="O22" s="327" t="s">
        <v>569</v>
      </c>
      <c r="P22" s="327" t="s">
        <v>568</v>
      </c>
      <c r="Q22" s="32"/>
    </row>
    <row r="23" spans="1:17">
      <c r="A23" s="7" t="s">
        <v>294</v>
      </c>
      <c r="B23" s="43">
        <f>SUM('Total Fuel per Operation (Corn)'!H$4:H$9)</f>
        <v>626912</v>
      </c>
      <c r="C23" s="43">
        <f>SUM('Total Fuel per Operation (Corn)'!I$4:I$9)</f>
        <v>1312432</v>
      </c>
      <c r="D23" s="43">
        <f>SUM('Total Fuel per Operation (Corn)'!J$4:J$9)</f>
        <v>0</v>
      </c>
      <c r="E23" s="43">
        <f>SUM('Total Fuel per Operation (Corn)'!K$4:K$9)</f>
        <v>1315200</v>
      </c>
      <c r="F23" s="43">
        <f>SUM('Total Fuel per Operation (Corn)'!L$4:L$9)</f>
        <v>404272</v>
      </c>
      <c r="G23" s="43">
        <f>SUM('Total Fuel per Operation (Corn)'!M$4:M$9)</f>
        <v>0</v>
      </c>
      <c r="H23" s="43">
        <f>SUM('Total Fuel per Operation (Corn)'!N$4:N$9)</f>
        <v>1160672</v>
      </c>
      <c r="I23" s="43">
        <f>SUM('Total Fuel per Operation (Corn)'!O$4:O$9)</f>
        <v>0</v>
      </c>
      <c r="J23" s="43">
        <f>SUM('Total Fuel per Operation (Corn)'!P$4:P$9)</f>
        <v>0</v>
      </c>
      <c r="K23" s="43">
        <f>SUM('Total Fuel per Operation (Corn)'!Q$4:Q$9)</f>
        <v>724800</v>
      </c>
      <c r="L23" s="43">
        <f>SUM('Total Fuel per Operation (Corn)'!R$4:R$9)</f>
        <v>964800</v>
      </c>
      <c r="M23" s="43">
        <f>SUM('Total Fuel per Operation (Corn)'!S$4:S$9)</f>
        <v>0</v>
      </c>
      <c r="N23" s="45">
        <f>SUM(B23:M23)</f>
        <v>6509088</v>
      </c>
      <c r="O23" s="45">
        <f>$N23*AVERAGE('Assumptions&amp;Calculations'!$B$3:$B$5)</f>
        <v>436477744.32000005</v>
      </c>
      <c r="P23" s="45">
        <f>$N23*AVERAGE('Assumptions&amp;Calculations'!$M$3:$M$5)</f>
        <v>170127413.14285713</v>
      </c>
    </row>
    <row r="24" spans="1:17">
      <c r="A24" s="7" t="s">
        <v>295</v>
      </c>
      <c r="B24" s="43">
        <f>SUM('Total Fuel per Operation (Corn)'!H$10:H$13)</f>
        <v>0</v>
      </c>
      <c r="C24" s="43">
        <f>SUM('Total Fuel per Operation (Corn)'!I$10:I$13)</f>
        <v>12398400</v>
      </c>
      <c r="D24" s="43">
        <f>SUM('Total Fuel per Operation (Corn)'!J$10:J$13)</f>
        <v>0</v>
      </c>
      <c r="E24" s="43">
        <f>SUM('Total Fuel per Operation (Corn)'!K$10:K$13)</f>
        <v>0</v>
      </c>
      <c r="F24" s="43">
        <f>SUM('Total Fuel per Operation (Corn)'!L$10:L$13)</f>
        <v>1089760</v>
      </c>
      <c r="G24" s="43">
        <f>SUM('Total Fuel per Operation (Corn)'!M$10:M$13)</f>
        <v>1478400</v>
      </c>
      <c r="H24" s="43">
        <f>SUM('Total Fuel per Operation (Corn)'!N$10:N$13)</f>
        <v>1920000</v>
      </c>
      <c r="I24" s="43">
        <f>SUM('Total Fuel per Operation (Corn)'!O$10:O$13)</f>
        <v>9000000</v>
      </c>
      <c r="J24" s="43">
        <f>SUM('Total Fuel per Operation (Corn)'!P$10:P$13)</f>
        <v>153216</v>
      </c>
      <c r="K24" s="43">
        <f>SUM('Total Fuel per Operation (Corn)'!Q$10:Q$13)</f>
        <v>216368</v>
      </c>
      <c r="L24" s="43">
        <f>SUM('Total Fuel per Operation (Corn)'!R$10:R$13)</f>
        <v>720176</v>
      </c>
      <c r="M24" s="43">
        <f>SUM('Total Fuel per Operation (Corn)'!S$10:S$13)</f>
        <v>0</v>
      </c>
      <c r="N24" s="45">
        <f t="shared" ref="N24:N39" si="3">SUM(B24:M24)</f>
        <v>26976320</v>
      </c>
      <c r="O24" s="45">
        <f>$N24*AVERAGE('Assumptions&amp;Calculations'!$B$3:$B$5)</f>
        <v>1808942098.1333334</v>
      </c>
      <c r="P24" s="45">
        <f>$N24*AVERAGE('Assumptions&amp;Calculations'!$M$3:$M$5)</f>
        <v>705077506.66666663</v>
      </c>
    </row>
    <row r="25" spans="1:17">
      <c r="A25" s="7" t="s">
        <v>296</v>
      </c>
      <c r="B25" s="43">
        <f>SUM('Total Fuel per Operation (Corn)'!H$14:H$18)</f>
        <v>3379584</v>
      </c>
      <c r="C25" s="43">
        <f>SUM('Total Fuel per Operation (Corn)'!I$14:I$18)</f>
        <v>0</v>
      </c>
      <c r="D25" s="43">
        <f>SUM('Total Fuel per Operation (Corn)'!J$14:J$18)</f>
        <v>0</v>
      </c>
      <c r="E25" s="43">
        <f>SUM('Total Fuel per Operation (Corn)'!K$14:K$18)</f>
        <v>16008000</v>
      </c>
      <c r="F25" s="43">
        <f>SUM('Total Fuel per Operation (Corn)'!L$14:L$18)</f>
        <v>0</v>
      </c>
      <c r="G25" s="43">
        <f>SUM('Total Fuel per Operation (Corn)'!M$14:M$18)</f>
        <v>0</v>
      </c>
      <c r="H25" s="43">
        <f>SUM('Total Fuel per Operation (Corn)'!N$14:N$18)</f>
        <v>3379584</v>
      </c>
      <c r="I25" s="43">
        <f>SUM('Total Fuel per Operation (Corn)'!O$14:O$18)</f>
        <v>0</v>
      </c>
      <c r="J25" s="43">
        <f>SUM('Total Fuel per Operation (Corn)'!P$14:P$18)</f>
        <v>0</v>
      </c>
      <c r="K25" s="43">
        <f>SUM('Total Fuel per Operation (Corn)'!Q$14:Q$18)</f>
        <v>16008000</v>
      </c>
      <c r="L25" s="43">
        <f>SUM('Total Fuel per Operation (Corn)'!R$14:R$18)</f>
        <v>0</v>
      </c>
      <c r="M25" s="43">
        <f>SUM('Total Fuel per Operation (Corn)'!S$14:S$18)</f>
        <v>0</v>
      </c>
      <c r="N25" s="45">
        <f t="shared" si="3"/>
        <v>38775168</v>
      </c>
      <c r="O25" s="45">
        <f>$N25*AVERAGE('Assumptions&amp;Calculations'!$B$3:$B$5)</f>
        <v>2600133515.52</v>
      </c>
      <c r="P25" s="45">
        <f>$N25*AVERAGE('Assumptions&amp;Calculations'!$M$3:$M$5)</f>
        <v>1013462873.1428571</v>
      </c>
    </row>
    <row r="26" spans="1:17">
      <c r="A26" s="7" t="s">
        <v>297</v>
      </c>
      <c r="B26" s="43">
        <f>SUM('Total Fuel per Operation (Corn)'!H$19:H$25)</f>
        <v>1202800</v>
      </c>
      <c r="C26" s="43">
        <f>SUM('Total Fuel per Operation (Corn)'!I$19:I$25)</f>
        <v>0</v>
      </c>
      <c r="D26" s="43">
        <f>SUM('Total Fuel per Operation (Corn)'!J$19:J$25)</f>
        <v>5366400</v>
      </c>
      <c r="E26" s="43">
        <f>SUM('Total Fuel per Operation (Corn)'!K$19:K$25)</f>
        <v>470400</v>
      </c>
      <c r="F26" s="43">
        <f>SUM('Total Fuel per Operation (Corn)'!L$19:L$25)</f>
        <v>0</v>
      </c>
      <c r="G26" s="43">
        <f>SUM('Total Fuel per Operation (Corn)'!M$19:M$25)</f>
        <v>1006304</v>
      </c>
      <c r="H26" s="43">
        <f>SUM('Total Fuel per Operation (Corn)'!N$19:N$25)</f>
        <v>196496</v>
      </c>
      <c r="I26" s="43">
        <f>SUM('Total Fuel per Operation (Corn)'!O$19:O$25)</f>
        <v>0</v>
      </c>
      <c r="J26" s="43">
        <f>SUM('Total Fuel per Operation (Corn)'!P$19:P$25)</f>
        <v>0</v>
      </c>
      <c r="K26" s="43">
        <f>SUM('Total Fuel per Operation (Corn)'!Q$19:Q$25)</f>
        <v>5836800</v>
      </c>
      <c r="L26" s="43">
        <f>SUM('Total Fuel per Operation (Corn)'!R$19:R$25)</f>
        <v>0</v>
      </c>
      <c r="M26" s="43">
        <f>SUM('Total Fuel per Operation (Corn)'!S$19:S$25)</f>
        <v>0</v>
      </c>
      <c r="N26" s="45">
        <f t="shared" si="3"/>
        <v>14079200</v>
      </c>
      <c r="O26" s="45">
        <f>$N26*AVERAGE('Assumptions&amp;Calculations'!$B$3:$B$5)</f>
        <v>944104221.33333337</v>
      </c>
      <c r="P26" s="45">
        <f>$N26*AVERAGE('Assumptions&amp;Calculations'!$M$3:$M$5)</f>
        <v>367986709.52380949</v>
      </c>
    </row>
    <row r="27" spans="1:17">
      <c r="A27" s="7" t="s">
        <v>298</v>
      </c>
      <c r="B27" s="43">
        <f>SUM('Total Fuel per Operation (Corn)'!H$26:H$30)</f>
        <v>845760</v>
      </c>
      <c r="C27" s="43">
        <f>SUM('Total Fuel per Operation (Corn)'!I$26:I$30)</f>
        <v>0</v>
      </c>
      <c r="D27" s="43">
        <f>SUM('Total Fuel per Operation (Corn)'!J$26:J$30)</f>
        <v>0</v>
      </c>
      <c r="E27" s="43">
        <f>SUM('Total Fuel per Operation (Corn)'!K$26:K$30)</f>
        <v>0</v>
      </c>
      <c r="F27" s="43">
        <f>SUM('Total Fuel per Operation (Corn)'!L$26:L$30)</f>
        <v>2529600</v>
      </c>
      <c r="G27" s="43">
        <f>SUM('Total Fuel per Operation (Corn)'!M$26:M$30)</f>
        <v>0</v>
      </c>
      <c r="H27" s="43">
        <f>SUM('Total Fuel per Operation (Corn)'!N$26:N$30)</f>
        <v>0</v>
      </c>
      <c r="I27" s="43">
        <f>SUM('Total Fuel per Operation (Corn)'!O$26:O$30)</f>
        <v>845760</v>
      </c>
      <c r="J27" s="43">
        <f>SUM('Total Fuel per Operation (Corn)'!P$26:P$30)</f>
        <v>0</v>
      </c>
      <c r="K27" s="43">
        <f>SUM('Total Fuel per Operation (Corn)'!Q$26:Q$30)</f>
        <v>2529600</v>
      </c>
      <c r="L27" s="43">
        <f>SUM('Total Fuel per Operation (Corn)'!R$26:R$30)</f>
        <v>0</v>
      </c>
      <c r="M27" s="43">
        <f>SUM('Total Fuel per Operation (Corn)'!S$26:S$30)</f>
        <v>0</v>
      </c>
      <c r="N27" s="45">
        <f t="shared" si="3"/>
        <v>6750720</v>
      </c>
      <c r="O27" s="45">
        <f>$N27*AVERAGE('Assumptions&amp;Calculations'!$B$3:$B$5)</f>
        <v>452680780.80000001</v>
      </c>
      <c r="P27" s="45">
        <f>$N27*AVERAGE('Assumptions&amp;Calculations'!$M$3:$M$5)</f>
        <v>176442925.7142857</v>
      </c>
    </row>
    <row r="28" spans="1:17">
      <c r="A28" s="7" t="s">
        <v>299</v>
      </c>
      <c r="B28" s="43">
        <f>SUM('Total Fuel per Operation (Corn)'!H$31:H$35)</f>
        <v>0</v>
      </c>
      <c r="C28" s="43">
        <f>SUM('Total Fuel per Operation (Corn)'!I$31:I$35)</f>
        <v>0</v>
      </c>
      <c r="D28" s="43">
        <f>SUM('Total Fuel per Operation (Corn)'!J$31:J$35)</f>
        <v>0</v>
      </c>
      <c r="E28" s="43">
        <f>SUM('Total Fuel per Operation (Corn)'!K$31:K$35)</f>
        <v>0</v>
      </c>
      <c r="F28" s="43">
        <f>SUM('Total Fuel per Operation (Corn)'!L$31:L$35)</f>
        <v>2928000</v>
      </c>
      <c r="G28" s="43">
        <f>SUM('Total Fuel per Operation (Corn)'!M$31:M$35)</f>
        <v>0</v>
      </c>
      <c r="H28" s="43">
        <f>SUM('Total Fuel per Operation (Corn)'!N$31:N$35)</f>
        <v>0</v>
      </c>
      <c r="I28" s="43">
        <f>SUM('Total Fuel per Operation (Corn)'!O$31:O$35)</f>
        <v>1363440</v>
      </c>
      <c r="J28" s="43">
        <f>SUM('Total Fuel per Operation (Corn)'!P$31:P$35)</f>
        <v>2928000</v>
      </c>
      <c r="K28" s="43">
        <f>SUM('Total Fuel per Operation (Corn)'!Q$31:Q$35)</f>
        <v>0</v>
      </c>
      <c r="L28" s="43">
        <f>SUM('Total Fuel per Operation (Corn)'!R$31:R$35)</f>
        <v>0</v>
      </c>
      <c r="M28" s="43">
        <f>SUM('Total Fuel per Operation (Corn)'!S$31:S$35)</f>
        <v>1363440</v>
      </c>
      <c r="N28" s="45">
        <f t="shared" si="3"/>
        <v>8582880</v>
      </c>
      <c r="O28" s="45">
        <f>$N28*AVERAGE('Assumptions&amp;Calculations'!$B$3:$B$5)</f>
        <v>575539323.20000005</v>
      </c>
      <c r="P28" s="45">
        <f>$N28*AVERAGE('Assumptions&amp;Calculations'!$M$3:$M$5)</f>
        <v>224329917.14285713</v>
      </c>
    </row>
    <row r="29" spans="1:17">
      <c r="A29" s="7" t="s">
        <v>300</v>
      </c>
      <c r="B29" s="43">
        <f>SUM('Total Fuel per Operation (Corn)'!H$36:H$41)</f>
        <v>2510400</v>
      </c>
      <c r="C29" s="43">
        <f>SUM('Total Fuel per Operation (Corn)'!I$36:I$41)</f>
        <v>0</v>
      </c>
      <c r="D29" s="43">
        <f>SUM('Total Fuel per Operation (Corn)'!J$36:J$41)</f>
        <v>0</v>
      </c>
      <c r="E29" s="43">
        <f>SUM('Total Fuel per Operation (Corn)'!K$36:K$41)</f>
        <v>1645872</v>
      </c>
      <c r="F29" s="43">
        <f>SUM('Total Fuel per Operation (Corn)'!L$36:L$41)</f>
        <v>681600</v>
      </c>
      <c r="G29" s="43">
        <f>SUM('Total Fuel per Operation (Corn)'!M$36:M$41)</f>
        <v>0</v>
      </c>
      <c r="H29" s="43">
        <f>SUM('Total Fuel per Operation (Corn)'!N$36:N$41)</f>
        <v>1259472</v>
      </c>
      <c r="I29" s="43">
        <f>SUM('Total Fuel per Operation (Corn)'!O$36:O$41)</f>
        <v>290400</v>
      </c>
      <c r="J29" s="43">
        <f>SUM('Total Fuel per Operation (Corn)'!P$36:P$41)</f>
        <v>0</v>
      </c>
      <c r="K29" s="43">
        <f>SUM('Total Fuel per Operation (Corn)'!Q$36:Q$41)</f>
        <v>0</v>
      </c>
      <c r="L29" s="43">
        <f>SUM('Total Fuel per Operation (Corn)'!R$36:R$41)</f>
        <v>0</v>
      </c>
      <c r="M29" s="43">
        <f>SUM('Total Fuel per Operation (Corn)'!S$36:S$41)</f>
        <v>0</v>
      </c>
      <c r="N29" s="45">
        <f t="shared" si="3"/>
        <v>6387744</v>
      </c>
      <c r="O29" s="45">
        <f>$N29*AVERAGE('Assumptions&amp;Calculations'!$B$3:$B$5)</f>
        <v>428340820.16000003</v>
      </c>
      <c r="P29" s="45">
        <f>$N29*AVERAGE('Assumptions&amp;Calculations'!$M$3:$M$5)</f>
        <v>166955856.57142857</v>
      </c>
    </row>
    <row r="30" spans="1:17">
      <c r="A30" s="7" t="s">
        <v>301</v>
      </c>
      <c r="B30" s="43">
        <f>SUM('Total Fuel per Operation (Corn)'!H$42:H$46)</f>
        <v>1404336</v>
      </c>
      <c r="C30" s="43">
        <f>SUM('Total Fuel per Operation (Corn)'!I$42:I$46)</f>
        <v>0</v>
      </c>
      <c r="D30" s="43">
        <f>SUM('Total Fuel per Operation (Corn)'!J$42:J$46)</f>
        <v>0</v>
      </c>
      <c r="E30" s="43">
        <f>SUM('Total Fuel per Operation (Corn)'!K$42:K$46)</f>
        <v>1291200</v>
      </c>
      <c r="F30" s="43">
        <f>SUM('Total Fuel per Operation (Corn)'!L$42:L$46)</f>
        <v>0</v>
      </c>
      <c r="G30" s="43">
        <f>SUM('Total Fuel per Operation (Corn)'!M$42:M$46)</f>
        <v>0</v>
      </c>
      <c r="H30" s="43">
        <f>SUM('Total Fuel per Operation (Corn)'!N$42:N$46)</f>
        <v>1404336</v>
      </c>
      <c r="I30" s="43">
        <f>SUM('Total Fuel per Operation (Corn)'!O$42:O$46)</f>
        <v>0</v>
      </c>
      <c r="J30" s="43">
        <f>SUM('Total Fuel per Operation (Corn)'!P$42:P$46)</f>
        <v>0</v>
      </c>
      <c r="K30" s="43">
        <f>SUM('Total Fuel per Operation (Corn)'!Q$42:Q$46)</f>
        <v>1291200</v>
      </c>
      <c r="L30" s="43">
        <f>SUM('Total Fuel per Operation (Corn)'!R$42:R$46)</f>
        <v>0</v>
      </c>
      <c r="M30" s="43">
        <f>SUM('Total Fuel per Operation (Corn)'!S$42:S$46)</f>
        <v>0</v>
      </c>
      <c r="N30" s="45">
        <f t="shared" si="3"/>
        <v>5391072</v>
      </c>
      <c r="O30" s="45">
        <f>$N30*AVERAGE('Assumptions&amp;Calculations'!$B$3:$B$5)</f>
        <v>361507318.08000004</v>
      </c>
      <c r="P30" s="45">
        <f>$N30*AVERAGE('Assumptions&amp;Calculations'!$M$3:$M$5)</f>
        <v>140905935.4285714</v>
      </c>
    </row>
    <row r="31" spans="1:17">
      <c r="A31" s="7" t="s">
        <v>782</v>
      </c>
      <c r="B31" s="43">
        <f>SUM('Total Fuel per Operation (Corn)'!H$47:H$49)</f>
        <v>400352</v>
      </c>
      <c r="C31" s="43">
        <f>SUM('Total Fuel per Operation (Corn)'!I$47:I$49)</f>
        <v>0</v>
      </c>
      <c r="D31" s="43">
        <f>SUM('Total Fuel per Operation (Corn)'!J$47:J$49)</f>
        <v>0</v>
      </c>
      <c r="E31" s="43">
        <f>SUM('Total Fuel per Operation (Corn)'!K$47:K$49)</f>
        <v>705600</v>
      </c>
      <c r="F31" s="43">
        <f>SUM('Total Fuel per Operation (Corn)'!L$47:L$49)</f>
        <v>0</v>
      </c>
      <c r="G31" s="43">
        <f>SUM('Total Fuel per Operation (Corn)'!M$47:M$49)</f>
        <v>0</v>
      </c>
      <c r="H31" s="43">
        <f>SUM('Total Fuel per Operation (Corn)'!N$47:N$49)</f>
        <v>400352</v>
      </c>
      <c r="I31" s="43">
        <f>SUM('Total Fuel per Operation (Corn)'!O$47:O$49)</f>
        <v>0</v>
      </c>
      <c r="J31" s="43">
        <f>SUM('Total Fuel per Operation (Corn)'!P$47:P$49)</f>
        <v>0</v>
      </c>
      <c r="K31" s="43">
        <f>SUM('Total Fuel per Operation (Corn)'!Q$47:Q$49)</f>
        <v>705600</v>
      </c>
      <c r="L31" s="43">
        <f>SUM('Total Fuel per Operation (Corn)'!R$47:R$49)</f>
        <v>0</v>
      </c>
      <c r="M31" s="43">
        <f>SUM('Total Fuel per Operation (Corn)'!S$47:S$49)</f>
        <v>0</v>
      </c>
      <c r="N31" s="45">
        <f t="shared" ref="N31" si="4">SUM(B31:M31)</f>
        <v>2211904</v>
      </c>
      <c r="O31" s="45">
        <f>$N31*AVERAGE('Assumptions&amp;Calculations'!$B$3:$B$5)</f>
        <v>148322909.22666669</v>
      </c>
      <c r="P31" s="45">
        <f>$N31*AVERAGE('Assumptions&amp;Calculations'!$M$3:$M$5)</f>
        <v>57812324.190476187</v>
      </c>
    </row>
    <row r="32" spans="1:17">
      <c r="A32" s="7" t="s">
        <v>302</v>
      </c>
      <c r="B32" s="43">
        <f>SUM('Total Fuel per Operation (Corn)'!H$50:H$51)</f>
        <v>0</v>
      </c>
      <c r="C32" s="43">
        <f>SUM('Total Fuel per Operation (Corn)'!I$50:I$51)</f>
        <v>0</v>
      </c>
      <c r="D32" s="43">
        <f>SUM('Total Fuel per Operation (Corn)'!J$50:J$51)</f>
        <v>0</v>
      </c>
      <c r="E32" s="43">
        <f>SUM('Total Fuel per Operation (Corn)'!K$50:K$51)</f>
        <v>912000</v>
      </c>
      <c r="F32" s="43">
        <f>SUM('Total Fuel per Operation (Corn)'!L$50:L$51)</f>
        <v>0</v>
      </c>
      <c r="G32" s="43">
        <f>SUM('Total Fuel per Operation (Corn)'!M$50:M$51)</f>
        <v>0</v>
      </c>
      <c r="H32" s="43">
        <f>SUM('Total Fuel per Operation (Corn)'!N$50:N$51)</f>
        <v>391520</v>
      </c>
      <c r="I32" s="43">
        <f>SUM('Total Fuel per Operation (Corn)'!O$50:O$51)</f>
        <v>0</v>
      </c>
      <c r="J32" s="43">
        <f>SUM('Total Fuel per Operation (Corn)'!P$50:P$51)</f>
        <v>912000</v>
      </c>
      <c r="K32" s="43">
        <f>SUM('Total Fuel per Operation (Corn)'!Q$50:Q$51)</f>
        <v>0</v>
      </c>
      <c r="L32" s="43">
        <f>SUM('Total Fuel per Operation (Corn)'!R$50:R$51)</f>
        <v>0</v>
      </c>
      <c r="M32" s="43">
        <f>SUM('Total Fuel per Operation (Corn)'!S$50:S$51)</f>
        <v>391520</v>
      </c>
      <c r="N32" s="45">
        <f t="shared" si="3"/>
        <v>2607040</v>
      </c>
      <c r="O32" s="45">
        <f>$N32*AVERAGE('Assumptions&amp;Calculations'!$B$3:$B$5)</f>
        <v>174819412.26666668</v>
      </c>
      <c r="P32" s="45">
        <f>$N32*AVERAGE('Assumptions&amp;Calculations'!$M$3:$M$5)</f>
        <v>68139956.190476179</v>
      </c>
    </row>
    <row r="33" spans="1:17">
      <c r="A33" s="7" t="s">
        <v>303</v>
      </c>
      <c r="B33" s="43">
        <f>SUM('Total Fuel per Operation (Corn)'!H$52:H$57)</f>
        <v>488304</v>
      </c>
      <c r="C33" s="43">
        <f>SUM('Total Fuel per Operation (Corn)'!I$52:I$57)</f>
        <v>0</v>
      </c>
      <c r="D33" s="43">
        <f>SUM('Total Fuel per Operation (Corn)'!J$52:J$57)</f>
        <v>0</v>
      </c>
      <c r="E33" s="43">
        <f>SUM('Total Fuel per Operation (Corn)'!K$52:K$57)</f>
        <v>1051200</v>
      </c>
      <c r="F33" s="43">
        <f>SUM('Total Fuel per Operation (Corn)'!L$52:L$57)</f>
        <v>0</v>
      </c>
      <c r="G33" s="43">
        <f>SUM('Total Fuel per Operation (Corn)'!M$52:M$57)</f>
        <v>0</v>
      </c>
      <c r="H33" s="43">
        <f>SUM('Total Fuel per Operation (Corn)'!N$52:N$57)</f>
        <v>488304</v>
      </c>
      <c r="I33" s="43">
        <f>SUM('Total Fuel per Operation (Corn)'!O$52:O$57)</f>
        <v>0</v>
      </c>
      <c r="J33" s="43">
        <f>SUM('Total Fuel per Operation (Corn)'!P$52:P$57)</f>
        <v>0</v>
      </c>
      <c r="K33" s="43">
        <f>SUM('Total Fuel per Operation (Corn)'!Q$52:Q$57)</f>
        <v>1051200</v>
      </c>
      <c r="L33" s="43">
        <f>SUM('Total Fuel per Operation (Corn)'!R$52:R$57)</f>
        <v>0</v>
      </c>
      <c r="M33" s="43">
        <f>SUM('Total Fuel per Operation (Corn)'!S$52:S$57)</f>
        <v>0</v>
      </c>
      <c r="N33" s="45">
        <f t="shared" si="3"/>
        <v>3079008</v>
      </c>
      <c r="O33" s="45">
        <f>$N33*AVERAGE('Assumptions&amp;Calculations'!$B$3:$B$5)</f>
        <v>206468013.12</v>
      </c>
      <c r="P33" s="45">
        <f>$N33*AVERAGE('Assumptions&amp;Calculations'!$M$3:$M$5)</f>
        <v>80475738.857142851</v>
      </c>
    </row>
    <row r="34" spans="1:17">
      <c r="A34" s="7" t="s">
        <v>304</v>
      </c>
      <c r="B34" s="43">
        <f>SUM('Total Fuel per Operation (Corn)'!H$58:H$60)</f>
        <v>0</v>
      </c>
      <c r="C34" s="43">
        <f>SUM('Total Fuel per Operation (Corn)'!I$58:I$60)</f>
        <v>1051200</v>
      </c>
      <c r="D34" s="43">
        <f>SUM('Total Fuel per Operation (Corn)'!J$58:J$60)</f>
        <v>211200</v>
      </c>
      <c r="E34" s="43">
        <f>SUM('Total Fuel per Operation (Corn)'!K$58:K$60)</f>
        <v>0</v>
      </c>
      <c r="F34" s="43">
        <f>SUM('Total Fuel per Operation (Corn)'!L$58:L$60)</f>
        <v>792432</v>
      </c>
      <c r="G34" s="43">
        <f>SUM('Total Fuel per Operation (Corn)'!M$58:M$60)</f>
        <v>96576</v>
      </c>
      <c r="H34" s="43">
        <f>SUM('Total Fuel per Operation (Corn)'!N$58:N$60)</f>
        <v>0</v>
      </c>
      <c r="I34" s="43">
        <f>SUM('Total Fuel per Operation (Corn)'!O$58:O$60)</f>
        <v>1051200</v>
      </c>
      <c r="J34" s="43">
        <f>SUM('Total Fuel per Operation (Corn)'!P$58:P$60)</f>
        <v>211200</v>
      </c>
      <c r="K34" s="43">
        <f>SUM('Total Fuel per Operation (Corn)'!Q$58:Q$60)</f>
        <v>0</v>
      </c>
      <c r="L34" s="43">
        <f>SUM('Total Fuel per Operation (Corn)'!R$58:R$60)</f>
        <v>792432</v>
      </c>
      <c r="M34" s="43">
        <f>SUM('Total Fuel per Operation (Corn)'!S$58:S$60)</f>
        <v>96576</v>
      </c>
      <c r="N34" s="45">
        <f t="shared" si="3"/>
        <v>4302816</v>
      </c>
      <c r="O34" s="45">
        <f>$N34*AVERAGE('Assumptions&amp;Calculations'!$B$3:$B$5)</f>
        <v>288532498.24000001</v>
      </c>
      <c r="P34" s="45">
        <f>$N34*AVERAGE('Assumptions&amp;Calculations'!$M$3:$M$5)</f>
        <v>112462291.99999999</v>
      </c>
    </row>
    <row r="35" spans="1:17">
      <c r="A35" s="7" t="s">
        <v>305</v>
      </c>
      <c r="B35" s="43">
        <f>SUM('Total Fuel per Operation (Corn)'!H$61:H$65)</f>
        <v>1266560</v>
      </c>
      <c r="C35" s="43">
        <f>SUM('Total Fuel per Operation (Corn)'!I$61:I$65)</f>
        <v>6413648</v>
      </c>
      <c r="D35" s="43">
        <f>SUM('Total Fuel per Operation (Corn)'!J$61:J$65)</f>
        <v>0</v>
      </c>
      <c r="E35" s="43">
        <f>SUM('Total Fuel per Operation (Corn)'!K$61:K$65)</f>
        <v>0</v>
      </c>
      <c r="F35" s="43">
        <f>SUM('Total Fuel per Operation (Corn)'!L$61:L$65)</f>
        <v>2501008</v>
      </c>
      <c r="G35" s="43">
        <f>SUM('Total Fuel per Operation (Corn)'!M$61:M$65)</f>
        <v>0</v>
      </c>
      <c r="H35" s="43">
        <f>SUM('Total Fuel per Operation (Corn)'!N$61:N$65)</f>
        <v>0</v>
      </c>
      <c r="I35" s="43">
        <f>SUM('Total Fuel per Operation (Corn)'!O$61:O$65)</f>
        <v>0</v>
      </c>
      <c r="J35" s="43">
        <f>SUM('Total Fuel per Operation (Corn)'!P$61:P$65)</f>
        <v>0</v>
      </c>
      <c r="K35" s="43">
        <f>SUM('Total Fuel per Operation (Corn)'!Q$61:Q$65)</f>
        <v>2251200</v>
      </c>
      <c r="L35" s="43">
        <f>SUM('Total Fuel per Operation (Corn)'!R$61:R$65)</f>
        <v>2928000</v>
      </c>
      <c r="M35" s="43">
        <f>SUM('Total Fuel per Operation (Corn)'!S$61:S$65)</f>
        <v>0</v>
      </c>
      <c r="N35" s="45">
        <f t="shared" si="3"/>
        <v>15360416</v>
      </c>
      <c r="O35" s="45">
        <f>$N35*AVERAGE('Assumptions&amp;Calculations'!$B$3:$B$5)</f>
        <v>1030018295.5733334</v>
      </c>
      <c r="P35" s="45">
        <f>$N35*AVERAGE('Assumptions&amp;Calculations'!$M$3:$M$5)</f>
        <v>401473730.09523803</v>
      </c>
    </row>
    <row r="36" spans="1:17">
      <c r="A36" s="7" t="s">
        <v>306</v>
      </c>
      <c r="B36" s="43">
        <f>SUM('Total Fuel per Operation (Corn)'!H$66:H$70)</f>
        <v>1756800</v>
      </c>
      <c r="C36" s="43">
        <f>SUM('Total Fuel per Operation (Corn)'!I$66:I$70)</f>
        <v>0</v>
      </c>
      <c r="D36" s="43">
        <f>SUM('Total Fuel per Operation (Corn)'!J$66:J$70)</f>
        <v>0</v>
      </c>
      <c r="E36" s="43">
        <f>SUM('Total Fuel per Operation (Corn)'!K$66:K$70)</f>
        <v>895616</v>
      </c>
      <c r="F36" s="43">
        <f>SUM('Total Fuel per Operation (Corn)'!L$66:L$70)</f>
        <v>0</v>
      </c>
      <c r="G36" s="43">
        <f>SUM('Total Fuel per Operation (Corn)'!M$66:M$70)</f>
        <v>0</v>
      </c>
      <c r="H36" s="43">
        <f>SUM('Total Fuel per Operation (Corn)'!N$66:N$70)</f>
        <v>1756800</v>
      </c>
      <c r="I36" s="43">
        <f>SUM('Total Fuel per Operation (Corn)'!O$66:O$70)</f>
        <v>0</v>
      </c>
      <c r="J36" s="43">
        <f>SUM('Total Fuel per Operation (Corn)'!P$66:P$70)</f>
        <v>0</v>
      </c>
      <c r="K36" s="43">
        <f>SUM('Total Fuel per Operation (Corn)'!Q$66:Q$70)</f>
        <v>895616</v>
      </c>
      <c r="L36" s="43">
        <f>SUM('Total Fuel per Operation (Corn)'!R$66:R$70)</f>
        <v>0</v>
      </c>
      <c r="M36" s="43">
        <f>SUM('Total Fuel per Operation (Corn)'!S$66:S$70)</f>
        <v>0</v>
      </c>
      <c r="N36" s="45">
        <f t="shared" si="3"/>
        <v>5304832</v>
      </c>
      <c r="O36" s="45">
        <f>$N36*AVERAGE('Assumptions&amp;Calculations'!$B$3:$B$5)</f>
        <v>355724351.14666671</v>
      </c>
      <c r="P36" s="45">
        <f>$N36*AVERAGE('Assumptions&amp;Calculations'!$M$3:$M$5)</f>
        <v>138651888.76190475</v>
      </c>
    </row>
    <row r="37" spans="1:17">
      <c r="A37" s="7" t="s">
        <v>307</v>
      </c>
      <c r="B37" s="43">
        <f>SUM('Total Fuel per Operation (Corn)'!H$71:H$74)</f>
        <v>0</v>
      </c>
      <c r="C37" s="43">
        <f>SUM('Total Fuel per Operation (Corn)'!I$71:I$74)</f>
        <v>0</v>
      </c>
      <c r="D37" s="43">
        <f>SUM('Total Fuel per Operation (Corn)'!J$71:J$74)</f>
        <v>0</v>
      </c>
      <c r="E37" s="43">
        <f>SUM('Total Fuel per Operation (Corn)'!K$71:K$74)</f>
        <v>4219200</v>
      </c>
      <c r="F37" s="43">
        <f>SUM('Total Fuel per Operation (Corn)'!L$71:L$74)</f>
        <v>0</v>
      </c>
      <c r="G37" s="43">
        <f>SUM('Total Fuel per Operation (Corn)'!M$71:M$74)</f>
        <v>0</v>
      </c>
      <c r="H37" s="43">
        <f>SUM('Total Fuel per Operation (Corn)'!N$71:N$74)</f>
        <v>2405584</v>
      </c>
      <c r="I37" s="43">
        <f>SUM('Total Fuel per Operation (Corn)'!O$71:O$74)</f>
        <v>0</v>
      </c>
      <c r="J37" s="43">
        <f>SUM('Total Fuel per Operation (Corn)'!P$71:P$74)</f>
        <v>4219200</v>
      </c>
      <c r="K37" s="43">
        <f>SUM('Total Fuel per Operation (Corn)'!Q$71:Q$74)</f>
        <v>0</v>
      </c>
      <c r="L37" s="43">
        <f>SUM('Total Fuel per Operation (Corn)'!R$71:R$74)</f>
        <v>0</v>
      </c>
      <c r="M37" s="43">
        <f>SUM('Total Fuel per Operation (Corn)'!S$71:S$74)</f>
        <v>2405584</v>
      </c>
      <c r="N37" s="45">
        <f t="shared" si="3"/>
        <v>13249568</v>
      </c>
      <c r="O37" s="45">
        <f>$N37*AVERAGE('Assumptions&amp;Calculations'!$B$3:$B$5)</f>
        <v>888471864.85333335</v>
      </c>
      <c r="P37" s="45">
        <f>$N37*AVERAGE('Assumptions&amp;Calculations'!$M$3:$M$5)</f>
        <v>346302696.9523809</v>
      </c>
    </row>
    <row r="38" spans="1:17">
      <c r="A38" s="7" t="s">
        <v>308</v>
      </c>
      <c r="B38" s="43">
        <f>SUM('Total Fuel per Operation (Corn)'!H$75:H$79)</f>
        <v>0</v>
      </c>
      <c r="C38" s="43">
        <f>SUM('Total Fuel per Operation (Corn)'!I$75:I$79)</f>
        <v>763456</v>
      </c>
      <c r="D38" s="43">
        <f>SUM('Total Fuel per Operation (Corn)'!J$75:J$79)</f>
        <v>0</v>
      </c>
      <c r="E38" s="43">
        <f>SUM('Total Fuel per Operation (Corn)'!K$75:K$79)</f>
        <v>0</v>
      </c>
      <c r="F38" s="43">
        <f>SUM('Total Fuel per Operation (Corn)'!L$75:L$79)</f>
        <v>2112000</v>
      </c>
      <c r="G38" s="43">
        <f>SUM('Total Fuel per Operation (Corn)'!M$75:M$79)</f>
        <v>0</v>
      </c>
      <c r="H38" s="43">
        <f>SUM('Total Fuel per Operation (Corn)'!N$75:N$79)</f>
        <v>0</v>
      </c>
      <c r="I38" s="43">
        <f>SUM('Total Fuel per Operation (Corn)'!O$75:O$79)</f>
        <v>763456</v>
      </c>
      <c r="J38" s="43">
        <f>SUM('Total Fuel per Operation (Corn)'!P$75:P$79)</f>
        <v>0</v>
      </c>
      <c r="K38" s="43">
        <f>SUM('Total Fuel per Operation (Corn)'!Q$75:Q$79)</f>
        <v>0</v>
      </c>
      <c r="L38" s="43">
        <f>SUM('Total Fuel per Operation (Corn)'!R$75:R$79)</f>
        <v>2112000</v>
      </c>
      <c r="M38" s="43">
        <f>SUM('Total Fuel per Operation (Corn)'!S$75:S$79)</f>
        <v>0</v>
      </c>
      <c r="N38" s="45">
        <f t="shared" si="3"/>
        <v>5750912</v>
      </c>
      <c r="O38" s="45">
        <f>$N38*AVERAGE('Assumptions&amp;Calculations'!$B$3:$B$5)</f>
        <v>385636989.01333338</v>
      </c>
      <c r="P38" s="45">
        <f>$N38*AVERAGE('Assumptions&amp;Calculations'!$M$3:$M$5)</f>
        <v>150311039.23809522</v>
      </c>
    </row>
    <row r="39" spans="1:17">
      <c r="A39" s="7" t="s">
        <v>309</v>
      </c>
      <c r="B39" s="43">
        <f>SUM('Total Fuel per Operation (Corn)'!H$80:H$82)</f>
        <v>0</v>
      </c>
      <c r="C39" s="43">
        <f>SUM('Total Fuel per Operation (Corn)'!I$80:I$82)</f>
        <v>0</v>
      </c>
      <c r="D39" s="43">
        <f>SUM('Total Fuel per Operation (Corn)'!J$80:J$82)</f>
        <v>120000</v>
      </c>
      <c r="E39" s="43">
        <f>SUM('Total Fuel per Operation (Corn)'!K$80:K$82)</f>
        <v>31152</v>
      </c>
      <c r="F39" s="43">
        <f>SUM('Total Fuel per Operation (Corn)'!L$80:L$82)</f>
        <v>0</v>
      </c>
      <c r="G39" s="43">
        <f>SUM('Total Fuel per Operation (Corn)'!M$80:M$82)</f>
        <v>0</v>
      </c>
      <c r="H39" s="43">
        <f>SUM('Total Fuel per Operation (Corn)'!N$80:N$82)</f>
        <v>120000</v>
      </c>
      <c r="I39" s="43">
        <f>SUM('Total Fuel per Operation (Corn)'!O$80:O$82)</f>
        <v>0</v>
      </c>
      <c r="J39" s="43">
        <f>SUM('Total Fuel per Operation (Corn)'!P$80:P$82)</f>
        <v>31152</v>
      </c>
      <c r="K39" s="43">
        <f>SUM('Total Fuel per Operation (Corn)'!Q$80:Q$82)</f>
        <v>0</v>
      </c>
      <c r="L39" s="43">
        <f>SUM('Total Fuel per Operation (Corn)'!R$80:R$82)</f>
        <v>0</v>
      </c>
      <c r="M39" s="43">
        <f>SUM('Total Fuel per Operation (Corn)'!S$80:S$82)</f>
        <v>151152</v>
      </c>
      <c r="N39" s="45">
        <f t="shared" si="3"/>
        <v>453456</v>
      </c>
      <c r="O39" s="45">
        <f>$N39*AVERAGE('Assumptions&amp;Calculations'!$B$3:$B$5)</f>
        <v>30407247.840000004</v>
      </c>
      <c r="P39" s="45">
        <f>$N39*AVERAGE('Assumptions&amp;Calculations'!$M$3:$M$5)</f>
        <v>11851936.285714284</v>
      </c>
    </row>
    <row r="40" spans="1:17" s="46" customFormat="1" ht="28.8">
      <c r="A40" s="44" t="s">
        <v>311</v>
      </c>
      <c r="B40" s="45">
        <f>SUM(B23:B39)</f>
        <v>13881808</v>
      </c>
      <c r="C40" s="45">
        <f t="shared" ref="C40:N40" si="5">SUM(C23:C39)</f>
        <v>21939136</v>
      </c>
      <c r="D40" s="45">
        <f t="shared" si="5"/>
        <v>5697600</v>
      </c>
      <c r="E40" s="45">
        <f t="shared" si="5"/>
        <v>28545440</v>
      </c>
      <c r="F40" s="45">
        <f t="shared" si="5"/>
        <v>13038672</v>
      </c>
      <c r="G40" s="45">
        <f t="shared" si="5"/>
        <v>2581280</v>
      </c>
      <c r="H40" s="45">
        <f t="shared" si="5"/>
        <v>14883120</v>
      </c>
      <c r="I40" s="45">
        <f t="shared" si="5"/>
        <v>13314256</v>
      </c>
      <c r="J40" s="45">
        <f t="shared" si="5"/>
        <v>8454768</v>
      </c>
      <c r="K40" s="45">
        <f t="shared" si="5"/>
        <v>31510384</v>
      </c>
      <c r="L40" s="45">
        <f t="shared" si="5"/>
        <v>7517408</v>
      </c>
      <c r="M40" s="45">
        <f t="shared" si="5"/>
        <v>4408272</v>
      </c>
      <c r="N40" s="45">
        <f t="shared" si="5"/>
        <v>165772144</v>
      </c>
      <c r="O40" s="45">
        <f>N40*AVERAGE('Assumptions&amp;Calculations'!$B$3:$B$5)</f>
        <v>11116127402.826668</v>
      </c>
      <c r="P40" s="45">
        <f>$N40*AVERAGE('Assumptions&amp;Calculations'!$M$3:$M$5)</f>
        <v>4332770739.9047613</v>
      </c>
      <c r="Q40" s="326"/>
    </row>
    <row r="42" spans="1:17" s="3" customFormat="1" ht="43.2">
      <c r="A42" s="19" t="s">
        <v>266</v>
      </c>
      <c r="B42" s="19" t="s">
        <v>238</v>
      </c>
      <c r="C42" s="19" t="s">
        <v>239</v>
      </c>
      <c r="D42" s="19" t="s">
        <v>240</v>
      </c>
      <c r="E42" s="19" t="s">
        <v>241</v>
      </c>
      <c r="F42" s="19" t="s">
        <v>236</v>
      </c>
      <c r="G42" s="19" t="s">
        <v>237</v>
      </c>
      <c r="H42" s="19" t="s">
        <v>242</v>
      </c>
      <c r="I42" s="19" t="s">
        <v>243</v>
      </c>
      <c r="J42" s="19" t="s">
        <v>244</v>
      </c>
      <c r="K42" s="19" t="s">
        <v>245</v>
      </c>
      <c r="L42" s="19" t="s">
        <v>246</v>
      </c>
      <c r="M42" s="19" t="s">
        <v>247</v>
      </c>
      <c r="N42" s="327" t="s">
        <v>567</v>
      </c>
      <c r="O42" s="327" t="s">
        <v>569</v>
      </c>
      <c r="P42" s="327" t="s">
        <v>568</v>
      </c>
      <c r="Q42" s="32"/>
    </row>
    <row r="43" spans="1:17">
      <c r="A43" s="7" t="s">
        <v>294</v>
      </c>
      <c r="B43" s="43">
        <f>SUM('Total Fuel per Operation (HVC)'!L$4:L$9)</f>
        <v>139410</v>
      </c>
      <c r="C43" s="43">
        <f>SUM('Total Fuel per Operation (HVC)'!M$4:M$9)</f>
        <v>0</v>
      </c>
      <c r="D43" s="43">
        <f>SUM('Total Fuel per Operation (HVC)'!N$4:N$9)</f>
        <v>0</v>
      </c>
      <c r="E43" s="43">
        <f>SUM('Total Fuel per Operation (HVC)'!O$4:O$9)</f>
        <v>0</v>
      </c>
      <c r="F43" s="43">
        <f>SUM('Total Fuel per Operation (HVC)'!P$4:P$9)</f>
        <v>258862</v>
      </c>
      <c r="G43" s="43">
        <f>SUM('Total Fuel per Operation (HVC)'!Q$4:Q$9)</f>
        <v>153472</v>
      </c>
      <c r="H43" s="43">
        <f>SUM('Total Fuel per Operation (HVC)'!R$4:R$9)</f>
        <v>139410</v>
      </c>
      <c r="I43" s="43">
        <f>SUM('Total Fuel per Operation (HVC)'!S$4:S$9)</f>
        <v>0</v>
      </c>
      <c r="J43" s="43">
        <f>SUM('Total Fuel per Operation (HVC)'!T$4:T$9)</f>
        <v>8220</v>
      </c>
      <c r="K43" s="43">
        <f>SUM('Total Fuel per Operation (HVC)'!U$4:U$9)</f>
        <v>24384</v>
      </c>
      <c r="L43" s="43">
        <f>SUM('Total Fuel per Operation (HVC)'!V$4:V$9)</f>
        <v>281407</v>
      </c>
      <c r="M43" s="43">
        <f>SUM('Total Fuel per Operation (HVC)'!W$4:W$9)</f>
        <v>153472</v>
      </c>
      <c r="N43" s="45">
        <f>SUM(B43:M43)</f>
        <v>1158637</v>
      </c>
      <c r="O43" s="45">
        <f>$N43*AVERAGE('Assumptions&amp;Calculations'!$B$3:$B$5)</f>
        <v>77694335.096666679</v>
      </c>
      <c r="P43" s="45">
        <f>$N43*AVERAGE('Assumptions&amp;Calculations'!$M$3:$M$5)</f>
        <v>30283184.922619045</v>
      </c>
    </row>
    <row r="44" spans="1:17">
      <c r="A44" s="7" t="s">
        <v>295</v>
      </c>
      <c r="B44" s="43">
        <f>SUM('Total Fuel per Operation (HVC)'!L$10:L$13)</f>
        <v>0</v>
      </c>
      <c r="C44" s="43">
        <f>SUM('Total Fuel per Operation (HVC)'!M$10:M$13)</f>
        <v>0</v>
      </c>
      <c r="D44" s="43">
        <f>SUM('Total Fuel per Operation (HVC)'!N$10:N$13)</f>
        <v>0</v>
      </c>
      <c r="E44" s="43">
        <f>SUM('Total Fuel per Operation (HVC)'!O$10:O$13)</f>
        <v>0</v>
      </c>
      <c r="F44" s="43">
        <f>SUM('Total Fuel per Operation (HVC)'!P$10:P$13)</f>
        <v>498706</v>
      </c>
      <c r="G44" s="43">
        <f>SUM('Total Fuel per Operation (HVC)'!Q$10:Q$13)</f>
        <v>373696</v>
      </c>
      <c r="H44" s="43">
        <f>SUM('Total Fuel per Operation (HVC)'!R$10:R$13)</f>
        <v>176670</v>
      </c>
      <c r="I44" s="43">
        <f>SUM('Total Fuel per Operation (HVC)'!S$10:S$13)</f>
        <v>0</v>
      </c>
      <c r="J44" s="43">
        <f>SUM('Total Fuel per Operation (HVC)'!T$10:T$13)</f>
        <v>0</v>
      </c>
      <c r="K44" s="43">
        <f>SUM('Total Fuel per Operation (HVC)'!U$10:U$13)</f>
        <v>498706</v>
      </c>
      <c r="L44" s="43">
        <f>SUM('Total Fuel per Operation (HVC)'!V$10:V$13)</f>
        <v>373696</v>
      </c>
      <c r="M44" s="43">
        <f>SUM('Total Fuel per Operation (HVC)'!W$10:W$13)</f>
        <v>176670</v>
      </c>
      <c r="N44" s="45">
        <f t="shared" ref="N44:N59" si="6">SUM(B44:M44)</f>
        <v>2098144</v>
      </c>
      <c r="O44" s="45">
        <f>$N44*AVERAGE('Assumptions&amp;Calculations'!$B$3:$B$5)</f>
        <v>140694542.82666668</v>
      </c>
      <c r="P44" s="45">
        <f>$N44*AVERAGE('Assumptions&amp;Calculations'!$M$3:$M$5)</f>
        <v>54838989.904761896</v>
      </c>
    </row>
    <row r="45" spans="1:17">
      <c r="A45" s="7" t="s">
        <v>296</v>
      </c>
      <c r="B45" s="43">
        <f>SUM('Total Fuel per Operation (HVC)'!L$14:L$18)</f>
        <v>608746</v>
      </c>
      <c r="C45" s="43">
        <f>SUM('Total Fuel per Operation (HVC)'!M$14:M$18)</f>
        <v>15616</v>
      </c>
      <c r="D45" s="43">
        <f>SUM('Total Fuel per Operation (HVC)'!N$14:N$18)</f>
        <v>4374526</v>
      </c>
      <c r="E45" s="43">
        <f>SUM('Total Fuel per Operation (HVC)'!O$14:O$18)</f>
        <v>15616</v>
      </c>
      <c r="F45" s="43">
        <f>SUM('Total Fuel per Operation (HVC)'!P$14:P$18)</f>
        <v>3765780</v>
      </c>
      <c r="G45" s="43">
        <f>SUM('Total Fuel per Operation (HVC)'!Q$14:Q$18)</f>
        <v>608746</v>
      </c>
      <c r="H45" s="43">
        <f>SUM('Total Fuel per Operation (HVC)'!R$14:R$18)</f>
        <v>15616</v>
      </c>
      <c r="I45" s="43">
        <f>SUM('Total Fuel per Operation (HVC)'!S$14:S$18)</f>
        <v>3765780</v>
      </c>
      <c r="J45" s="43">
        <f>SUM('Total Fuel per Operation (HVC)'!T$14:T$18)</f>
        <v>0</v>
      </c>
      <c r="K45" s="43">
        <f>SUM('Total Fuel per Operation (HVC)'!U$14:U$18)</f>
        <v>608746</v>
      </c>
      <c r="L45" s="43">
        <f>SUM('Total Fuel per Operation (HVC)'!V$14:V$18)</f>
        <v>15616</v>
      </c>
      <c r="M45" s="43">
        <f>SUM('Total Fuel per Operation (HVC)'!W$14:W$18)</f>
        <v>3765780</v>
      </c>
      <c r="N45" s="45">
        <f t="shared" si="6"/>
        <v>17560568</v>
      </c>
      <c r="O45" s="45">
        <f>$N45*AVERAGE('Assumptions&amp;Calculations'!$B$3:$B$5)</f>
        <v>1177553154.8533335</v>
      </c>
      <c r="P45" s="45">
        <f>$N45*AVERAGE('Assumptions&amp;Calculations'!$M$3:$M$5)</f>
        <v>458978893.38095236</v>
      </c>
    </row>
    <row r="46" spans="1:17">
      <c r="A46" s="7" t="s">
        <v>297</v>
      </c>
      <c r="B46" s="43">
        <f>SUM('Total Fuel per Operation (HVC)'!L$19:L$25)</f>
        <v>92241</v>
      </c>
      <c r="C46" s="43">
        <f>SUM('Total Fuel per Operation (HVC)'!M$19:M$25)</f>
        <v>69696</v>
      </c>
      <c r="D46" s="43">
        <f>SUM('Total Fuel per Operation (HVC)'!N$19:N$25)</f>
        <v>75501</v>
      </c>
      <c r="E46" s="43">
        <f>SUM('Total Fuel per Operation (HVC)'!O$19:O$25)</f>
        <v>69696</v>
      </c>
      <c r="F46" s="43">
        <f>SUM('Total Fuel per Operation (HVC)'!P$19:P$25)</f>
        <v>519893</v>
      </c>
      <c r="G46" s="43">
        <f>SUM('Total Fuel per Operation (HVC)'!Q$19:Q$25)</f>
        <v>559364</v>
      </c>
      <c r="H46" s="43">
        <f>SUM('Total Fuel per Operation (HVC)'!R$19:R$25)</f>
        <v>155196</v>
      </c>
      <c r="I46" s="43">
        <f>SUM('Total Fuel per Operation (HVC)'!S$19:S$25)</f>
        <v>2025</v>
      </c>
      <c r="J46" s="43">
        <f>SUM('Total Fuel per Operation (HVC)'!T$19:T$25)</f>
        <v>0</v>
      </c>
      <c r="K46" s="43">
        <f>SUM('Total Fuel per Operation (HVC)'!U$19:U$25)</f>
        <v>489488</v>
      </c>
      <c r="L46" s="43">
        <f>SUM('Total Fuel per Operation (HVC)'!V$19:V$25)</f>
        <v>560864</v>
      </c>
      <c r="M46" s="43">
        <f>SUM('Total Fuel per Operation (HVC)'!W$19:W$25)</f>
        <v>165336</v>
      </c>
      <c r="N46" s="45">
        <f t="shared" si="6"/>
        <v>2759300</v>
      </c>
      <c r="O46" s="45">
        <f>$N46*AVERAGE('Assumptions&amp;Calculations'!$B$3:$B$5)</f>
        <v>185029460.33333334</v>
      </c>
      <c r="P46" s="45">
        <f>$N46*AVERAGE('Assumptions&amp;Calculations'!$M$3:$M$5)</f>
        <v>72119561.309523806</v>
      </c>
    </row>
    <row r="47" spans="1:17">
      <c r="A47" s="7" t="s">
        <v>298</v>
      </c>
      <c r="B47" s="43">
        <f>SUM('Total Fuel per Operation (HVC)'!L$26:L$30)</f>
        <v>417030</v>
      </c>
      <c r="C47" s="43">
        <f>SUM('Total Fuel per Operation (HVC)'!M$26:M$30)</f>
        <v>305280</v>
      </c>
      <c r="D47" s="43">
        <f>SUM('Total Fuel per Operation (HVC)'!N$26:N$30)</f>
        <v>441150</v>
      </c>
      <c r="E47" s="43">
        <f>SUM('Total Fuel per Operation (HVC)'!O$26:O$30)</f>
        <v>305280</v>
      </c>
      <c r="F47" s="43">
        <f>SUM('Total Fuel per Operation (HVC)'!P$26:P$30)</f>
        <v>641242</v>
      </c>
      <c r="G47" s="43">
        <f>SUM('Total Fuel per Operation (HVC)'!Q$26:Q$30)</f>
        <v>811552</v>
      </c>
      <c r="H47" s="43">
        <f>SUM('Total Fuel per Operation (HVC)'!R$26:R$30)</f>
        <v>470700</v>
      </c>
      <c r="I47" s="43">
        <f>SUM('Total Fuel per Operation (HVC)'!S$26:S$30)</f>
        <v>113310</v>
      </c>
      <c r="J47" s="43">
        <f>SUM('Total Fuel per Operation (HVC)'!T$26:T$30)</f>
        <v>0</v>
      </c>
      <c r="K47" s="43">
        <f>SUM('Total Fuel per Operation (HVC)'!U$26:U$30)</f>
        <v>519152</v>
      </c>
      <c r="L47" s="43">
        <f>SUM('Total Fuel per Operation (HVC)'!V$26:V$30)</f>
        <v>806572</v>
      </c>
      <c r="M47" s="43">
        <f>SUM('Total Fuel per Operation (HVC)'!W$26:W$30)</f>
        <v>508580</v>
      </c>
      <c r="N47" s="45">
        <f t="shared" si="6"/>
        <v>5339848</v>
      </c>
      <c r="O47" s="45">
        <f>$N47*AVERAGE('Assumptions&amp;Calculations'!$B$3:$B$5)</f>
        <v>358072407.38666672</v>
      </c>
      <c r="P47" s="45">
        <f>$N47*AVERAGE('Assumptions&amp;Calculations'!$M$3:$M$5)</f>
        <v>139567098.61904761</v>
      </c>
    </row>
    <row r="48" spans="1:17">
      <c r="A48" s="7" t="s">
        <v>299</v>
      </c>
      <c r="B48" s="43">
        <f>SUM('Total Fuel per Operation (HVC)'!L$31:L$35)</f>
        <v>110475</v>
      </c>
      <c r="C48" s="43">
        <f>SUM('Total Fuel per Operation (HVC)'!M$31:M$35)</f>
        <v>0</v>
      </c>
      <c r="D48" s="43">
        <f>SUM('Total Fuel per Operation (HVC)'!N$31:N$35)</f>
        <v>0</v>
      </c>
      <c r="E48" s="43">
        <f>SUM('Total Fuel per Operation (HVC)'!O$31:O$35)</f>
        <v>0</v>
      </c>
      <c r="F48" s="43">
        <f>SUM('Total Fuel per Operation (HVC)'!P$31:P$35)</f>
        <v>64130</v>
      </c>
      <c r="G48" s="43">
        <f>SUM('Total Fuel per Operation (HVC)'!Q$31:Q$35)</f>
        <v>1280</v>
      </c>
      <c r="H48" s="43">
        <f>SUM('Total Fuel per Operation (HVC)'!R$31:R$35)</f>
        <v>203625</v>
      </c>
      <c r="I48" s="43">
        <f>SUM('Total Fuel per Operation (HVC)'!S$31:S$35)</f>
        <v>0</v>
      </c>
      <c r="J48" s="43">
        <f>SUM('Total Fuel per Operation (HVC)'!T$31:T$35)</f>
        <v>0</v>
      </c>
      <c r="K48" s="43">
        <f>SUM('Total Fuel per Operation (HVC)'!U$31:U$35)</f>
        <v>35370</v>
      </c>
      <c r="L48" s="43">
        <f>SUM('Total Fuel per Operation (HVC)'!V$31:V$35)</f>
        <v>28760</v>
      </c>
      <c r="M48" s="43">
        <f>SUM('Total Fuel per Operation (HVC)'!W$31:W$35)</f>
        <v>94430</v>
      </c>
      <c r="N48" s="45">
        <f t="shared" si="6"/>
        <v>538070</v>
      </c>
      <c r="O48" s="45">
        <f>$N48*AVERAGE('Assumptions&amp;Calculations'!$B$3:$B$5)</f>
        <v>36081180.633333333</v>
      </c>
      <c r="P48" s="45">
        <f>$N48*AVERAGE('Assumptions&amp;Calculations'!$M$3:$M$5)</f>
        <v>14063484.345238093</v>
      </c>
    </row>
    <row r="49" spans="1:17">
      <c r="A49" s="7" t="s">
        <v>300</v>
      </c>
      <c r="B49" s="43">
        <f>SUM('Total Fuel per Operation (HVC)'!L$36:L$41)</f>
        <v>202959</v>
      </c>
      <c r="C49" s="43">
        <f>SUM('Total Fuel per Operation (HVC)'!M$36:M$41)</f>
        <v>50304</v>
      </c>
      <c r="D49" s="43">
        <f>SUM('Total Fuel per Operation (HVC)'!N$36:N$41)</f>
        <v>106254</v>
      </c>
      <c r="E49" s="43">
        <f>SUM('Total Fuel per Operation (HVC)'!O$36:O$41)</f>
        <v>50304</v>
      </c>
      <c r="F49" s="43">
        <f>SUM('Total Fuel per Operation (HVC)'!P$36:P$41)</f>
        <v>201738</v>
      </c>
      <c r="G49" s="43">
        <f>SUM('Total Fuel per Operation (HVC)'!Q$36:Q$41)</f>
        <v>198432</v>
      </c>
      <c r="H49" s="43">
        <f>SUM('Total Fuel per Operation (HVC)'!R$36:R$41)</f>
        <v>197679</v>
      </c>
      <c r="I49" s="43">
        <f>SUM('Total Fuel per Operation (HVC)'!S$36:S$41)</f>
        <v>50670</v>
      </c>
      <c r="J49" s="43">
        <f>SUM('Total Fuel per Operation (HVC)'!T$36:T$41)</f>
        <v>137764</v>
      </c>
      <c r="K49" s="43">
        <f>SUM('Total Fuel per Operation (HVC)'!U$36:U$41)</f>
        <v>187168</v>
      </c>
      <c r="L49" s="43">
        <f>SUM('Total Fuel per Operation (HVC)'!V$36:V$41)</f>
        <v>325437</v>
      </c>
      <c r="M49" s="43">
        <f>SUM('Total Fuel per Operation (HVC)'!W$36:W$41)</f>
        <v>193518</v>
      </c>
      <c r="N49" s="45">
        <f t="shared" si="6"/>
        <v>1902227</v>
      </c>
      <c r="O49" s="45">
        <f>$N49*AVERAGE('Assumptions&amp;Calculations'!$B$3:$B$5)</f>
        <v>127557001.86333334</v>
      </c>
      <c r="P49" s="45">
        <f>$N49*AVERAGE('Assumptions&amp;Calculations'!$M$3:$M$5)</f>
        <v>49718325.934523806</v>
      </c>
    </row>
    <row r="50" spans="1:17">
      <c r="A50" s="7" t="s">
        <v>301</v>
      </c>
      <c r="B50" s="43">
        <f>SUM('Total Fuel per Operation (HVC)'!L$42:L$46)</f>
        <v>86940</v>
      </c>
      <c r="C50" s="43">
        <f>SUM('Total Fuel per Operation (HVC)'!M$42:M$46)</f>
        <v>0</v>
      </c>
      <c r="D50" s="43">
        <f>SUM('Total Fuel per Operation (HVC)'!N$42:N$46)</f>
        <v>0</v>
      </c>
      <c r="E50" s="43">
        <f>SUM('Total Fuel per Operation (HVC)'!O$42:O$46)</f>
        <v>0</v>
      </c>
      <c r="F50" s="43">
        <f>SUM('Total Fuel per Operation (HVC)'!P$42:P$46)</f>
        <v>43882</v>
      </c>
      <c r="G50" s="43">
        <f>SUM('Total Fuel per Operation (HVC)'!Q$42:Q$46)</f>
        <v>22144</v>
      </c>
      <c r="H50" s="43">
        <f>SUM('Total Fuel per Operation (HVC)'!R$42:R$46)</f>
        <v>196200</v>
      </c>
      <c r="I50" s="43">
        <f>SUM('Total Fuel per Operation (HVC)'!S$42:S$46)</f>
        <v>0</v>
      </c>
      <c r="J50" s="43">
        <f>SUM('Total Fuel per Operation (HVC)'!T$42:T$46)</f>
        <v>10266</v>
      </c>
      <c r="K50" s="43">
        <f>SUM('Total Fuel per Operation (HVC)'!U$42:U$46)</f>
        <v>20484</v>
      </c>
      <c r="L50" s="43">
        <f>SUM('Total Fuel per Operation (HVC)'!V$42:V$46)</f>
        <v>79954</v>
      </c>
      <c r="M50" s="43">
        <f>SUM('Total Fuel per Operation (HVC)'!W$42:W$46)</f>
        <v>118924</v>
      </c>
      <c r="N50" s="45">
        <f t="shared" si="6"/>
        <v>578794</v>
      </c>
      <c r="O50" s="45">
        <f>$N50*AVERAGE('Assumptions&amp;Calculations'!$B$3:$B$5)</f>
        <v>38811996.326666668</v>
      </c>
      <c r="P50" s="45">
        <f>$N50*AVERAGE('Assumptions&amp;Calculations'!$M$3:$M$5)</f>
        <v>15127883.654761903</v>
      </c>
    </row>
    <row r="51" spans="1:17">
      <c r="A51" s="7" t="s">
        <v>782</v>
      </c>
      <c r="B51" s="43">
        <f>SUM('Total Fuel per Operation (HVC)'!L$47:L$49)</f>
        <v>351990</v>
      </c>
      <c r="C51" s="43">
        <f>SUM('Total Fuel per Operation (HVC)'!M$47:M$49)</f>
        <v>0</v>
      </c>
      <c r="D51" s="43">
        <f>SUM('Total Fuel per Operation (HVC)'!N$47:N$49)</f>
        <v>0</v>
      </c>
      <c r="E51" s="43">
        <f>SUM('Total Fuel per Operation (HVC)'!O$47:O$49)</f>
        <v>0</v>
      </c>
      <c r="F51" s="43">
        <f>SUM('Total Fuel per Operation (HVC)'!P$47:P$49)</f>
        <v>66952</v>
      </c>
      <c r="G51" s="43">
        <f>SUM('Total Fuel per Operation (HVC)'!Q$47:Q$49)</f>
        <v>44992</v>
      </c>
      <c r="H51" s="43">
        <f>SUM('Total Fuel per Operation (HVC)'!R$47:R$49)</f>
        <v>351990</v>
      </c>
      <c r="I51" s="43">
        <f>SUM('Total Fuel per Operation (HVC)'!S$47:S$49)</f>
        <v>0</v>
      </c>
      <c r="J51" s="43">
        <f>SUM('Total Fuel per Operation (HVC)'!T$47:T$49)</f>
        <v>59790</v>
      </c>
      <c r="K51" s="43">
        <f>SUM('Total Fuel per Operation (HVC)'!U$47:U$49)</f>
        <v>40320</v>
      </c>
      <c r="L51" s="43">
        <f>SUM('Total Fuel per Operation (HVC)'!V$47:V$49)</f>
        <v>355222</v>
      </c>
      <c r="M51" s="43">
        <f>SUM('Total Fuel per Operation (HVC)'!W$47:W$49)</f>
        <v>44992</v>
      </c>
      <c r="N51" s="45">
        <f t="shared" ref="N51" si="7">SUM(B51:M51)</f>
        <v>1316248</v>
      </c>
      <c r="O51" s="45">
        <f>$N51*AVERAGE('Assumptions&amp;Calculations'!$B$3:$B$5)</f>
        <v>88263203.38666667</v>
      </c>
      <c r="P51" s="45">
        <f>$N51*AVERAGE('Assumptions&amp;Calculations'!$M$3:$M$5)</f>
        <v>34402648.619047612</v>
      </c>
    </row>
    <row r="52" spans="1:17">
      <c r="A52" s="7" t="s">
        <v>302</v>
      </c>
      <c r="B52" s="43">
        <f>SUM('Total Fuel per Operation (HVC)'!L$50:L$51)</f>
        <v>275130</v>
      </c>
      <c r="C52" s="43">
        <f>SUM('Total Fuel per Operation (HVC)'!M$50:M$51)</f>
        <v>0</v>
      </c>
      <c r="D52" s="43">
        <f>SUM('Total Fuel per Operation (HVC)'!N$50:N$51)</f>
        <v>0</v>
      </c>
      <c r="E52" s="43">
        <f>SUM('Total Fuel per Operation (HVC)'!O$50:O$51)</f>
        <v>0</v>
      </c>
      <c r="F52" s="43">
        <f>SUM('Total Fuel per Operation (HVC)'!P$50:P$51)</f>
        <v>38488</v>
      </c>
      <c r="G52" s="43">
        <f>SUM('Total Fuel per Operation (HVC)'!Q$50:Q$51)</f>
        <v>20608</v>
      </c>
      <c r="H52" s="43">
        <f>SUM('Total Fuel per Operation (HVC)'!R$50:R$51)</f>
        <v>275130</v>
      </c>
      <c r="I52" s="43">
        <f>SUM('Total Fuel per Operation (HVC)'!S$50:S$51)</f>
        <v>0</v>
      </c>
      <c r="J52" s="43">
        <f>SUM('Total Fuel per Operation (HVC)'!T$50:T$51)</f>
        <v>13832</v>
      </c>
      <c r="K52" s="43">
        <f>SUM('Total Fuel per Operation (HVC)'!U$50:U$51)</f>
        <v>5312</v>
      </c>
      <c r="L52" s="43">
        <f>SUM('Total Fuel per Operation (HVC)'!V$50:V$51)</f>
        <v>49018</v>
      </c>
      <c r="M52" s="43">
        <f>SUM('Total Fuel per Operation (HVC)'!W$50:W$51)</f>
        <v>20608</v>
      </c>
      <c r="N52" s="45">
        <f t="shared" si="6"/>
        <v>698126</v>
      </c>
      <c r="O52" s="45">
        <f>$N52*AVERAGE('Assumptions&amp;Calculations'!$B$3:$B$5)</f>
        <v>46814002.473333336</v>
      </c>
      <c r="P52" s="45">
        <f>$N52*AVERAGE('Assumptions&amp;Calculations'!$M$3:$M$5)</f>
        <v>18246852.773809522</v>
      </c>
    </row>
    <row r="53" spans="1:17">
      <c r="A53" s="7" t="s">
        <v>303</v>
      </c>
      <c r="B53" s="43">
        <f>SUM('Total Fuel per Operation (HVC)'!L$52:L$57)</f>
        <v>284332</v>
      </c>
      <c r="C53" s="43">
        <f>SUM('Total Fuel per Operation (HVC)'!M$52:M$57)</f>
        <v>19072</v>
      </c>
      <c r="D53" s="43">
        <f>SUM('Total Fuel per Operation (HVC)'!N$52:N$57)</f>
        <v>207607</v>
      </c>
      <c r="E53" s="43">
        <f>SUM('Total Fuel per Operation (HVC)'!O$52:O$57)</f>
        <v>19072</v>
      </c>
      <c r="F53" s="43">
        <f>SUM('Total Fuel per Operation (HVC)'!P$52:P$57)</f>
        <v>229495</v>
      </c>
      <c r="G53" s="43">
        <f>SUM('Total Fuel per Operation (HVC)'!Q$52:Q$57)</f>
        <v>61772</v>
      </c>
      <c r="H53" s="43">
        <f>SUM('Total Fuel per Operation (HVC)'!R$52:R$57)</f>
        <v>268192</v>
      </c>
      <c r="I53" s="43">
        <f>SUM('Total Fuel per Operation (HVC)'!S$52:S$57)</f>
        <v>172395</v>
      </c>
      <c r="J53" s="43">
        <f>SUM('Total Fuel per Operation (HVC)'!T$52:T$57)</f>
        <v>57100</v>
      </c>
      <c r="K53" s="43">
        <f>SUM('Total Fuel per Operation (HVC)'!U$52:U$57)</f>
        <v>61772</v>
      </c>
      <c r="L53" s="43">
        <f>SUM('Total Fuel per Operation (HVC)'!V$52:V$57)</f>
        <v>325292</v>
      </c>
      <c r="M53" s="43">
        <f>SUM('Total Fuel per Operation (HVC)'!W$52:W$57)</f>
        <v>198955</v>
      </c>
      <c r="N53" s="45">
        <f t="shared" si="6"/>
        <v>1905056</v>
      </c>
      <c r="O53" s="45">
        <f>$N53*AVERAGE('Assumptions&amp;Calculations'!$B$3:$B$5)</f>
        <v>127746705.17333335</v>
      </c>
      <c r="P53" s="45">
        <f>$N53*AVERAGE('Assumptions&amp;Calculations'!$M$3:$M$5)</f>
        <v>49792267.238095231</v>
      </c>
    </row>
    <row r="54" spans="1:17">
      <c r="A54" s="7" t="s">
        <v>304</v>
      </c>
      <c r="B54" s="43">
        <f>SUM('Total Fuel per Operation (HVC)'!L$58:L$60)</f>
        <v>140175</v>
      </c>
      <c r="C54" s="43">
        <f>SUM('Total Fuel per Operation (HVC)'!M$58:M$60)</f>
        <v>0</v>
      </c>
      <c r="D54" s="43">
        <f>SUM('Total Fuel per Operation (HVC)'!N$58:N$60)</f>
        <v>0</v>
      </c>
      <c r="E54" s="43">
        <f>SUM('Total Fuel per Operation (HVC)'!O$58:O$60)</f>
        <v>0</v>
      </c>
      <c r="F54" s="43">
        <f>SUM('Total Fuel per Operation (HVC)'!P$58:P$60)</f>
        <v>101172</v>
      </c>
      <c r="G54" s="43">
        <f>SUM('Total Fuel per Operation (HVC)'!Q$58:Q$60)</f>
        <v>44352</v>
      </c>
      <c r="H54" s="43">
        <f>SUM('Total Fuel per Operation (HVC)'!R$58:R$60)</f>
        <v>140175</v>
      </c>
      <c r="I54" s="43">
        <f>SUM('Total Fuel per Operation (HVC)'!S$58:S$60)</f>
        <v>0</v>
      </c>
      <c r="J54" s="43">
        <f>SUM('Total Fuel per Operation (HVC)'!T$58:T$60)</f>
        <v>38352</v>
      </c>
      <c r="K54" s="43">
        <f>SUM('Total Fuel per Operation (HVC)'!U$58:U$60)</f>
        <v>18432</v>
      </c>
      <c r="L54" s="43">
        <f>SUM('Total Fuel per Operation (HVC)'!V$58:V$60)</f>
        <v>149637</v>
      </c>
      <c r="M54" s="43">
        <f>SUM('Total Fuel per Operation (HVC)'!W$58:W$60)</f>
        <v>44352</v>
      </c>
      <c r="N54" s="45">
        <f t="shared" si="6"/>
        <v>676647</v>
      </c>
      <c r="O54" s="45">
        <f>$N54*AVERAGE('Assumptions&amp;Calculations'!$B$3:$B$5)</f>
        <v>45373692.330000006</v>
      </c>
      <c r="P54" s="45">
        <f>$N54*AVERAGE('Assumptions&amp;Calculations'!$M$3:$M$5)</f>
        <v>17685458.196428571</v>
      </c>
    </row>
    <row r="55" spans="1:17">
      <c r="A55" s="7" t="s">
        <v>305</v>
      </c>
      <c r="B55" s="43">
        <f>SUM('Total Fuel per Operation (HVC)'!L$61:L$65)</f>
        <v>442935</v>
      </c>
      <c r="C55" s="43">
        <f>SUM('Total Fuel per Operation (HVC)'!M$61:M$65)</f>
        <v>0</v>
      </c>
      <c r="D55" s="43">
        <f>SUM('Total Fuel per Operation (HVC)'!N$61:N$65)</f>
        <v>0</v>
      </c>
      <c r="E55" s="43">
        <f>SUM('Total Fuel per Operation (HVC)'!O$61:O$65)</f>
        <v>0</v>
      </c>
      <c r="F55" s="43">
        <f>SUM('Total Fuel per Operation (HVC)'!P$61:P$65)</f>
        <v>140992</v>
      </c>
      <c r="G55" s="43">
        <f>SUM('Total Fuel per Operation (HVC)'!Q$61:Q$65)</f>
        <v>99712</v>
      </c>
      <c r="H55" s="43">
        <f>SUM('Total Fuel per Operation (HVC)'!R$61:R$65)</f>
        <v>442935</v>
      </c>
      <c r="I55" s="43">
        <f>SUM('Total Fuel per Operation (HVC)'!S$61:S$65)</f>
        <v>0</v>
      </c>
      <c r="J55" s="43">
        <f>SUM('Total Fuel per Operation (HVC)'!T$61:T$65)</f>
        <v>0</v>
      </c>
      <c r="K55" s="43">
        <f>SUM('Total Fuel per Operation (HVC)'!U$61:U$65)</f>
        <v>0</v>
      </c>
      <c r="L55" s="43">
        <f>SUM('Total Fuel per Operation (HVC)'!V$61:V$65)</f>
        <v>140992</v>
      </c>
      <c r="M55" s="43">
        <f>SUM('Total Fuel per Operation (HVC)'!W$61:W$65)</f>
        <v>99712</v>
      </c>
      <c r="N55" s="45">
        <f t="shared" si="6"/>
        <v>1367278</v>
      </c>
      <c r="O55" s="45">
        <f>$N55*AVERAGE('Assumptions&amp;Calculations'!$B$3:$B$5)</f>
        <v>91685105.086666673</v>
      </c>
      <c r="P55" s="45">
        <f>$N55*AVERAGE('Assumptions&amp;Calculations'!$M$3:$M$5)</f>
        <v>35736414.869047612</v>
      </c>
    </row>
    <row r="56" spans="1:17">
      <c r="A56" s="7" t="s">
        <v>306</v>
      </c>
      <c r="B56" s="43">
        <f>SUM('Total Fuel per Operation (HVC)'!L$66:L$70)</f>
        <v>234045</v>
      </c>
      <c r="C56" s="43">
        <f>SUM('Total Fuel per Operation (HVC)'!M$66:M$70)</f>
        <v>0</v>
      </c>
      <c r="D56" s="43">
        <f>SUM('Total Fuel per Operation (HVC)'!N$66:N$70)</f>
        <v>0</v>
      </c>
      <c r="E56" s="43">
        <f>SUM('Total Fuel per Operation (HVC)'!O$66:O$70)</f>
        <v>0</v>
      </c>
      <c r="F56" s="43">
        <f>SUM('Total Fuel per Operation (HVC)'!P$66:P$70)</f>
        <v>123152</v>
      </c>
      <c r="G56" s="43">
        <f>SUM('Total Fuel per Operation (HVC)'!Q$66:Q$70)</f>
        <v>113792</v>
      </c>
      <c r="H56" s="43">
        <f>SUM('Total Fuel per Operation (HVC)'!R$66:R$70)</f>
        <v>234045</v>
      </c>
      <c r="I56" s="43">
        <f>SUM('Total Fuel per Operation (HVC)'!S$66:S$70)</f>
        <v>0</v>
      </c>
      <c r="J56" s="43">
        <f>SUM('Total Fuel per Operation (HVC)'!T$66:T$70)</f>
        <v>123152</v>
      </c>
      <c r="K56" s="43">
        <f>SUM('Total Fuel per Operation (HVC)'!U$66:U$70)</f>
        <v>113792</v>
      </c>
      <c r="L56" s="43">
        <f>SUM('Total Fuel per Operation (HVC)'!V$66:V$70)</f>
        <v>357197</v>
      </c>
      <c r="M56" s="43">
        <f>SUM('Total Fuel per Operation (HVC)'!W$66:W$70)</f>
        <v>113792</v>
      </c>
      <c r="N56" s="45">
        <f t="shared" si="6"/>
        <v>1412967</v>
      </c>
      <c r="O56" s="45">
        <f>$N56*AVERAGE('Assumptions&amp;Calculations'!$B$3:$B$5)</f>
        <v>94748857.13000001</v>
      </c>
      <c r="P56" s="45">
        <f>$N56*AVERAGE('Assumptions&amp;Calculations'!$M$3:$M$5)</f>
        <v>36930583.910714284</v>
      </c>
    </row>
    <row r="57" spans="1:17">
      <c r="A57" s="7" t="s">
        <v>307</v>
      </c>
      <c r="B57" s="43">
        <f>SUM('Total Fuel per Operation (HVC)'!L$71:L$74)</f>
        <v>1515915</v>
      </c>
      <c r="C57" s="43">
        <f>SUM('Total Fuel per Operation (HVC)'!M$71:M$74)</f>
        <v>0</v>
      </c>
      <c r="D57" s="43">
        <f>SUM('Total Fuel per Operation (HVC)'!N$71:N$74)</f>
        <v>0</v>
      </c>
      <c r="E57" s="43">
        <f>SUM('Total Fuel per Operation (HVC)'!O$71:O$74)</f>
        <v>0</v>
      </c>
      <c r="F57" s="43">
        <f>SUM('Total Fuel per Operation (HVC)'!P$71:P$74)</f>
        <v>410864</v>
      </c>
      <c r="G57" s="43">
        <f>SUM('Total Fuel per Operation (HVC)'!Q$71:Q$74)</f>
        <v>305024</v>
      </c>
      <c r="H57" s="43">
        <f>SUM('Total Fuel per Operation (HVC)'!R$71:R$74)</f>
        <v>1515915</v>
      </c>
      <c r="I57" s="43">
        <f>SUM('Total Fuel per Operation (HVC)'!S$71:S$74)</f>
        <v>0</v>
      </c>
      <c r="J57" s="43">
        <f>SUM('Total Fuel per Operation (HVC)'!T$71:T$74)</f>
        <v>410864</v>
      </c>
      <c r="K57" s="43">
        <f>SUM('Total Fuel per Operation (HVC)'!U$71:U$74)</f>
        <v>305024</v>
      </c>
      <c r="L57" s="43">
        <f>SUM('Total Fuel per Operation (HVC)'!V$71:V$74)</f>
        <v>1926779</v>
      </c>
      <c r="M57" s="43">
        <f>SUM('Total Fuel per Operation (HVC)'!W$71:W$74)</f>
        <v>305024</v>
      </c>
      <c r="N57" s="45">
        <f t="shared" si="6"/>
        <v>6695409</v>
      </c>
      <c r="O57" s="45">
        <f>$N57*AVERAGE('Assumptions&amp;Calculations'!$B$3:$B$5)</f>
        <v>448971809.51000005</v>
      </c>
      <c r="P57" s="45">
        <f>$N57*AVERAGE('Assumptions&amp;Calculations'!$M$3:$M$5)</f>
        <v>174997267.37499997</v>
      </c>
    </row>
    <row r="58" spans="1:17">
      <c r="A58" s="7" t="s">
        <v>308</v>
      </c>
      <c r="B58" s="43">
        <f>SUM('Total Fuel per Operation (HVC)'!L$75:L$79)</f>
        <v>791614</v>
      </c>
      <c r="C58" s="43">
        <f>SUM('Total Fuel per Operation (HVC)'!M$75:M$79)</f>
        <v>118144</v>
      </c>
      <c r="D58" s="43">
        <f>SUM('Total Fuel per Operation (HVC)'!N$75:N$79)</f>
        <v>545734</v>
      </c>
      <c r="E58" s="43">
        <f>SUM('Total Fuel per Operation (HVC)'!O$75:O$79)</f>
        <v>118144</v>
      </c>
      <c r="F58" s="43">
        <f>SUM('Total Fuel per Operation (HVC)'!P$75:P$79)</f>
        <v>671146</v>
      </c>
      <c r="G58" s="43">
        <f>SUM('Total Fuel per Operation (HVC)'!Q$75:Q$79)</f>
        <v>388670</v>
      </c>
      <c r="H58" s="43">
        <f>SUM('Total Fuel per Operation (HVC)'!R$75:R$79)</f>
        <v>748864</v>
      </c>
      <c r="I58" s="43">
        <f>SUM('Total Fuel per Operation (HVC)'!S$75:S$79)</f>
        <v>384840</v>
      </c>
      <c r="J58" s="43">
        <f>SUM('Total Fuel per Operation (HVC)'!T$75:T$79)</f>
        <v>286306</v>
      </c>
      <c r="K58" s="43">
        <f>SUM('Total Fuel per Operation (HVC)'!U$75:U$79)</f>
        <v>388670</v>
      </c>
      <c r="L58" s="43">
        <f>SUM('Total Fuel per Operation (HVC)'!V$75:V$79)</f>
        <v>1035170</v>
      </c>
      <c r="M58" s="43">
        <f>SUM('Total Fuel per Operation (HVC)'!W$75:W$79)</f>
        <v>612616</v>
      </c>
      <c r="N58" s="45">
        <f t="shared" si="6"/>
        <v>6089918</v>
      </c>
      <c r="O58" s="45">
        <f>$N58*AVERAGE('Assumptions&amp;Calculations'!$B$3:$B$5)</f>
        <v>408369601.35333335</v>
      </c>
      <c r="P58" s="45">
        <f>$N58*AVERAGE('Assumptions&amp;Calculations'!$M$3:$M$5)</f>
        <v>159171606.77380949</v>
      </c>
    </row>
    <row r="59" spans="1:17">
      <c r="A59" s="7" t="s">
        <v>309</v>
      </c>
      <c r="B59" s="43">
        <f>SUM('Total Fuel per Operation (HVC)'!L$80:L$82)</f>
        <v>1240</v>
      </c>
      <c r="C59" s="43">
        <f>SUM('Total Fuel per Operation (HVC)'!M$80:M$82)</f>
        <v>640</v>
      </c>
      <c r="D59" s="43">
        <f>SUM('Total Fuel per Operation (HVC)'!N$80:N$82)</f>
        <v>5965</v>
      </c>
      <c r="E59" s="43">
        <f>SUM('Total Fuel per Operation (HVC)'!O$80:O$82)</f>
        <v>640</v>
      </c>
      <c r="F59" s="43">
        <f>SUM('Total Fuel per Operation (HVC)'!P$80:P$82)</f>
        <v>4725</v>
      </c>
      <c r="G59" s="43">
        <f>SUM('Total Fuel per Operation (HVC)'!Q$80:Q$82)</f>
        <v>1240</v>
      </c>
      <c r="H59" s="43">
        <f>SUM('Total Fuel per Operation (HVC)'!R$80:R$82)</f>
        <v>640</v>
      </c>
      <c r="I59" s="43">
        <f>SUM('Total Fuel per Operation (HVC)'!S$80:S$82)</f>
        <v>4725</v>
      </c>
      <c r="J59" s="43">
        <f>SUM('Total Fuel per Operation (HVC)'!T$80:T$82)</f>
        <v>0</v>
      </c>
      <c r="K59" s="43">
        <f>SUM('Total Fuel per Operation (HVC)'!U$80:U$82)</f>
        <v>1240</v>
      </c>
      <c r="L59" s="43">
        <f>SUM('Total Fuel per Operation (HVC)'!V$80:V$82)</f>
        <v>640</v>
      </c>
      <c r="M59" s="43">
        <f>SUM('Total Fuel per Operation (HVC)'!W$80:W$82)</f>
        <v>4725</v>
      </c>
      <c r="N59" s="45">
        <f t="shared" si="6"/>
        <v>26420</v>
      </c>
      <c r="O59" s="45">
        <f>$N59*AVERAGE('Assumptions&amp;Calculations'!$B$3:$B$5)</f>
        <v>1771637.1333333335</v>
      </c>
      <c r="P59" s="45">
        <f>$N59*AVERAGE('Assumptions&amp;Calculations'!$M$3:$M$5)</f>
        <v>690537.02380952379</v>
      </c>
    </row>
    <row r="60" spans="1:17" s="46" customFormat="1" ht="28.8">
      <c r="A60" s="44" t="s">
        <v>311</v>
      </c>
      <c r="B60" s="45">
        <f t="shared" ref="B60:N60" si="8">SUM(B43:B59)</f>
        <v>5695177</v>
      </c>
      <c r="C60" s="45">
        <f t="shared" si="8"/>
        <v>578752</v>
      </c>
      <c r="D60" s="45">
        <f t="shared" si="8"/>
        <v>5756737</v>
      </c>
      <c r="E60" s="45">
        <f t="shared" si="8"/>
        <v>578752</v>
      </c>
      <c r="F60" s="45">
        <f t="shared" si="8"/>
        <v>7781219</v>
      </c>
      <c r="G60" s="45">
        <f t="shared" si="8"/>
        <v>3808848</v>
      </c>
      <c r="H60" s="45">
        <f t="shared" si="8"/>
        <v>5532982</v>
      </c>
      <c r="I60" s="45">
        <f t="shared" si="8"/>
        <v>4493745</v>
      </c>
      <c r="J60" s="45">
        <f t="shared" si="8"/>
        <v>1145646</v>
      </c>
      <c r="K60" s="45">
        <f t="shared" si="8"/>
        <v>3318060</v>
      </c>
      <c r="L60" s="45">
        <f t="shared" si="8"/>
        <v>6812253</v>
      </c>
      <c r="M60" s="45">
        <f t="shared" si="8"/>
        <v>6621486</v>
      </c>
      <c r="N60" s="45">
        <f t="shared" si="8"/>
        <v>52123657</v>
      </c>
      <c r="O60" s="45">
        <f>$N60*AVERAGE('Assumptions&amp;Calculations'!$B$3:$B$5)</f>
        <v>3495238692.896667</v>
      </c>
      <c r="P60" s="45">
        <f>$N60*AVERAGE('Assumptions&amp;Calculations'!$M$3:$M$5)</f>
        <v>1362351058.8511903</v>
      </c>
      <c r="Q60" s="326"/>
    </row>
    <row r="62" spans="1:17" s="31" customFormat="1" ht="43.2">
      <c r="A62" s="19" t="s">
        <v>572</v>
      </c>
      <c r="B62" s="19" t="s">
        <v>238</v>
      </c>
      <c r="C62" s="19" t="s">
        <v>239</v>
      </c>
      <c r="D62" s="19" t="s">
        <v>240</v>
      </c>
      <c r="E62" s="19" t="s">
        <v>241</v>
      </c>
      <c r="F62" s="19" t="s">
        <v>236</v>
      </c>
      <c r="G62" s="19" t="s">
        <v>237</v>
      </c>
      <c r="H62" s="19" t="s">
        <v>242</v>
      </c>
      <c r="I62" s="19" t="s">
        <v>243</v>
      </c>
      <c r="J62" s="19" t="s">
        <v>244</v>
      </c>
      <c r="K62" s="19" t="s">
        <v>245</v>
      </c>
      <c r="L62" s="19" t="s">
        <v>246</v>
      </c>
      <c r="M62" s="19" t="s">
        <v>247</v>
      </c>
      <c r="N62" s="327" t="s">
        <v>567</v>
      </c>
      <c r="O62" s="327" t="s">
        <v>569</v>
      </c>
      <c r="P62" s="327" t="s">
        <v>568</v>
      </c>
    </row>
    <row r="63" spans="1:17">
      <c r="A63" s="7" t="s">
        <v>294</v>
      </c>
      <c r="B63" s="43">
        <f>SUM('Fuel per Region (Sugar)'!D$4:D$9)</f>
        <v>0</v>
      </c>
      <c r="C63" s="43">
        <f>SUM('Fuel per Region (Sugar)'!E$4:E$9)</f>
        <v>0</v>
      </c>
      <c r="D63" s="43">
        <f>SUM('Fuel per Region (Sugar)'!F$4:F$9)</f>
        <v>0</v>
      </c>
      <c r="E63" s="43">
        <f>SUM('Fuel per Region (Sugar)'!G$4:G$9)</f>
        <v>0</v>
      </c>
      <c r="F63" s="43">
        <f>SUM('Fuel per Region (Sugar)'!H$4:H$9)</f>
        <v>0</v>
      </c>
      <c r="G63" s="43">
        <f>SUM('Fuel per Region (Sugar)'!I$4:I$9)</f>
        <v>0</v>
      </c>
      <c r="H63" s="43">
        <f>SUM('Fuel per Region (Sugar)'!J$4:J$9)</f>
        <v>0</v>
      </c>
      <c r="I63" s="43">
        <f>SUM('Fuel per Region (Sugar)'!K$4:K$9)</f>
        <v>0</v>
      </c>
      <c r="J63" s="43">
        <f>SUM('Fuel per Region (Sugar)'!L$4:L$9)</f>
        <v>0</v>
      </c>
      <c r="K63" s="43">
        <f>SUM('Fuel per Region (Sugar)'!M$4:M$9)</f>
        <v>0</v>
      </c>
      <c r="L63" s="43">
        <f>SUM('Fuel per Region (Sugar)'!N$4:N$9)</f>
        <v>0</v>
      </c>
      <c r="M63" s="43">
        <f>SUM('Fuel per Region (Sugar)'!O$4:O$9)</f>
        <v>0</v>
      </c>
      <c r="N63" s="45">
        <f>SUM(B63:M63)</f>
        <v>0</v>
      </c>
      <c r="O63" s="45">
        <f>$N63*AVERAGE('Assumptions&amp;Calculations'!$B$3:$B$5)</f>
        <v>0</v>
      </c>
      <c r="P63" s="45">
        <f>$N63*AVERAGE('Assumptions&amp;Calculations'!$M$3:$M$5)</f>
        <v>0</v>
      </c>
    </row>
    <row r="64" spans="1:17">
      <c r="A64" s="7" t="s">
        <v>295</v>
      </c>
      <c r="B64" s="43">
        <f>SUM('Fuel per Region (Sugar)'!D$10:D$13)</f>
        <v>0</v>
      </c>
      <c r="C64" s="43">
        <f>SUM('Fuel per Region (Sugar)'!E$10:E$13)</f>
        <v>0</v>
      </c>
      <c r="D64" s="43">
        <f>SUM('Fuel per Region (Sugar)'!F$10:F$13)</f>
        <v>0</v>
      </c>
      <c r="E64" s="43">
        <f>SUM('Fuel per Region (Sugar)'!G$10:G$13)</f>
        <v>0</v>
      </c>
      <c r="F64" s="43">
        <f>SUM('Fuel per Region (Sugar)'!H$10:H$13)</f>
        <v>0</v>
      </c>
      <c r="G64" s="43">
        <f>SUM('Fuel per Region (Sugar)'!I$10:I$13)</f>
        <v>0</v>
      </c>
      <c r="H64" s="43">
        <f>SUM('Fuel per Region (Sugar)'!J$10:J$13)</f>
        <v>0</v>
      </c>
      <c r="I64" s="43">
        <f>SUM('Fuel per Region (Sugar)'!K$10:K$13)</f>
        <v>0</v>
      </c>
      <c r="J64" s="43">
        <f>SUM('Fuel per Region (Sugar)'!L$10:L$13)</f>
        <v>0</v>
      </c>
      <c r="K64" s="43">
        <f>SUM('Fuel per Region (Sugar)'!M$10:M$13)</f>
        <v>0</v>
      </c>
      <c r="L64" s="43">
        <f>SUM('Fuel per Region (Sugar)'!N$10:N$13)</f>
        <v>0</v>
      </c>
      <c r="M64" s="43">
        <f>SUM('Fuel per Region (Sugar)'!O$10:O$13)</f>
        <v>0</v>
      </c>
      <c r="N64" s="45">
        <f t="shared" ref="N64:N79" si="9">SUM(B64:M64)</f>
        <v>0</v>
      </c>
      <c r="O64" s="45">
        <f>N64*AVERAGE('Assumptions&amp;Calculations'!$B$3:$B$5)</f>
        <v>0</v>
      </c>
      <c r="P64" s="45">
        <f>$N64*AVERAGE('Assumptions&amp;Calculations'!$M$3:$M$5)</f>
        <v>0</v>
      </c>
    </row>
    <row r="65" spans="1:16">
      <c r="A65" s="7" t="s">
        <v>296</v>
      </c>
      <c r="B65" s="43">
        <f>SUM('Fuel per Region (Sugar)'!D$14:D$18)</f>
        <v>36789.298666666669</v>
      </c>
      <c r="C65" s="43">
        <f>SUM('Fuel per Region (Sugar)'!E$14:E$18)</f>
        <v>82830.074666666667</v>
      </c>
      <c r="D65" s="43">
        <f>SUM('Fuel per Region (Sugar)'!F$14:F$18)</f>
        <v>82830.074666666667</v>
      </c>
      <c r="E65" s="43">
        <f>SUM('Fuel per Region (Sugar)'!G$14:G$18)</f>
        <v>59363.407999999996</v>
      </c>
      <c r="F65" s="43">
        <f>SUM('Fuel per Region (Sugar)'!H$14:H$18)</f>
        <v>59363.407999999996</v>
      </c>
      <c r="G65" s="43">
        <f>SUM('Fuel per Region (Sugar)'!I$14:I$18)</f>
        <v>59363.407999999996</v>
      </c>
      <c r="H65" s="43">
        <f>SUM('Fuel per Region (Sugar)'!J$14:J$18)</f>
        <v>0</v>
      </c>
      <c r="I65" s="43">
        <f>SUM('Fuel per Region (Sugar)'!K$14:K$18)</f>
        <v>0</v>
      </c>
      <c r="J65" s="43">
        <f>SUM('Fuel per Region (Sugar)'!L$14:L$18)</f>
        <v>0</v>
      </c>
      <c r="K65" s="43">
        <f>SUM('Fuel per Region (Sugar)'!M$14:M$18)</f>
        <v>0</v>
      </c>
      <c r="L65" s="43">
        <f>SUM('Fuel per Region (Sugar)'!N$14:N$18)</f>
        <v>0</v>
      </c>
      <c r="M65" s="43">
        <f>SUM('Fuel per Region (Sugar)'!O$14:O$18)</f>
        <v>0</v>
      </c>
      <c r="N65" s="45">
        <f t="shared" si="9"/>
        <v>380539.67199999996</v>
      </c>
      <c r="O65" s="45">
        <f>N65*AVERAGE('Assumptions&amp;Calculations'!$B$3:$B$5)</f>
        <v>25517721.938746665</v>
      </c>
      <c r="P65" s="45">
        <f>$N65*AVERAGE('Assumptions&amp;Calculations'!$M$3:$M$5)</f>
        <v>9946129.1651904751</v>
      </c>
    </row>
    <row r="66" spans="1:16">
      <c r="A66" s="7" t="s">
        <v>297</v>
      </c>
      <c r="B66" s="43">
        <f>SUM('Fuel per Region (Sugar)'!D$19:D$25)</f>
        <v>265407.57333333336</v>
      </c>
      <c r="C66" s="43">
        <f>SUM('Fuel per Region (Sugar)'!E$19:E$25)</f>
        <v>265407.57333333336</v>
      </c>
      <c r="D66" s="43">
        <f>SUM('Fuel per Region (Sugar)'!F$19:F$25)</f>
        <v>30489.600000000002</v>
      </c>
      <c r="E66" s="43">
        <f>SUM('Fuel per Region (Sugar)'!G$19:G$25)</f>
        <v>0</v>
      </c>
      <c r="F66" s="43">
        <f>SUM('Fuel per Region (Sugar)'!H$19:H$25)</f>
        <v>0</v>
      </c>
      <c r="G66" s="43">
        <f>SUM('Fuel per Region (Sugar)'!I$19:I$25)</f>
        <v>0</v>
      </c>
      <c r="H66" s="43">
        <f>SUM('Fuel per Region (Sugar)'!J$19:J$25)</f>
        <v>0</v>
      </c>
      <c r="I66" s="43">
        <f>SUM('Fuel per Region (Sugar)'!K$19:K$25)</f>
        <v>0</v>
      </c>
      <c r="J66" s="43">
        <f>SUM('Fuel per Region (Sugar)'!L$19:L$25)</f>
        <v>0</v>
      </c>
      <c r="K66" s="43">
        <f>SUM('Fuel per Region (Sugar)'!M$19:M$25)</f>
        <v>0</v>
      </c>
      <c r="L66" s="43">
        <f>SUM('Fuel per Region (Sugar)'!N$19:N$25)</f>
        <v>30489.600000000002</v>
      </c>
      <c r="M66" s="43">
        <f>SUM('Fuel per Region (Sugar)'!O$19:O$25)</f>
        <v>265407.57333333336</v>
      </c>
      <c r="N66" s="45">
        <f t="shared" si="9"/>
        <v>857201.92</v>
      </c>
      <c r="O66" s="45">
        <f>N66*AVERAGE('Assumptions&amp;Calculations'!$B$3:$B$5)</f>
        <v>57481103.415466674</v>
      </c>
      <c r="P66" s="45">
        <f>$N66*AVERAGE('Assumptions&amp;Calculations'!$M$3:$M$5)</f>
        <v>22404604.944761902</v>
      </c>
    </row>
    <row r="67" spans="1:16">
      <c r="A67" s="7" t="s">
        <v>298</v>
      </c>
      <c r="B67" s="43">
        <f>SUM('Fuel per Region (Sugar)'!D$26:D$30)</f>
        <v>483172.06761904759</v>
      </c>
      <c r="C67" s="43">
        <f>SUM('Fuel per Region (Sugar)'!E$26:E$30)</f>
        <v>483172.06761904759</v>
      </c>
      <c r="D67" s="43">
        <f>SUM('Fuel per Region (Sugar)'!F$26:F$30)</f>
        <v>483172.06761904759</v>
      </c>
      <c r="E67" s="43">
        <f>SUM('Fuel per Region (Sugar)'!G$26:G$30)</f>
        <v>483172.06761904759</v>
      </c>
      <c r="F67" s="43">
        <f>SUM('Fuel per Region (Sugar)'!H$26:H$30)</f>
        <v>56246.03428571429</v>
      </c>
      <c r="G67" s="43">
        <f>SUM('Fuel per Region (Sugar)'!I$26:I$30)</f>
        <v>0</v>
      </c>
      <c r="H67" s="43">
        <f>SUM('Fuel per Region (Sugar)'!J$26:J$30)</f>
        <v>0</v>
      </c>
      <c r="I67" s="43">
        <f>SUM('Fuel per Region (Sugar)'!K$26:K$30)</f>
        <v>0</v>
      </c>
      <c r="J67" s="43">
        <f>SUM('Fuel per Region (Sugar)'!L$26:L$30)</f>
        <v>0</v>
      </c>
      <c r="K67" s="43">
        <f>SUM('Fuel per Region (Sugar)'!M$26:M$30)</f>
        <v>0</v>
      </c>
      <c r="L67" s="43">
        <f>SUM('Fuel per Region (Sugar)'!N$26:N$30)</f>
        <v>254696.75761904765</v>
      </c>
      <c r="M67" s="43">
        <f>SUM('Fuel per Region (Sugar)'!O$26:O$30)</f>
        <v>254696.75761904765</v>
      </c>
      <c r="N67" s="45">
        <f t="shared" si="9"/>
        <v>2498327.8199999998</v>
      </c>
      <c r="O67" s="45">
        <f>N67*AVERAGE('Assumptions&amp;Calculations'!$B$3:$B$5)</f>
        <v>167529535.84979999</v>
      </c>
      <c r="P67" s="45">
        <f>$N67*AVERAGE('Assumptions&amp;Calculations'!$M$3:$M$5)</f>
        <v>65298556.29535713</v>
      </c>
    </row>
    <row r="68" spans="1:16">
      <c r="A68" s="7" t="s">
        <v>299</v>
      </c>
      <c r="B68" s="43">
        <f>SUM('Fuel per Region (Sugar)'!D$31:D$35)</f>
        <v>0</v>
      </c>
      <c r="C68" s="43">
        <f>SUM('Fuel per Region (Sugar)'!E$31:E$35)</f>
        <v>0</v>
      </c>
      <c r="D68" s="43">
        <f>SUM('Fuel per Region (Sugar)'!F$31:F$35)</f>
        <v>0</v>
      </c>
      <c r="E68" s="43">
        <f>SUM('Fuel per Region (Sugar)'!G$31:G$35)</f>
        <v>0</v>
      </c>
      <c r="F68" s="43">
        <f>SUM('Fuel per Region (Sugar)'!H$31:H$35)</f>
        <v>0</v>
      </c>
      <c r="G68" s="43">
        <f>SUM('Fuel per Region (Sugar)'!I$31:I$35)</f>
        <v>0</v>
      </c>
      <c r="H68" s="43">
        <f>SUM('Fuel per Region (Sugar)'!J$31:J$35)</f>
        <v>0</v>
      </c>
      <c r="I68" s="43">
        <f>SUM('Fuel per Region (Sugar)'!K$31:K$35)</f>
        <v>0</v>
      </c>
      <c r="J68" s="43">
        <f>SUM('Fuel per Region (Sugar)'!L$31:L$35)</f>
        <v>0</v>
      </c>
      <c r="K68" s="43">
        <f>SUM('Fuel per Region (Sugar)'!M$31:M$35)</f>
        <v>0</v>
      </c>
      <c r="L68" s="43">
        <f>SUM('Fuel per Region (Sugar)'!N$31:N$35)</f>
        <v>0</v>
      </c>
      <c r="M68" s="43">
        <f>SUM('Fuel per Region (Sugar)'!O$31:O$35)</f>
        <v>0</v>
      </c>
      <c r="N68" s="45">
        <f t="shared" si="9"/>
        <v>0</v>
      </c>
      <c r="O68" s="45">
        <f>N68*AVERAGE('Assumptions&amp;Calculations'!$B$3:$B$5)</f>
        <v>0</v>
      </c>
      <c r="P68" s="45">
        <f>$N68*AVERAGE('Assumptions&amp;Calculations'!$M$3:$M$5)</f>
        <v>0</v>
      </c>
    </row>
    <row r="69" spans="1:16">
      <c r="A69" s="7" t="s">
        <v>300</v>
      </c>
      <c r="B69" s="43">
        <f>SUM('Fuel per Region (Sugar)'!D$36:D$41)</f>
        <v>58001.429333333341</v>
      </c>
      <c r="C69" s="43">
        <f>SUM('Fuel per Region (Sugar)'!E$36:E$41)</f>
        <v>58001.429333333341</v>
      </c>
      <c r="D69" s="43">
        <f>SUM('Fuel per Region (Sugar)'!F$36:F$41)</f>
        <v>58001.429333333341</v>
      </c>
      <c r="E69" s="43">
        <f>SUM('Fuel per Region (Sugar)'!G$36:G$41)</f>
        <v>41868.096000000005</v>
      </c>
      <c r="F69" s="43">
        <f>SUM('Fuel per Region (Sugar)'!H$36:H$41)</f>
        <v>41868.096000000005</v>
      </c>
      <c r="G69" s="43">
        <f>SUM('Fuel per Region (Sugar)'!I$36:I$41)</f>
        <v>0</v>
      </c>
      <c r="H69" s="43">
        <f>SUM('Fuel per Region (Sugar)'!J$36:J$41)</f>
        <v>0</v>
      </c>
      <c r="I69" s="43">
        <f>SUM('Fuel per Region (Sugar)'!K$36:K$41)</f>
        <v>0</v>
      </c>
      <c r="J69" s="43">
        <f>SUM('Fuel per Region (Sugar)'!L$36:L$41)</f>
        <v>0</v>
      </c>
      <c r="K69" s="43">
        <f>SUM('Fuel per Region (Sugar)'!M$36:M$41)</f>
        <v>0</v>
      </c>
      <c r="L69" s="43">
        <f>SUM('Fuel per Region (Sugar)'!N$36:N$41)</f>
        <v>0</v>
      </c>
      <c r="M69" s="43">
        <f>SUM('Fuel per Region (Sugar)'!O$36:O$41)</f>
        <v>0</v>
      </c>
      <c r="N69" s="45">
        <f t="shared" si="9"/>
        <v>257740.48000000004</v>
      </c>
      <c r="O69" s="45">
        <f>N69*AVERAGE('Assumptions&amp;Calculations'!$B$3:$B$5)</f>
        <v>17283217.453866672</v>
      </c>
      <c r="P69" s="45">
        <f>$N69*AVERAGE('Assumptions&amp;Calculations'!$M$3:$M$5)</f>
        <v>6736538.3790476192</v>
      </c>
    </row>
    <row r="70" spans="1:16">
      <c r="A70" s="7" t="s">
        <v>301</v>
      </c>
      <c r="B70" s="43">
        <f>SUM('Fuel per Region (Sugar)'!D$42:D$46)</f>
        <v>486930.5</v>
      </c>
      <c r="C70" s="43">
        <f>SUM('Fuel per Region (Sugar)'!E$42:E$46)</f>
        <v>486930.5</v>
      </c>
      <c r="D70" s="43">
        <f>SUM('Fuel per Region (Sugar)'!F$42:F$46)</f>
        <v>486930.5</v>
      </c>
      <c r="E70" s="43">
        <f>SUM('Fuel per Region (Sugar)'!G$42:G$46)</f>
        <v>383490.5</v>
      </c>
      <c r="F70" s="43">
        <f>SUM('Fuel per Region (Sugar)'!H$42:H$46)</f>
        <v>383490.5</v>
      </c>
      <c r="G70" s="43">
        <f>SUM('Fuel per Region (Sugar)'!I$42:I$46)</f>
        <v>0</v>
      </c>
      <c r="H70" s="43">
        <f>SUM('Fuel per Region (Sugar)'!J$42:J$46)</f>
        <v>0</v>
      </c>
      <c r="I70" s="43">
        <f>SUM('Fuel per Region (Sugar)'!K$42:K$46)</f>
        <v>0</v>
      </c>
      <c r="J70" s="43">
        <f>SUM('Fuel per Region (Sugar)'!L$42:L$46)</f>
        <v>0</v>
      </c>
      <c r="K70" s="43">
        <f>SUM('Fuel per Region (Sugar)'!M$42:M$46)</f>
        <v>383490.5</v>
      </c>
      <c r="L70" s="43">
        <f>SUM('Fuel per Region (Sugar)'!N$42:N$46)</f>
        <v>486930.5</v>
      </c>
      <c r="M70" s="43">
        <f>SUM('Fuel per Region (Sugar)'!O$42:O$46)</f>
        <v>486930.5</v>
      </c>
      <c r="N70" s="45">
        <f t="shared" si="9"/>
        <v>3585124</v>
      </c>
      <c r="O70" s="45">
        <f>N70*AVERAGE('Assumptions&amp;Calculations'!$B$3:$B$5)</f>
        <v>240406465.02666667</v>
      </c>
      <c r="P70" s="45">
        <f>$N70*AVERAGE('Assumptions&amp;Calculations'!$M$3:$M$5)</f>
        <v>93704044.547619045</v>
      </c>
    </row>
    <row r="71" spans="1:16">
      <c r="A71" s="7" t="s">
        <v>782</v>
      </c>
      <c r="B71" s="43">
        <f>SUM('Fuel per Region (Sugar)'!D$47:D$49)</f>
        <v>4351051.8257142855</v>
      </c>
      <c r="C71" s="43">
        <f>SUM('Fuel per Region (Sugar)'!E$47:E$49)</f>
        <v>4351051.8257142855</v>
      </c>
      <c r="D71" s="43">
        <f>SUM('Fuel per Region (Sugar)'!F$47:F$49)</f>
        <v>4351051.8257142855</v>
      </c>
      <c r="E71" s="43">
        <f>SUM('Fuel per Region (Sugar)'!G$47:G$49)</f>
        <v>4351051.8257142855</v>
      </c>
      <c r="F71" s="43">
        <f>SUM('Fuel per Region (Sugar)'!H$47:H$49)</f>
        <v>457382.52</v>
      </c>
      <c r="G71" s="43">
        <f>SUM('Fuel per Region (Sugar)'!I$47:I$49)</f>
        <v>0</v>
      </c>
      <c r="H71" s="43">
        <f>SUM('Fuel per Region (Sugar)'!J$47:J$49)</f>
        <v>0</v>
      </c>
      <c r="I71" s="43">
        <f>SUM('Fuel per Region (Sugar)'!K$47:K$49)</f>
        <v>0</v>
      </c>
      <c r="J71" s="43">
        <f>SUM('Fuel per Region (Sugar)'!L$47:L$49)</f>
        <v>0</v>
      </c>
      <c r="K71" s="43">
        <f>SUM('Fuel per Region (Sugar)'!M$47:M$49)</f>
        <v>4351051.8257142855</v>
      </c>
      <c r="L71" s="43">
        <f>SUM('Fuel per Region (Sugar)'!N$47:N$49)</f>
        <v>4351051.8257142855</v>
      </c>
      <c r="M71" s="43">
        <f>SUM('Fuel per Region (Sugar)'!O$47:O$49)</f>
        <v>4351051.8257142855</v>
      </c>
      <c r="N71" s="45">
        <f t="shared" si="9"/>
        <v>30914745.300000001</v>
      </c>
      <c r="O71" s="45">
        <f>N71*AVERAGE('Assumptions&amp;Calculations'!$B$3:$B$5)</f>
        <v>2073039770.6670003</v>
      </c>
      <c r="P71" s="45">
        <f>$N71*AVERAGE('Assumptions&amp;Calculations'!$M$3:$M$5)</f>
        <v>808015753.64464283</v>
      </c>
    </row>
    <row r="72" spans="1:16">
      <c r="A72" s="7" t="s">
        <v>302</v>
      </c>
      <c r="B72" s="43">
        <f>SUM('Fuel per Region (Sugar)'!D$50:D$52)</f>
        <v>81829.01999999999</v>
      </c>
      <c r="C72" s="43">
        <f>SUM('Fuel per Region (Sugar)'!E$50:E$52)</f>
        <v>81829.01999999999</v>
      </c>
      <c r="D72" s="43">
        <f>SUM('Fuel per Region (Sugar)'!F$50:F$52)</f>
        <v>81829.01999999999</v>
      </c>
      <c r="E72" s="43">
        <f>SUM('Fuel per Region (Sugar)'!G$50:G$52)</f>
        <v>81829.01999999999</v>
      </c>
      <c r="F72" s="43">
        <f>SUM('Fuel per Region (Sugar)'!H$50:H$52)</f>
        <v>0</v>
      </c>
      <c r="G72" s="43">
        <f>SUM('Fuel per Region (Sugar)'!I$50:I$52)</f>
        <v>0</v>
      </c>
      <c r="H72" s="43">
        <f>SUM('Fuel per Region (Sugar)'!J$50:J$52)</f>
        <v>0</v>
      </c>
      <c r="I72" s="43">
        <f>SUM('Fuel per Region (Sugar)'!K$50:K$52)</f>
        <v>0</v>
      </c>
      <c r="J72" s="43">
        <f>SUM('Fuel per Region (Sugar)'!L$50:L$52)</f>
        <v>0</v>
      </c>
      <c r="K72" s="43">
        <f>SUM('Fuel per Region (Sugar)'!M$50:M$52)</f>
        <v>0</v>
      </c>
      <c r="L72" s="43">
        <f>SUM('Fuel per Region (Sugar)'!N$50:N$52)</f>
        <v>0</v>
      </c>
      <c r="M72" s="43">
        <f>SUM('Fuel per Region (Sugar)'!O$50:O$52)</f>
        <v>61469.02</v>
      </c>
      <c r="N72" s="45">
        <f t="shared" si="9"/>
        <v>388785.1</v>
      </c>
      <c r="O72" s="45">
        <f>N72*AVERAGE('Assumptions&amp;Calculations'!$B$3:$B$5)</f>
        <v>26070632.855666667</v>
      </c>
      <c r="P72" s="45">
        <f>$N72*AVERAGE('Assumptions&amp;Calculations'!$M$3:$M$5)</f>
        <v>10161639.131547617</v>
      </c>
    </row>
    <row r="73" spans="1:16">
      <c r="A73" s="7" t="s">
        <v>303</v>
      </c>
      <c r="B73" s="43">
        <f>SUM('Fuel per Region (Sugar)'!D$52:D$57)</f>
        <v>122230.776</v>
      </c>
      <c r="C73" s="43">
        <f>SUM('Fuel per Region (Sugar)'!E$52:E$57)</f>
        <v>122230.776</v>
      </c>
      <c r="D73" s="43">
        <f>SUM('Fuel per Region (Sugar)'!F$52:F$57)</f>
        <v>122230.776</v>
      </c>
      <c r="E73" s="43">
        <f>SUM('Fuel per Region (Sugar)'!G$52:G$57)</f>
        <v>122230.776</v>
      </c>
      <c r="F73" s="43">
        <f>SUM('Fuel per Region (Sugar)'!H$52:H$57)</f>
        <v>106230.776</v>
      </c>
      <c r="G73" s="43">
        <f>SUM('Fuel per Region (Sugar)'!I$52:I$57)</f>
        <v>0</v>
      </c>
      <c r="H73" s="43">
        <f>SUM('Fuel per Region (Sugar)'!J$52:J$57)</f>
        <v>0</v>
      </c>
      <c r="I73" s="43">
        <f>SUM('Fuel per Region (Sugar)'!K$52:K$57)</f>
        <v>0</v>
      </c>
      <c r="J73" s="43">
        <f>SUM('Fuel per Region (Sugar)'!L$52:L$57)</f>
        <v>0</v>
      </c>
      <c r="K73" s="43">
        <f>SUM('Fuel per Region (Sugar)'!M$52:M$57)</f>
        <v>0</v>
      </c>
      <c r="L73" s="43">
        <f>SUM('Fuel per Region (Sugar)'!N$52:N$57)</f>
        <v>16000</v>
      </c>
      <c r="M73" s="43">
        <f>SUM('Fuel per Region (Sugar)'!O$52:O$57)</f>
        <v>16000</v>
      </c>
      <c r="N73" s="45">
        <f t="shared" si="9"/>
        <v>627153.88</v>
      </c>
      <c r="O73" s="45">
        <f>N73*AVERAGE('Assumptions&amp;Calculations'!$B$3:$B$5)</f>
        <v>42054848.679866672</v>
      </c>
      <c r="P73" s="45">
        <f>$N73*AVERAGE('Assumptions&amp;Calculations'!$M$3:$M$5)</f>
        <v>16391861.232619045</v>
      </c>
    </row>
    <row r="74" spans="1:16">
      <c r="A74" s="7" t="s">
        <v>304</v>
      </c>
      <c r="B74" s="43">
        <f>SUM('Fuel per Region (Sugar)'!D$58:D$60)</f>
        <v>0</v>
      </c>
      <c r="C74" s="43">
        <f>SUM('Fuel per Region (Sugar)'!E$58:E$60)</f>
        <v>0</v>
      </c>
      <c r="D74" s="43">
        <f>SUM('Fuel per Region (Sugar)'!F$58:F$60)</f>
        <v>0</v>
      </c>
      <c r="E74" s="43">
        <f>SUM('Fuel per Region (Sugar)'!G$58:G$60)</f>
        <v>0</v>
      </c>
      <c r="F74" s="43">
        <f>SUM('Fuel per Region (Sugar)'!H$58:H$60)</f>
        <v>0</v>
      </c>
      <c r="G74" s="43">
        <f>SUM('Fuel per Region (Sugar)'!I$58:I$60)</f>
        <v>0</v>
      </c>
      <c r="H74" s="43">
        <f>SUM('Fuel per Region (Sugar)'!J$58:J$60)</f>
        <v>0</v>
      </c>
      <c r="I74" s="43">
        <f>SUM('Fuel per Region (Sugar)'!K$58:K$60)</f>
        <v>0</v>
      </c>
      <c r="J74" s="43">
        <f>SUM('Fuel per Region (Sugar)'!L$58:L$60)</f>
        <v>0</v>
      </c>
      <c r="K74" s="43">
        <f>SUM('Fuel per Region (Sugar)'!M$58:M$60)</f>
        <v>0</v>
      </c>
      <c r="L74" s="43">
        <f>SUM('Fuel per Region (Sugar)'!N$58:N$60)</f>
        <v>0</v>
      </c>
      <c r="M74" s="43">
        <f>SUM('Fuel per Region (Sugar)'!O$58:O$60)</f>
        <v>0</v>
      </c>
      <c r="N74" s="45">
        <f t="shared" si="9"/>
        <v>0</v>
      </c>
      <c r="O74" s="45">
        <f>N74*AVERAGE('Assumptions&amp;Calculations'!$B$3:$B$5)</f>
        <v>0</v>
      </c>
      <c r="P74" s="45">
        <f>$N74*AVERAGE('Assumptions&amp;Calculations'!$M$3:$M$5)</f>
        <v>0</v>
      </c>
    </row>
    <row r="75" spans="1:16">
      <c r="A75" s="7" t="s">
        <v>305</v>
      </c>
      <c r="B75" s="43">
        <f>SUM('Fuel per Region (Sugar)'!D$61:D$65)</f>
        <v>963617.17249999999</v>
      </c>
      <c r="C75" s="43">
        <f>SUM('Fuel per Region (Sugar)'!E$61:E$65)</f>
        <v>963617.17249999999</v>
      </c>
      <c r="D75" s="43">
        <f>SUM('Fuel per Region (Sugar)'!F$61:F$65)</f>
        <v>963617.17249999999</v>
      </c>
      <c r="E75" s="43">
        <f>SUM('Fuel per Region (Sugar)'!G$61:G$65)</f>
        <v>963617.17249999999</v>
      </c>
      <c r="F75" s="43">
        <f>SUM('Fuel per Region (Sugar)'!H$61:H$65)</f>
        <v>963617.17249999999</v>
      </c>
      <c r="G75" s="43">
        <f>SUM('Fuel per Region (Sugar)'!I$61:I$65)</f>
        <v>839763.17249999999</v>
      </c>
      <c r="H75" s="43">
        <f>SUM('Fuel per Region (Sugar)'!J$61:J$65)</f>
        <v>0</v>
      </c>
      <c r="I75" s="43">
        <f>SUM('Fuel per Region (Sugar)'!K$61:K$65)</f>
        <v>0</v>
      </c>
      <c r="J75" s="43">
        <f>SUM('Fuel per Region (Sugar)'!L$61:L$65)</f>
        <v>0</v>
      </c>
      <c r="K75" s="43">
        <f>SUM('Fuel per Region (Sugar)'!M$61:M$65)</f>
        <v>123854.00000000001</v>
      </c>
      <c r="L75" s="43">
        <f>SUM('Fuel per Region (Sugar)'!N$61:N$65)</f>
        <v>963617.17249999999</v>
      </c>
      <c r="M75" s="43">
        <f>SUM('Fuel per Region (Sugar)'!O$61:O$65)</f>
        <v>963617.17249999999</v>
      </c>
      <c r="N75" s="45">
        <f t="shared" si="9"/>
        <v>7708937.3800000008</v>
      </c>
      <c r="O75" s="45">
        <f>N75*AVERAGE('Assumptions&amp;Calculations'!$B$3:$B$5)</f>
        <v>516935644.24486679</v>
      </c>
      <c r="P75" s="45">
        <f>$N75*AVERAGE('Assumptions&amp;Calculations'!$M$3:$M$5)</f>
        <v>201487762.11654761</v>
      </c>
    </row>
    <row r="76" spans="1:16">
      <c r="A76" s="7" t="s">
        <v>306</v>
      </c>
      <c r="B76" s="43">
        <f>SUM('Fuel per Region (Sugar)'!D$66:D$70)</f>
        <v>140472.36799999999</v>
      </c>
      <c r="C76" s="43">
        <f>SUM('Fuel per Region (Sugar)'!E$66:E$70)</f>
        <v>140472.36799999999</v>
      </c>
      <c r="D76" s="43">
        <f>SUM('Fuel per Region (Sugar)'!F$66:F$70)</f>
        <v>140472.36799999999</v>
      </c>
      <c r="E76" s="43">
        <f>SUM('Fuel per Region (Sugar)'!G$66:G$70)</f>
        <v>106352.36799999999</v>
      </c>
      <c r="F76" s="43">
        <f>SUM('Fuel per Region (Sugar)'!H$66:H$70)</f>
        <v>106352.36799999999</v>
      </c>
      <c r="G76" s="43">
        <f>SUM('Fuel per Region (Sugar)'!I$66:I$70)</f>
        <v>0</v>
      </c>
      <c r="H76" s="43">
        <f>SUM('Fuel per Region (Sugar)'!J$66:J$70)</f>
        <v>0</v>
      </c>
      <c r="I76" s="43">
        <f>SUM('Fuel per Region (Sugar)'!K$66:K$70)</f>
        <v>0</v>
      </c>
      <c r="J76" s="43">
        <f>SUM('Fuel per Region (Sugar)'!L$66:L$70)</f>
        <v>0</v>
      </c>
      <c r="K76" s="43">
        <f>SUM('Fuel per Region (Sugar)'!M$66:M$70)</f>
        <v>0</v>
      </c>
      <c r="L76" s="43">
        <f>SUM('Fuel per Region (Sugar)'!N$66:N$70)</f>
        <v>0</v>
      </c>
      <c r="M76" s="43">
        <f>SUM('Fuel per Region (Sugar)'!O$66:O$70)</f>
        <v>34120</v>
      </c>
      <c r="N76" s="45">
        <f t="shared" si="9"/>
        <v>668241.84</v>
      </c>
      <c r="O76" s="45">
        <f>N76*AVERAGE('Assumptions&amp;Calculations'!$B$3:$B$5)</f>
        <v>44810070.317600004</v>
      </c>
      <c r="P76" s="45">
        <f>$N76*AVERAGE('Assumptions&amp;Calculations'!$M$3:$M$5)</f>
        <v>17465773.329999998</v>
      </c>
    </row>
    <row r="77" spans="1:16">
      <c r="A77" s="7" t="s">
        <v>307</v>
      </c>
      <c r="B77" s="43">
        <f>SUM('Fuel per Region (Sugar)'!D$71:D$74)</f>
        <v>218136.85714285713</v>
      </c>
      <c r="C77" s="43">
        <f>SUM('Fuel per Region (Sugar)'!E$71:E$74)</f>
        <v>218136.85714285713</v>
      </c>
      <c r="D77" s="43">
        <f>SUM('Fuel per Region (Sugar)'!F$71:F$74)</f>
        <v>218136.85714285713</v>
      </c>
      <c r="E77" s="43">
        <f>SUM('Fuel per Region (Sugar)'!G$71:G$74)</f>
        <v>164536.85714285713</v>
      </c>
      <c r="F77" s="43">
        <f>SUM('Fuel per Region (Sugar)'!H$71:H$74)</f>
        <v>164536.85714285713</v>
      </c>
      <c r="G77" s="43">
        <f>SUM('Fuel per Region (Sugar)'!I$71:I$74)</f>
        <v>0</v>
      </c>
      <c r="H77" s="43">
        <f>SUM('Fuel per Region (Sugar)'!J$71:J$74)</f>
        <v>0</v>
      </c>
      <c r="I77" s="43">
        <f>SUM('Fuel per Region (Sugar)'!K$71:K$74)</f>
        <v>0</v>
      </c>
      <c r="J77" s="43">
        <f>SUM('Fuel per Region (Sugar)'!L$71:L$74)</f>
        <v>0</v>
      </c>
      <c r="K77" s="43">
        <f>SUM('Fuel per Region (Sugar)'!M$71:M$74)</f>
        <v>0</v>
      </c>
      <c r="L77" s="43">
        <f>SUM('Fuel per Region (Sugar)'!N$71:N$74)</f>
        <v>164536.85714285713</v>
      </c>
      <c r="M77" s="43">
        <f>SUM('Fuel per Region (Sugar)'!O$71:O$74)</f>
        <v>218136.85714285713</v>
      </c>
      <c r="N77" s="45">
        <f t="shared" si="9"/>
        <v>1366157.9999999998</v>
      </c>
      <c r="O77" s="45">
        <f>N77*AVERAGE('Assumptions&amp;Calculations'!$B$3:$B$5)</f>
        <v>91610001.61999999</v>
      </c>
      <c r="P77" s="45">
        <f>$N77*AVERAGE('Assumptions&amp;Calculations'!$M$3:$M$5)</f>
        <v>35707141.535714276</v>
      </c>
    </row>
    <row r="78" spans="1:16">
      <c r="A78" s="7" t="s">
        <v>308</v>
      </c>
      <c r="B78" s="43">
        <f>SUM('Fuel per Region (Sugar)'!D$75:D$79)</f>
        <v>0</v>
      </c>
      <c r="C78" s="43">
        <f>SUM('Fuel per Region (Sugar)'!E$75:E$79)</f>
        <v>0</v>
      </c>
      <c r="D78" s="43">
        <f>SUM('Fuel per Region (Sugar)'!F$75:F$79)</f>
        <v>0</v>
      </c>
      <c r="E78" s="43">
        <f>SUM('Fuel per Region (Sugar)'!G$75:G$79)</f>
        <v>0</v>
      </c>
      <c r="F78" s="43">
        <f>SUM('Fuel per Region (Sugar)'!H$75:H$79)</f>
        <v>0</v>
      </c>
      <c r="G78" s="43">
        <f>SUM('Fuel per Region (Sugar)'!I$75:I$79)</f>
        <v>0</v>
      </c>
      <c r="H78" s="43">
        <f>SUM('Fuel per Region (Sugar)'!J$75:J$79)</f>
        <v>0</v>
      </c>
      <c r="I78" s="43">
        <f>SUM('Fuel per Region (Sugar)'!K$75:K$79)</f>
        <v>0</v>
      </c>
      <c r="J78" s="43">
        <f>SUM('Fuel per Region (Sugar)'!L$75:L$79)</f>
        <v>0</v>
      </c>
      <c r="K78" s="43">
        <f>SUM('Fuel per Region (Sugar)'!M$75:M$79)</f>
        <v>0</v>
      </c>
      <c r="L78" s="43">
        <f>SUM('Fuel per Region (Sugar)'!N$75:N$79)</f>
        <v>0</v>
      </c>
      <c r="M78" s="43">
        <f>SUM('Fuel per Region (Sugar)'!O$75:O$79)</f>
        <v>0</v>
      </c>
      <c r="N78" s="45">
        <f t="shared" si="9"/>
        <v>0</v>
      </c>
      <c r="O78" s="45">
        <f>N78*AVERAGE('Assumptions&amp;Calculations'!$B$3:$B$5)</f>
        <v>0</v>
      </c>
      <c r="P78" s="45">
        <f>$N78*AVERAGE('Assumptions&amp;Calculations'!$M$3:$M$5)</f>
        <v>0</v>
      </c>
    </row>
    <row r="79" spans="1:16">
      <c r="A79" s="7" t="s">
        <v>309</v>
      </c>
      <c r="B79" s="43">
        <f>SUM('Fuel per Region (Sugar)'!D$80:D$82)</f>
        <v>0</v>
      </c>
      <c r="C79" s="43">
        <f>SUM('Fuel per Region (Sugar)'!E$80:E$82)</f>
        <v>0</v>
      </c>
      <c r="D79" s="43">
        <f>SUM('Fuel per Region (Sugar)'!F$80:F$82)</f>
        <v>0</v>
      </c>
      <c r="E79" s="43">
        <f>SUM('Fuel per Region (Sugar)'!G$80:G$82)</f>
        <v>0</v>
      </c>
      <c r="F79" s="43">
        <f>SUM('Fuel per Region (Sugar)'!H$80:H$82)</f>
        <v>0</v>
      </c>
      <c r="G79" s="43">
        <f>SUM('Fuel per Region (Sugar)'!I$80:I$82)</f>
        <v>0</v>
      </c>
      <c r="H79" s="43">
        <f>SUM('Fuel per Region (Sugar)'!J$80:J$82)</f>
        <v>0</v>
      </c>
      <c r="I79" s="43">
        <f>SUM('Fuel per Region (Sugar)'!K$80:K$82)</f>
        <v>0</v>
      </c>
      <c r="J79" s="43">
        <f>SUM('Fuel per Region (Sugar)'!L$80:L$82)</f>
        <v>0</v>
      </c>
      <c r="K79" s="43">
        <f>SUM('Fuel per Region (Sugar)'!M$80:M$82)</f>
        <v>0</v>
      </c>
      <c r="L79" s="43">
        <f>SUM('Fuel per Region (Sugar)'!N$80:N$82)</f>
        <v>0</v>
      </c>
      <c r="M79" s="43">
        <f>SUM('Fuel per Region (Sugar)'!O$80:O$82)</f>
        <v>0</v>
      </c>
      <c r="N79" s="45">
        <f t="shared" si="9"/>
        <v>0</v>
      </c>
      <c r="O79" s="45">
        <f>N79*AVERAGE('Assumptions&amp;Calculations'!$B$3:$B$5)</f>
        <v>0</v>
      </c>
      <c r="P79" s="45">
        <f>$N79*AVERAGE('Assumptions&amp;Calculations'!$M$3:$M$5)</f>
        <v>0</v>
      </c>
    </row>
    <row r="80" spans="1:16" ht="28.8">
      <c r="A80" s="44" t="s">
        <v>311</v>
      </c>
      <c r="B80" s="45">
        <f t="shared" ref="B80:N80" si="10">SUM(B63:B79)</f>
        <v>7207638.8883095235</v>
      </c>
      <c r="C80" s="45">
        <f t="shared" si="10"/>
        <v>7253679.6643095231</v>
      </c>
      <c r="D80" s="45">
        <f t="shared" si="10"/>
        <v>7018761.6909761894</v>
      </c>
      <c r="E80" s="45">
        <f t="shared" si="10"/>
        <v>6757512.0909761898</v>
      </c>
      <c r="F80" s="45">
        <f t="shared" si="10"/>
        <v>2339087.7319285716</v>
      </c>
      <c r="G80" s="45">
        <f t="shared" si="10"/>
        <v>899126.58049999992</v>
      </c>
      <c r="H80" s="45">
        <f t="shared" si="10"/>
        <v>0</v>
      </c>
      <c r="I80" s="45">
        <f t="shared" si="10"/>
        <v>0</v>
      </c>
      <c r="J80" s="45">
        <f t="shared" si="10"/>
        <v>0</v>
      </c>
      <c r="K80" s="45">
        <f t="shared" si="10"/>
        <v>4858396.3257142855</v>
      </c>
      <c r="L80" s="45">
        <f t="shared" si="10"/>
        <v>6267322.7129761912</v>
      </c>
      <c r="M80" s="45">
        <f t="shared" si="10"/>
        <v>6651429.7063095234</v>
      </c>
      <c r="N80" s="45">
        <f t="shared" si="10"/>
        <v>49252955.392000012</v>
      </c>
      <c r="O80" s="45">
        <f>N80*AVERAGE('Assumptions&amp;Calculations'!$B$3:$B$5)</f>
        <v>3302739012.0695477</v>
      </c>
      <c r="P80" s="45">
        <f>$N80*AVERAGE('Assumptions&amp;Calculations'!$M$3:$M$5)</f>
        <v>1287319804.3230479</v>
      </c>
    </row>
    <row r="82" spans="1:16" s="31" customFormat="1" ht="43.2">
      <c r="A82" s="16" t="s">
        <v>584</v>
      </c>
      <c r="B82" s="19" t="s">
        <v>238</v>
      </c>
      <c r="C82" s="19" t="s">
        <v>239</v>
      </c>
      <c r="D82" s="19" t="s">
        <v>240</v>
      </c>
      <c r="E82" s="19" t="s">
        <v>241</v>
      </c>
      <c r="F82" s="19" t="s">
        <v>236</v>
      </c>
      <c r="G82" s="19" t="s">
        <v>237</v>
      </c>
      <c r="H82" s="19" t="s">
        <v>242</v>
      </c>
      <c r="I82" s="19" t="s">
        <v>243</v>
      </c>
      <c r="J82" s="19" t="s">
        <v>244</v>
      </c>
      <c r="K82" s="19" t="s">
        <v>245</v>
      </c>
      <c r="L82" s="19" t="s">
        <v>246</v>
      </c>
      <c r="M82" s="19" t="s">
        <v>247</v>
      </c>
      <c r="N82" s="327" t="s">
        <v>567</v>
      </c>
      <c r="O82" s="327" t="s">
        <v>569</v>
      </c>
      <c r="P82" s="327" t="s">
        <v>568</v>
      </c>
    </row>
    <row r="83" spans="1:16">
      <c r="A83" s="3" t="s">
        <v>583</v>
      </c>
      <c r="B83" s="43">
        <f>'Fishery Beneficiary Estimation'!C3</f>
        <v>8447096</v>
      </c>
      <c r="C83" s="43">
        <f>'Fishery Beneficiary Estimation'!D3</f>
        <v>8447096</v>
      </c>
      <c r="D83" s="43">
        <f>'Fishery Beneficiary Estimation'!E3</f>
        <v>10558870</v>
      </c>
      <c r="E83" s="43">
        <f>'Fishery Beneficiary Estimation'!F3</f>
        <v>10558870</v>
      </c>
      <c r="F83" s="43">
        <f>'Fishery Beneficiary Estimation'!G3</f>
        <v>10558870</v>
      </c>
      <c r="G83" s="43">
        <f>'Fishery Beneficiary Estimation'!H3</f>
        <v>10558870</v>
      </c>
      <c r="H83" s="43">
        <f>'Fishery Beneficiary Estimation'!I3</f>
        <v>10558870</v>
      </c>
      <c r="I83" s="43">
        <f>'Fishery Beneficiary Estimation'!J3</f>
        <v>10558870</v>
      </c>
      <c r="J83" s="43">
        <f>'Fishery Beneficiary Estimation'!K3</f>
        <v>8447096</v>
      </c>
      <c r="K83" s="43">
        <f>'Fishery Beneficiary Estimation'!L3</f>
        <v>8447096</v>
      </c>
      <c r="L83" s="43">
        <f>'Fishery Beneficiary Estimation'!M3</f>
        <v>8447096</v>
      </c>
      <c r="M83" s="43">
        <f>'Fishery Beneficiary Estimation'!N3</f>
        <v>8447096</v>
      </c>
      <c r="N83" s="45">
        <f>SUM(B83:M83)</f>
        <v>114035796</v>
      </c>
      <c r="O83" s="45">
        <f>$N83*AVERAGE('Assumptions&amp;Calculations'!$B$3:$B$5)</f>
        <v>7646860360.4400005</v>
      </c>
      <c r="P83" s="45">
        <f>$N83*AVERAGE('Assumptions&amp;Calculations'!$M$3:$M$5)</f>
        <v>2980542739.4999995</v>
      </c>
    </row>
    <row r="84" spans="1:16">
      <c r="A84" s="3" t="s">
        <v>294</v>
      </c>
      <c r="B84" s="43">
        <f>'Fishery Beneficiary Estimation'!C4</f>
        <v>55968</v>
      </c>
      <c r="C84" s="43">
        <f>'Fishery Beneficiary Estimation'!D4</f>
        <v>55968</v>
      </c>
      <c r="D84" s="43">
        <f>'Fishery Beneficiary Estimation'!E4</f>
        <v>69960</v>
      </c>
      <c r="E84" s="43">
        <f>'Fishery Beneficiary Estimation'!F4</f>
        <v>69960</v>
      </c>
      <c r="F84" s="43">
        <f>'Fishery Beneficiary Estimation'!G4</f>
        <v>69960</v>
      </c>
      <c r="G84" s="43">
        <f>'Fishery Beneficiary Estimation'!H4</f>
        <v>69960</v>
      </c>
      <c r="H84" s="43">
        <f>'Fishery Beneficiary Estimation'!I4</f>
        <v>69960</v>
      </c>
      <c r="I84" s="43">
        <f>'Fishery Beneficiary Estimation'!J4</f>
        <v>69960</v>
      </c>
      <c r="J84" s="43">
        <f>'Fishery Beneficiary Estimation'!K4</f>
        <v>55968</v>
      </c>
      <c r="K84" s="43">
        <f>'Fishery Beneficiary Estimation'!L4</f>
        <v>55968</v>
      </c>
      <c r="L84" s="43">
        <f>'Fishery Beneficiary Estimation'!M4</f>
        <v>55968</v>
      </c>
      <c r="M84" s="43">
        <f>'Fishery Beneficiary Estimation'!N4</f>
        <v>55968</v>
      </c>
      <c r="N84" s="45">
        <f>SUM(B84:M84)</f>
        <v>755568</v>
      </c>
      <c r="O84" s="45">
        <f>N84*AVERAGE('Assumptions&amp;Calculations'!$B$3:$B$5)</f>
        <v>50665871.520000003</v>
      </c>
      <c r="P84" s="45">
        <f>$N84*AVERAGE('Assumptions&amp;Calculations'!$M$3:$M$5)</f>
        <v>19748208.857142854</v>
      </c>
    </row>
    <row r="85" spans="1:16">
      <c r="A85" s="7" t="s">
        <v>295</v>
      </c>
      <c r="B85" s="43">
        <f>'Fishery Beneficiary Estimation'!C5</f>
        <v>5431512</v>
      </c>
      <c r="C85" s="43">
        <f>'Fishery Beneficiary Estimation'!D5</f>
        <v>5431512</v>
      </c>
      <c r="D85" s="43">
        <f>'Fishery Beneficiary Estimation'!E5</f>
        <v>6789390</v>
      </c>
      <c r="E85" s="43">
        <f>'Fishery Beneficiary Estimation'!F5</f>
        <v>6789390</v>
      </c>
      <c r="F85" s="43">
        <f>'Fishery Beneficiary Estimation'!G5</f>
        <v>6789390</v>
      </c>
      <c r="G85" s="43">
        <f>'Fishery Beneficiary Estimation'!H5</f>
        <v>6789390</v>
      </c>
      <c r="H85" s="43">
        <f>'Fishery Beneficiary Estimation'!I5</f>
        <v>6789390</v>
      </c>
      <c r="I85" s="43">
        <f>'Fishery Beneficiary Estimation'!J5</f>
        <v>6789390</v>
      </c>
      <c r="J85" s="43">
        <f>'Fishery Beneficiary Estimation'!K5</f>
        <v>5431512</v>
      </c>
      <c r="K85" s="43">
        <f>'Fishery Beneficiary Estimation'!L5</f>
        <v>5431512</v>
      </c>
      <c r="L85" s="43">
        <f>'Fishery Beneficiary Estimation'!M5</f>
        <v>5431512</v>
      </c>
      <c r="M85" s="43">
        <f>'Fishery Beneficiary Estimation'!N5</f>
        <v>5431512</v>
      </c>
      <c r="N85" s="45">
        <f t="shared" ref="N85:N100" si="11">SUM(B85:M85)</f>
        <v>73325412</v>
      </c>
      <c r="O85" s="45">
        <f>N85*AVERAGE('Assumptions&amp;Calculations'!$B$3:$B$5)</f>
        <v>4916957710.6800003</v>
      </c>
      <c r="P85" s="45">
        <f>$N85*AVERAGE('Assumptions&amp;Calculations'!$M$3:$M$5)</f>
        <v>1916499310.0714283</v>
      </c>
    </row>
    <row r="86" spans="1:16">
      <c r="A86" s="7" t="s">
        <v>296</v>
      </c>
      <c r="B86" s="43">
        <f>'Fishery Beneficiary Estimation'!C6</f>
        <v>1719328</v>
      </c>
      <c r="C86" s="43">
        <f>'Fishery Beneficiary Estimation'!D6</f>
        <v>1719328</v>
      </c>
      <c r="D86" s="43">
        <f>'Fishery Beneficiary Estimation'!E6</f>
        <v>2149160</v>
      </c>
      <c r="E86" s="43">
        <f>'Fishery Beneficiary Estimation'!F6</f>
        <v>2149160</v>
      </c>
      <c r="F86" s="43">
        <f>'Fishery Beneficiary Estimation'!G6</f>
        <v>2149160</v>
      </c>
      <c r="G86" s="43">
        <f>'Fishery Beneficiary Estimation'!H6</f>
        <v>2146160</v>
      </c>
      <c r="H86" s="43">
        <f>'Fishery Beneficiary Estimation'!I6</f>
        <v>2146160</v>
      </c>
      <c r="I86" s="43">
        <f>'Fishery Beneficiary Estimation'!J6</f>
        <v>2146160</v>
      </c>
      <c r="J86" s="43">
        <f>'Fishery Beneficiary Estimation'!K6</f>
        <v>1719328</v>
      </c>
      <c r="K86" s="43">
        <f>'Fishery Beneficiary Estimation'!L6</f>
        <v>1719328</v>
      </c>
      <c r="L86" s="43">
        <f>'Fishery Beneficiary Estimation'!M6</f>
        <v>1719328</v>
      </c>
      <c r="M86" s="43">
        <f>'Fishery Beneficiary Estimation'!N6</f>
        <v>1719328</v>
      </c>
      <c r="N86" s="45">
        <f t="shared" si="11"/>
        <v>23201928</v>
      </c>
      <c r="O86" s="45">
        <f>N86*AVERAGE('Assumptions&amp;Calculations'!$B$3:$B$5)</f>
        <v>1555843951.9200001</v>
      </c>
      <c r="P86" s="45">
        <f>$N86*AVERAGE('Assumptions&amp;Calculations'!$M$3:$M$5)</f>
        <v>606426582.42857134</v>
      </c>
    </row>
    <row r="87" spans="1:16">
      <c r="A87" s="7" t="s">
        <v>297</v>
      </c>
      <c r="B87" s="43">
        <f>'Fishery Beneficiary Estimation'!C7</f>
        <v>3399704</v>
      </c>
      <c r="C87" s="43">
        <f>'Fishery Beneficiary Estimation'!D7</f>
        <v>3399704</v>
      </c>
      <c r="D87" s="43">
        <f>'Fishery Beneficiary Estimation'!E7</f>
        <v>4249630</v>
      </c>
      <c r="E87" s="43">
        <f>'Fishery Beneficiary Estimation'!F7</f>
        <v>4249630</v>
      </c>
      <c r="F87" s="43">
        <f>'Fishery Beneficiary Estimation'!G7</f>
        <v>4249630</v>
      </c>
      <c r="G87" s="43">
        <f>'Fishery Beneficiary Estimation'!H7</f>
        <v>4240630</v>
      </c>
      <c r="H87" s="43">
        <f>'Fishery Beneficiary Estimation'!I7</f>
        <v>4240630</v>
      </c>
      <c r="I87" s="43">
        <f>'Fishery Beneficiary Estimation'!J7</f>
        <v>4240630</v>
      </c>
      <c r="J87" s="43">
        <f>'Fishery Beneficiary Estimation'!K7</f>
        <v>3399704</v>
      </c>
      <c r="K87" s="43">
        <f>'Fishery Beneficiary Estimation'!L7</f>
        <v>3399704</v>
      </c>
      <c r="L87" s="43">
        <f>'Fishery Beneficiary Estimation'!M7</f>
        <v>3399704</v>
      </c>
      <c r="M87" s="43">
        <f>'Fishery Beneficiary Estimation'!N7</f>
        <v>3399704</v>
      </c>
      <c r="N87" s="45">
        <f t="shared" si="11"/>
        <v>45869004</v>
      </c>
      <c r="O87" s="45">
        <f>N87*AVERAGE('Assumptions&amp;Calculations'!$B$3:$B$5)</f>
        <v>3075822511.5600004</v>
      </c>
      <c r="P87" s="45">
        <f>$N87*AVERAGE('Assumptions&amp;Calculations'!$M$3:$M$5)</f>
        <v>1198873789.0714285</v>
      </c>
    </row>
    <row r="88" spans="1:16">
      <c r="A88" s="7" t="s">
        <v>298</v>
      </c>
      <c r="B88" s="43">
        <f>'Fishery Beneficiary Estimation'!C8</f>
        <v>3207192</v>
      </c>
      <c r="C88" s="43">
        <f>'Fishery Beneficiary Estimation'!D8</f>
        <v>3207192</v>
      </c>
      <c r="D88" s="43">
        <f>'Fishery Beneficiary Estimation'!E8</f>
        <v>4008990</v>
      </c>
      <c r="E88" s="43">
        <f>'Fishery Beneficiary Estimation'!F8</f>
        <v>4008990</v>
      </c>
      <c r="F88" s="43">
        <f>'Fishery Beneficiary Estimation'!G8</f>
        <v>4008990</v>
      </c>
      <c r="G88" s="43">
        <f>'Fishery Beneficiary Estimation'!H8</f>
        <v>2536930</v>
      </c>
      <c r="H88" s="43">
        <f>'Fishery Beneficiary Estimation'!I8</f>
        <v>2536930</v>
      </c>
      <c r="I88" s="43">
        <f>'Fishery Beneficiary Estimation'!J8</f>
        <v>2536930</v>
      </c>
      <c r="J88" s="43">
        <f>'Fishery Beneficiary Estimation'!K8</f>
        <v>3207192</v>
      </c>
      <c r="K88" s="43">
        <f>'Fishery Beneficiary Estimation'!L8</f>
        <v>3207192</v>
      </c>
      <c r="L88" s="43">
        <f>'Fishery Beneficiary Estimation'!M8</f>
        <v>3207192</v>
      </c>
      <c r="M88" s="43">
        <f>'Fishery Beneficiary Estimation'!N8</f>
        <v>3207192</v>
      </c>
      <c r="N88" s="45">
        <f t="shared" si="11"/>
        <v>38880912</v>
      </c>
      <c r="O88" s="45">
        <f>N88*AVERAGE('Assumptions&amp;Calculations'!$B$3:$B$5)</f>
        <v>2607224355.6800003</v>
      </c>
      <c r="P88" s="45">
        <f>$N88*AVERAGE('Assumptions&amp;Calculations'!$M$3:$M$5)</f>
        <v>1016226693.9999999</v>
      </c>
    </row>
    <row r="89" spans="1:16">
      <c r="A89" s="7" t="s">
        <v>299</v>
      </c>
      <c r="B89" s="43">
        <f>'Fishery Beneficiary Estimation'!C9</f>
        <v>4568432</v>
      </c>
      <c r="C89" s="43">
        <f>'Fishery Beneficiary Estimation'!D9</f>
        <v>4568432</v>
      </c>
      <c r="D89" s="43">
        <f>'Fishery Beneficiary Estimation'!E9</f>
        <v>5710540</v>
      </c>
      <c r="E89" s="43">
        <f>'Fishery Beneficiary Estimation'!F9</f>
        <v>5710540</v>
      </c>
      <c r="F89" s="43">
        <f>'Fishery Beneficiary Estimation'!G9</f>
        <v>5710540</v>
      </c>
      <c r="G89" s="43">
        <f>'Fishery Beneficiary Estimation'!H9</f>
        <v>4422540</v>
      </c>
      <c r="H89" s="43">
        <f>'Fishery Beneficiary Estimation'!I9</f>
        <v>4422540</v>
      </c>
      <c r="I89" s="43">
        <f>'Fishery Beneficiary Estimation'!J9</f>
        <v>4422540</v>
      </c>
      <c r="J89" s="43">
        <f>'Fishery Beneficiary Estimation'!K9</f>
        <v>4568432</v>
      </c>
      <c r="K89" s="43">
        <f>'Fishery Beneficiary Estimation'!L9</f>
        <v>4568432</v>
      </c>
      <c r="L89" s="43">
        <f>'Fishery Beneficiary Estimation'!M9</f>
        <v>4568432</v>
      </c>
      <c r="M89" s="43">
        <f>'Fishery Beneficiary Estimation'!N9</f>
        <v>4568432</v>
      </c>
      <c r="N89" s="45">
        <f t="shared" si="11"/>
        <v>57809832</v>
      </c>
      <c r="O89" s="45">
        <f>N89*AVERAGE('Assumptions&amp;Calculations'!$B$3:$B$5)</f>
        <v>3876534634.4800005</v>
      </c>
      <c r="P89" s="45">
        <f>$N89*AVERAGE('Assumptions&amp;Calculations'!$M$3:$M$5)</f>
        <v>1510970073.2857141</v>
      </c>
    </row>
    <row r="90" spans="1:16">
      <c r="A90" s="7" t="s">
        <v>300</v>
      </c>
      <c r="B90" s="43">
        <f>'Fishery Beneficiary Estimation'!C10</f>
        <v>4748272</v>
      </c>
      <c r="C90" s="43">
        <f>'Fishery Beneficiary Estimation'!D10</f>
        <v>4748272</v>
      </c>
      <c r="D90" s="43">
        <f>'Fishery Beneficiary Estimation'!E10</f>
        <v>5941840</v>
      </c>
      <c r="E90" s="43">
        <f>'Fishery Beneficiary Estimation'!F10</f>
        <v>5941840</v>
      </c>
      <c r="F90" s="43">
        <f>'Fishery Beneficiary Estimation'!G10</f>
        <v>5941840</v>
      </c>
      <c r="G90" s="43">
        <f>'Fishery Beneficiary Estimation'!H10</f>
        <v>5941840</v>
      </c>
      <c r="H90" s="43">
        <f>'Fishery Beneficiary Estimation'!I10</f>
        <v>5941840</v>
      </c>
      <c r="I90" s="43">
        <f>'Fishery Beneficiary Estimation'!J10</f>
        <v>5941840</v>
      </c>
      <c r="J90" s="43">
        <f>'Fishery Beneficiary Estimation'!K10</f>
        <v>4753472</v>
      </c>
      <c r="K90" s="43">
        <f>'Fishery Beneficiary Estimation'!L10</f>
        <v>4753472</v>
      </c>
      <c r="L90" s="43">
        <f>'Fishery Beneficiary Estimation'!M10</f>
        <v>4753472</v>
      </c>
      <c r="M90" s="43">
        <f>'Fishery Beneficiary Estimation'!N10</f>
        <v>4748272</v>
      </c>
      <c r="N90" s="45">
        <f t="shared" si="11"/>
        <v>64156272</v>
      </c>
      <c r="O90" s="45">
        <f>N90*AVERAGE('Assumptions&amp;Calculations'!$B$3:$B$5)</f>
        <v>4302105746.0799999</v>
      </c>
      <c r="P90" s="45">
        <f>$N90*AVERAGE('Assumptions&amp;Calculations'!$M$3:$M$5)</f>
        <v>1676846371.1428571</v>
      </c>
    </row>
    <row r="91" spans="1:16">
      <c r="A91" s="7" t="s">
        <v>301</v>
      </c>
      <c r="B91" s="43">
        <f>'Fishery Beneficiary Estimation'!C11</f>
        <v>6023472</v>
      </c>
      <c r="C91" s="43">
        <f>'Fishery Beneficiary Estimation'!D11</f>
        <v>6023472</v>
      </c>
      <c r="D91" s="43">
        <f>'Fishery Beneficiary Estimation'!E11</f>
        <v>7942640</v>
      </c>
      <c r="E91" s="43">
        <f>'Fishery Beneficiary Estimation'!F11</f>
        <v>7942640</v>
      </c>
      <c r="F91" s="43">
        <f>'Fishery Beneficiary Estimation'!G11</f>
        <v>7942640</v>
      </c>
      <c r="G91" s="43">
        <f>'Fishery Beneficiary Estimation'!H11</f>
        <v>7942640</v>
      </c>
      <c r="H91" s="43">
        <f>'Fishery Beneficiary Estimation'!I11</f>
        <v>7942640</v>
      </c>
      <c r="I91" s="43">
        <f>'Fishery Beneficiary Estimation'!J11</f>
        <v>7942640</v>
      </c>
      <c r="J91" s="43">
        <f>'Fishery Beneficiary Estimation'!K11</f>
        <v>6354112</v>
      </c>
      <c r="K91" s="43">
        <f>'Fishery Beneficiary Estimation'!L11</f>
        <v>6354112</v>
      </c>
      <c r="L91" s="43">
        <f>'Fishery Beneficiary Estimation'!M11</f>
        <v>6354112</v>
      </c>
      <c r="M91" s="43">
        <f>'Fishery Beneficiary Estimation'!N11</f>
        <v>6023472</v>
      </c>
      <c r="N91" s="45">
        <f t="shared" si="11"/>
        <v>84788592</v>
      </c>
      <c r="O91" s="45">
        <f>N91*AVERAGE('Assumptions&amp;Calculations'!$B$3:$B$5)</f>
        <v>5685640350.8800001</v>
      </c>
      <c r="P91" s="45">
        <f>$N91*AVERAGE('Assumptions&amp;Calculations'!$M$3:$M$5)</f>
        <v>2216111354</v>
      </c>
    </row>
    <row r="92" spans="1:16">
      <c r="A92" s="7" t="s">
        <v>782</v>
      </c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5"/>
      <c r="O92" s="45"/>
      <c r="P92" s="45"/>
    </row>
    <row r="93" spans="1:16">
      <c r="A93" s="7" t="s">
        <v>302</v>
      </c>
      <c r="B93" s="43">
        <f>'Fishery Beneficiary Estimation'!C13</f>
        <v>4593712</v>
      </c>
      <c r="C93" s="43">
        <f>'Fishery Beneficiary Estimation'!D13</f>
        <v>4593712</v>
      </c>
      <c r="D93" s="43">
        <f>'Fishery Beneficiary Estimation'!E13</f>
        <v>5742140</v>
      </c>
      <c r="E93" s="43">
        <f>'Fishery Beneficiary Estimation'!F13</f>
        <v>5742140</v>
      </c>
      <c r="F93" s="43">
        <f>'Fishery Beneficiary Estimation'!G13</f>
        <v>5742140</v>
      </c>
      <c r="G93" s="43">
        <f>'Fishery Beneficiary Estimation'!H13</f>
        <v>5742140</v>
      </c>
      <c r="H93" s="43">
        <f>'Fishery Beneficiary Estimation'!I13</f>
        <v>5742140</v>
      </c>
      <c r="I93" s="43">
        <f>'Fishery Beneficiary Estimation'!J13</f>
        <v>5742140</v>
      </c>
      <c r="J93" s="43">
        <f>'Fishery Beneficiary Estimation'!K13</f>
        <v>4593712</v>
      </c>
      <c r="K93" s="43">
        <f>'Fishery Beneficiary Estimation'!L13</f>
        <v>4593712</v>
      </c>
      <c r="L93" s="43">
        <f>'Fishery Beneficiary Estimation'!M13</f>
        <v>4593712</v>
      </c>
      <c r="M93" s="43">
        <f>'Fishery Beneficiary Estimation'!N13</f>
        <v>4593712</v>
      </c>
      <c r="N93" s="45">
        <f t="shared" si="11"/>
        <v>62015112</v>
      </c>
      <c r="O93" s="45">
        <f>N93*AVERAGE('Assumptions&amp;Calculations'!$B$3:$B$5)</f>
        <v>4158526693.6800003</v>
      </c>
      <c r="P93" s="45">
        <f>$N93*AVERAGE('Assumptions&amp;Calculations'!$M$3:$M$5)</f>
        <v>1620883076.1428571</v>
      </c>
    </row>
    <row r="94" spans="1:16">
      <c r="A94" s="7" t="s">
        <v>303</v>
      </c>
      <c r="B94" s="43">
        <f>'Fishery Beneficiary Estimation'!C14</f>
        <v>2833008</v>
      </c>
      <c r="C94" s="43">
        <f>'Fishery Beneficiary Estimation'!D14</f>
        <v>2833008</v>
      </c>
      <c r="D94" s="43">
        <f>'Fishery Beneficiary Estimation'!E14</f>
        <v>4717260</v>
      </c>
      <c r="E94" s="43">
        <f>'Fishery Beneficiary Estimation'!F14</f>
        <v>4717260</v>
      </c>
      <c r="F94" s="43">
        <f>'Fishery Beneficiary Estimation'!G14</f>
        <v>4717260</v>
      </c>
      <c r="G94" s="43">
        <f>'Fishery Beneficiary Estimation'!H14</f>
        <v>4717260</v>
      </c>
      <c r="H94" s="43">
        <f>'Fishery Beneficiary Estimation'!I14</f>
        <v>4717260</v>
      </c>
      <c r="I94" s="43">
        <f>'Fishery Beneficiary Estimation'!J14</f>
        <v>4717260</v>
      </c>
      <c r="J94" s="43">
        <f>'Fishery Beneficiary Estimation'!K14</f>
        <v>3773808</v>
      </c>
      <c r="K94" s="43">
        <f>'Fishery Beneficiary Estimation'!L14</f>
        <v>3773808</v>
      </c>
      <c r="L94" s="43">
        <f>'Fishery Beneficiary Estimation'!M14</f>
        <v>3773808</v>
      </c>
      <c r="M94" s="43">
        <f>'Fishery Beneficiary Estimation'!N14</f>
        <v>2833008</v>
      </c>
      <c r="N94" s="45">
        <f t="shared" si="11"/>
        <v>48124008</v>
      </c>
      <c r="O94" s="45">
        <f>N94*AVERAGE('Assumptions&amp;Calculations'!$B$3:$B$5)</f>
        <v>3227035563.1200004</v>
      </c>
      <c r="P94" s="45">
        <f>$N94*AVERAGE('Assumptions&amp;Calculations'!$M$3:$M$5)</f>
        <v>1257812613.8571427</v>
      </c>
    </row>
    <row r="95" spans="1:16">
      <c r="A95" s="7" t="s">
        <v>304</v>
      </c>
      <c r="B95" s="43">
        <f>'Fishery Beneficiary Estimation'!C15</f>
        <v>5905200</v>
      </c>
      <c r="C95" s="43">
        <f>'Fishery Beneficiary Estimation'!D15</f>
        <v>5905200</v>
      </c>
      <c r="D95" s="43">
        <f>'Fishery Beneficiary Estimation'!E15</f>
        <v>8557500</v>
      </c>
      <c r="E95" s="43">
        <f>'Fishery Beneficiary Estimation'!F15</f>
        <v>8557500</v>
      </c>
      <c r="F95" s="43">
        <f>'Fishery Beneficiary Estimation'!G15</f>
        <v>8557500</v>
      </c>
      <c r="G95" s="43">
        <f>'Fishery Beneficiary Estimation'!H15</f>
        <v>8518500</v>
      </c>
      <c r="H95" s="43">
        <f>'Fishery Beneficiary Estimation'!I15</f>
        <v>8518500</v>
      </c>
      <c r="I95" s="43">
        <f>'Fishery Beneficiary Estimation'!J15</f>
        <v>8518500</v>
      </c>
      <c r="J95" s="43">
        <f>'Fishery Beneficiary Estimation'!K15</f>
        <v>6846000</v>
      </c>
      <c r="K95" s="43">
        <f>'Fishery Beneficiary Estimation'!L15</f>
        <v>6846000</v>
      </c>
      <c r="L95" s="43">
        <f>'Fishery Beneficiary Estimation'!M15</f>
        <v>6846000</v>
      </c>
      <c r="M95" s="43">
        <f>'Fishery Beneficiary Estimation'!N15</f>
        <v>5905200</v>
      </c>
      <c r="N95" s="45">
        <f t="shared" si="11"/>
        <v>89481600</v>
      </c>
      <c r="O95" s="45">
        <f>N95*AVERAGE('Assumptions&amp;Calculations'!$B$3:$B$5)</f>
        <v>6000337824</v>
      </c>
      <c r="P95" s="45">
        <f>$N95*AVERAGE('Assumptions&amp;Calculations'!$M$3:$M$5)</f>
        <v>2338772057.1428571</v>
      </c>
    </row>
    <row r="96" spans="1:16">
      <c r="A96" s="7" t="s">
        <v>305</v>
      </c>
      <c r="B96" s="43">
        <f>'Fishery Beneficiary Estimation'!C16</f>
        <v>3437008</v>
      </c>
      <c r="C96" s="43">
        <f>'Fishery Beneficiary Estimation'!D16</f>
        <v>3437008</v>
      </c>
      <c r="D96" s="43">
        <f>'Fishery Beneficiary Estimation'!E16</f>
        <v>5472260</v>
      </c>
      <c r="E96" s="43">
        <f>'Fishery Beneficiary Estimation'!F16</f>
        <v>5472260</v>
      </c>
      <c r="F96" s="43">
        <f>'Fishery Beneficiary Estimation'!G16</f>
        <v>5472260</v>
      </c>
      <c r="G96" s="43">
        <f>'Fishery Beneficiary Estimation'!H16</f>
        <v>5433260</v>
      </c>
      <c r="H96" s="43">
        <f>'Fishery Beneficiary Estimation'!I16</f>
        <v>5433260</v>
      </c>
      <c r="I96" s="43">
        <f>'Fishery Beneficiary Estimation'!J16</f>
        <v>5433260</v>
      </c>
      <c r="J96" s="43">
        <f>'Fishery Beneficiary Estimation'!K16</f>
        <v>4377808</v>
      </c>
      <c r="K96" s="43">
        <f>'Fishery Beneficiary Estimation'!L16</f>
        <v>4377808</v>
      </c>
      <c r="L96" s="43">
        <f>'Fishery Beneficiary Estimation'!M16</f>
        <v>4377808</v>
      </c>
      <c r="M96" s="43">
        <f>'Fishery Beneficiary Estimation'!N16</f>
        <v>3437008</v>
      </c>
      <c r="N96" s="45">
        <f t="shared" si="11"/>
        <v>56161008</v>
      </c>
      <c r="O96" s="45">
        <f>N96*AVERAGE('Assumptions&amp;Calculations'!$B$3:$B$5)</f>
        <v>3765969993.1200004</v>
      </c>
      <c r="P96" s="45">
        <f>$N96*AVERAGE('Assumptions&amp;Calculations'!$M$3:$M$5)</f>
        <v>1467874917.4285712</v>
      </c>
    </row>
    <row r="97" spans="1:16">
      <c r="A97" s="7" t="s">
        <v>306</v>
      </c>
      <c r="B97" s="43">
        <f>'Fishery Beneficiary Estimation'!C17</f>
        <v>3430528</v>
      </c>
      <c r="C97" s="43">
        <f>'Fishery Beneficiary Estimation'!D17</f>
        <v>3430528</v>
      </c>
      <c r="D97" s="43">
        <f>'Fishery Beneficiary Estimation'!E17</f>
        <v>5476160</v>
      </c>
      <c r="E97" s="43">
        <f>'Fishery Beneficiary Estimation'!F17</f>
        <v>5476160</v>
      </c>
      <c r="F97" s="43">
        <f>'Fishery Beneficiary Estimation'!G17</f>
        <v>5476160</v>
      </c>
      <c r="G97" s="43">
        <f>'Fishery Beneficiary Estimation'!H17</f>
        <v>5444160</v>
      </c>
      <c r="H97" s="43">
        <f>'Fishery Beneficiary Estimation'!I17</f>
        <v>5444160</v>
      </c>
      <c r="I97" s="43">
        <f>'Fishery Beneficiary Estimation'!J17</f>
        <v>5444160</v>
      </c>
      <c r="J97" s="43">
        <f>'Fishery Beneficiary Estimation'!K17</f>
        <v>4380928</v>
      </c>
      <c r="K97" s="43">
        <f>'Fishery Beneficiary Estimation'!L17</f>
        <v>4380928</v>
      </c>
      <c r="L97" s="43">
        <f>'Fishery Beneficiary Estimation'!M17</f>
        <v>4380928</v>
      </c>
      <c r="M97" s="43">
        <f>'Fishery Beneficiary Estimation'!N17</f>
        <v>3430528</v>
      </c>
      <c r="N97" s="45">
        <f t="shared" si="11"/>
        <v>56195328</v>
      </c>
      <c r="O97" s="45">
        <f>N97*AVERAGE('Assumptions&amp;Calculations'!$B$3:$B$5)</f>
        <v>3768271377.9200001</v>
      </c>
      <c r="P97" s="45">
        <f>$N97*AVERAGE('Assumptions&amp;Calculations'!$M$3:$M$5)</f>
        <v>1468771935.9999998</v>
      </c>
    </row>
    <row r="98" spans="1:16">
      <c r="A98" s="7" t="s">
        <v>307</v>
      </c>
      <c r="B98" s="43">
        <f>'Fishery Beneficiary Estimation'!C18</f>
        <v>4383952</v>
      </c>
      <c r="C98" s="43">
        <f>'Fishery Beneficiary Estimation'!D18</f>
        <v>4383952</v>
      </c>
      <c r="D98" s="43">
        <f>'Fishery Beneficiary Estimation'!E18</f>
        <v>5491940</v>
      </c>
      <c r="E98" s="43">
        <f>'Fishery Beneficiary Estimation'!F18</f>
        <v>5491940</v>
      </c>
      <c r="F98" s="43">
        <f>'Fishery Beneficiary Estimation'!G18</f>
        <v>5491940</v>
      </c>
      <c r="G98" s="43">
        <f>'Fishery Beneficiary Estimation'!H18</f>
        <v>5459940</v>
      </c>
      <c r="H98" s="43">
        <f>'Fishery Beneficiary Estimation'!I18</f>
        <v>5459940</v>
      </c>
      <c r="I98" s="43">
        <f>'Fishery Beneficiary Estimation'!J18</f>
        <v>5459940</v>
      </c>
      <c r="J98" s="43">
        <f>'Fishery Beneficiary Estimation'!K18</f>
        <v>4393552</v>
      </c>
      <c r="K98" s="43">
        <f>'Fishery Beneficiary Estimation'!L18</f>
        <v>4393552</v>
      </c>
      <c r="L98" s="43">
        <f>'Fishery Beneficiary Estimation'!M18</f>
        <v>4393552</v>
      </c>
      <c r="M98" s="43">
        <f>'Fishery Beneficiary Estimation'!N18</f>
        <v>4383952</v>
      </c>
      <c r="N98" s="45">
        <f t="shared" si="11"/>
        <v>59188152</v>
      </c>
      <c r="O98" s="45">
        <f>N98*AVERAGE('Assumptions&amp;Calculations'!$B$3:$B$5)</f>
        <v>3968960179.2800002</v>
      </c>
      <c r="P98" s="45">
        <f>$N98*AVERAGE('Assumptions&amp;Calculations'!$M$3:$M$5)</f>
        <v>1546995091.8571427</v>
      </c>
    </row>
    <row r="99" spans="1:16">
      <c r="A99" s="7" t="s">
        <v>308</v>
      </c>
      <c r="B99" s="43">
        <f>'Fishery Beneficiary Estimation'!C19</f>
        <v>8815696</v>
      </c>
      <c r="C99" s="43">
        <f>'Fishery Beneficiary Estimation'!D19</f>
        <v>8815696</v>
      </c>
      <c r="D99" s="43">
        <f>'Fishery Beneficiary Estimation'!E19</f>
        <v>11031620</v>
      </c>
      <c r="E99" s="43">
        <f>'Fishery Beneficiary Estimation'!F19</f>
        <v>11031620</v>
      </c>
      <c r="F99" s="43">
        <f>'Fishery Beneficiary Estimation'!G19</f>
        <v>11031620</v>
      </c>
      <c r="G99" s="43">
        <f>'Fishery Beneficiary Estimation'!H19</f>
        <v>10999620</v>
      </c>
      <c r="H99" s="43">
        <f>'Fishery Beneficiary Estimation'!I19</f>
        <v>10999620</v>
      </c>
      <c r="I99" s="43">
        <f>'Fishery Beneficiary Estimation'!J19</f>
        <v>10999620</v>
      </c>
      <c r="J99" s="43">
        <f>'Fishery Beneficiary Estimation'!K19</f>
        <v>8825296</v>
      </c>
      <c r="K99" s="43">
        <f>'Fishery Beneficiary Estimation'!L19</f>
        <v>8825296</v>
      </c>
      <c r="L99" s="43">
        <f>'Fishery Beneficiary Estimation'!M19</f>
        <v>8825296</v>
      </c>
      <c r="M99" s="43">
        <f>'Fishery Beneficiary Estimation'!N19</f>
        <v>8815696</v>
      </c>
      <c r="N99" s="45">
        <f t="shared" si="11"/>
        <v>119016696</v>
      </c>
      <c r="O99" s="45">
        <f>N99*AVERAGE('Assumptions&amp;Calculations'!$B$3:$B$5)</f>
        <v>7980862911.4400005</v>
      </c>
      <c r="P99" s="45">
        <f>$N99*AVERAGE('Assumptions&amp;Calculations'!$M$3:$M$5)</f>
        <v>3110728048.4285712</v>
      </c>
    </row>
    <row r="100" spans="1:16">
      <c r="A100" s="7" t="s">
        <v>309</v>
      </c>
      <c r="B100" s="43">
        <f>'Fishery Beneficiary Estimation'!C20</f>
        <v>1672768</v>
      </c>
      <c r="C100" s="43">
        <f>'Fishery Beneficiary Estimation'!D20</f>
        <v>1672768</v>
      </c>
      <c r="D100" s="43">
        <f>'Fishery Beneficiary Estimation'!E20</f>
        <v>2102960</v>
      </c>
      <c r="E100" s="43">
        <f>'Fishery Beneficiary Estimation'!F20</f>
        <v>2102960</v>
      </c>
      <c r="F100" s="43">
        <f>'Fishery Beneficiary Estimation'!G20</f>
        <v>2102960</v>
      </c>
      <c r="G100" s="43">
        <f>'Fishery Beneficiary Estimation'!H20</f>
        <v>2070960</v>
      </c>
      <c r="H100" s="43">
        <f>'Fishery Beneficiary Estimation'!I20</f>
        <v>2070960</v>
      </c>
      <c r="I100" s="43">
        <f>'Fishery Beneficiary Estimation'!J20</f>
        <v>2070960</v>
      </c>
      <c r="J100" s="43">
        <f>'Fishery Beneficiary Estimation'!K20</f>
        <v>1682368</v>
      </c>
      <c r="K100" s="43">
        <f>'Fishery Beneficiary Estimation'!L20</f>
        <v>1682368</v>
      </c>
      <c r="L100" s="43">
        <f>'Fishery Beneficiary Estimation'!M20</f>
        <v>1682368</v>
      </c>
      <c r="M100" s="43">
        <f>'Fishery Beneficiary Estimation'!N20</f>
        <v>1672768</v>
      </c>
      <c r="N100" s="45">
        <f t="shared" si="11"/>
        <v>22587168</v>
      </c>
      <c r="O100" s="45">
        <f>N100*AVERAGE('Assumptions&amp;Calculations'!$B$3:$B$5)</f>
        <v>1514620195.5200002</v>
      </c>
      <c r="P100" s="45">
        <f>$N100*AVERAGE('Assumptions&amp;Calculations'!$M$3:$M$5)</f>
        <v>590358658.85714281</v>
      </c>
    </row>
    <row r="101" spans="1:16" ht="28.8">
      <c r="A101" s="44" t="s">
        <v>311</v>
      </c>
      <c r="B101" s="45">
        <f t="shared" ref="B101:N101" si="12">SUM(B83:B100)</f>
        <v>72672848</v>
      </c>
      <c r="C101" s="45">
        <f t="shared" si="12"/>
        <v>72672848</v>
      </c>
      <c r="D101" s="45">
        <f t="shared" si="12"/>
        <v>96012860</v>
      </c>
      <c r="E101" s="45">
        <f t="shared" si="12"/>
        <v>96012860</v>
      </c>
      <c r="F101" s="45">
        <f t="shared" si="12"/>
        <v>96012860</v>
      </c>
      <c r="G101" s="45">
        <f t="shared" si="12"/>
        <v>93034800</v>
      </c>
      <c r="H101" s="45">
        <f t="shared" si="12"/>
        <v>93034800</v>
      </c>
      <c r="I101" s="45">
        <f t="shared" si="12"/>
        <v>93034800</v>
      </c>
      <c r="J101" s="45">
        <f t="shared" si="12"/>
        <v>76810288</v>
      </c>
      <c r="K101" s="45">
        <f t="shared" si="12"/>
        <v>76810288</v>
      </c>
      <c r="L101" s="45">
        <f t="shared" si="12"/>
        <v>76810288</v>
      </c>
      <c r="M101" s="45">
        <f t="shared" si="12"/>
        <v>72672848</v>
      </c>
      <c r="N101" s="45">
        <f t="shared" si="12"/>
        <v>1015592388</v>
      </c>
      <c r="O101" s="45">
        <f>N101*AVERAGE('Assumptions&amp;Calculations'!$B$3:$B$5)</f>
        <v>68102240231.320007</v>
      </c>
      <c r="P101" s="45">
        <f>$N101*AVERAGE('Assumptions&amp;Calculations'!$M$3:$M$5)</f>
        <v>26544441522.071426</v>
      </c>
    </row>
    <row r="103" spans="1:16" s="31" customFormat="1" ht="43.2">
      <c r="A103" s="16" t="s">
        <v>585</v>
      </c>
      <c r="B103" s="19" t="s">
        <v>238</v>
      </c>
      <c r="C103" s="19" t="s">
        <v>239</v>
      </c>
      <c r="D103" s="19" t="s">
        <v>240</v>
      </c>
      <c r="E103" s="19" t="s">
        <v>241</v>
      </c>
      <c r="F103" s="19" t="s">
        <v>236</v>
      </c>
      <c r="G103" s="19" t="s">
        <v>237</v>
      </c>
      <c r="H103" s="19" t="s">
        <v>242</v>
      </c>
      <c r="I103" s="19" t="s">
        <v>243</v>
      </c>
      <c r="J103" s="19" t="s">
        <v>244</v>
      </c>
      <c r="K103" s="19" t="s">
        <v>245</v>
      </c>
      <c r="L103" s="19" t="s">
        <v>246</v>
      </c>
      <c r="M103" s="19" t="s">
        <v>247</v>
      </c>
      <c r="N103" s="327" t="s">
        <v>567</v>
      </c>
      <c r="O103" s="327" t="s">
        <v>569</v>
      </c>
      <c r="P103" s="327" t="s">
        <v>568</v>
      </c>
    </row>
    <row r="104" spans="1:16">
      <c r="A104" s="3" t="s">
        <v>583</v>
      </c>
      <c r="B104" s="43">
        <f>'Aquaculture Fuel Consumption'!$M20</f>
        <v>171282.76</v>
      </c>
      <c r="C104" s="43">
        <f>'Aquaculture Fuel Consumption'!$M20</f>
        <v>171282.76</v>
      </c>
      <c r="D104" s="43">
        <f>'Aquaculture Fuel Consumption'!$M20</f>
        <v>171282.76</v>
      </c>
      <c r="E104" s="43">
        <f>'Aquaculture Fuel Consumption'!$M20</f>
        <v>171282.76</v>
      </c>
      <c r="F104" s="43">
        <f>'Aquaculture Fuel Consumption'!$M20</f>
        <v>171282.76</v>
      </c>
      <c r="G104" s="43">
        <f>'Aquaculture Fuel Consumption'!$M20</f>
        <v>171282.76</v>
      </c>
      <c r="H104" s="43">
        <f>'Aquaculture Fuel Consumption'!$M20</f>
        <v>171282.76</v>
      </c>
      <c r="I104" s="43">
        <f>'Aquaculture Fuel Consumption'!$M20</f>
        <v>171282.76</v>
      </c>
      <c r="J104" s="43">
        <f>'Aquaculture Fuel Consumption'!$M20</f>
        <v>171282.76</v>
      </c>
      <c r="K104" s="43">
        <f>'Aquaculture Fuel Consumption'!$M20</f>
        <v>171282.76</v>
      </c>
      <c r="L104" s="43">
        <f>'Aquaculture Fuel Consumption'!$M20</f>
        <v>171282.76</v>
      </c>
      <c r="M104" s="43">
        <f>'Aquaculture Fuel Consumption'!$M20</f>
        <v>171282.76</v>
      </c>
      <c r="N104" s="45">
        <f>SUM(B104:M104)</f>
        <v>2055393.12</v>
      </c>
      <c r="O104" s="45">
        <f>N104*AVERAGE('Assumptions&amp;Calculations'!$B$3:$B$5)</f>
        <v>137827811.31680003</v>
      </c>
      <c r="P104" s="45">
        <f>$N104*AVERAGE('Assumptions&amp;Calculations'!$M$3:$M$5)</f>
        <v>53721614.225714281</v>
      </c>
    </row>
    <row r="105" spans="1:16">
      <c r="A105" s="7" t="s">
        <v>294</v>
      </c>
      <c r="B105" s="43">
        <f>'Aquaculture Fuel Consumption'!$M19</f>
        <v>76020</v>
      </c>
      <c r="C105" s="43">
        <f>'Aquaculture Fuel Consumption'!$M19</f>
        <v>76020</v>
      </c>
      <c r="D105" s="43">
        <f>'Aquaculture Fuel Consumption'!$M19</f>
        <v>76020</v>
      </c>
      <c r="E105" s="43">
        <f>'Aquaculture Fuel Consumption'!$M19</f>
        <v>76020</v>
      </c>
      <c r="F105" s="43">
        <f>'Aquaculture Fuel Consumption'!$M19</f>
        <v>76020</v>
      </c>
      <c r="G105" s="43">
        <f>'Aquaculture Fuel Consumption'!$M19</f>
        <v>76020</v>
      </c>
      <c r="H105" s="43">
        <f>'Aquaculture Fuel Consumption'!$M19</f>
        <v>76020</v>
      </c>
      <c r="I105" s="43">
        <f>'Aquaculture Fuel Consumption'!$M19</f>
        <v>76020</v>
      </c>
      <c r="J105" s="43">
        <f>'Aquaculture Fuel Consumption'!$M19</f>
        <v>76020</v>
      </c>
      <c r="K105" s="43">
        <f>'Aquaculture Fuel Consumption'!$M19</f>
        <v>76020</v>
      </c>
      <c r="L105" s="43">
        <f>'Aquaculture Fuel Consumption'!$M19</f>
        <v>76020</v>
      </c>
      <c r="M105" s="43">
        <f>'Aquaculture Fuel Consumption'!$M19</f>
        <v>76020</v>
      </c>
      <c r="N105" s="45">
        <f>SUM(B105:M105)</f>
        <v>912240</v>
      </c>
      <c r="O105" s="45">
        <f>N105*AVERAGE('Assumptions&amp;Calculations'!$B$3:$B$5)</f>
        <v>61171773.600000001</v>
      </c>
      <c r="P105" s="45">
        <f>$N105*AVERAGE('Assumptions&amp;Calculations'!$M$3:$M$5)</f>
        <v>23843129.999999996</v>
      </c>
    </row>
    <row r="106" spans="1:16">
      <c r="A106" s="7" t="s">
        <v>295</v>
      </c>
      <c r="B106" s="43">
        <f>'Aquaculture Fuel Consumption'!$M4</f>
        <v>181030.54</v>
      </c>
      <c r="C106" s="43">
        <f>'Aquaculture Fuel Consumption'!$M4</f>
        <v>181030.54</v>
      </c>
      <c r="D106" s="43">
        <f>'Aquaculture Fuel Consumption'!$M4</f>
        <v>181030.54</v>
      </c>
      <c r="E106" s="43">
        <f>'Aquaculture Fuel Consumption'!$M4</f>
        <v>181030.54</v>
      </c>
      <c r="F106" s="43">
        <f>'Aquaculture Fuel Consumption'!$M4</f>
        <v>181030.54</v>
      </c>
      <c r="G106" s="43">
        <f>'Aquaculture Fuel Consumption'!$M4</f>
        <v>181030.54</v>
      </c>
      <c r="H106" s="43">
        <f>'Aquaculture Fuel Consumption'!$M4</f>
        <v>181030.54</v>
      </c>
      <c r="I106" s="43">
        <f>'Aquaculture Fuel Consumption'!$M4</f>
        <v>181030.54</v>
      </c>
      <c r="J106" s="43">
        <f>'Aquaculture Fuel Consumption'!$M4</f>
        <v>181030.54</v>
      </c>
      <c r="K106" s="43">
        <f>'Aquaculture Fuel Consumption'!$M4</f>
        <v>181030.54</v>
      </c>
      <c r="L106" s="43">
        <f>'Aquaculture Fuel Consumption'!$M4</f>
        <v>181030.54</v>
      </c>
      <c r="M106" s="43">
        <f>'Aquaculture Fuel Consumption'!$M4</f>
        <v>181030.54</v>
      </c>
      <c r="N106" s="45">
        <f>SUM(B106:M106)</f>
        <v>2172366.48</v>
      </c>
      <c r="O106" s="45">
        <f>$N106*AVERAGE('Assumptions&amp;Calculations'!$B$3:$B$5)</f>
        <v>145671654.92720002</v>
      </c>
      <c r="P106" s="45">
        <f>$N106*AVERAGE('Assumptions&amp;Calculations'!$M$3:$M$5)</f>
        <v>56778935.795714281</v>
      </c>
    </row>
    <row r="107" spans="1:16">
      <c r="A107" s="7" t="s">
        <v>296</v>
      </c>
      <c r="B107" s="43">
        <f>'Aquaculture Fuel Consumption'!$M5</f>
        <v>586002</v>
      </c>
      <c r="C107" s="43">
        <f>'Aquaculture Fuel Consumption'!$M5</f>
        <v>586002</v>
      </c>
      <c r="D107" s="43">
        <f>'Aquaculture Fuel Consumption'!$M5</f>
        <v>586002</v>
      </c>
      <c r="E107" s="43">
        <f>'Aquaculture Fuel Consumption'!$M5</f>
        <v>586002</v>
      </c>
      <c r="F107" s="43">
        <f>'Aquaculture Fuel Consumption'!$M5</f>
        <v>586002</v>
      </c>
      <c r="G107" s="43">
        <f>'Aquaculture Fuel Consumption'!$M5</f>
        <v>586002</v>
      </c>
      <c r="H107" s="43">
        <f>'Aquaculture Fuel Consumption'!$M5</f>
        <v>586002</v>
      </c>
      <c r="I107" s="43">
        <f>'Aquaculture Fuel Consumption'!$M5</f>
        <v>586002</v>
      </c>
      <c r="J107" s="43">
        <f>'Aquaculture Fuel Consumption'!$M5</f>
        <v>586002</v>
      </c>
      <c r="K107" s="43">
        <f>'Aquaculture Fuel Consumption'!$M5</f>
        <v>586002</v>
      </c>
      <c r="L107" s="43">
        <f>'Aquaculture Fuel Consumption'!$M5</f>
        <v>586002</v>
      </c>
      <c r="M107" s="43">
        <f>'Aquaculture Fuel Consumption'!$M5</f>
        <v>586002</v>
      </c>
      <c r="N107" s="45">
        <f t="shared" ref="N107:N120" si="13">SUM(B107:M107)</f>
        <v>7032024</v>
      </c>
      <c r="O107" s="45">
        <f>N107*AVERAGE('Assumptions&amp;Calculations'!$B$3:$B$5)</f>
        <v>471544089.36000001</v>
      </c>
      <c r="P107" s="45">
        <f>$N107*AVERAGE('Assumptions&amp;Calculations'!$M$3:$M$5)</f>
        <v>183795341.57142857</v>
      </c>
    </row>
    <row r="108" spans="1:16">
      <c r="A108" s="7" t="s">
        <v>297</v>
      </c>
      <c r="B108" s="43">
        <f>'Aquaculture Fuel Consumption'!$M6</f>
        <v>616.4</v>
      </c>
      <c r="C108" s="43">
        <f>'Aquaculture Fuel Consumption'!$M6</f>
        <v>616.4</v>
      </c>
      <c r="D108" s="43">
        <f>'Aquaculture Fuel Consumption'!$M6</f>
        <v>616.4</v>
      </c>
      <c r="E108" s="43">
        <f>'Aquaculture Fuel Consumption'!$M6</f>
        <v>616.4</v>
      </c>
      <c r="F108" s="43">
        <f>'Aquaculture Fuel Consumption'!$M6</f>
        <v>616.4</v>
      </c>
      <c r="G108" s="43">
        <f>'Aquaculture Fuel Consumption'!$M6</f>
        <v>616.4</v>
      </c>
      <c r="H108" s="43">
        <f>'Aquaculture Fuel Consumption'!$M6</f>
        <v>616.4</v>
      </c>
      <c r="I108" s="43">
        <f>'Aquaculture Fuel Consumption'!$M6</f>
        <v>616.4</v>
      </c>
      <c r="J108" s="43">
        <f>'Aquaculture Fuel Consumption'!$M6</f>
        <v>616.4</v>
      </c>
      <c r="K108" s="43">
        <f>'Aquaculture Fuel Consumption'!$M6</f>
        <v>616.4</v>
      </c>
      <c r="L108" s="43">
        <f>'Aquaculture Fuel Consumption'!$M6</f>
        <v>616.4</v>
      </c>
      <c r="M108" s="43">
        <f>'Aquaculture Fuel Consumption'!$M6</f>
        <v>616.4</v>
      </c>
      <c r="N108" s="45">
        <f t="shared" si="13"/>
        <v>7396.7999999999984</v>
      </c>
      <c r="O108" s="45">
        <f>N108*AVERAGE('Assumptions&amp;Calculations'!$B$3:$B$5)</f>
        <v>496004.75199999992</v>
      </c>
      <c r="P108" s="45">
        <f>$N108*AVERAGE('Assumptions&amp;Calculations'!$M$3:$M$5)</f>
        <v>193329.45714285708</v>
      </c>
    </row>
    <row r="109" spans="1:16">
      <c r="A109" s="7" t="s">
        <v>298</v>
      </c>
      <c r="B109" s="43">
        <f>'Aquaculture Fuel Consumption'!$M7</f>
        <v>5833216</v>
      </c>
      <c r="C109" s="43">
        <f>'Aquaculture Fuel Consumption'!$M7</f>
        <v>5833216</v>
      </c>
      <c r="D109" s="43">
        <f>'Aquaculture Fuel Consumption'!$M7</f>
        <v>5833216</v>
      </c>
      <c r="E109" s="43">
        <f>'Aquaculture Fuel Consumption'!$M7</f>
        <v>5833216</v>
      </c>
      <c r="F109" s="43">
        <f>'Aquaculture Fuel Consumption'!$M7</f>
        <v>5833216</v>
      </c>
      <c r="G109" s="43">
        <f>'Aquaculture Fuel Consumption'!$M7</f>
        <v>5833216</v>
      </c>
      <c r="H109" s="43">
        <f>'Aquaculture Fuel Consumption'!$M7</f>
        <v>5833216</v>
      </c>
      <c r="I109" s="43">
        <f>'Aquaculture Fuel Consumption'!$M7</f>
        <v>5833216</v>
      </c>
      <c r="J109" s="43">
        <f>'Aquaculture Fuel Consumption'!$M7</f>
        <v>5833216</v>
      </c>
      <c r="K109" s="43">
        <f>'Aquaculture Fuel Consumption'!$M7</f>
        <v>5833216</v>
      </c>
      <c r="L109" s="43">
        <f>'Aquaculture Fuel Consumption'!$M7</f>
        <v>5833216</v>
      </c>
      <c r="M109" s="43">
        <f>'Aquaculture Fuel Consumption'!$M7</f>
        <v>5833216</v>
      </c>
      <c r="N109" s="45">
        <f t="shared" si="13"/>
        <v>69998592</v>
      </c>
      <c r="O109" s="45">
        <f>N109*AVERAGE('Assumptions&amp;Calculations'!$B$3:$B$5)</f>
        <v>4693872250.8800001</v>
      </c>
      <c r="P109" s="45">
        <f>$N109*AVERAGE('Assumptions&amp;Calculations'!$M$3:$M$5)</f>
        <v>1829546532.5714283</v>
      </c>
    </row>
    <row r="110" spans="1:16">
      <c r="A110" s="7" t="s">
        <v>299</v>
      </c>
      <c r="B110" s="43">
        <f>'Aquaculture Fuel Consumption'!$M8</f>
        <v>294537.52</v>
      </c>
      <c r="C110" s="43">
        <f>'Aquaculture Fuel Consumption'!$M8</f>
        <v>294537.52</v>
      </c>
      <c r="D110" s="43">
        <f>'Aquaculture Fuel Consumption'!$M8</f>
        <v>294537.52</v>
      </c>
      <c r="E110" s="43">
        <f>'Aquaculture Fuel Consumption'!$M8</f>
        <v>294537.52</v>
      </c>
      <c r="F110" s="43">
        <f>'Aquaculture Fuel Consumption'!$M8</f>
        <v>294537.52</v>
      </c>
      <c r="G110" s="43">
        <f>'Aquaculture Fuel Consumption'!$M8</f>
        <v>294537.52</v>
      </c>
      <c r="H110" s="43">
        <f>'Aquaculture Fuel Consumption'!$M8</f>
        <v>294537.52</v>
      </c>
      <c r="I110" s="43">
        <f>'Aquaculture Fuel Consumption'!$M8</f>
        <v>294537.52</v>
      </c>
      <c r="J110" s="43">
        <f>'Aquaculture Fuel Consumption'!$M8</f>
        <v>294537.52</v>
      </c>
      <c r="K110" s="43">
        <f>'Aquaculture Fuel Consumption'!$M8</f>
        <v>294537.52</v>
      </c>
      <c r="L110" s="43">
        <f>'Aquaculture Fuel Consumption'!$M8</f>
        <v>294537.52</v>
      </c>
      <c r="M110" s="43">
        <f>'Aquaculture Fuel Consumption'!$M8</f>
        <v>294537.52</v>
      </c>
      <c r="N110" s="45">
        <f t="shared" si="13"/>
        <v>3534450.24</v>
      </c>
      <c r="O110" s="45">
        <f>N110*AVERAGE('Assumptions&amp;Calculations'!$B$3:$B$5)</f>
        <v>237008451.59360003</v>
      </c>
      <c r="P110" s="45">
        <f>$N110*AVERAGE('Assumptions&amp;Calculations'!$M$3:$M$5)</f>
        <v>92379589.308571428</v>
      </c>
    </row>
    <row r="111" spans="1:16">
      <c r="A111" s="7" t="s">
        <v>300</v>
      </c>
      <c r="B111" s="43">
        <f>'Aquaculture Fuel Consumption'!$M9</f>
        <v>460739.12400000001</v>
      </c>
      <c r="C111" s="43">
        <f>'Aquaculture Fuel Consumption'!$M9</f>
        <v>460739.12400000001</v>
      </c>
      <c r="D111" s="43">
        <f>'Aquaculture Fuel Consumption'!$M9</f>
        <v>460739.12400000001</v>
      </c>
      <c r="E111" s="43">
        <f>'Aquaculture Fuel Consumption'!$M9</f>
        <v>460739.12400000001</v>
      </c>
      <c r="F111" s="43">
        <f>'Aquaculture Fuel Consumption'!$M9</f>
        <v>460739.12400000001</v>
      </c>
      <c r="G111" s="43">
        <f>'Aquaculture Fuel Consumption'!$M9</f>
        <v>460739.12400000001</v>
      </c>
      <c r="H111" s="43">
        <f>'Aquaculture Fuel Consumption'!$M9</f>
        <v>460739.12400000001</v>
      </c>
      <c r="I111" s="43">
        <f>'Aquaculture Fuel Consumption'!$M9</f>
        <v>460739.12400000001</v>
      </c>
      <c r="J111" s="43">
        <f>'Aquaculture Fuel Consumption'!$M9</f>
        <v>460739.12400000001</v>
      </c>
      <c r="K111" s="43">
        <f>'Aquaculture Fuel Consumption'!$M9</f>
        <v>460739.12400000001</v>
      </c>
      <c r="L111" s="43">
        <f>'Aquaculture Fuel Consumption'!$M9</f>
        <v>460739.12400000001</v>
      </c>
      <c r="M111" s="43">
        <f>'Aquaculture Fuel Consumption'!$M9</f>
        <v>460739.12400000001</v>
      </c>
      <c r="N111" s="45">
        <f t="shared" si="13"/>
        <v>5528869.487999999</v>
      </c>
      <c r="O111" s="45">
        <f>N111*AVERAGE('Assumptions&amp;Calculations'!$B$3:$B$5)</f>
        <v>370747558.30031997</v>
      </c>
      <c r="P111" s="45">
        <f>$N111*AVERAGE('Assumptions&amp;Calculations'!$M$3:$M$5)</f>
        <v>144507535.24885711</v>
      </c>
    </row>
    <row r="112" spans="1:16">
      <c r="A112" s="7" t="s">
        <v>301</v>
      </c>
      <c r="B112" s="43">
        <f>'Aquaculture Fuel Consumption'!$M10</f>
        <v>1547113.42</v>
      </c>
      <c r="C112" s="43">
        <f>'Aquaculture Fuel Consumption'!$M10</f>
        <v>1547113.42</v>
      </c>
      <c r="D112" s="43">
        <f>'Aquaculture Fuel Consumption'!$M10</f>
        <v>1547113.42</v>
      </c>
      <c r="E112" s="43">
        <f>'Aquaculture Fuel Consumption'!$M10</f>
        <v>1547113.42</v>
      </c>
      <c r="F112" s="43">
        <f>'Aquaculture Fuel Consumption'!$M10</f>
        <v>1547113.42</v>
      </c>
      <c r="G112" s="43">
        <f>'Aquaculture Fuel Consumption'!$M10</f>
        <v>1547113.42</v>
      </c>
      <c r="H112" s="43">
        <f>'Aquaculture Fuel Consumption'!$M10</f>
        <v>1547113.42</v>
      </c>
      <c r="I112" s="43">
        <f>'Aquaculture Fuel Consumption'!$M10</f>
        <v>1547113.42</v>
      </c>
      <c r="J112" s="43">
        <f>'Aquaculture Fuel Consumption'!$M10</f>
        <v>1547113.42</v>
      </c>
      <c r="K112" s="43">
        <f>'Aquaculture Fuel Consumption'!$M10</f>
        <v>1547113.42</v>
      </c>
      <c r="L112" s="43">
        <f>'Aquaculture Fuel Consumption'!$M10</f>
        <v>1547113.42</v>
      </c>
      <c r="M112" s="43">
        <f>'Aquaculture Fuel Consumption'!$M10</f>
        <v>1547113.42</v>
      </c>
      <c r="N112" s="45">
        <f t="shared" si="13"/>
        <v>18565361.039999999</v>
      </c>
      <c r="O112" s="45">
        <f>N112*AVERAGE('Assumptions&amp;Calculations'!$B$3:$B$5)</f>
        <v>1244931226.8055999</v>
      </c>
      <c r="P112" s="45">
        <f>$N112*AVERAGE('Assumptions&amp;Calculations'!$M$3:$M$5)</f>
        <v>485241073.37285709</v>
      </c>
    </row>
    <row r="113" spans="1:16">
      <c r="A113" s="7" t="s">
        <v>782</v>
      </c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5"/>
      <c r="O113" s="45"/>
      <c r="P113" s="45"/>
    </row>
    <row r="114" spans="1:16">
      <c r="A114" s="7" t="s">
        <v>302</v>
      </c>
      <c r="B114" s="43">
        <f>'Aquaculture Fuel Consumption'!$M12</f>
        <v>280249.71600000001</v>
      </c>
      <c r="C114" s="43">
        <f>'Aquaculture Fuel Consumption'!$M12</f>
        <v>280249.71600000001</v>
      </c>
      <c r="D114" s="43">
        <f>'Aquaculture Fuel Consumption'!$M12</f>
        <v>280249.71600000001</v>
      </c>
      <c r="E114" s="43">
        <f>'Aquaculture Fuel Consumption'!$M12</f>
        <v>280249.71600000001</v>
      </c>
      <c r="F114" s="43">
        <f>'Aquaculture Fuel Consumption'!$M12</f>
        <v>280249.71600000001</v>
      </c>
      <c r="G114" s="43">
        <f>'Aquaculture Fuel Consumption'!$M12</f>
        <v>280249.71600000001</v>
      </c>
      <c r="H114" s="43">
        <f>'Aquaculture Fuel Consumption'!$M12</f>
        <v>280249.71600000001</v>
      </c>
      <c r="I114" s="43">
        <f>'Aquaculture Fuel Consumption'!$M12</f>
        <v>280249.71600000001</v>
      </c>
      <c r="J114" s="43">
        <f>'Aquaculture Fuel Consumption'!$M12</f>
        <v>280249.71600000001</v>
      </c>
      <c r="K114" s="43">
        <f>'Aquaculture Fuel Consumption'!$M12</f>
        <v>280249.71600000001</v>
      </c>
      <c r="L114" s="43">
        <f>'Aquaculture Fuel Consumption'!$M12</f>
        <v>280249.71600000001</v>
      </c>
      <c r="M114" s="43">
        <f>'Aquaculture Fuel Consumption'!$M12</f>
        <v>280249.71600000001</v>
      </c>
      <c r="N114" s="45">
        <f t="shared" si="13"/>
        <v>3362996.5920000002</v>
      </c>
      <c r="O114" s="45">
        <f>N114*AVERAGE('Assumptions&amp;Calculations'!$B$3:$B$5)</f>
        <v>225511341.47088003</v>
      </c>
      <c r="P114" s="45">
        <f>$N114*AVERAGE('Assumptions&amp;Calculations'!$M$3:$M$5)</f>
        <v>87898321.639714286</v>
      </c>
    </row>
    <row r="115" spans="1:16">
      <c r="A115" s="7" t="s">
        <v>303</v>
      </c>
      <c r="B115" s="43">
        <f>'Aquaculture Fuel Consumption'!$M13</f>
        <v>56344.876000000004</v>
      </c>
      <c r="C115" s="43">
        <f>'Aquaculture Fuel Consumption'!$M13</f>
        <v>56344.876000000004</v>
      </c>
      <c r="D115" s="43">
        <f>'Aquaculture Fuel Consumption'!$M13</f>
        <v>56344.876000000004</v>
      </c>
      <c r="E115" s="43">
        <f>'Aquaculture Fuel Consumption'!$M13</f>
        <v>56344.876000000004</v>
      </c>
      <c r="F115" s="43">
        <f>'Aquaculture Fuel Consumption'!$M13</f>
        <v>56344.876000000004</v>
      </c>
      <c r="G115" s="43">
        <f>'Aquaculture Fuel Consumption'!$M13</f>
        <v>56344.876000000004</v>
      </c>
      <c r="H115" s="43">
        <f>'Aquaculture Fuel Consumption'!$M13</f>
        <v>56344.876000000004</v>
      </c>
      <c r="I115" s="43">
        <f>'Aquaculture Fuel Consumption'!$M13</f>
        <v>56344.876000000004</v>
      </c>
      <c r="J115" s="43">
        <f>'Aquaculture Fuel Consumption'!$M13</f>
        <v>56344.876000000004</v>
      </c>
      <c r="K115" s="43">
        <f>'Aquaculture Fuel Consumption'!$M13</f>
        <v>56344.876000000004</v>
      </c>
      <c r="L115" s="43">
        <f>'Aquaculture Fuel Consumption'!$M13</f>
        <v>56344.876000000004</v>
      </c>
      <c r="M115" s="43">
        <f>'Aquaculture Fuel Consumption'!$M13</f>
        <v>56344.876000000004</v>
      </c>
      <c r="N115" s="45">
        <f t="shared" si="13"/>
        <v>676138.5120000001</v>
      </c>
      <c r="O115" s="45">
        <f>N115*AVERAGE('Assumptions&amp;Calculations'!$B$3:$B$5)</f>
        <v>45339594.819680013</v>
      </c>
      <c r="P115" s="45">
        <f>$N115*AVERAGE('Assumptions&amp;Calculations'!$M$3:$M$5)</f>
        <v>17672167.894000001</v>
      </c>
    </row>
    <row r="116" spans="1:16">
      <c r="A116" s="7" t="s">
        <v>304</v>
      </c>
      <c r="B116" s="43">
        <f>'Aquaculture Fuel Consumption'!$M14</f>
        <v>518370</v>
      </c>
      <c r="C116" s="43">
        <f>'Aquaculture Fuel Consumption'!$M14</f>
        <v>518370</v>
      </c>
      <c r="D116" s="43">
        <f>'Aquaculture Fuel Consumption'!$M14</f>
        <v>518370</v>
      </c>
      <c r="E116" s="43">
        <f>'Aquaculture Fuel Consumption'!$M14</f>
        <v>518370</v>
      </c>
      <c r="F116" s="43">
        <f>'Aquaculture Fuel Consumption'!$M14</f>
        <v>518370</v>
      </c>
      <c r="G116" s="43">
        <f>'Aquaculture Fuel Consumption'!$M14</f>
        <v>518370</v>
      </c>
      <c r="H116" s="43">
        <f>'Aquaculture Fuel Consumption'!$M14</f>
        <v>518370</v>
      </c>
      <c r="I116" s="43">
        <f>'Aquaculture Fuel Consumption'!$M14</f>
        <v>518370</v>
      </c>
      <c r="J116" s="43">
        <f>'Aquaculture Fuel Consumption'!$M14</f>
        <v>518370</v>
      </c>
      <c r="K116" s="43">
        <f>'Aquaculture Fuel Consumption'!$M14</f>
        <v>518370</v>
      </c>
      <c r="L116" s="43">
        <f>'Aquaculture Fuel Consumption'!$M14</f>
        <v>518370</v>
      </c>
      <c r="M116" s="43">
        <f>'Aquaculture Fuel Consumption'!$M14</f>
        <v>518370</v>
      </c>
      <c r="N116" s="45">
        <f t="shared" si="13"/>
        <v>6220440</v>
      </c>
      <c r="O116" s="45">
        <f>N116*AVERAGE('Assumptions&amp;Calculations'!$B$3:$B$5)</f>
        <v>417121971.60000002</v>
      </c>
      <c r="P116" s="45">
        <f>$N116*AVERAGE('Assumptions&amp;Calculations'!$M$3:$M$5)</f>
        <v>162583047.85714284</v>
      </c>
    </row>
    <row r="117" spans="1:16">
      <c r="A117" s="7" t="s">
        <v>305</v>
      </c>
      <c r="B117" s="43">
        <f>'Aquaculture Fuel Consumption'!$M15</f>
        <v>156340.084</v>
      </c>
      <c r="C117" s="43">
        <f>'Aquaculture Fuel Consumption'!$M15</f>
        <v>156340.084</v>
      </c>
      <c r="D117" s="43">
        <f>'Aquaculture Fuel Consumption'!$M15</f>
        <v>156340.084</v>
      </c>
      <c r="E117" s="43">
        <f>'Aquaculture Fuel Consumption'!$M15</f>
        <v>156340.084</v>
      </c>
      <c r="F117" s="43">
        <f>'Aquaculture Fuel Consumption'!$M15</f>
        <v>156340.084</v>
      </c>
      <c r="G117" s="43">
        <f>'Aquaculture Fuel Consumption'!$M15</f>
        <v>156340.084</v>
      </c>
      <c r="H117" s="43">
        <f>'Aquaculture Fuel Consumption'!$M15</f>
        <v>156340.084</v>
      </c>
      <c r="I117" s="43">
        <f>'Aquaculture Fuel Consumption'!$M15</f>
        <v>156340.084</v>
      </c>
      <c r="J117" s="43">
        <f>'Aquaculture Fuel Consumption'!$M15</f>
        <v>156340.084</v>
      </c>
      <c r="K117" s="43">
        <f>'Aquaculture Fuel Consumption'!$M15</f>
        <v>156340.084</v>
      </c>
      <c r="L117" s="43">
        <f>'Aquaculture Fuel Consumption'!$M15</f>
        <v>156340.084</v>
      </c>
      <c r="M117" s="43">
        <f>'Aquaculture Fuel Consumption'!$M15</f>
        <v>156340.084</v>
      </c>
      <c r="N117" s="45">
        <f t="shared" si="13"/>
        <v>1876081.0080000001</v>
      </c>
      <c r="O117" s="45">
        <f>N117*AVERAGE('Assumptions&amp;Calculations'!$B$3:$B$5)</f>
        <v>125803738.79312003</v>
      </c>
      <c r="P117" s="45">
        <f>$N117*AVERAGE('Assumptions&amp;Calculations'!$M$3:$M$5)</f>
        <v>49034950.631714284</v>
      </c>
    </row>
    <row r="118" spans="1:16">
      <c r="A118" s="7" t="s">
        <v>306</v>
      </c>
      <c r="B118" s="43">
        <f>'Aquaculture Fuel Consumption'!$M16</f>
        <v>183930</v>
      </c>
      <c r="C118" s="43">
        <f>'Aquaculture Fuel Consumption'!$M16</f>
        <v>183930</v>
      </c>
      <c r="D118" s="43">
        <f>'Aquaculture Fuel Consumption'!$M16</f>
        <v>183930</v>
      </c>
      <c r="E118" s="43">
        <f>'Aquaculture Fuel Consumption'!$M16</f>
        <v>183930</v>
      </c>
      <c r="F118" s="43">
        <f>'Aquaculture Fuel Consumption'!$M16</f>
        <v>183930</v>
      </c>
      <c r="G118" s="43">
        <f>'Aquaculture Fuel Consumption'!$M16</f>
        <v>183930</v>
      </c>
      <c r="H118" s="43">
        <f>'Aquaculture Fuel Consumption'!$M16</f>
        <v>183930</v>
      </c>
      <c r="I118" s="43">
        <f>'Aquaculture Fuel Consumption'!$M16</f>
        <v>183930</v>
      </c>
      <c r="J118" s="43">
        <f>'Aquaculture Fuel Consumption'!$M16</f>
        <v>183930</v>
      </c>
      <c r="K118" s="43">
        <f>'Aquaculture Fuel Consumption'!$M16</f>
        <v>183930</v>
      </c>
      <c r="L118" s="43">
        <f>'Aquaculture Fuel Consumption'!$M16</f>
        <v>183930</v>
      </c>
      <c r="M118" s="43">
        <f>'Aquaculture Fuel Consumption'!$M16</f>
        <v>183930</v>
      </c>
      <c r="N118" s="45">
        <f t="shared" si="13"/>
        <v>2207160</v>
      </c>
      <c r="O118" s="45">
        <f>N118*AVERAGE('Assumptions&amp;Calculations'!$B$3:$B$5)</f>
        <v>148004792.40000001</v>
      </c>
      <c r="P118" s="45">
        <f>$N118*AVERAGE('Assumptions&amp;Calculations'!$M$3:$M$5)</f>
        <v>57688330.714285709</v>
      </c>
    </row>
    <row r="119" spans="1:16">
      <c r="A119" s="7" t="s">
        <v>307</v>
      </c>
      <c r="B119" s="43">
        <f>'Aquaculture Fuel Consumption'!$M17</f>
        <v>120947.628</v>
      </c>
      <c r="C119" s="43">
        <f>'Aquaculture Fuel Consumption'!$M17</f>
        <v>120947.628</v>
      </c>
      <c r="D119" s="43">
        <f>'Aquaculture Fuel Consumption'!$M17</f>
        <v>120947.628</v>
      </c>
      <c r="E119" s="43">
        <f>'Aquaculture Fuel Consumption'!$M17</f>
        <v>120947.628</v>
      </c>
      <c r="F119" s="43">
        <f>'Aquaculture Fuel Consumption'!$M17</f>
        <v>120947.628</v>
      </c>
      <c r="G119" s="43">
        <f>'Aquaculture Fuel Consumption'!$M17</f>
        <v>120947.628</v>
      </c>
      <c r="H119" s="43">
        <f>'Aquaculture Fuel Consumption'!$M17</f>
        <v>120947.628</v>
      </c>
      <c r="I119" s="43">
        <f>'Aquaculture Fuel Consumption'!$M17</f>
        <v>120947.628</v>
      </c>
      <c r="J119" s="43">
        <f>'Aquaculture Fuel Consumption'!$M17</f>
        <v>120947.628</v>
      </c>
      <c r="K119" s="43">
        <f>'Aquaculture Fuel Consumption'!$M17</f>
        <v>120947.628</v>
      </c>
      <c r="L119" s="43">
        <f>'Aquaculture Fuel Consumption'!$M17</f>
        <v>120947.628</v>
      </c>
      <c r="M119" s="43">
        <f>'Aquaculture Fuel Consumption'!$M17</f>
        <v>120947.628</v>
      </c>
      <c r="N119" s="45">
        <f t="shared" si="13"/>
        <v>1451371.5360000001</v>
      </c>
      <c r="O119" s="45">
        <f>N119*AVERAGE('Assumptions&amp;Calculations'!$B$3:$B$5)</f>
        <v>97324137.29904002</v>
      </c>
      <c r="P119" s="45">
        <f>$N119*AVERAGE('Assumptions&amp;Calculations'!$M$3:$M$5)</f>
        <v>37934359.610571429</v>
      </c>
    </row>
    <row r="120" spans="1:16">
      <c r="A120" s="7" t="s">
        <v>308</v>
      </c>
      <c r="B120" s="43">
        <f>'Aquaculture Fuel Consumption'!$M18</f>
        <v>118183</v>
      </c>
      <c r="C120" s="43">
        <f>'Aquaculture Fuel Consumption'!$M18</f>
        <v>118183</v>
      </c>
      <c r="D120" s="43">
        <f>'Aquaculture Fuel Consumption'!$M18</f>
        <v>118183</v>
      </c>
      <c r="E120" s="43">
        <f>'Aquaculture Fuel Consumption'!$M18</f>
        <v>118183</v>
      </c>
      <c r="F120" s="43">
        <f>'Aquaculture Fuel Consumption'!$M18</f>
        <v>118183</v>
      </c>
      <c r="G120" s="43">
        <f>'Aquaculture Fuel Consumption'!$M18</f>
        <v>118183</v>
      </c>
      <c r="H120" s="43">
        <f>'Aquaculture Fuel Consumption'!$M18</f>
        <v>118183</v>
      </c>
      <c r="I120" s="43">
        <f>'Aquaculture Fuel Consumption'!$M18</f>
        <v>118183</v>
      </c>
      <c r="J120" s="43">
        <f>'Aquaculture Fuel Consumption'!$M18</f>
        <v>118183</v>
      </c>
      <c r="K120" s="43">
        <f>'Aquaculture Fuel Consumption'!$M18</f>
        <v>118183</v>
      </c>
      <c r="L120" s="43">
        <f>'Aquaculture Fuel Consumption'!$M18</f>
        <v>118183</v>
      </c>
      <c r="M120" s="43">
        <f>'Aquaculture Fuel Consumption'!$M18</f>
        <v>118183</v>
      </c>
      <c r="N120" s="45">
        <f t="shared" si="13"/>
        <v>1418196</v>
      </c>
      <c r="O120" s="45">
        <f>N120*AVERAGE('Assumptions&amp;Calculations'!$B$3:$B$5)</f>
        <v>95099496.440000013</v>
      </c>
      <c r="P120" s="45">
        <f>$N120*AVERAGE('Assumptions&amp;Calculations'!$M$3:$M$5)</f>
        <v>37067253.785714284</v>
      </c>
    </row>
    <row r="121" spans="1:16" ht="28.8">
      <c r="A121" s="44" t="s">
        <v>311</v>
      </c>
      <c r="B121" s="45">
        <f t="shared" ref="B121:N121" si="14">SUM(B103:B120)</f>
        <v>10584923.068000002</v>
      </c>
      <c r="C121" s="45">
        <f t="shared" si="14"/>
        <v>10584923.068000002</v>
      </c>
      <c r="D121" s="45">
        <f t="shared" si="14"/>
        <v>10584923.068000002</v>
      </c>
      <c r="E121" s="45">
        <f t="shared" si="14"/>
        <v>10584923.068000002</v>
      </c>
      <c r="F121" s="45">
        <f t="shared" si="14"/>
        <v>10584923.068000002</v>
      </c>
      <c r="G121" s="45">
        <f t="shared" si="14"/>
        <v>10584923.068000002</v>
      </c>
      <c r="H121" s="45">
        <f t="shared" si="14"/>
        <v>10584923.068000002</v>
      </c>
      <c r="I121" s="45">
        <f t="shared" si="14"/>
        <v>10584923.068000002</v>
      </c>
      <c r="J121" s="45">
        <f t="shared" si="14"/>
        <v>10584923.068000002</v>
      </c>
      <c r="K121" s="45">
        <f t="shared" si="14"/>
        <v>10584923.068000002</v>
      </c>
      <c r="L121" s="45">
        <f t="shared" si="14"/>
        <v>10584923.068000002</v>
      </c>
      <c r="M121" s="45">
        <f t="shared" si="14"/>
        <v>10584923.068000002</v>
      </c>
      <c r="N121" s="45">
        <f t="shared" si="14"/>
        <v>127019076.81600001</v>
      </c>
      <c r="O121" s="45">
        <f>N121*AVERAGE('Assumptions&amp;Calculations'!$B$3:$B$5)</f>
        <v>8517475894.358242</v>
      </c>
      <c r="P121" s="45">
        <f>$N121*AVERAGE('Assumptions&amp;Calculations'!$M$3:$M$5)</f>
        <v>3319885513.6848574</v>
      </c>
    </row>
    <row r="122" spans="1:16">
      <c r="N122" s="45"/>
      <c r="O122" s="45"/>
      <c r="P122" s="45"/>
    </row>
  </sheetData>
  <mergeCells count="1">
    <mergeCell ref="A1:M1"/>
  </mergeCells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05D9-5375-469F-97FE-541252C4B406}">
  <dimension ref="A1:I20"/>
  <sheetViews>
    <sheetView workbookViewId="0">
      <selection activeCell="I18" sqref="I2:I18"/>
    </sheetView>
  </sheetViews>
  <sheetFormatPr defaultColWidth="15.77734375" defaultRowHeight="14.4"/>
  <cols>
    <col min="6" max="6" width="15.77734375" style="3"/>
    <col min="7" max="7" width="17.77734375" bestFit="1" customWidth="1"/>
  </cols>
  <sheetData>
    <row r="1" spans="1:9" s="572" customFormat="1">
      <c r="A1" s="325" t="s">
        <v>339</v>
      </c>
      <c r="B1" s="325" t="s">
        <v>274</v>
      </c>
      <c r="C1" s="325" t="s">
        <v>268</v>
      </c>
      <c r="D1" s="325" t="s">
        <v>266</v>
      </c>
      <c r="E1" s="325" t="s">
        <v>400</v>
      </c>
      <c r="F1" s="325" t="s">
        <v>257</v>
      </c>
    </row>
    <row r="2" spans="1:9">
      <c r="A2" s="7" t="s">
        <v>294</v>
      </c>
      <c r="B2" s="571">
        <f>Summary!N3</f>
        <v>2007985.6</v>
      </c>
      <c r="C2" s="571">
        <f>Summary!N23</f>
        <v>6509088</v>
      </c>
      <c r="D2" s="571">
        <f>Summary!N43</f>
        <v>1158637</v>
      </c>
      <c r="E2" s="571">
        <f>Summary!N63</f>
        <v>0</v>
      </c>
      <c r="F2" s="576">
        <f>SUM(B2:E2)</f>
        <v>9675710.5999999996</v>
      </c>
      <c r="G2" s="575">
        <f t="shared" ref="G2:G18" si="0">F2*60</f>
        <v>580542636</v>
      </c>
      <c r="I2" s="580">
        <f>D2+E2</f>
        <v>1158637</v>
      </c>
    </row>
    <row r="3" spans="1:9">
      <c r="A3" s="7" t="s">
        <v>295</v>
      </c>
      <c r="B3" s="571">
        <f>Summary!N4</f>
        <v>33623793.600000001</v>
      </c>
      <c r="C3" s="571">
        <f>Summary!N24</f>
        <v>26976320</v>
      </c>
      <c r="D3" s="571">
        <f>Summary!N44</f>
        <v>2098144</v>
      </c>
      <c r="E3" s="571">
        <f>Summary!N64</f>
        <v>0</v>
      </c>
      <c r="F3" s="576">
        <f t="shared" ref="F3:F18" si="1">SUM(B3:E3)</f>
        <v>62698257.600000001</v>
      </c>
      <c r="G3" s="575">
        <f t="shared" si="0"/>
        <v>3761895456</v>
      </c>
      <c r="I3" s="580">
        <f t="shared" ref="I3:I19" si="2">D3+E3</f>
        <v>2098144</v>
      </c>
    </row>
    <row r="4" spans="1:9">
      <c r="A4" s="7" t="s">
        <v>296</v>
      </c>
      <c r="B4" s="571">
        <f>Summary!N5</f>
        <v>54953507.399999999</v>
      </c>
      <c r="C4" s="571">
        <f>Summary!N25</f>
        <v>38775168</v>
      </c>
      <c r="D4" s="571">
        <f>Summary!N45</f>
        <v>17560568</v>
      </c>
      <c r="E4" s="571">
        <f>Summary!N65</f>
        <v>380539.67199999996</v>
      </c>
      <c r="F4" s="576">
        <f t="shared" si="1"/>
        <v>111669783.07200001</v>
      </c>
      <c r="G4" s="575">
        <f t="shared" si="0"/>
        <v>6700186984.3200006</v>
      </c>
      <c r="I4" s="580">
        <f t="shared" si="2"/>
        <v>17941107.671999998</v>
      </c>
    </row>
    <row r="5" spans="1:9">
      <c r="A5" s="7" t="s">
        <v>297</v>
      </c>
      <c r="B5" s="571">
        <f>Summary!N6</f>
        <v>33191945.200000003</v>
      </c>
      <c r="C5" s="571">
        <f>Summary!N26</f>
        <v>14079200</v>
      </c>
      <c r="D5" s="571">
        <f>Summary!N46</f>
        <v>2759300</v>
      </c>
      <c r="E5" s="571">
        <f>Summary!N66</f>
        <v>857201.92</v>
      </c>
      <c r="F5" s="576">
        <f t="shared" si="1"/>
        <v>50887647.120000005</v>
      </c>
      <c r="G5" s="575">
        <f t="shared" si="0"/>
        <v>3053258827.2000003</v>
      </c>
      <c r="I5" s="580">
        <f t="shared" si="2"/>
        <v>3616501.92</v>
      </c>
    </row>
    <row r="6" spans="1:9">
      <c r="A6" s="7" t="s">
        <v>298</v>
      </c>
      <c r="B6" s="571">
        <f>Summary!N7</f>
        <v>11080654.4</v>
      </c>
      <c r="C6" s="571">
        <f>Summary!N27</f>
        <v>6750720</v>
      </c>
      <c r="D6" s="571">
        <f>Summary!N47</f>
        <v>5339848</v>
      </c>
      <c r="E6" s="571">
        <f>Summary!N67</f>
        <v>2498327.8199999998</v>
      </c>
      <c r="F6" s="576">
        <f t="shared" si="1"/>
        <v>25669550.219999999</v>
      </c>
      <c r="G6" s="575">
        <f t="shared" si="0"/>
        <v>1540173013.1999998</v>
      </c>
      <c r="I6" s="580">
        <f t="shared" si="2"/>
        <v>7838175.8200000003</v>
      </c>
    </row>
    <row r="7" spans="1:9">
      <c r="A7" s="7" t="s">
        <v>299</v>
      </c>
      <c r="B7" s="571">
        <f>Summary!N8</f>
        <v>10699891.200000001</v>
      </c>
      <c r="C7" s="571">
        <f>Summary!N28</f>
        <v>8582880</v>
      </c>
      <c r="D7" s="571">
        <f>Summary!N48</f>
        <v>538070</v>
      </c>
      <c r="E7" s="571">
        <f>Summary!N68</f>
        <v>0</v>
      </c>
      <c r="F7" s="576">
        <f t="shared" si="1"/>
        <v>19820841.200000003</v>
      </c>
      <c r="G7" s="575">
        <f t="shared" si="0"/>
        <v>1189250472.0000002</v>
      </c>
      <c r="I7" s="580">
        <f t="shared" si="2"/>
        <v>538070</v>
      </c>
    </row>
    <row r="8" spans="1:9">
      <c r="A8" s="7" t="s">
        <v>300</v>
      </c>
      <c r="B8" s="571">
        <f>Summary!N9</f>
        <v>13271969.600000001</v>
      </c>
      <c r="C8" s="571">
        <f>Summary!N29</f>
        <v>6387744</v>
      </c>
      <c r="D8" s="571">
        <f>Summary!N49</f>
        <v>1902227</v>
      </c>
      <c r="E8" s="571">
        <f>Summary!N69</f>
        <v>257740.48000000004</v>
      </c>
      <c r="F8" s="576">
        <f t="shared" si="1"/>
        <v>21819681.080000002</v>
      </c>
      <c r="G8" s="575">
        <f t="shared" si="0"/>
        <v>1309180864.8000002</v>
      </c>
      <c r="I8" s="580">
        <f t="shared" si="2"/>
        <v>2159967.48</v>
      </c>
    </row>
    <row r="9" spans="1:9">
      <c r="A9" s="7" t="s">
        <v>301</v>
      </c>
      <c r="B9" s="571">
        <f>Summary!N10</f>
        <v>8189092.8000000007</v>
      </c>
      <c r="C9" s="571">
        <f>Summary!N30</f>
        <v>5391072</v>
      </c>
      <c r="D9" s="571">
        <f>Summary!N50</f>
        <v>578794</v>
      </c>
      <c r="E9" s="571">
        <f>Summary!N70</f>
        <v>3585124</v>
      </c>
      <c r="F9" s="576">
        <f t="shared" si="1"/>
        <v>17744082.800000001</v>
      </c>
      <c r="G9" s="575">
        <f t="shared" si="0"/>
        <v>1064644968</v>
      </c>
      <c r="I9" s="580">
        <f t="shared" si="2"/>
        <v>4163918</v>
      </c>
    </row>
    <row r="10" spans="1:9">
      <c r="A10" s="7" t="s">
        <v>782</v>
      </c>
      <c r="B10" s="571">
        <f>Summary!N11</f>
        <v>2220524.7999999998</v>
      </c>
      <c r="C10" s="571">
        <f>Summary!N31</f>
        <v>2211904</v>
      </c>
      <c r="D10" s="571">
        <f>Summary!N51</f>
        <v>1316248</v>
      </c>
      <c r="E10" s="571">
        <f>Summary!N71</f>
        <v>30914745.300000001</v>
      </c>
      <c r="F10" s="576">
        <f t="shared" si="1"/>
        <v>36663422.100000001</v>
      </c>
      <c r="G10" s="575">
        <f t="shared" si="0"/>
        <v>2199805326</v>
      </c>
      <c r="I10" s="580">
        <f t="shared" si="2"/>
        <v>32230993.300000001</v>
      </c>
    </row>
    <row r="11" spans="1:9">
      <c r="A11" s="7" t="s">
        <v>302</v>
      </c>
      <c r="B11" s="571">
        <f>Summary!N12</f>
        <v>2920065.5999999996</v>
      </c>
      <c r="C11" s="571">
        <f>Summary!N32</f>
        <v>2607040</v>
      </c>
      <c r="D11" s="571">
        <f>Summary!N52</f>
        <v>698126</v>
      </c>
      <c r="E11" s="571">
        <f>Summary!N72</f>
        <v>388785.1</v>
      </c>
      <c r="F11" s="576">
        <f t="shared" si="1"/>
        <v>6614016.6999999993</v>
      </c>
      <c r="G11" s="575">
        <f t="shared" si="0"/>
        <v>396841001.99999994</v>
      </c>
      <c r="I11" s="580">
        <f t="shared" si="2"/>
        <v>1086911.1000000001</v>
      </c>
    </row>
    <row r="12" spans="1:9">
      <c r="A12" s="7" t="s">
        <v>303</v>
      </c>
      <c r="B12" s="571">
        <f>Summary!N13</f>
        <v>7199756.7999999998</v>
      </c>
      <c r="C12" s="571">
        <f>Summary!N33</f>
        <v>3079008</v>
      </c>
      <c r="D12" s="571">
        <f>Summary!N53</f>
        <v>1905056</v>
      </c>
      <c r="E12" s="571">
        <f>Summary!N73</f>
        <v>627153.88</v>
      </c>
      <c r="F12" s="576">
        <f t="shared" si="1"/>
        <v>12810974.680000002</v>
      </c>
      <c r="G12" s="575">
        <f t="shared" si="0"/>
        <v>768658480.80000007</v>
      </c>
      <c r="I12" s="580">
        <f t="shared" si="2"/>
        <v>2532209.88</v>
      </c>
    </row>
    <row r="13" spans="1:9">
      <c r="A13" s="7" t="s">
        <v>304</v>
      </c>
      <c r="B13" s="571">
        <f>Summary!N14</f>
        <v>4640419.1999999993</v>
      </c>
      <c r="C13" s="571">
        <f>Summary!N34</f>
        <v>4302816</v>
      </c>
      <c r="D13" s="571">
        <f>Summary!N54</f>
        <v>676647</v>
      </c>
      <c r="E13" s="571">
        <f>Summary!N74</f>
        <v>0</v>
      </c>
      <c r="F13" s="576">
        <f t="shared" si="1"/>
        <v>9619882.1999999993</v>
      </c>
      <c r="G13" s="575">
        <f t="shared" si="0"/>
        <v>577192932</v>
      </c>
      <c r="I13" s="580">
        <f t="shared" si="2"/>
        <v>676647</v>
      </c>
    </row>
    <row r="14" spans="1:9">
      <c r="A14" s="7" t="s">
        <v>305</v>
      </c>
      <c r="B14" s="571">
        <f>Summary!N15</f>
        <v>15273708.800000001</v>
      </c>
      <c r="C14" s="571">
        <f>Summary!N35</f>
        <v>15360416</v>
      </c>
      <c r="D14" s="571">
        <f>Summary!N55</f>
        <v>1367278</v>
      </c>
      <c r="E14" s="571">
        <f>Summary!N75</f>
        <v>7708937.3800000008</v>
      </c>
      <c r="F14" s="576">
        <f t="shared" si="1"/>
        <v>39710340.18</v>
      </c>
      <c r="G14" s="575">
        <f t="shared" si="0"/>
        <v>2382620410.8000002</v>
      </c>
      <c r="I14" s="580">
        <f t="shared" si="2"/>
        <v>9076215.3800000008</v>
      </c>
    </row>
    <row r="15" spans="1:9">
      <c r="A15" s="7" t="s">
        <v>306</v>
      </c>
      <c r="B15" s="571">
        <f>Summary!N16</f>
        <v>6991960</v>
      </c>
      <c r="C15" s="571">
        <f>Summary!N36</f>
        <v>5304832</v>
      </c>
      <c r="D15" s="571">
        <f>Summary!N56</f>
        <v>1412967</v>
      </c>
      <c r="E15" s="571">
        <f>Summary!N76</f>
        <v>668241.84</v>
      </c>
      <c r="F15" s="576">
        <f t="shared" si="1"/>
        <v>14378000.84</v>
      </c>
      <c r="G15" s="575">
        <f t="shared" si="0"/>
        <v>862680050.39999998</v>
      </c>
      <c r="I15" s="580">
        <f t="shared" si="2"/>
        <v>2081208.8399999999</v>
      </c>
    </row>
    <row r="16" spans="1:9">
      <c r="A16" s="7" t="s">
        <v>307</v>
      </c>
      <c r="B16" s="571">
        <f>Summary!N17</f>
        <v>15783939.199999999</v>
      </c>
      <c r="C16" s="571">
        <f>Summary!N37</f>
        <v>13249568</v>
      </c>
      <c r="D16" s="571">
        <f>Summary!N57</f>
        <v>6695409</v>
      </c>
      <c r="E16" s="571">
        <f>Summary!N77</f>
        <v>1366157.9999999998</v>
      </c>
      <c r="F16" s="576">
        <f t="shared" si="1"/>
        <v>37095074.200000003</v>
      </c>
      <c r="G16" s="575">
        <f t="shared" si="0"/>
        <v>2225704452</v>
      </c>
      <c r="I16" s="580">
        <f t="shared" si="2"/>
        <v>8061567</v>
      </c>
    </row>
    <row r="17" spans="1:9">
      <c r="A17" s="7" t="s">
        <v>308</v>
      </c>
      <c r="B17" s="571">
        <f>Summary!N18</f>
        <v>15741676.800000001</v>
      </c>
      <c r="C17" s="571">
        <f>Summary!N38</f>
        <v>5750912</v>
      </c>
      <c r="D17" s="571">
        <f>Summary!N58</f>
        <v>6089918</v>
      </c>
      <c r="E17" s="571">
        <f>Summary!N78</f>
        <v>0</v>
      </c>
      <c r="F17" s="576">
        <f t="shared" si="1"/>
        <v>27582506.800000001</v>
      </c>
      <c r="G17" s="575">
        <f t="shared" si="0"/>
        <v>1654950408</v>
      </c>
      <c r="I17" s="580">
        <f t="shared" si="2"/>
        <v>6089918</v>
      </c>
    </row>
    <row r="18" spans="1:9">
      <c r="A18" s="7" t="s">
        <v>309</v>
      </c>
      <c r="B18" s="571">
        <f>Summary!N19</f>
        <v>157520</v>
      </c>
      <c r="C18" s="571">
        <f>Summary!N39</f>
        <v>453456</v>
      </c>
      <c r="D18" s="571">
        <f>Summary!N59</f>
        <v>26420</v>
      </c>
      <c r="E18" s="571">
        <f>Summary!N79</f>
        <v>0</v>
      </c>
      <c r="F18" s="576">
        <f t="shared" si="1"/>
        <v>637396</v>
      </c>
      <c r="G18" s="575">
        <f t="shared" si="0"/>
        <v>38243760</v>
      </c>
      <c r="H18" s="578">
        <f>F18/F19</f>
        <v>1.2619274887069884E-3</v>
      </c>
      <c r="I18" s="580">
        <f t="shared" si="2"/>
        <v>26420</v>
      </c>
    </row>
    <row r="19" spans="1:9" s="3" customFormat="1">
      <c r="A19" s="573" t="s">
        <v>257</v>
      </c>
      <c r="B19" s="574">
        <f>SUM(B2:B18)</f>
        <v>237948411</v>
      </c>
      <c r="C19" s="574">
        <f t="shared" ref="C19:F19" si="3">SUM(C2:C18)</f>
        <v>165772144</v>
      </c>
      <c r="D19" s="574">
        <f t="shared" si="3"/>
        <v>52123657</v>
      </c>
      <c r="E19" s="574">
        <f t="shared" si="3"/>
        <v>49252955.392000012</v>
      </c>
      <c r="F19" s="574">
        <f t="shared" si="3"/>
        <v>505097167.39200002</v>
      </c>
      <c r="G19" s="575">
        <f>F19*60</f>
        <v>30305830043.52</v>
      </c>
      <c r="I19" s="580">
        <f t="shared" si="2"/>
        <v>101376612.39200002</v>
      </c>
    </row>
    <row r="20" spans="1:9">
      <c r="B20" s="4">
        <f>B19*60</f>
        <v>14276904660</v>
      </c>
      <c r="C20" s="4">
        <f t="shared" ref="C20:F20" si="4">C19*60</f>
        <v>9946328640</v>
      </c>
      <c r="D20" s="4">
        <f t="shared" si="4"/>
        <v>3127419420</v>
      </c>
      <c r="E20" s="4">
        <f t="shared" si="4"/>
        <v>2955177323.5200009</v>
      </c>
      <c r="F20" s="4">
        <f t="shared" si="4"/>
        <v>30305830043.52</v>
      </c>
      <c r="G20" s="575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J45"/>
  <sheetViews>
    <sheetView zoomScale="125" zoomScaleNormal="125" zoomScalePageLayoutView="125" workbookViewId="0">
      <pane xSplit="1" ySplit="2" topLeftCell="O5" activePane="bottomRight" state="frozen"/>
      <selection pane="topRight" activeCell="B1" sqref="B1"/>
      <selection pane="bottomLeft" activeCell="A3" sqref="A3"/>
      <selection pane="bottomRight" activeCell="J20" sqref="J20"/>
    </sheetView>
  </sheetViews>
  <sheetFormatPr defaultColWidth="15.77734375" defaultRowHeight="14.4"/>
  <cols>
    <col min="1" max="2" width="15.77734375" style="554"/>
    <col min="3" max="3" width="0" style="554" hidden="1" customWidth="1"/>
    <col min="4" max="4" width="15.77734375" style="554"/>
    <col min="5" max="5" width="0" style="554" hidden="1" customWidth="1"/>
    <col min="6" max="6" width="15.77734375" style="554"/>
    <col min="7" max="7" width="0" style="554" hidden="1" customWidth="1"/>
    <col min="8" max="8" width="15.77734375" style="554"/>
    <col min="9" max="9" width="0" style="554" hidden="1" customWidth="1"/>
    <col min="10" max="10" width="15.77734375" style="554"/>
    <col min="11" max="11" width="0" style="24" hidden="1" customWidth="1"/>
    <col min="12" max="12" width="15.77734375" style="24"/>
    <col min="13" max="14" width="0" style="24" hidden="1" customWidth="1"/>
    <col min="15" max="32" width="15.77734375" style="24"/>
    <col min="33" max="33" width="22" style="24" bestFit="1" customWidth="1"/>
    <col min="34" max="35" width="22" style="24" customWidth="1"/>
    <col min="36" max="16384" width="15.77734375" style="24"/>
  </cols>
  <sheetData>
    <row r="1" spans="1:60" s="32" customFormat="1">
      <c r="A1" s="598" t="s">
        <v>576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600"/>
      <c r="O1" s="601" t="s">
        <v>759</v>
      </c>
      <c r="P1" s="596"/>
      <c r="Q1" s="596"/>
      <c r="R1" s="596"/>
      <c r="S1" s="596"/>
      <c r="T1" s="602"/>
      <c r="U1" s="596" t="s">
        <v>756</v>
      </c>
      <c r="V1" s="596"/>
      <c r="W1" s="596" t="s">
        <v>757</v>
      </c>
      <c r="X1" s="596"/>
      <c r="Y1" s="596" t="s">
        <v>758</v>
      </c>
      <c r="Z1" s="602"/>
      <c r="AA1" s="598" t="s">
        <v>759</v>
      </c>
      <c r="AB1" s="599"/>
      <c r="AC1" s="599"/>
      <c r="AD1" s="599"/>
      <c r="AE1" s="599"/>
      <c r="AF1" s="600"/>
      <c r="AG1" s="601" t="s">
        <v>756</v>
      </c>
      <c r="AH1" s="596"/>
      <c r="AI1" s="596"/>
      <c r="AJ1" s="596"/>
      <c r="AK1" s="596"/>
      <c r="AL1" s="596"/>
      <c r="AM1" s="602"/>
      <c r="AN1" s="594" t="s">
        <v>757</v>
      </c>
      <c r="AO1" s="594"/>
      <c r="AP1" s="594"/>
      <c r="AQ1" s="594"/>
      <c r="AR1" s="594"/>
      <c r="AS1" s="594"/>
      <c r="AT1" s="594"/>
      <c r="AU1" s="593" t="s">
        <v>775</v>
      </c>
      <c r="AV1" s="594" t="s">
        <v>766</v>
      </c>
      <c r="AW1" s="594" t="s">
        <v>758</v>
      </c>
      <c r="AX1" s="594"/>
      <c r="AY1" s="593" t="s">
        <v>771</v>
      </c>
      <c r="AZ1" s="593" t="s">
        <v>770</v>
      </c>
      <c r="BA1" s="594">
        <v>2022</v>
      </c>
      <c r="BB1" s="594"/>
      <c r="BC1" s="594"/>
      <c r="BD1" s="594"/>
      <c r="BE1" s="594"/>
      <c r="BF1" s="594"/>
      <c r="BG1" s="593" t="s">
        <v>772</v>
      </c>
      <c r="BH1" s="593" t="s">
        <v>773</v>
      </c>
    </row>
    <row r="2" spans="1:60" s="32" customFormat="1">
      <c r="A2" s="19" t="s">
        <v>575</v>
      </c>
      <c r="B2" s="598" t="s">
        <v>570</v>
      </c>
      <c r="C2" s="600"/>
      <c r="D2" s="598" t="s">
        <v>571</v>
      </c>
      <c r="E2" s="600"/>
      <c r="F2" s="598" t="s">
        <v>266</v>
      </c>
      <c r="G2" s="600"/>
      <c r="H2" s="598" t="s">
        <v>572</v>
      </c>
      <c r="I2" s="600"/>
      <c r="J2" s="598" t="s">
        <v>764</v>
      </c>
      <c r="K2" s="600"/>
      <c r="L2" s="598" t="s">
        <v>765</v>
      </c>
      <c r="M2" s="599"/>
      <c r="N2" s="599"/>
      <c r="O2" s="595" t="s">
        <v>764</v>
      </c>
      <c r="P2" s="595"/>
      <c r="Q2" s="595"/>
      <c r="R2" s="595" t="s">
        <v>765</v>
      </c>
      <c r="S2" s="595"/>
      <c r="T2" s="595"/>
      <c r="U2" s="597"/>
      <c r="V2" s="597"/>
      <c r="W2" s="597"/>
      <c r="X2" s="597"/>
      <c r="Y2" s="597"/>
      <c r="Z2" s="604"/>
      <c r="AA2" s="595" t="s">
        <v>764</v>
      </c>
      <c r="AB2" s="595"/>
      <c r="AC2" s="595"/>
      <c r="AD2" s="595" t="s">
        <v>765</v>
      </c>
      <c r="AE2" s="595"/>
      <c r="AF2" s="595"/>
      <c r="AG2" s="603"/>
      <c r="AH2" s="597"/>
      <c r="AI2" s="597"/>
      <c r="AJ2" s="597"/>
      <c r="AK2" s="597"/>
      <c r="AL2" s="597"/>
      <c r="AM2" s="604"/>
      <c r="AN2" s="594"/>
      <c r="AO2" s="594"/>
      <c r="AP2" s="594"/>
      <c r="AQ2" s="594"/>
      <c r="AR2" s="594"/>
      <c r="AS2" s="594"/>
      <c r="AT2" s="594"/>
      <c r="AU2" s="593"/>
      <c r="AV2" s="594"/>
      <c r="AW2" s="594"/>
      <c r="AX2" s="594"/>
      <c r="AY2" s="593"/>
      <c r="AZ2" s="593"/>
      <c r="BA2" s="593" t="s">
        <v>768</v>
      </c>
      <c r="BB2" s="593"/>
      <c r="BC2" s="594" t="s">
        <v>769</v>
      </c>
      <c r="BD2" s="594"/>
      <c r="BE2" s="594"/>
      <c r="BF2" s="594"/>
      <c r="BG2" s="593"/>
      <c r="BH2" s="593"/>
    </row>
    <row r="3" spans="1:60" s="32" customFormat="1" ht="28.8" hidden="1">
      <c r="A3" s="19"/>
      <c r="B3" s="19" t="s">
        <v>573</v>
      </c>
      <c r="C3" s="19" t="s">
        <v>574</v>
      </c>
      <c r="D3" s="19" t="s">
        <v>573</v>
      </c>
      <c r="E3" s="19" t="s">
        <v>574</v>
      </c>
      <c r="F3" s="19" t="s">
        <v>573</v>
      </c>
      <c r="G3" s="19" t="s">
        <v>574</v>
      </c>
      <c r="H3" s="19" t="s">
        <v>573</v>
      </c>
      <c r="I3" s="19" t="s">
        <v>574</v>
      </c>
      <c r="J3" s="19" t="s">
        <v>573</v>
      </c>
      <c r="K3" s="19" t="s">
        <v>574</v>
      </c>
      <c r="L3" s="19" t="s">
        <v>752</v>
      </c>
      <c r="M3" s="19" t="s">
        <v>753</v>
      </c>
      <c r="N3" s="19" t="s">
        <v>777</v>
      </c>
      <c r="O3" s="32" t="s">
        <v>766</v>
      </c>
      <c r="P3" s="17" t="s">
        <v>768</v>
      </c>
      <c r="Q3" s="561" t="s">
        <v>776</v>
      </c>
      <c r="R3" s="32" t="s">
        <v>766</v>
      </c>
      <c r="S3" s="17" t="s">
        <v>768</v>
      </c>
      <c r="T3" s="561" t="s">
        <v>776</v>
      </c>
      <c r="U3" s="19" t="s">
        <v>755</v>
      </c>
      <c r="V3" s="19" t="s">
        <v>754</v>
      </c>
      <c r="W3" s="19" t="s">
        <v>755</v>
      </c>
      <c r="X3" s="19" t="s">
        <v>754</v>
      </c>
      <c r="Y3" s="19" t="s">
        <v>755</v>
      </c>
      <c r="Z3" s="19" t="s">
        <v>754</v>
      </c>
      <c r="AA3" s="32" t="s">
        <v>766</v>
      </c>
      <c r="AB3" s="17" t="s">
        <v>768</v>
      </c>
      <c r="AC3" s="561" t="s">
        <v>776</v>
      </c>
      <c r="AD3" s="32" t="s">
        <v>766</v>
      </c>
      <c r="AE3" s="17" t="s">
        <v>768</v>
      </c>
      <c r="AF3" s="561" t="s">
        <v>776</v>
      </c>
      <c r="AG3" s="19" t="s">
        <v>755</v>
      </c>
      <c r="AH3" s="19"/>
      <c r="AI3" s="19"/>
      <c r="AJ3" s="19" t="s">
        <v>754</v>
      </c>
      <c r="AK3" s="19"/>
      <c r="AL3" s="19" t="s">
        <v>257</v>
      </c>
      <c r="AM3" s="19" t="s">
        <v>774</v>
      </c>
      <c r="AN3" s="19" t="s">
        <v>766</v>
      </c>
      <c r="AO3" s="19" t="s">
        <v>755</v>
      </c>
      <c r="AP3" s="19"/>
      <c r="AQ3" s="19" t="s">
        <v>754</v>
      </c>
      <c r="AR3" s="19"/>
      <c r="AS3" s="19" t="s">
        <v>257</v>
      </c>
      <c r="AT3" s="19" t="s">
        <v>774</v>
      </c>
      <c r="AU3" s="593"/>
      <c r="AV3" s="594"/>
      <c r="AW3" s="19" t="s">
        <v>755</v>
      </c>
      <c r="AX3" s="19" t="s">
        <v>754</v>
      </c>
      <c r="AY3" s="593"/>
      <c r="AZ3" s="593"/>
      <c r="BA3" s="19" t="s">
        <v>767</v>
      </c>
      <c r="BB3" s="19" t="s">
        <v>754</v>
      </c>
      <c r="BC3" s="19" t="s">
        <v>767</v>
      </c>
      <c r="BD3" s="19" t="s">
        <v>754</v>
      </c>
      <c r="BE3" s="19" t="s">
        <v>257</v>
      </c>
      <c r="BF3" s="19" t="s">
        <v>766</v>
      </c>
      <c r="BG3" s="593"/>
      <c r="BH3" s="593"/>
    </row>
    <row r="4" spans="1:60" hidden="1">
      <c r="A4" s="535" t="s">
        <v>583</v>
      </c>
      <c r="B4" s="536"/>
      <c r="C4" s="536"/>
      <c r="D4" s="535"/>
      <c r="E4" s="535"/>
      <c r="F4" s="535"/>
      <c r="G4" s="535"/>
      <c r="H4" s="536"/>
      <c r="I4" s="536"/>
      <c r="J4" s="535"/>
      <c r="K4" s="537"/>
      <c r="L4" s="537">
        <f>Summary!O83</f>
        <v>7646860360.4400005</v>
      </c>
      <c r="M4" s="537">
        <f>Summary!O104</f>
        <v>137827811.31680003</v>
      </c>
      <c r="N4" s="537">
        <f t="shared" ref="N4:N20" si="0">SUM(L4:M4)</f>
        <v>7784688171.7568007</v>
      </c>
      <c r="O4" s="538">
        <f t="shared" ref="O4:O21" si="1">K4/$K$21</f>
        <v>0</v>
      </c>
      <c r="P4" s="539">
        <f t="shared" ref="P4:P20" si="2">$J$31*O4</f>
        <v>0</v>
      </c>
      <c r="Q4" s="43">
        <f>ROUND(P4, 0)</f>
        <v>0</v>
      </c>
      <c r="R4" s="540">
        <f t="shared" ref="R4:R21" si="3">N4/$N$21</f>
        <v>9.1436985259329709E-2</v>
      </c>
      <c r="S4" s="534">
        <f t="shared" ref="S4:S20" si="4">R4*$J$32</f>
        <v>8818.3603375981456</v>
      </c>
      <c r="T4" s="36">
        <f>ROUND(S4,0)</f>
        <v>8818</v>
      </c>
      <c r="U4" s="541">
        <f t="shared" ref="U4:U20" si="5">Q4*$I$30</f>
        <v>0</v>
      </c>
      <c r="V4" s="541">
        <f t="shared" ref="V4:V20" si="6">S4*$I$30</f>
        <v>44091801.687990725</v>
      </c>
      <c r="W4" s="539">
        <f>Y4-U4</f>
        <v>0</v>
      </c>
      <c r="X4" s="539">
        <f>Z4-V4</f>
        <v>671448.75666990876</v>
      </c>
      <c r="Y4" s="542">
        <f t="shared" ref="Y4:Y20" si="7">Q4*$I$30/0.985</f>
        <v>0</v>
      </c>
      <c r="Z4" s="542">
        <f t="shared" ref="Z4:Z20" si="8">S4*$I$30/0.985</f>
        <v>44763250.444660634</v>
      </c>
      <c r="AA4" s="543">
        <f t="shared" ref="AA4:AA21" si="9">J4/$J$21</f>
        <v>0</v>
      </c>
      <c r="AB4" s="539">
        <f t="shared" ref="AB4:AB20" si="10">$M$31*AA4</f>
        <v>0</v>
      </c>
      <c r="AC4" s="43">
        <f>ROUND(AB4, 0)</f>
        <v>0</v>
      </c>
      <c r="AD4" s="544">
        <f t="shared" ref="AD4:AD21" si="11">N4/$N$21</f>
        <v>9.1436985259329709E-2</v>
      </c>
      <c r="AE4" s="534">
        <f t="shared" ref="AE4:AE20" si="12">AD4*$M$32</f>
        <v>8561.5148908719857</v>
      </c>
      <c r="AF4" s="36">
        <f>ROUND(AE4,0)+1</f>
        <v>8563</v>
      </c>
      <c r="AG4" s="541">
        <f>AB4*$L$30</f>
        <v>0</v>
      </c>
      <c r="AH4" s="541">
        <f>ROUND(AG4,0)</f>
        <v>0</v>
      </c>
      <c r="AI4" s="541">
        <f>AC4*$L$30</f>
        <v>0</v>
      </c>
      <c r="AJ4" s="541">
        <f t="shared" ref="AJ4:AJ20" si="13">AE4*$L$30</f>
        <v>44091801.687990725</v>
      </c>
      <c r="AK4" s="541">
        <f t="shared" ref="AK4:AK20" si="14">AF4*$L$30</f>
        <v>44099450</v>
      </c>
      <c r="AL4" s="541">
        <f>AG4+AJ4</f>
        <v>44091801.687990725</v>
      </c>
      <c r="AM4" s="541">
        <f>ROUND(AL4/1000,2)</f>
        <v>44091.8</v>
      </c>
      <c r="AN4" s="544">
        <f>AL4/$AW$23</f>
        <v>4.4091801687990734E-2</v>
      </c>
      <c r="AO4" s="539">
        <f t="shared" ref="AO4:AO5" si="15">(AW4-AG4)*$AQ$24</f>
        <v>0</v>
      </c>
      <c r="AP4" s="539">
        <f>ROUND(AO4,0)</f>
        <v>0</v>
      </c>
      <c r="AQ4" s="539">
        <f t="shared" ref="AQ4:AQ5" si="16">(AX4-AJ4)*$AQ$24</f>
        <v>637876.31883641332</v>
      </c>
      <c r="AR4" s="539">
        <f>ROUND(AQ4,0)</f>
        <v>637876</v>
      </c>
      <c r="AS4" s="539">
        <f>SUM(AO4:AQ4)</f>
        <v>637876.31883641332</v>
      </c>
      <c r="AT4" s="539">
        <f>ROUND(AS4/1000,2)</f>
        <v>637.88</v>
      </c>
      <c r="AU4" s="539">
        <f>AQ4+AL4+AO4</f>
        <v>44729678.006827138</v>
      </c>
      <c r="AV4" s="543">
        <f>AU4/$AW$23</f>
        <v>4.4729678006827145E-2</v>
      </c>
      <c r="AW4" s="542">
        <f t="shared" ref="AW4:AW20" si="17">AB4*$L$30/0.985</f>
        <v>0</v>
      </c>
      <c r="AX4" s="542">
        <f t="shared" ref="AX4:AX20" si="18">AE4*$L$30/0.985</f>
        <v>44763250.444660634</v>
      </c>
      <c r="AY4" s="537">
        <f t="shared" ref="AY4:AY20" si="19">AC4+AF4</f>
        <v>8563</v>
      </c>
      <c r="AZ4" s="543">
        <f>AY4/$AY$21</f>
        <v>4.4770344809557418E-2</v>
      </c>
      <c r="BA4" s="545">
        <v>2124</v>
      </c>
      <c r="BB4" s="545"/>
      <c r="BC4" s="542">
        <f>BA4*3150</f>
        <v>6690600</v>
      </c>
      <c r="BD4" s="542">
        <f>BB4*3150</f>
        <v>0</v>
      </c>
      <c r="BE4" s="539">
        <f>SUM(BC4:BD4)</f>
        <v>6690600</v>
      </c>
      <c r="BF4" s="543">
        <f>BE4/$BE$21</f>
        <v>1.3381213381213381E-2</v>
      </c>
      <c r="BG4" s="539">
        <f t="shared" ref="BG4:BG20" si="20">AU4-BE4</f>
        <v>38039078.006827138</v>
      </c>
      <c r="BH4" s="543">
        <f>BG4/BE4</f>
        <v>5.6854509321775533</v>
      </c>
    </row>
    <row r="5" spans="1:60">
      <c r="A5" s="535" t="s">
        <v>294</v>
      </c>
      <c r="B5" s="536">
        <f>Summary!O3</f>
        <v>134648821.05066669</v>
      </c>
      <c r="C5" s="536">
        <v>42187777.455999993</v>
      </c>
      <c r="D5" s="535">
        <f>Summary!O23</f>
        <v>436477744.32000005</v>
      </c>
      <c r="E5" s="535">
        <v>44734828.159999989</v>
      </c>
      <c r="F5" s="535">
        <f>Summary!O43</f>
        <v>77694335.096666679</v>
      </c>
      <c r="G5" s="535">
        <v>7967538.259999997</v>
      </c>
      <c r="H5" s="536">
        <f>Summary!O63</f>
        <v>0</v>
      </c>
      <c r="I5" s="536">
        <v>0</v>
      </c>
      <c r="J5" s="535">
        <f>B5+D5+F5+H5</f>
        <v>648820900.46733344</v>
      </c>
      <c r="K5" s="537">
        <f>C5+E5+G5+I5</f>
        <v>94890143.875999972</v>
      </c>
      <c r="L5" s="537">
        <f>Summary!O84</f>
        <v>50665871.520000003</v>
      </c>
      <c r="M5" s="537">
        <f>Summary!O105</f>
        <v>61171773.600000001</v>
      </c>
      <c r="N5" s="537">
        <f>SUM(L5:M5)</f>
        <v>111837645.12</v>
      </c>
      <c r="O5" s="538">
        <f t="shared" si="1"/>
        <v>1.7546755395845576E-2</v>
      </c>
      <c r="P5" s="539">
        <f t="shared" si="2"/>
        <v>1764.4676643540076</v>
      </c>
      <c r="Q5" s="43">
        <f>ROUND(P5, 0)</f>
        <v>1764</v>
      </c>
      <c r="R5" s="540">
        <f t="shared" si="3"/>
        <v>1.3136167926900823E-3</v>
      </c>
      <c r="S5" s="534">
        <f t="shared" si="4"/>
        <v>126.68775321722616</v>
      </c>
      <c r="T5" s="36">
        <f t="shared" ref="T5:T20" si="21">ROUND(S5,0)</f>
        <v>127</v>
      </c>
      <c r="U5" s="541">
        <f t="shared" si="5"/>
        <v>8820000</v>
      </c>
      <c r="V5" s="541">
        <f t="shared" si="6"/>
        <v>633438.76608613075</v>
      </c>
      <c r="W5" s="539">
        <f t="shared" ref="W5:X20" si="22">Y5-U5</f>
        <v>134314.72081218287</v>
      </c>
      <c r="X5" s="539">
        <f t="shared" si="22"/>
        <v>9646.2756256770808</v>
      </c>
      <c r="Y5" s="542">
        <f t="shared" si="7"/>
        <v>8954314.7208121829</v>
      </c>
      <c r="Z5" s="542">
        <f t="shared" si="8"/>
        <v>643085.04171180783</v>
      </c>
      <c r="AA5" s="543">
        <f t="shared" si="9"/>
        <v>2.0655451698870689E-2</v>
      </c>
      <c r="AB5" s="539">
        <f t="shared" si="10"/>
        <v>2016.5748840841638</v>
      </c>
      <c r="AC5" s="43">
        <f>ROUND(AB5, 0)</f>
        <v>2017</v>
      </c>
      <c r="AD5" s="544">
        <f t="shared" si="11"/>
        <v>1.3136167926900823E-3</v>
      </c>
      <c r="AE5" s="534">
        <f t="shared" si="12"/>
        <v>122.99781865750111</v>
      </c>
      <c r="AF5" s="36">
        <f t="shared" ref="AF5:AF20" si="23">ROUND(AE5,0)</f>
        <v>123</v>
      </c>
      <c r="AG5" s="541">
        <f t="shared" ref="AG5:AG20" si="24">AB5*$L$30</f>
        <v>10385360.653033445</v>
      </c>
      <c r="AH5" s="541">
        <f t="shared" ref="AH5:AH20" si="25">ROUND(AG5,0)</f>
        <v>10385361</v>
      </c>
      <c r="AI5" s="541">
        <f t="shared" ref="AI5:AI20" si="26">AC5*$L$30</f>
        <v>10387550</v>
      </c>
      <c r="AJ5" s="541">
        <f t="shared" si="13"/>
        <v>633438.76608613075</v>
      </c>
      <c r="AK5" s="541">
        <f t="shared" si="14"/>
        <v>633450</v>
      </c>
      <c r="AL5" s="541">
        <f t="shared" ref="AL5:AL20" si="27">AG5+AJ5</f>
        <v>11018799.419119576</v>
      </c>
      <c r="AM5" s="541">
        <f t="shared" ref="AM5:AM19" si="28">ROUND(AL5/1000,2)</f>
        <v>11018.8</v>
      </c>
      <c r="AN5" s="544">
        <f t="shared" ref="AN5:AN20" si="29">AL5/$AW$23</f>
        <v>1.1018799419119577E-2</v>
      </c>
      <c r="AO5" s="539">
        <f t="shared" si="15"/>
        <v>150245.06528500235</v>
      </c>
      <c r="AP5" s="539">
        <f t="shared" ref="AP5:AP20" si="30">ROUND(AO5,0)</f>
        <v>150245</v>
      </c>
      <c r="AQ5" s="539">
        <f t="shared" si="16"/>
        <v>9163.9618443932268</v>
      </c>
      <c r="AR5" s="539">
        <f t="shared" ref="AR5:AR20" si="31">ROUND(AQ5,0)</f>
        <v>9164</v>
      </c>
      <c r="AS5" s="539">
        <f t="shared" ref="AS5:AS20" si="32">SUM(AO5:AQ5)</f>
        <v>309654.02712939557</v>
      </c>
      <c r="AT5" s="539">
        <f t="shared" ref="AT5:AT20" si="33">ROUND(AS5/1000,2)</f>
        <v>309.64999999999998</v>
      </c>
      <c r="AU5" s="539">
        <f t="shared" ref="AU5:AU20" si="34">AQ5+AL5+AO5</f>
        <v>11178208.446248973</v>
      </c>
      <c r="AV5" s="543">
        <f t="shared" ref="AV5:AV20" si="35">AU5/$AW$23</f>
        <v>1.1178208446248974E-2</v>
      </c>
      <c r="AW5" s="542">
        <f t="shared" si="17"/>
        <v>10543513.353333447</v>
      </c>
      <c r="AX5" s="542">
        <f t="shared" si="18"/>
        <v>643085.04171180783</v>
      </c>
      <c r="AY5" s="537">
        <f t="shared" si="19"/>
        <v>2140</v>
      </c>
      <c r="AZ5" s="543">
        <f t="shared" ref="AZ5:AZ20" si="36">AY5/$AY$21</f>
        <v>1.1188664941311793E-2</v>
      </c>
      <c r="BA5" s="546">
        <v>308</v>
      </c>
      <c r="BB5" s="545">
        <v>1502</v>
      </c>
      <c r="BC5" s="542">
        <f t="shared" ref="BC5:BD19" si="37">BA5*3150</f>
        <v>970200</v>
      </c>
      <c r="BD5" s="542">
        <f t="shared" si="37"/>
        <v>4731300</v>
      </c>
      <c r="BE5" s="539">
        <f t="shared" ref="BE5:BE20" si="38">SUM(BC5:BD5)</f>
        <v>5701500</v>
      </c>
      <c r="BF5" s="543">
        <f t="shared" ref="BF5:BF20" si="39">BE5/$BE$21</f>
        <v>1.1403011403011403E-2</v>
      </c>
      <c r="BG5" s="539">
        <f t="shared" si="20"/>
        <v>5476708.4462489728</v>
      </c>
      <c r="BH5" s="543">
        <f t="shared" ref="BH5:BH20" si="40">BG5/BE5</f>
        <v>0.96057326076453087</v>
      </c>
    </row>
    <row r="6" spans="1:60">
      <c r="A6" s="535" t="s">
        <v>295</v>
      </c>
      <c r="B6" s="536">
        <f>Summary!O4</f>
        <v>2254699519.5040002</v>
      </c>
      <c r="C6" s="536">
        <v>231492113.07199997</v>
      </c>
      <c r="D6" s="535">
        <f>Summary!O24</f>
        <v>1808942098.1333334</v>
      </c>
      <c r="E6" s="535">
        <v>185914632.63999993</v>
      </c>
      <c r="F6" s="535">
        <f>Summary!O44</f>
        <v>140694542.82666668</v>
      </c>
      <c r="G6" s="535">
        <v>14470301.339999994</v>
      </c>
      <c r="H6" s="536">
        <f>Summary!O64</f>
        <v>0</v>
      </c>
      <c r="I6" s="536">
        <v>0</v>
      </c>
      <c r="J6" s="535">
        <f t="shared" ref="J6:J20" si="41">B6+D6+F6+H6</f>
        <v>4204336160.4640007</v>
      </c>
      <c r="K6" s="537">
        <f t="shared" ref="K6:K20" si="42">C6+E6+G6+I6</f>
        <v>431877047.05199987</v>
      </c>
      <c r="L6" s="537">
        <f>Summary!O85</f>
        <v>4916957710.6800003</v>
      </c>
      <c r="M6" s="537">
        <f>Summary!O106</f>
        <v>145671654.92720002</v>
      </c>
      <c r="N6" s="537">
        <f t="shared" si="0"/>
        <v>5062629365.6072006</v>
      </c>
      <c r="O6" s="538">
        <f t="shared" si="1"/>
        <v>7.9861201555393613E-2</v>
      </c>
      <c r="P6" s="539">
        <f t="shared" si="2"/>
        <v>8030.6874178181624</v>
      </c>
      <c r="Q6" s="43">
        <f t="shared" ref="Q6:Q19" si="43">ROUND(P6, 0)</f>
        <v>8031</v>
      </c>
      <c r="R6" s="540">
        <f t="shared" si="3"/>
        <v>5.9464368573675097E-2</v>
      </c>
      <c r="S6" s="534">
        <f t="shared" si="4"/>
        <v>5734.8591255846286</v>
      </c>
      <c r="T6" s="36">
        <f t="shared" si="21"/>
        <v>5735</v>
      </c>
      <c r="U6" s="541">
        <f t="shared" si="5"/>
        <v>40155000</v>
      </c>
      <c r="V6" s="541">
        <f t="shared" si="6"/>
        <v>28674295.627923142</v>
      </c>
      <c r="W6" s="539">
        <f t="shared" si="22"/>
        <v>611497.46192893386</v>
      </c>
      <c r="X6" s="539">
        <f t="shared" si="22"/>
        <v>436664.4004252255</v>
      </c>
      <c r="Y6" s="542">
        <f t="shared" si="7"/>
        <v>40766497.461928934</v>
      </c>
      <c r="Z6" s="542">
        <f t="shared" si="8"/>
        <v>29110960.028348368</v>
      </c>
      <c r="AA6" s="543">
        <f t="shared" si="9"/>
        <v>0.13384658605437744</v>
      </c>
      <c r="AB6" s="539">
        <f t="shared" si="10"/>
        <v>13067.332910101615</v>
      </c>
      <c r="AC6" s="43">
        <f t="shared" ref="AC6:AC19" si="44">ROUND(AB6, 0)</f>
        <v>13067</v>
      </c>
      <c r="AD6" s="544">
        <f t="shared" si="11"/>
        <v>5.9464368573675097E-2</v>
      </c>
      <c r="AE6" s="534">
        <f t="shared" si="12"/>
        <v>5567.8243937714833</v>
      </c>
      <c r="AF6" s="36">
        <f t="shared" si="23"/>
        <v>5568</v>
      </c>
      <c r="AG6" s="541">
        <f t="shared" si="24"/>
        <v>67296764.487023324</v>
      </c>
      <c r="AH6" s="541">
        <f t="shared" si="25"/>
        <v>67296764</v>
      </c>
      <c r="AI6" s="541">
        <f t="shared" si="26"/>
        <v>67295050</v>
      </c>
      <c r="AJ6" s="541">
        <f t="shared" si="13"/>
        <v>28674295.627923138</v>
      </c>
      <c r="AK6" s="541">
        <f t="shared" si="14"/>
        <v>28675200</v>
      </c>
      <c r="AL6" s="541">
        <f t="shared" si="27"/>
        <v>95971060.114946455</v>
      </c>
      <c r="AM6" s="541">
        <f t="shared" si="28"/>
        <v>95971.06</v>
      </c>
      <c r="AN6" s="544">
        <f t="shared" si="29"/>
        <v>9.5971060114946466E-2</v>
      </c>
      <c r="AO6" s="539">
        <f t="shared" ref="AO6:AO19" si="45">(AW6-AG6)*$AQ$24</f>
        <v>973582.63344171119</v>
      </c>
      <c r="AP6" s="539">
        <f t="shared" si="30"/>
        <v>973583</v>
      </c>
      <c r="AQ6" s="539">
        <f>(AX6-AJ6)*$AQ$24</f>
        <v>414831.18040396419</v>
      </c>
      <c r="AR6" s="539">
        <f t="shared" si="31"/>
        <v>414831</v>
      </c>
      <c r="AS6" s="539">
        <f t="shared" si="32"/>
        <v>2361996.8138456754</v>
      </c>
      <c r="AT6" s="539">
        <f t="shared" si="33"/>
        <v>2362</v>
      </c>
      <c r="AU6" s="539">
        <f t="shared" si="34"/>
        <v>97359473.928792134</v>
      </c>
      <c r="AV6" s="543">
        <f t="shared" si="35"/>
        <v>9.7359473928792142E-2</v>
      </c>
      <c r="AW6" s="542">
        <f t="shared" si="17"/>
        <v>68321588.311698809</v>
      </c>
      <c r="AX6" s="542">
        <f t="shared" si="18"/>
        <v>29110960.028348364</v>
      </c>
      <c r="AY6" s="537">
        <f t="shared" si="19"/>
        <v>18635</v>
      </c>
      <c r="AZ6" s="543">
        <f t="shared" si="36"/>
        <v>9.7430266907170673E-2</v>
      </c>
      <c r="BA6" s="545">
        <v>5097</v>
      </c>
      <c r="BB6" s="545">
        <v>12244</v>
      </c>
      <c r="BC6" s="542">
        <f t="shared" si="37"/>
        <v>16055550</v>
      </c>
      <c r="BD6" s="542">
        <f t="shared" si="37"/>
        <v>38568600</v>
      </c>
      <c r="BE6" s="539">
        <f t="shared" si="38"/>
        <v>54624150</v>
      </c>
      <c r="BF6" s="543">
        <f t="shared" si="39"/>
        <v>0.10924840924840924</v>
      </c>
      <c r="BG6" s="539">
        <f t="shared" si="20"/>
        <v>42735323.928792134</v>
      </c>
      <c r="BH6" s="543">
        <f t="shared" si="40"/>
        <v>0.78235220005788897</v>
      </c>
    </row>
    <row r="7" spans="1:60">
      <c r="A7" s="535" t="s">
        <v>296</v>
      </c>
      <c r="B7" s="536">
        <f>Summary!O5</f>
        <v>3684999027.8860002</v>
      </c>
      <c r="C7" s="536">
        <v>378521332.66199988</v>
      </c>
      <c r="D7" s="535">
        <f>Summary!O25</f>
        <v>2600133515.52</v>
      </c>
      <c r="E7" s="535">
        <v>266936588.15999994</v>
      </c>
      <c r="F7" s="535">
        <f>Summary!O45</f>
        <v>1177553154.8533335</v>
      </c>
      <c r="G7" s="535">
        <v>120940283.19999996</v>
      </c>
      <c r="H7" s="536">
        <f>Summary!O65</f>
        <v>25517721.938746665</v>
      </c>
      <c r="I7" s="535">
        <v>7995138.5087199975</v>
      </c>
      <c r="J7" s="535">
        <f t="shared" si="41"/>
        <v>7488203420.1980801</v>
      </c>
      <c r="K7" s="537">
        <f t="shared" si="42"/>
        <v>774393342.53071976</v>
      </c>
      <c r="L7" s="537">
        <f>Summary!O86</f>
        <v>1555843951.9200001</v>
      </c>
      <c r="M7" s="537">
        <f>Summary!O107</f>
        <v>471544089.36000001</v>
      </c>
      <c r="N7" s="537">
        <f t="shared" si="0"/>
        <v>2027388041.2800002</v>
      </c>
      <c r="O7" s="538">
        <f t="shared" si="1"/>
        <v>0.14319812370939569</v>
      </c>
      <c r="P7" s="539">
        <f t="shared" si="2"/>
        <v>14399.72537265871</v>
      </c>
      <c r="Q7" s="43">
        <f t="shared" si="43"/>
        <v>14400</v>
      </c>
      <c r="R7" s="540">
        <f t="shared" si="3"/>
        <v>2.3813188962150258E-2</v>
      </c>
      <c r="S7" s="534">
        <f t="shared" si="4"/>
        <v>2296.5901649095467</v>
      </c>
      <c r="T7" s="36">
        <f t="shared" si="21"/>
        <v>2297</v>
      </c>
      <c r="U7" s="541">
        <f t="shared" si="5"/>
        <v>72000000</v>
      </c>
      <c r="V7" s="541">
        <f t="shared" si="6"/>
        <v>11482950.824547734</v>
      </c>
      <c r="W7" s="539">
        <f t="shared" si="22"/>
        <v>1096446.700507611</v>
      </c>
      <c r="X7" s="539">
        <f t="shared" si="22"/>
        <v>174867.27143981308</v>
      </c>
      <c r="Y7" s="542">
        <f t="shared" si="7"/>
        <v>73096446.700507611</v>
      </c>
      <c r="Z7" s="542">
        <f t="shared" si="8"/>
        <v>11657818.095987547</v>
      </c>
      <c r="AA7" s="543">
        <f t="shared" si="9"/>
        <v>0.23838970653659933</v>
      </c>
      <c r="AB7" s="539">
        <f t="shared" si="10"/>
        <v>23273.792402815572</v>
      </c>
      <c r="AC7" s="43">
        <f t="shared" si="44"/>
        <v>23274</v>
      </c>
      <c r="AD7" s="544">
        <f t="shared" si="11"/>
        <v>2.3813188962150258E-2</v>
      </c>
      <c r="AE7" s="534">
        <f t="shared" si="12"/>
        <v>2229.6991892325696</v>
      </c>
      <c r="AF7" s="36">
        <f t="shared" si="23"/>
        <v>2230</v>
      </c>
      <c r="AG7" s="541">
        <f t="shared" si="24"/>
        <v>119860030.8745002</v>
      </c>
      <c r="AH7" s="541">
        <f t="shared" si="25"/>
        <v>119860031</v>
      </c>
      <c r="AI7" s="541">
        <f t="shared" si="26"/>
        <v>119861100</v>
      </c>
      <c r="AJ7" s="541">
        <f t="shared" si="13"/>
        <v>11482950.824547734</v>
      </c>
      <c r="AK7" s="541">
        <f t="shared" si="14"/>
        <v>11484500</v>
      </c>
      <c r="AL7" s="541">
        <f t="shared" si="27"/>
        <v>131342981.69904794</v>
      </c>
      <c r="AM7" s="541">
        <f t="shared" si="28"/>
        <v>131342.98000000001</v>
      </c>
      <c r="AN7" s="544">
        <f t="shared" si="29"/>
        <v>0.13134298169904796</v>
      </c>
      <c r="AO7" s="539">
        <f t="shared" si="45"/>
        <v>1734015.6750879458</v>
      </c>
      <c r="AP7" s="539">
        <f>ROUND(AO7,0)+1</f>
        <v>1734017</v>
      </c>
      <c r="AQ7" s="539">
        <f t="shared" ref="AQ7:AQ20" si="46">(AX7-AJ7)*$AQ$24</f>
        <v>166123.90786782242</v>
      </c>
      <c r="AR7" s="539">
        <f>ROUND(AQ7,0)+1</f>
        <v>166125</v>
      </c>
      <c r="AS7" s="539">
        <f t="shared" si="32"/>
        <v>3634156.5829557679</v>
      </c>
      <c r="AT7" s="539">
        <f t="shared" si="33"/>
        <v>3634.16</v>
      </c>
      <c r="AU7" s="539">
        <f t="shared" si="34"/>
        <v>133243121.2820037</v>
      </c>
      <c r="AV7" s="543">
        <f t="shared" si="35"/>
        <v>0.13324312128200372</v>
      </c>
      <c r="AW7" s="542">
        <f t="shared" si="17"/>
        <v>121685310.53248751</v>
      </c>
      <c r="AX7" s="542">
        <f t="shared" si="18"/>
        <v>11657818.095987547</v>
      </c>
      <c r="AY7" s="537">
        <f t="shared" si="19"/>
        <v>25504</v>
      </c>
      <c r="AZ7" s="543">
        <f t="shared" si="36"/>
        <v>0.13334379002954017</v>
      </c>
      <c r="BA7" s="545">
        <v>2303</v>
      </c>
      <c r="BB7" s="545">
        <v>16811</v>
      </c>
      <c r="BC7" s="542">
        <f t="shared" si="37"/>
        <v>7254450</v>
      </c>
      <c r="BD7" s="542">
        <f t="shared" si="37"/>
        <v>52954650</v>
      </c>
      <c r="BE7" s="539">
        <f t="shared" si="38"/>
        <v>60209100</v>
      </c>
      <c r="BF7" s="543">
        <f t="shared" si="39"/>
        <v>0.12041832041832042</v>
      </c>
      <c r="BG7" s="539">
        <f t="shared" si="20"/>
        <v>73034021.282003701</v>
      </c>
      <c r="BH7" s="543">
        <f t="shared" si="40"/>
        <v>1.2130063608657777</v>
      </c>
    </row>
    <row r="8" spans="1:60">
      <c r="A8" s="535" t="s">
        <v>297</v>
      </c>
      <c r="B8" s="536">
        <f>Summary!O6</f>
        <v>2225741205.2946672</v>
      </c>
      <c r="C8" s="536">
        <v>630950200.67199993</v>
      </c>
      <c r="D8" s="535">
        <f>Summary!O26</f>
        <v>944104221.33333337</v>
      </c>
      <c r="E8" s="535">
        <v>267210894.71999991</v>
      </c>
      <c r="F8" s="535">
        <f>Summary!O46</f>
        <v>185029460.33333334</v>
      </c>
      <c r="G8" s="535">
        <v>52326329.43999999</v>
      </c>
      <c r="H8" s="536">
        <f>Summary!O66</f>
        <v>57481103.415466674</v>
      </c>
      <c r="I8" s="535">
        <v>18009812.339199997</v>
      </c>
      <c r="J8" s="535">
        <f t="shared" si="41"/>
        <v>3412355990.376801</v>
      </c>
      <c r="K8" s="537">
        <f t="shared" si="42"/>
        <v>968497237.1711998</v>
      </c>
      <c r="L8" s="537">
        <f>Summary!O87</f>
        <v>3075822511.5600004</v>
      </c>
      <c r="M8" s="537">
        <f>Summary!O108</f>
        <v>496004.75199999992</v>
      </c>
      <c r="N8" s="537">
        <f t="shared" si="0"/>
        <v>3076318516.3120003</v>
      </c>
      <c r="O8" s="538">
        <f t="shared" si="1"/>
        <v>0.17909114085022981</v>
      </c>
      <c r="P8" s="539">
        <f t="shared" si="2"/>
        <v>18009.057507994719</v>
      </c>
      <c r="Q8" s="43">
        <f t="shared" si="43"/>
        <v>18009</v>
      </c>
      <c r="R8" s="540">
        <f t="shared" si="3"/>
        <v>3.6133661955729153E-2</v>
      </c>
      <c r="S8" s="534">
        <f t="shared" si="4"/>
        <v>3484.800494448376</v>
      </c>
      <c r="T8" s="36">
        <f t="shared" si="21"/>
        <v>3485</v>
      </c>
      <c r="U8" s="541">
        <f t="shared" si="5"/>
        <v>90045000</v>
      </c>
      <c r="V8" s="541">
        <f t="shared" si="6"/>
        <v>17424002.472241879</v>
      </c>
      <c r="W8" s="539">
        <f t="shared" si="22"/>
        <v>1371243.6548223346</v>
      </c>
      <c r="X8" s="539">
        <f t="shared" si="22"/>
        <v>265340.13917119801</v>
      </c>
      <c r="Y8" s="542">
        <f t="shared" si="7"/>
        <v>91416243.654822335</v>
      </c>
      <c r="Z8" s="542">
        <f t="shared" si="8"/>
        <v>17689342.611413077</v>
      </c>
      <c r="AA8" s="543">
        <f t="shared" si="9"/>
        <v>0.10863360642021851</v>
      </c>
      <c r="AB8" s="539">
        <f t="shared" si="10"/>
        <v>10605.810294938943</v>
      </c>
      <c r="AC8" s="43">
        <f t="shared" si="44"/>
        <v>10606</v>
      </c>
      <c r="AD8" s="544">
        <f t="shared" si="11"/>
        <v>3.6133661955729153E-2</v>
      </c>
      <c r="AE8" s="534">
        <f t="shared" si="12"/>
        <v>3383.3014509207533</v>
      </c>
      <c r="AF8" s="36">
        <f t="shared" si="23"/>
        <v>3383</v>
      </c>
      <c r="AG8" s="541">
        <f t="shared" si="24"/>
        <v>54619923.018935554</v>
      </c>
      <c r="AH8" s="541">
        <f t="shared" si="25"/>
        <v>54619923</v>
      </c>
      <c r="AI8" s="541">
        <f t="shared" si="26"/>
        <v>54620900</v>
      </c>
      <c r="AJ8" s="541">
        <f t="shared" si="13"/>
        <v>17424002.472241879</v>
      </c>
      <c r="AK8" s="541">
        <f t="shared" si="14"/>
        <v>17422450</v>
      </c>
      <c r="AL8" s="541">
        <f t="shared" si="27"/>
        <v>72043925.49117744</v>
      </c>
      <c r="AM8" s="541">
        <f t="shared" si="28"/>
        <v>72043.929999999993</v>
      </c>
      <c r="AN8" s="544">
        <f t="shared" si="29"/>
        <v>7.2043925491177455E-2</v>
      </c>
      <c r="AO8" s="539">
        <f t="shared" si="45"/>
        <v>790186.70357343554</v>
      </c>
      <c r="AP8" s="539">
        <f t="shared" si="30"/>
        <v>790187</v>
      </c>
      <c r="AQ8" s="539">
        <f t="shared" si="46"/>
        <v>252073.1322126381</v>
      </c>
      <c r="AR8" s="539">
        <f t="shared" si="31"/>
        <v>252073</v>
      </c>
      <c r="AS8" s="539">
        <f t="shared" si="32"/>
        <v>1832446.8357860737</v>
      </c>
      <c r="AT8" s="539">
        <f t="shared" si="33"/>
        <v>1832.45</v>
      </c>
      <c r="AU8" s="539">
        <f t="shared" si="34"/>
        <v>73086185.326963514</v>
      </c>
      <c r="AV8" s="543">
        <f t="shared" si="35"/>
        <v>7.3086185326963524E-2</v>
      </c>
      <c r="AW8" s="542">
        <f t="shared" si="17"/>
        <v>55451698.496381275</v>
      </c>
      <c r="AX8" s="542">
        <f t="shared" si="18"/>
        <v>17689342.611413077</v>
      </c>
      <c r="AY8" s="537">
        <f t="shared" si="19"/>
        <v>13989</v>
      </c>
      <c r="AZ8" s="543">
        <f t="shared" si="36"/>
        <v>7.3139361618696566E-2</v>
      </c>
      <c r="BA8" s="545">
        <v>7049</v>
      </c>
      <c r="BB8" s="545">
        <v>2255</v>
      </c>
      <c r="BC8" s="542">
        <f t="shared" si="37"/>
        <v>22204350</v>
      </c>
      <c r="BD8" s="542">
        <f t="shared" si="37"/>
        <v>7103250</v>
      </c>
      <c r="BE8" s="539">
        <f t="shared" si="38"/>
        <v>29307600</v>
      </c>
      <c r="BF8" s="543">
        <f t="shared" si="39"/>
        <v>5.8615258615258618E-2</v>
      </c>
      <c r="BG8" s="539">
        <f t="shared" si="20"/>
        <v>43778585.326963514</v>
      </c>
      <c r="BH8" s="543">
        <f t="shared" si="40"/>
        <v>1.4937622093574197</v>
      </c>
    </row>
    <row r="9" spans="1:60">
      <c r="A9" s="535" t="s">
        <v>298</v>
      </c>
      <c r="B9" s="536">
        <f>Summary!O7</f>
        <v>743031748.54933345</v>
      </c>
      <c r="C9" s="536">
        <v>75093504.991999969</v>
      </c>
      <c r="D9" s="535">
        <f>Summary!O27</f>
        <v>452680780.80000001</v>
      </c>
      <c r="E9" s="535">
        <v>45835415.999999985</v>
      </c>
      <c r="F9" s="535">
        <f>Summary!O47</f>
        <v>358072407.38666672</v>
      </c>
      <c r="G9" s="535">
        <v>36278975.479999989</v>
      </c>
      <c r="H9" s="536">
        <f>Summary!O67</f>
        <v>167529535.84979999</v>
      </c>
      <c r="I9" s="535">
        <v>52489867.498199984</v>
      </c>
      <c r="J9" s="535">
        <f t="shared" si="41"/>
        <v>1721314472.5858002</v>
      </c>
      <c r="K9" s="537">
        <f t="shared" si="42"/>
        <v>209697763.97019994</v>
      </c>
      <c r="L9" s="537">
        <f>Summary!O88</f>
        <v>2607224355.6800003</v>
      </c>
      <c r="M9" s="537">
        <f>Summary!O109</f>
        <v>4693872250.8800001</v>
      </c>
      <c r="N9" s="537">
        <f t="shared" si="0"/>
        <v>7301096606.5600004</v>
      </c>
      <c r="O9" s="538">
        <f t="shared" si="1"/>
        <v>3.8776581224801966E-2</v>
      </c>
      <c r="P9" s="539">
        <f t="shared" si="2"/>
        <v>3899.2977426219281</v>
      </c>
      <c r="Q9" s="43">
        <f t="shared" si="43"/>
        <v>3899</v>
      </c>
      <c r="R9" s="540">
        <f t="shared" si="3"/>
        <v>8.5756840616046312E-2</v>
      </c>
      <c r="S9" s="534">
        <f t="shared" si="4"/>
        <v>8270.5561630391421</v>
      </c>
      <c r="T9" s="36">
        <f t="shared" si="21"/>
        <v>8271</v>
      </c>
      <c r="U9" s="541">
        <f t="shared" si="5"/>
        <v>19495000</v>
      </c>
      <c r="V9" s="541">
        <f t="shared" si="6"/>
        <v>41352780.815195709</v>
      </c>
      <c r="W9" s="539">
        <f t="shared" si="22"/>
        <v>296878.17258883268</v>
      </c>
      <c r="X9" s="539">
        <f t="shared" si="22"/>
        <v>629737.77891161293</v>
      </c>
      <c r="Y9" s="542">
        <f t="shared" si="7"/>
        <v>19791878.172588833</v>
      </c>
      <c r="Z9" s="542">
        <f t="shared" si="8"/>
        <v>41982518.594107322</v>
      </c>
      <c r="AA9" s="543">
        <f t="shared" si="9"/>
        <v>5.4798678528163648E-2</v>
      </c>
      <c r="AB9" s="539">
        <f t="shared" si="10"/>
        <v>5349.9502413175851</v>
      </c>
      <c r="AC9" s="43">
        <f t="shared" si="44"/>
        <v>5350</v>
      </c>
      <c r="AD9" s="544">
        <f t="shared" si="11"/>
        <v>8.5756840616046312E-2</v>
      </c>
      <c r="AE9" s="534">
        <f t="shared" si="12"/>
        <v>8029.6661777079053</v>
      </c>
      <c r="AF9" s="36">
        <f t="shared" si="23"/>
        <v>8030</v>
      </c>
      <c r="AG9" s="541">
        <f t="shared" si="24"/>
        <v>27552243.742785562</v>
      </c>
      <c r="AH9" s="541">
        <f t="shared" si="25"/>
        <v>27552244</v>
      </c>
      <c r="AI9" s="541">
        <f t="shared" si="26"/>
        <v>27552500</v>
      </c>
      <c r="AJ9" s="541">
        <f t="shared" si="13"/>
        <v>41352780.815195709</v>
      </c>
      <c r="AK9" s="541">
        <f t="shared" si="14"/>
        <v>41354500</v>
      </c>
      <c r="AL9" s="541">
        <f t="shared" si="27"/>
        <v>68905024.557981268</v>
      </c>
      <c r="AM9" s="541">
        <f t="shared" si="28"/>
        <v>68905.02</v>
      </c>
      <c r="AN9" s="544">
        <f t="shared" si="29"/>
        <v>6.8905024557981281E-2</v>
      </c>
      <c r="AO9" s="539">
        <f t="shared" si="45"/>
        <v>398598.45008598285</v>
      </c>
      <c r="AP9" s="539">
        <f t="shared" si="30"/>
        <v>398598</v>
      </c>
      <c r="AQ9" s="539">
        <f t="shared" si="46"/>
        <v>598250.88996603223</v>
      </c>
      <c r="AR9" s="539">
        <f t="shared" si="31"/>
        <v>598251</v>
      </c>
      <c r="AS9" s="539">
        <f t="shared" si="32"/>
        <v>1395447.3400520151</v>
      </c>
      <c r="AT9" s="539">
        <f t="shared" si="33"/>
        <v>1395.45</v>
      </c>
      <c r="AU9" s="539">
        <f t="shared" si="34"/>
        <v>69901873.898033276</v>
      </c>
      <c r="AV9" s="543">
        <f t="shared" si="35"/>
        <v>6.990187389803329E-2</v>
      </c>
      <c r="AW9" s="542">
        <f t="shared" si="17"/>
        <v>27971821.058665544</v>
      </c>
      <c r="AX9" s="542">
        <f t="shared" si="18"/>
        <v>41982518.594107322</v>
      </c>
      <c r="AY9" s="537">
        <f t="shared" si="19"/>
        <v>13380</v>
      </c>
      <c r="AZ9" s="543">
        <f t="shared" si="36"/>
        <v>6.9955297623715787E-2</v>
      </c>
      <c r="BA9" s="545">
        <v>6838</v>
      </c>
      <c r="BB9" s="545">
        <v>1950</v>
      </c>
      <c r="BC9" s="542">
        <f t="shared" si="37"/>
        <v>21539700</v>
      </c>
      <c r="BD9" s="542">
        <f t="shared" si="37"/>
        <v>6142500</v>
      </c>
      <c r="BE9" s="539">
        <f t="shared" si="38"/>
        <v>27682200</v>
      </c>
      <c r="BF9" s="543">
        <f t="shared" si="39"/>
        <v>5.5364455364455362E-2</v>
      </c>
      <c r="BG9" s="539">
        <f t="shared" si="20"/>
        <v>42219673.898033276</v>
      </c>
      <c r="BH9" s="543">
        <f t="shared" si="40"/>
        <v>1.5251560171530181</v>
      </c>
    </row>
    <row r="10" spans="1:60">
      <c r="A10" s="535" t="s">
        <v>299</v>
      </c>
      <c r="B10" s="536">
        <f>Summary!O8</f>
        <v>717499037.56800008</v>
      </c>
      <c r="C10" s="536">
        <v>58064177.247999988</v>
      </c>
      <c r="D10" s="535">
        <f>Summary!O28</f>
        <v>575539323.20000005</v>
      </c>
      <c r="E10" s="535">
        <v>46671109.759999983</v>
      </c>
      <c r="F10" s="535">
        <f>Summary!O48</f>
        <v>36081180.633333333</v>
      </c>
      <c r="G10" s="535">
        <v>2991193.6999999993</v>
      </c>
      <c r="H10" s="536">
        <f>Summary!O68</f>
        <v>0</v>
      </c>
      <c r="I10" s="536">
        <v>0</v>
      </c>
      <c r="J10" s="535">
        <f t="shared" si="41"/>
        <v>1329119541.4013336</v>
      </c>
      <c r="K10" s="537">
        <f t="shared" si="42"/>
        <v>107726480.70799997</v>
      </c>
      <c r="L10" s="537">
        <f>Summary!O89</f>
        <v>3876534634.4800005</v>
      </c>
      <c r="M10" s="537">
        <f>Summary!O110</f>
        <v>237008451.59360003</v>
      </c>
      <c r="N10" s="537">
        <f t="shared" si="0"/>
        <v>4113543086.0736008</v>
      </c>
      <c r="O10" s="538">
        <f t="shared" si="1"/>
        <v>1.9920406160503709E-2</v>
      </c>
      <c r="P10" s="539">
        <f t="shared" si="2"/>
        <v>2003.1573779918954</v>
      </c>
      <c r="Q10" s="43">
        <f t="shared" si="43"/>
        <v>2003</v>
      </c>
      <c r="R10" s="540">
        <f t="shared" si="3"/>
        <v>4.8316640336288096E-2</v>
      </c>
      <c r="S10" s="534">
        <f t="shared" si="4"/>
        <v>4659.7505766305167</v>
      </c>
      <c r="T10" s="36">
        <f t="shared" si="21"/>
        <v>4660</v>
      </c>
      <c r="U10" s="541">
        <f t="shared" si="5"/>
        <v>10015000</v>
      </c>
      <c r="V10" s="541">
        <f t="shared" si="6"/>
        <v>23298752.883152582</v>
      </c>
      <c r="W10" s="539">
        <f t="shared" si="22"/>
        <v>152512.69035533071</v>
      </c>
      <c r="X10" s="539">
        <f t="shared" si="22"/>
        <v>354803.34339826182</v>
      </c>
      <c r="Y10" s="542">
        <f t="shared" si="7"/>
        <v>10167512.690355331</v>
      </c>
      <c r="Z10" s="542">
        <f t="shared" si="8"/>
        <v>23653556.226550844</v>
      </c>
      <c r="AA10" s="543">
        <f t="shared" si="9"/>
        <v>4.2313008828270056E-2</v>
      </c>
      <c r="AB10" s="539">
        <f t="shared" si="10"/>
        <v>4130.9845031268942</v>
      </c>
      <c r="AC10" s="43">
        <f t="shared" si="44"/>
        <v>4131</v>
      </c>
      <c r="AD10" s="544">
        <f t="shared" si="11"/>
        <v>4.8316640336288096E-2</v>
      </c>
      <c r="AE10" s="534">
        <f t="shared" si="12"/>
        <v>4524.0296860490453</v>
      </c>
      <c r="AF10" s="36">
        <f t="shared" si="23"/>
        <v>4524</v>
      </c>
      <c r="AG10" s="541">
        <f t="shared" si="24"/>
        <v>21274570.191103507</v>
      </c>
      <c r="AH10" s="541">
        <f t="shared" si="25"/>
        <v>21274570</v>
      </c>
      <c r="AI10" s="541">
        <f t="shared" si="26"/>
        <v>21274650</v>
      </c>
      <c r="AJ10" s="541">
        <f t="shared" si="13"/>
        <v>23298752.883152582</v>
      </c>
      <c r="AK10" s="541">
        <f t="shared" si="14"/>
        <v>23298600</v>
      </c>
      <c r="AL10" s="541">
        <f t="shared" si="27"/>
        <v>44573323.074256092</v>
      </c>
      <c r="AM10" s="541">
        <f t="shared" si="28"/>
        <v>44573.32</v>
      </c>
      <c r="AN10" s="544">
        <f t="shared" si="29"/>
        <v>4.4573323074256099E-2</v>
      </c>
      <c r="AO10" s="539">
        <f t="shared" si="45"/>
        <v>307779.31494743784</v>
      </c>
      <c r="AP10" s="539">
        <f t="shared" si="30"/>
        <v>307779</v>
      </c>
      <c r="AQ10" s="539">
        <f t="shared" si="46"/>
        <v>337063.17622834869</v>
      </c>
      <c r="AR10" s="539">
        <f t="shared" si="31"/>
        <v>337063</v>
      </c>
      <c r="AS10" s="539">
        <f t="shared" si="32"/>
        <v>952621.49117578659</v>
      </c>
      <c r="AT10" s="539">
        <f t="shared" si="33"/>
        <v>952.62</v>
      </c>
      <c r="AU10" s="539">
        <f t="shared" si="34"/>
        <v>45218165.565431885</v>
      </c>
      <c r="AV10" s="543">
        <f t="shared" si="35"/>
        <v>4.5218165565431893E-2</v>
      </c>
      <c r="AW10" s="542">
        <f t="shared" si="17"/>
        <v>21598548.417363968</v>
      </c>
      <c r="AX10" s="542">
        <f t="shared" si="18"/>
        <v>23653556.226550844</v>
      </c>
      <c r="AY10" s="537">
        <f t="shared" si="19"/>
        <v>8655</v>
      </c>
      <c r="AZ10" s="543">
        <f t="shared" si="36"/>
        <v>4.5251352835071756E-2</v>
      </c>
      <c r="BA10" s="545">
        <v>10148</v>
      </c>
      <c r="BB10" s="545">
        <v>1102</v>
      </c>
      <c r="BC10" s="542">
        <f t="shared" si="37"/>
        <v>31966200</v>
      </c>
      <c r="BD10" s="542">
        <f t="shared" si="37"/>
        <v>3471300</v>
      </c>
      <c r="BE10" s="539">
        <f t="shared" si="38"/>
        <v>35437500</v>
      </c>
      <c r="BF10" s="543">
        <f t="shared" si="39"/>
        <v>7.0875070875070875E-2</v>
      </c>
      <c r="BG10" s="539">
        <f t="shared" si="20"/>
        <v>9780665.5654318854</v>
      </c>
      <c r="BH10" s="543">
        <f t="shared" si="40"/>
        <v>0.2759976173666846</v>
      </c>
    </row>
    <row r="11" spans="1:60">
      <c r="A11" s="535" t="s">
        <v>300</v>
      </c>
      <c r="B11" s="536">
        <f>Summary!O9</f>
        <v>889974041.47733355</v>
      </c>
      <c r="C11" s="536">
        <v>91261355.503999978</v>
      </c>
      <c r="D11" s="535">
        <f>Summary!O29</f>
        <v>428340820.16000003</v>
      </c>
      <c r="E11" s="535">
        <v>43862156.79999999</v>
      </c>
      <c r="F11" s="535">
        <f>Summary!O49</f>
        <v>127557001.86333334</v>
      </c>
      <c r="G11" s="535">
        <v>12989558.559999995</v>
      </c>
      <c r="H11" s="536">
        <f>Summary!O69</f>
        <v>17283217.453866672</v>
      </c>
      <c r="I11" s="535">
        <v>5415127.4847999988</v>
      </c>
      <c r="J11" s="535">
        <f t="shared" si="41"/>
        <v>1463155080.9545338</v>
      </c>
      <c r="K11" s="537">
        <f t="shared" si="42"/>
        <v>153528198.34879997</v>
      </c>
      <c r="L11" s="537">
        <f>Summary!O90</f>
        <v>4302105746.0799999</v>
      </c>
      <c r="M11" s="537">
        <f>Summary!O111</f>
        <v>370747558.30031997</v>
      </c>
      <c r="N11" s="537">
        <f t="shared" si="0"/>
        <v>4672853304.3803196</v>
      </c>
      <c r="O11" s="538">
        <f t="shared" si="1"/>
        <v>2.8389900497059046E-2</v>
      </c>
      <c r="P11" s="539">
        <f t="shared" si="2"/>
        <v>2854.8332891873929</v>
      </c>
      <c r="Q11" s="43">
        <f t="shared" si="43"/>
        <v>2855</v>
      </c>
      <c r="R11" s="540">
        <f t="shared" si="3"/>
        <v>5.4886157195325316E-2</v>
      </c>
      <c r="S11" s="534">
        <f t="shared" si="4"/>
        <v>5293.3275339482898</v>
      </c>
      <c r="T11" s="36">
        <f t="shared" si="21"/>
        <v>5293</v>
      </c>
      <c r="U11" s="541">
        <f t="shared" si="5"/>
        <v>14275000</v>
      </c>
      <c r="V11" s="541">
        <f t="shared" si="6"/>
        <v>26466637.669741448</v>
      </c>
      <c r="W11" s="539">
        <f t="shared" si="22"/>
        <v>217385.7868020311</v>
      </c>
      <c r="X11" s="539">
        <f t="shared" si="22"/>
        <v>403045.24370164797</v>
      </c>
      <c r="Y11" s="542">
        <f t="shared" si="7"/>
        <v>14492385.786802031</v>
      </c>
      <c r="Z11" s="542">
        <f t="shared" si="8"/>
        <v>26869682.913443096</v>
      </c>
      <c r="AA11" s="543">
        <f t="shared" si="9"/>
        <v>4.6580079465450598E-2</v>
      </c>
      <c r="AB11" s="539">
        <f t="shared" si="10"/>
        <v>4547.5751253509416</v>
      </c>
      <c r="AC11" s="43">
        <f t="shared" si="44"/>
        <v>4548</v>
      </c>
      <c r="AD11" s="544">
        <f t="shared" si="11"/>
        <v>5.4886157195325316E-2</v>
      </c>
      <c r="AE11" s="534">
        <f t="shared" si="12"/>
        <v>5139.1529455808641</v>
      </c>
      <c r="AF11" s="36">
        <f t="shared" si="23"/>
        <v>5139</v>
      </c>
      <c r="AG11" s="541">
        <f t="shared" si="24"/>
        <v>23420011.895557348</v>
      </c>
      <c r="AH11" s="541">
        <f t="shared" si="25"/>
        <v>23420012</v>
      </c>
      <c r="AI11" s="541">
        <f t="shared" si="26"/>
        <v>23422200</v>
      </c>
      <c r="AJ11" s="541">
        <f t="shared" si="13"/>
        <v>26466637.669741452</v>
      </c>
      <c r="AK11" s="541">
        <f t="shared" si="14"/>
        <v>26465850</v>
      </c>
      <c r="AL11" s="541">
        <f t="shared" si="27"/>
        <v>49886649.565298796</v>
      </c>
      <c r="AM11" s="541">
        <f t="shared" si="28"/>
        <v>49886.65</v>
      </c>
      <c r="AN11" s="544">
        <f t="shared" si="29"/>
        <v>4.9886649565298799E-2</v>
      </c>
      <c r="AO11" s="539">
        <f t="shared" si="45"/>
        <v>338817.4309763381</v>
      </c>
      <c r="AP11" s="539">
        <f t="shared" si="30"/>
        <v>338817</v>
      </c>
      <c r="AQ11" s="539">
        <f t="shared" si="46"/>
        <v>382892.98151656555</v>
      </c>
      <c r="AR11" s="539">
        <f t="shared" si="31"/>
        <v>382893</v>
      </c>
      <c r="AS11" s="539">
        <f t="shared" si="32"/>
        <v>1060527.4124929036</v>
      </c>
      <c r="AT11" s="539">
        <f t="shared" si="33"/>
        <v>1060.53</v>
      </c>
      <c r="AU11" s="539">
        <f t="shared" si="34"/>
        <v>50608359.977791697</v>
      </c>
      <c r="AV11" s="543">
        <f t="shared" si="35"/>
        <v>5.06083599777917E-2</v>
      </c>
      <c r="AW11" s="542">
        <f t="shared" si="17"/>
        <v>23776661.822900862</v>
      </c>
      <c r="AX11" s="542">
        <f t="shared" si="18"/>
        <v>26869682.9134431</v>
      </c>
      <c r="AY11" s="537">
        <f t="shared" si="19"/>
        <v>9687</v>
      </c>
      <c r="AZ11" s="543">
        <f t="shared" si="36"/>
        <v>5.0647008077797817E-2</v>
      </c>
      <c r="BA11" s="545">
        <v>6970</v>
      </c>
      <c r="BB11" s="545">
        <v>3880</v>
      </c>
      <c r="BC11" s="542">
        <f t="shared" si="37"/>
        <v>21955500</v>
      </c>
      <c r="BD11" s="542">
        <f t="shared" si="37"/>
        <v>12222000</v>
      </c>
      <c r="BE11" s="539">
        <f t="shared" si="38"/>
        <v>34177500</v>
      </c>
      <c r="BF11" s="543">
        <f t="shared" si="39"/>
        <v>6.8355068355068355E-2</v>
      </c>
      <c r="BG11" s="539">
        <f t="shared" si="20"/>
        <v>16430859.977791697</v>
      </c>
      <c r="BH11" s="543">
        <f t="shared" si="40"/>
        <v>0.48075078568624668</v>
      </c>
    </row>
    <row r="12" spans="1:60">
      <c r="A12" s="535" t="s">
        <v>301</v>
      </c>
      <c r="B12" s="536">
        <f>Summary!O10</f>
        <v>549133266.19200015</v>
      </c>
      <c r="C12" s="536">
        <v>115492373.39199997</v>
      </c>
      <c r="D12" s="535">
        <f>Summary!O30</f>
        <v>361507318.08000004</v>
      </c>
      <c r="E12" s="535">
        <v>78972051.839999989</v>
      </c>
      <c r="F12" s="535">
        <f>Summary!O50</f>
        <v>38811996.326666668</v>
      </c>
      <c r="G12" s="535">
        <v>9042275.3959999979</v>
      </c>
      <c r="H12" s="536">
        <f>Summary!O70</f>
        <v>240406465.02666667</v>
      </c>
      <c r="I12" s="535">
        <v>623243562.07079983</v>
      </c>
      <c r="J12" s="535">
        <f t="shared" si="41"/>
        <v>1189859045.6253335</v>
      </c>
      <c r="K12" s="537">
        <f t="shared" si="42"/>
        <v>826750262.69879985</v>
      </c>
      <c r="L12" s="537">
        <f>Summary!O91</f>
        <v>5685640350.8800001</v>
      </c>
      <c r="M12" s="537">
        <f>Summary!O112</f>
        <v>1244931226.8055999</v>
      </c>
      <c r="N12" s="537">
        <f t="shared" si="0"/>
        <v>6930571577.6856003</v>
      </c>
      <c r="O12" s="538">
        <f t="shared" si="1"/>
        <v>0.15287978329955967</v>
      </c>
      <c r="P12" s="539">
        <f t="shared" si="2"/>
        <v>15373.294268944335</v>
      </c>
      <c r="Q12" s="43">
        <f t="shared" si="43"/>
        <v>15373</v>
      </c>
      <c r="R12" s="540">
        <f t="shared" si="3"/>
        <v>8.1404747011794024E-2</v>
      </c>
      <c r="S12" s="534">
        <f t="shared" si="4"/>
        <v>7850.831808431366</v>
      </c>
      <c r="T12" s="36">
        <f t="shared" si="21"/>
        <v>7851</v>
      </c>
      <c r="U12" s="541">
        <f t="shared" si="5"/>
        <v>76865000</v>
      </c>
      <c r="V12" s="541">
        <f t="shared" si="6"/>
        <v>39254159.04215683</v>
      </c>
      <c r="W12" s="539">
        <f t="shared" si="22"/>
        <v>1170532.9949238598</v>
      </c>
      <c r="X12" s="539">
        <f t="shared" si="22"/>
        <v>597779.07170797139</v>
      </c>
      <c r="Y12" s="542">
        <f t="shared" si="7"/>
        <v>78035532.99492386</v>
      </c>
      <c r="Z12" s="542">
        <f t="shared" si="8"/>
        <v>39851938.113864802</v>
      </c>
      <c r="AA12" s="543">
        <f t="shared" si="9"/>
        <v>3.7879599790444557E-2</v>
      </c>
      <c r="AB12" s="539">
        <f t="shared" si="10"/>
        <v>3698.1543986639913</v>
      </c>
      <c r="AC12" s="43">
        <f t="shared" si="44"/>
        <v>3698</v>
      </c>
      <c r="AD12" s="544">
        <f t="shared" si="11"/>
        <v>8.1404747011794024E-2</v>
      </c>
      <c r="AE12" s="534">
        <f t="shared" si="12"/>
        <v>7622.1668043022974</v>
      </c>
      <c r="AF12" s="36">
        <f t="shared" si="23"/>
        <v>7622</v>
      </c>
      <c r="AG12" s="541">
        <f t="shared" si="24"/>
        <v>19045495.153119557</v>
      </c>
      <c r="AH12" s="541">
        <f t="shared" si="25"/>
        <v>19045495</v>
      </c>
      <c r="AI12" s="541">
        <f t="shared" si="26"/>
        <v>19044700</v>
      </c>
      <c r="AJ12" s="541">
        <f t="shared" si="13"/>
        <v>39254159.04215683</v>
      </c>
      <c r="AK12" s="541">
        <f t="shared" si="14"/>
        <v>39253300</v>
      </c>
      <c r="AL12" s="541">
        <f t="shared" si="27"/>
        <v>58299654.195276387</v>
      </c>
      <c r="AM12" s="541">
        <f t="shared" si="28"/>
        <v>58299.65</v>
      </c>
      <c r="AN12" s="544">
        <f t="shared" si="29"/>
        <v>5.8299654195276392E-2</v>
      </c>
      <c r="AO12" s="539">
        <f t="shared" si="45"/>
        <v>275531.27505782002</v>
      </c>
      <c r="AP12" s="539">
        <f t="shared" si="30"/>
        <v>275531</v>
      </c>
      <c r="AQ12" s="539">
        <f t="shared" si="46"/>
        <v>567890.11812257278</v>
      </c>
      <c r="AR12" s="539">
        <f t="shared" si="31"/>
        <v>567890</v>
      </c>
      <c r="AS12" s="539">
        <f t="shared" si="32"/>
        <v>1118952.3931803927</v>
      </c>
      <c r="AT12" s="539">
        <f t="shared" si="33"/>
        <v>1118.95</v>
      </c>
      <c r="AU12" s="539">
        <f t="shared" si="34"/>
        <v>59143075.58845678</v>
      </c>
      <c r="AV12" s="543">
        <f t="shared" si="35"/>
        <v>5.9143075588456787E-2</v>
      </c>
      <c r="AW12" s="542">
        <f t="shared" si="17"/>
        <v>19335528.074233051</v>
      </c>
      <c r="AX12" s="542">
        <f t="shared" si="18"/>
        <v>39851938.113864802</v>
      </c>
      <c r="AY12" s="537">
        <f t="shared" si="19"/>
        <v>11320</v>
      </c>
      <c r="AZ12" s="543">
        <f t="shared" si="36"/>
        <v>5.9184900530677334E-2</v>
      </c>
      <c r="BA12" s="545">
        <v>7116</v>
      </c>
      <c r="BB12" s="545">
        <v>3222</v>
      </c>
      <c r="BC12" s="542">
        <f t="shared" si="37"/>
        <v>22415400</v>
      </c>
      <c r="BD12" s="542">
        <f t="shared" si="37"/>
        <v>10149300</v>
      </c>
      <c r="BE12" s="539">
        <f t="shared" si="38"/>
        <v>32564700</v>
      </c>
      <c r="BF12" s="543">
        <f t="shared" si="39"/>
        <v>6.5129465129465131E-2</v>
      </c>
      <c r="BG12" s="539">
        <f t="shared" si="20"/>
        <v>26578375.58845678</v>
      </c>
      <c r="BH12" s="543">
        <f t="shared" si="40"/>
        <v>0.81617136311579042</v>
      </c>
    </row>
    <row r="13" spans="1:60">
      <c r="A13" s="535" t="s">
        <v>302</v>
      </c>
      <c r="B13" s="536">
        <f>Summary!O12</f>
        <v>195809865.58399999</v>
      </c>
      <c r="C13" s="536">
        <v>21680403.887999997</v>
      </c>
      <c r="D13" s="535">
        <f>Summary!O32</f>
        <v>174819412.26666668</v>
      </c>
      <c r="E13" s="535">
        <v>20788806.719999991</v>
      </c>
      <c r="F13" s="535">
        <f>Summary!O52</f>
        <v>46814002.473333336</v>
      </c>
      <c r="G13" s="535">
        <v>10248720.019999998</v>
      </c>
      <c r="H13" s="536">
        <f>Summary!O72</f>
        <v>26070632.855666667</v>
      </c>
      <c r="I13" s="535">
        <v>109767066.87319994</v>
      </c>
      <c r="J13" s="535">
        <f t="shared" si="41"/>
        <v>443513913.17966664</v>
      </c>
      <c r="K13" s="537">
        <f t="shared" si="42"/>
        <v>162484997.50119993</v>
      </c>
      <c r="L13" s="537">
        <f>Summary!O93</f>
        <v>4158526693.6800003</v>
      </c>
      <c r="M13" s="537">
        <f>Summary!O114</f>
        <v>225511341.47088003</v>
      </c>
      <c r="N13" s="537">
        <f t="shared" si="0"/>
        <v>4384038035.1508808</v>
      </c>
      <c r="O13" s="538">
        <f t="shared" si="1"/>
        <v>3.0046160646292831E-2</v>
      </c>
      <c r="P13" s="539">
        <f t="shared" si="2"/>
        <v>3021.3835949933923</v>
      </c>
      <c r="Q13" s="43">
        <f t="shared" si="43"/>
        <v>3021</v>
      </c>
      <c r="R13" s="540">
        <f t="shared" si="3"/>
        <v>5.1493805834224894E-2</v>
      </c>
      <c r="S13" s="534">
        <f t="shared" si="4"/>
        <v>4966.1625841297737</v>
      </c>
      <c r="T13" s="36">
        <f t="shared" si="21"/>
        <v>4966</v>
      </c>
      <c r="U13" s="541">
        <f t="shared" si="5"/>
        <v>15105000</v>
      </c>
      <c r="V13" s="541">
        <f t="shared" si="6"/>
        <v>24830812.920648869</v>
      </c>
      <c r="W13" s="539">
        <f t="shared" si="22"/>
        <v>230025.38071065955</v>
      </c>
      <c r="X13" s="539">
        <f t="shared" si="22"/>
        <v>378134.20691343397</v>
      </c>
      <c r="Y13" s="542">
        <f t="shared" si="7"/>
        <v>15335025.38071066</v>
      </c>
      <c r="Z13" s="542">
        <f t="shared" si="8"/>
        <v>25208947.127562303</v>
      </c>
      <c r="AA13" s="543">
        <f t="shared" si="9"/>
        <v>1.411942834280038E-2</v>
      </c>
      <c r="AB13" s="539">
        <f t="shared" si="10"/>
        <v>1378.4682605258181</v>
      </c>
      <c r="AC13" s="43">
        <f t="shared" si="44"/>
        <v>1378</v>
      </c>
      <c r="AD13" s="544">
        <f t="shared" si="11"/>
        <v>5.1493805834224894E-2</v>
      </c>
      <c r="AE13" s="534">
        <f t="shared" si="12"/>
        <v>4821.5170719706539</v>
      </c>
      <c r="AF13" s="36">
        <f t="shared" si="23"/>
        <v>4822</v>
      </c>
      <c r="AG13" s="541">
        <f t="shared" si="24"/>
        <v>7099111.5417079628</v>
      </c>
      <c r="AH13" s="541">
        <f t="shared" si="25"/>
        <v>7099112</v>
      </c>
      <c r="AI13" s="541">
        <f t="shared" si="26"/>
        <v>7096700</v>
      </c>
      <c r="AJ13" s="541">
        <f t="shared" si="13"/>
        <v>24830812.920648869</v>
      </c>
      <c r="AK13" s="541">
        <f t="shared" si="14"/>
        <v>24833300</v>
      </c>
      <c r="AL13" s="541">
        <f t="shared" si="27"/>
        <v>31929924.462356832</v>
      </c>
      <c r="AM13" s="541">
        <f t="shared" si="28"/>
        <v>31929.919999999998</v>
      </c>
      <c r="AN13" s="544">
        <f t="shared" si="29"/>
        <v>3.1929924462356839E-2</v>
      </c>
      <c r="AO13" s="539">
        <f t="shared" si="45"/>
        <v>102702.88270998825</v>
      </c>
      <c r="AP13" s="539">
        <f t="shared" si="30"/>
        <v>102703</v>
      </c>
      <c r="AQ13" s="539">
        <f t="shared" si="46"/>
        <v>359227.49656776228</v>
      </c>
      <c r="AR13" s="539">
        <f t="shared" si="31"/>
        <v>359227</v>
      </c>
      <c r="AS13" s="539">
        <f t="shared" si="32"/>
        <v>564633.3792777505</v>
      </c>
      <c r="AT13" s="539">
        <f t="shared" si="33"/>
        <v>564.63</v>
      </c>
      <c r="AU13" s="539">
        <f t="shared" si="34"/>
        <v>32391854.841634583</v>
      </c>
      <c r="AV13" s="543">
        <f t="shared" si="35"/>
        <v>3.2391854841634586E-2</v>
      </c>
      <c r="AW13" s="542">
        <f t="shared" si="17"/>
        <v>7207219.8392974241</v>
      </c>
      <c r="AX13" s="542">
        <f t="shared" si="18"/>
        <v>25208947.127562303</v>
      </c>
      <c r="AY13" s="537">
        <f t="shared" si="19"/>
        <v>6200</v>
      </c>
      <c r="AZ13" s="543">
        <f t="shared" si="36"/>
        <v>3.2415758241183701E-2</v>
      </c>
      <c r="BA13" s="545">
        <v>5175</v>
      </c>
      <c r="BB13" s="545">
        <v>2642</v>
      </c>
      <c r="BC13" s="542">
        <f t="shared" si="37"/>
        <v>16301250</v>
      </c>
      <c r="BD13" s="542">
        <f t="shared" si="37"/>
        <v>8322300</v>
      </c>
      <c r="BE13" s="539">
        <f t="shared" si="38"/>
        <v>24623550</v>
      </c>
      <c r="BF13" s="543">
        <f t="shared" si="39"/>
        <v>4.9247149247149249E-2</v>
      </c>
      <c r="BG13" s="539">
        <f t="shared" si="20"/>
        <v>7768304.8416345827</v>
      </c>
      <c r="BH13" s="543">
        <f t="shared" si="40"/>
        <v>0.31548273265368248</v>
      </c>
    </row>
    <row r="14" spans="1:60">
      <c r="A14" s="535" t="s">
        <v>303</v>
      </c>
      <c r="B14" s="536">
        <f>Summary!O13</f>
        <v>482791691.8186667</v>
      </c>
      <c r="C14" s="536">
        <v>49522855.887999997</v>
      </c>
      <c r="D14" s="535">
        <f>Summary!O33</f>
        <v>206468013.12</v>
      </c>
      <c r="E14" s="535">
        <v>21280944.959999993</v>
      </c>
      <c r="F14" s="535">
        <f>Summary!O53</f>
        <v>127746705.17333335</v>
      </c>
      <c r="G14" s="535">
        <v>13326600.979999999</v>
      </c>
      <c r="H14" s="536">
        <f>Summary!O73</f>
        <v>42054848.679866672</v>
      </c>
      <c r="I14" s="535">
        <v>13176503.018799998</v>
      </c>
      <c r="J14" s="535">
        <f t="shared" si="41"/>
        <v>859061258.79186666</v>
      </c>
      <c r="K14" s="537">
        <f t="shared" si="42"/>
        <v>97306904.846799999</v>
      </c>
      <c r="L14" s="537">
        <f>Summary!O94</f>
        <v>3227035563.1200004</v>
      </c>
      <c r="M14" s="537">
        <f>Summary!O115</f>
        <v>45339594.819680013</v>
      </c>
      <c r="N14" s="537">
        <f t="shared" si="0"/>
        <v>3272375157.9396806</v>
      </c>
      <c r="O14" s="538">
        <f t="shared" si="1"/>
        <v>1.7993654429535207E-2</v>
      </c>
      <c r="P14" s="539">
        <f t="shared" si="2"/>
        <v>1809.4069637508126</v>
      </c>
      <c r="Q14" s="43">
        <f t="shared" si="43"/>
        <v>1809</v>
      </c>
      <c r="R14" s="540">
        <f t="shared" si="3"/>
        <v>3.8436493855347587E-2</v>
      </c>
      <c r="S14" s="534">
        <f t="shared" si="4"/>
        <v>3706.8900726442948</v>
      </c>
      <c r="T14" s="36">
        <f t="shared" si="21"/>
        <v>3707</v>
      </c>
      <c r="U14" s="541">
        <f t="shared" si="5"/>
        <v>9045000</v>
      </c>
      <c r="V14" s="541">
        <f t="shared" si="6"/>
        <v>18534450.363221474</v>
      </c>
      <c r="W14" s="539">
        <f t="shared" si="22"/>
        <v>137741.11675126851</v>
      </c>
      <c r="X14" s="539">
        <f t="shared" si="22"/>
        <v>282250.51314550638</v>
      </c>
      <c r="Y14" s="542">
        <f t="shared" si="7"/>
        <v>9182741.1167512685</v>
      </c>
      <c r="Z14" s="542">
        <f t="shared" si="8"/>
        <v>18816700.87636698</v>
      </c>
      <c r="AA14" s="543">
        <f t="shared" si="9"/>
        <v>2.7348530734083276E-2</v>
      </c>
      <c r="AB14" s="539">
        <f t="shared" si="10"/>
        <v>2670.0147253604459</v>
      </c>
      <c r="AC14" s="43">
        <f t="shared" si="44"/>
        <v>2670</v>
      </c>
      <c r="AD14" s="544">
        <f t="shared" si="11"/>
        <v>3.8436493855347587E-2</v>
      </c>
      <c r="AE14" s="534">
        <f t="shared" si="12"/>
        <v>3598.922400625529</v>
      </c>
      <c r="AF14" s="36">
        <f t="shared" si="23"/>
        <v>3599</v>
      </c>
      <c r="AG14" s="541">
        <f t="shared" si="24"/>
        <v>13750575.835606297</v>
      </c>
      <c r="AH14" s="541">
        <f t="shared" si="25"/>
        <v>13750576</v>
      </c>
      <c r="AI14" s="541">
        <f t="shared" si="26"/>
        <v>13750500</v>
      </c>
      <c r="AJ14" s="541">
        <f t="shared" si="13"/>
        <v>18534450.363221474</v>
      </c>
      <c r="AK14" s="541">
        <f t="shared" si="14"/>
        <v>18534850</v>
      </c>
      <c r="AL14" s="541">
        <f t="shared" si="27"/>
        <v>32285026.198827773</v>
      </c>
      <c r="AM14" s="541">
        <f t="shared" si="28"/>
        <v>32285.03</v>
      </c>
      <c r="AN14" s="544">
        <f t="shared" si="29"/>
        <v>3.2285026198827775E-2</v>
      </c>
      <c r="AO14" s="539">
        <f t="shared" si="45"/>
        <v>198929.65041359447</v>
      </c>
      <c r="AP14" s="539">
        <f t="shared" si="30"/>
        <v>198930</v>
      </c>
      <c r="AQ14" s="539">
        <f t="shared" si="46"/>
        <v>268137.98748823104</v>
      </c>
      <c r="AR14" s="539">
        <f t="shared" si="31"/>
        <v>268138</v>
      </c>
      <c r="AS14" s="539">
        <f t="shared" si="32"/>
        <v>665997.63790182548</v>
      </c>
      <c r="AT14" s="539">
        <f t="shared" si="33"/>
        <v>666</v>
      </c>
      <c r="AU14" s="539">
        <f t="shared" si="34"/>
        <v>32752093.836729601</v>
      </c>
      <c r="AV14" s="543">
        <f t="shared" si="35"/>
        <v>3.2752093836729605E-2</v>
      </c>
      <c r="AW14" s="542">
        <f t="shared" si="17"/>
        <v>13959975.467620607</v>
      </c>
      <c r="AX14" s="542">
        <f t="shared" si="18"/>
        <v>18816700.87636698</v>
      </c>
      <c r="AY14" s="537">
        <f t="shared" si="19"/>
        <v>6269</v>
      </c>
      <c r="AZ14" s="543">
        <f t="shared" si="36"/>
        <v>3.2776514260319453E-2</v>
      </c>
      <c r="BA14" s="545">
        <v>5898</v>
      </c>
      <c r="BB14" s="545">
        <v>967</v>
      </c>
      <c r="BC14" s="542">
        <f t="shared" si="37"/>
        <v>18578700</v>
      </c>
      <c r="BD14" s="542">
        <f t="shared" si="37"/>
        <v>3046050</v>
      </c>
      <c r="BE14" s="539">
        <f t="shared" si="38"/>
        <v>21624750</v>
      </c>
      <c r="BF14" s="543">
        <f t="shared" si="39"/>
        <v>4.3249543249543249E-2</v>
      </c>
      <c r="BG14" s="539">
        <f t="shared" si="20"/>
        <v>11127343.836729601</v>
      </c>
      <c r="BH14" s="543">
        <f t="shared" si="40"/>
        <v>0.51456520129618155</v>
      </c>
    </row>
    <row r="15" spans="1:60">
      <c r="A15" s="535" t="s">
        <v>304</v>
      </c>
      <c r="B15" s="536">
        <f>Summary!O14</f>
        <v>311171043.48799998</v>
      </c>
      <c r="C15" s="536">
        <v>15046555.215999993</v>
      </c>
      <c r="D15" s="535">
        <f>Summary!O34</f>
        <v>288532498.24000001</v>
      </c>
      <c r="E15" s="535">
        <v>14120736.959999997</v>
      </c>
      <c r="F15" s="535">
        <f>Summary!O54</f>
        <v>45373692.330000006</v>
      </c>
      <c r="G15" s="535">
        <v>2267882.4299999997</v>
      </c>
      <c r="H15" s="536">
        <f>Summary!O74</f>
        <v>0</v>
      </c>
      <c r="I15" s="536">
        <v>0</v>
      </c>
      <c r="J15" s="535">
        <f t="shared" si="41"/>
        <v>645077234.05799997</v>
      </c>
      <c r="K15" s="537">
        <f t="shared" si="42"/>
        <v>31435174.605999991</v>
      </c>
      <c r="L15" s="537">
        <f>Summary!O95</f>
        <v>6000337824</v>
      </c>
      <c r="M15" s="537">
        <f>Summary!O116</f>
        <v>417121971.60000002</v>
      </c>
      <c r="N15" s="537">
        <f t="shared" si="0"/>
        <v>6417459795.6000004</v>
      </c>
      <c r="O15" s="538">
        <f t="shared" si="1"/>
        <v>5.8128831626388499E-3</v>
      </c>
      <c r="P15" s="539">
        <f t="shared" si="2"/>
        <v>584.53224802874399</v>
      </c>
      <c r="Q15" s="43">
        <f t="shared" si="43"/>
        <v>585</v>
      </c>
      <c r="R15" s="540">
        <f t="shared" si="3"/>
        <v>7.5377865341033232E-2</v>
      </c>
      <c r="S15" s="534">
        <f t="shared" si="4"/>
        <v>7269.587641925872</v>
      </c>
      <c r="T15" s="36">
        <f t="shared" si="21"/>
        <v>7270</v>
      </c>
      <c r="U15" s="541">
        <f t="shared" si="5"/>
        <v>2925000</v>
      </c>
      <c r="V15" s="541">
        <f t="shared" si="6"/>
        <v>36347938.209629357</v>
      </c>
      <c r="W15" s="539">
        <f t="shared" si="22"/>
        <v>44543.147208122071</v>
      </c>
      <c r="X15" s="539">
        <f t="shared" si="22"/>
        <v>553521.90166947991</v>
      </c>
      <c r="Y15" s="542">
        <f t="shared" si="7"/>
        <v>2969543.1472081221</v>
      </c>
      <c r="Z15" s="542">
        <f t="shared" si="8"/>
        <v>36901460.111298837</v>
      </c>
      <c r="AA15" s="543">
        <f t="shared" si="9"/>
        <v>2.0536270703562162E-2</v>
      </c>
      <c r="AB15" s="539">
        <f t="shared" si="10"/>
        <v>2004.9393408240537</v>
      </c>
      <c r="AC15" s="43">
        <f t="shared" si="44"/>
        <v>2005</v>
      </c>
      <c r="AD15" s="544">
        <f t="shared" si="11"/>
        <v>7.5377865341033232E-2</v>
      </c>
      <c r="AE15" s="534">
        <f t="shared" si="12"/>
        <v>7057.8520795396817</v>
      </c>
      <c r="AF15" s="36">
        <f t="shared" si="23"/>
        <v>7058</v>
      </c>
      <c r="AG15" s="541">
        <f t="shared" si="24"/>
        <v>10325437.605243877</v>
      </c>
      <c r="AH15" s="541">
        <f t="shared" si="25"/>
        <v>10325438</v>
      </c>
      <c r="AI15" s="541">
        <f t="shared" si="26"/>
        <v>10325750</v>
      </c>
      <c r="AJ15" s="541">
        <f t="shared" si="13"/>
        <v>36347938.209629357</v>
      </c>
      <c r="AK15" s="541">
        <f t="shared" si="14"/>
        <v>36348700</v>
      </c>
      <c r="AL15" s="541">
        <f t="shared" si="27"/>
        <v>46673375.814873233</v>
      </c>
      <c r="AM15" s="541">
        <f t="shared" si="28"/>
        <v>46673.38</v>
      </c>
      <c r="AN15" s="544">
        <f t="shared" si="29"/>
        <v>4.6673375814873241E-2</v>
      </c>
      <c r="AO15" s="539">
        <f t="shared" si="45"/>
        <v>149378.15824845273</v>
      </c>
      <c r="AP15" s="539">
        <f t="shared" si="30"/>
        <v>149378</v>
      </c>
      <c r="AQ15" s="539">
        <f t="shared" si="46"/>
        <v>525845.80658600584</v>
      </c>
      <c r="AR15" s="539">
        <f t="shared" si="31"/>
        <v>525846</v>
      </c>
      <c r="AS15" s="539">
        <f t="shared" si="32"/>
        <v>824601.96483445854</v>
      </c>
      <c r="AT15" s="539">
        <f t="shared" si="33"/>
        <v>824.6</v>
      </c>
      <c r="AU15" s="539">
        <f t="shared" si="34"/>
        <v>47348599.779707693</v>
      </c>
      <c r="AV15" s="543">
        <f t="shared" si="35"/>
        <v>4.7348599779707699E-2</v>
      </c>
      <c r="AW15" s="542">
        <f t="shared" si="17"/>
        <v>10482677.771821195</v>
      </c>
      <c r="AX15" s="542">
        <f t="shared" si="18"/>
        <v>36901460.111298837</v>
      </c>
      <c r="AY15" s="537">
        <f t="shared" si="19"/>
        <v>9063</v>
      </c>
      <c r="AZ15" s="543">
        <f t="shared" si="36"/>
        <v>4.7384518861265781E-2</v>
      </c>
      <c r="BA15" s="545">
        <v>9380</v>
      </c>
      <c r="BB15" s="545">
        <v>5156</v>
      </c>
      <c r="BC15" s="542">
        <f t="shared" si="37"/>
        <v>29547000</v>
      </c>
      <c r="BD15" s="542">
        <f t="shared" si="37"/>
        <v>16241400</v>
      </c>
      <c r="BE15" s="539">
        <f t="shared" si="38"/>
        <v>45788400</v>
      </c>
      <c r="BF15" s="543">
        <f t="shared" si="39"/>
        <v>9.1576891576891584E-2</v>
      </c>
      <c r="BG15" s="539">
        <f t="shared" si="20"/>
        <v>1560199.7797076926</v>
      </c>
      <c r="BH15" s="543">
        <f t="shared" si="40"/>
        <v>3.4074127501893328E-2</v>
      </c>
    </row>
    <row r="16" spans="1:60">
      <c r="A16" s="535" t="s">
        <v>305</v>
      </c>
      <c r="B16" s="536">
        <f>Summary!O15</f>
        <v>1024203999.7653334</v>
      </c>
      <c r="C16" s="536">
        <v>83310936.191999987</v>
      </c>
      <c r="D16" s="535">
        <f>Summary!O35</f>
        <v>1030018295.5733334</v>
      </c>
      <c r="E16" s="535">
        <v>83769727.359999985</v>
      </c>
      <c r="F16" s="535">
        <f>Summary!O55</f>
        <v>91685105.086666673</v>
      </c>
      <c r="G16" s="535">
        <v>7410100.9399999985</v>
      </c>
      <c r="H16" s="536">
        <f>Summary!O75</f>
        <v>516935644.24486679</v>
      </c>
      <c r="I16" s="535">
        <v>161964774.35379997</v>
      </c>
      <c r="J16" s="535">
        <f t="shared" si="41"/>
        <v>2662843044.6702003</v>
      </c>
      <c r="K16" s="537">
        <f t="shared" si="42"/>
        <v>336455538.84579992</v>
      </c>
      <c r="L16" s="537">
        <f>Summary!O96</f>
        <v>3765969993.1200004</v>
      </c>
      <c r="M16" s="537">
        <f>Summary!O117</f>
        <v>125803738.79312003</v>
      </c>
      <c r="N16" s="537">
        <f t="shared" si="0"/>
        <v>3891773731.9131203</v>
      </c>
      <c r="O16" s="538">
        <f t="shared" si="1"/>
        <v>6.2216188115590591E-2</v>
      </c>
      <c r="P16" s="539">
        <f t="shared" si="2"/>
        <v>6256.3391152826571</v>
      </c>
      <c r="Q16" s="43">
        <f t="shared" si="43"/>
        <v>6256</v>
      </c>
      <c r="R16" s="540">
        <f t="shared" si="3"/>
        <v>4.571179339573727E-2</v>
      </c>
      <c r="S16" s="534">
        <f t="shared" si="4"/>
        <v>4408.5340816758835</v>
      </c>
      <c r="T16" s="36">
        <f t="shared" si="21"/>
        <v>4409</v>
      </c>
      <c r="U16" s="541">
        <f t="shared" si="5"/>
        <v>31280000</v>
      </c>
      <c r="V16" s="541">
        <f t="shared" si="6"/>
        <v>22042670.408379417</v>
      </c>
      <c r="W16" s="539">
        <f t="shared" si="22"/>
        <v>476345.17766497657</v>
      </c>
      <c r="X16" s="539">
        <f t="shared" si="22"/>
        <v>335675.18388395011</v>
      </c>
      <c r="Y16" s="542">
        <f t="shared" si="7"/>
        <v>31756345.177664977</v>
      </c>
      <c r="Z16" s="542">
        <f t="shared" si="8"/>
        <v>22378345.592263367</v>
      </c>
      <c r="AA16" s="543">
        <f t="shared" si="9"/>
        <v>8.4772586473774225E-2</v>
      </c>
      <c r="AB16" s="539">
        <f t="shared" si="10"/>
        <v>8276.2784002062035</v>
      </c>
      <c r="AC16" s="43">
        <f t="shared" si="44"/>
        <v>8276</v>
      </c>
      <c r="AD16" s="544">
        <f t="shared" si="11"/>
        <v>4.571179339573727E-2</v>
      </c>
      <c r="AE16" s="534">
        <f t="shared" si="12"/>
        <v>4280.130176384353</v>
      </c>
      <c r="AF16" s="36">
        <f t="shared" si="23"/>
        <v>4280</v>
      </c>
      <c r="AG16" s="541">
        <f t="shared" si="24"/>
        <v>42622833.761061952</v>
      </c>
      <c r="AH16" s="541">
        <f t="shared" si="25"/>
        <v>42622834</v>
      </c>
      <c r="AI16" s="541">
        <f t="shared" si="26"/>
        <v>42621400</v>
      </c>
      <c r="AJ16" s="541">
        <f t="shared" si="13"/>
        <v>22042670.408379417</v>
      </c>
      <c r="AK16" s="541">
        <f t="shared" si="14"/>
        <v>22042000</v>
      </c>
      <c r="AL16" s="541">
        <f t="shared" si="27"/>
        <v>64665504.169441372</v>
      </c>
      <c r="AM16" s="541">
        <f t="shared" si="28"/>
        <v>64665.5</v>
      </c>
      <c r="AN16" s="544">
        <f t="shared" si="29"/>
        <v>6.4665504169441376E-2</v>
      </c>
      <c r="AO16" s="539">
        <f t="shared" si="45"/>
        <v>616624.75238084898</v>
      </c>
      <c r="AP16" s="539">
        <f t="shared" si="30"/>
        <v>616625</v>
      </c>
      <c r="AQ16" s="539">
        <f t="shared" si="46"/>
        <v>318891.42468975257</v>
      </c>
      <c r="AR16" s="539">
        <f t="shared" si="31"/>
        <v>318891</v>
      </c>
      <c r="AS16" s="539">
        <f t="shared" si="32"/>
        <v>1552141.1770706014</v>
      </c>
      <c r="AT16" s="539">
        <f t="shared" si="33"/>
        <v>1552.14</v>
      </c>
      <c r="AU16" s="539">
        <f t="shared" si="34"/>
        <v>65601020.346511975</v>
      </c>
      <c r="AV16" s="543">
        <f t="shared" si="35"/>
        <v>6.5601020346511982E-2</v>
      </c>
      <c r="AW16" s="542">
        <f t="shared" si="17"/>
        <v>43271912.447778635</v>
      </c>
      <c r="AX16" s="542">
        <f t="shared" si="18"/>
        <v>22378345.592263367</v>
      </c>
      <c r="AY16" s="537">
        <f t="shared" si="19"/>
        <v>12556</v>
      </c>
      <c r="AZ16" s="543">
        <f t="shared" si="36"/>
        <v>6.56471387865004E-2</v>
      </c>
      <c r="BA16" s="545">
        <v>2326</v>
      </c>
      <c r="BB16" s="545">
        <v>9585</v>
      </c>
      <c r="BC16" s="542">
        <f t="shared" si="37"/>
        <v>7326900</v>
      </c>
      <c r="BD16" s="542">
        <f t="shared" si="37"/>
        <v>30192750</v>
      </c>
      <c r="BE16" s="539">
        <f t="shared" si="38"/>
        <v>37519650</v>
      </c>
      <c r="BF16" s="543">
        <f t="shared" si="39"/>
        <v>7.5039375039375036E-2</v>
      </c>
      <c r="BG16" s="539">
        <f t="shared" si="20"/>
        <v>28081370.346511975</v>
      </c>
      <c r="BH16" s="543">
        <f t="shared" si="40"/>
        <v>0.74844435773020201</v>
      </c>
    </row>
    <row r="17" spans="1:62">
      <c r="A17" s="535" t="s">
        <v>306</v>
      </c>
      <c r="B17" s="536">
        <f>Summary!O16</f>
        <v>468857531.06666672</v>
      </c>
      <c r="C17" s="536">
        <v>57211541.023999982</v>
      </c>
      <c r="D17" s="535">
        <f>Summary!O36</f>
        <v>355724351.14666671</v>
      </c>
      <c r="E17" s="535">
        <v>44505567.039999992</v>
      </c>
      <c r="F17" s="535">
        <f>Summary!O56</f>
        <v>94748857.13000001</v>
      </c>
      <c r="G17" s="535">
        <v>11908131.839999998</v>
      </c>
      <c r="H17" s="536">
        <f>Summary!O76</f>
        <v>44810070.317600004</v>
      </c>
      <c r="I17" s="535">
        <v>14039761.058399994</v>
      </c>
      <c r="J17" s="535">
        <f t="shared" si="41"/>
        <v>964140809.66093338</v>
      </c>
      <c r="K17" s="537">
        <f t="shared" si="42"/>
        <v>127665000.96239997</v>
      </c>
      <c r="L17" s="537">
        <f>Summary!O97</f>
        <v>3768271377.9200001</v>
      </c>
      <c r="M17" s="537">
        <f>Summary!O118</f>
        <v>148004792.40000001</v>
      </c>
      <c r="N17" s="537">
        <f t="shared" si="0"/>
        <v>3916276170.3200002</v>
      </c>
      <c r="O17" s="538">
        <f t="shared" si="1"/>
        <v>2.360736798360151E-2</v>
      </c>
      <c r="P17" s="539">
        <f t="shared" si="2"/>
        <v>2373.9111025297116</v>
      </c>
      <c r="Q17" s="43">
        <f t="shared" si="43"/>
        <v>2374</v>
      </c>
      <c r="R17" s="540">
        <f t="shared" si="3"/>
        <v>4.5999592861816832E-2</v>
      </c>
      <c r="S17" s="534">
        <f t="shared" si="4"/>
        <v>4436.2900208033607</v>
      </c>
      <c r="T17" s="36">
        <f t="shared" si="21"/>
        <v>4436</v>
      </c>
      <c r="U17" s="541">
        <f t="shared" si="5"/>
        <v>11870000</v>
      </c>
      <c r="V17" s="541">
        <f t="shared" si="6"/>
        <v>22181450.104016803</v>
      </c>
      <c r="W17" s="539">
        <f t="shared" si="22"/>
        <v>180761.42131979764</v>
      </c>
      <c r="X17" s="539">
        <f t="shared" si="22"/>
        <v>337788.58026421443</v>
      </c>
      <c r="Y17" s="542">
        <f t="shared" si="7"/>
        <v>12050761.421319798</v>
      </c>
      <c r="Z17" s="542">
        <f t="shared" si="8"/>
        <v>22519238.684281018</v>
      </c>
      <c r="AA17" s="543">
        <f t="shared" si="9"/>
        <v>3.0693776835051489E-2</v>
      </c>
      <c r="AB17" s="539">
        <f t="shared" si="10"/>
        <v>2996.6083707882917</v>
      </c>
      <c r="AC17" s="43">
        <f t="shared" si="44"/>
        <v>2997</v>
      </c>
      <c r="AD17" s="544">
        <f t="shared" si="11"/>
        <v>4.5999592861816832E-2</v>
      </c>
      <c r="AE17" s="534">
        <f t="shared" si="12"/>
        <v>4307.0776901003501</v>
      </c>
      <c r="AF17" s="36">
        <f t="shared" si="23"/>
        <v>4307</v>
      </c>
      <c r="AG17" s="541">
        <f t="shared" si="24"/>
        <v>15432533.109559702</v>
      </c>
      <c r="AH17" s="541">
        <f t="shared" si="25"/>
        <v>15432533</v>
      </c>
      <c r="AI17" s="541">
        <f t="shared" si="26"/>
        <v>15434550</v>
      </c>
      <c r="AJ17" s="541">
        <f t="shared" si="13"/>
        <v>22181450.104016803</v>
      </c>
      <c r="AK17" s="541">
        <f t="shared" si="14"/>
        <v>22181050</v>
      </c>
      <c r="AL17" s="541">
        <f t="shared" si="27"/>
        <v>37613983.213576503</v>
      </c>
      <c r="AM17" s="541">
        <f t="shared" si="28"/>
        <v>37613.980000000003</v>
      </c>
      <c r="AN17" s="544">
        <f t="shared" si="29"/>
        <v>3.7613983213576507E-2</v>
      </c>
      <c r="AO17" s="539">
        <f t="shared" si="45"/>
        <v>223262.53483373122</v>
      </c>
      <c r="AP17" s="539">
        <f t="shared" si="30"/>
        <v>223263</v>
      </c>
      <c r="AQ17" s="539">
        <f t="shared" si="46"/>
        <v>320899.15125100367</v>
      </c>
      <c r="AR17" s="539">
        <f t="shared" si="31"/>
        <v>320899</v>
      </c>
      <c r="AS17" s="539">
        <f t="shared" si="32"/>
        <v>767424.68608473497</v>
      </c>
      <c r="AT17" s="539">
        <f t="shared" si="33"/>
        <v>767.42</v>
      </c>
      <c r="AU17" s="539">
        <f t="shared" si="34"/>
        <v>38158144.899661236</v>
      </c>
      <c r="AV17" s="543">
        <f t="shared" si="35"/>
        <v>3.8158144899661239E-2</v>
      </c>
      <c r="AW17" s="542">
        <f t="shared" si="17"/>
        <v>15667546.304121524</v>
      </c>
      <c r="AX17" s="542">
        <f t="shared" si="18"/>
        <v>22519238.684281018</v>
      </c>
      <c r="AY17" s="537">
        <f t="shared" si="19"/>
        <v>7304</v>
      </c>
      <c r="AZ17" s="543">
        <f t="shared" si="36"/>
        <v>3.8187854547355765E-2</v>
      </c>
      <c r="BA17" s="545">
        <v>2743</v>
      </c>
      <c r="BB17" s="545">
        <v>3545</v>
      </c>
      <c r="BC17" s="542">
        <f t="shared" si="37"/>
        <v>8640450</v>
      </c>
      <c r="BD17" s="542">
        <f t="shared" si="37"/>
        <v>11166750</v>
      </c>
      <c r="BE17" s="539">
        <f t="shared" si="38"/>
        <v>19807200</v>
      </c>
      <c r="BF17" s="543">
        <f t="shared" si="39"/>
        <v>3.9614439614439612E-2</v>
      </c>
      <c r="BG17" s="539">
        <f t="shared" si="20"/>
        <v>18350944.899661236</v>
      </c>
      <c r="BH17" s="543">
        <f t="shared" si="40"/>
        <v>0.92647849770089841</v>
      </c>
    </row>
    <row r="18" spans="1:62">
      <c r="A18" s="535" t="s">
        <v>307</v>
      </c>
      <c r="B18" s="536">
        <f>Summary!O17</f>
        <v>1058418349.6213334</v>
      </c>
      <c r="C18" s="536">
        <v>362789620.33599985</v>
      </c>
      <c r="D18" s="535">
        <f>Summary!O37</f>
        <v>888471864.85333335</v>
      </c>
      <c r="E18" s="535">
        <v>304579112.63999987</v>
      </c>
      <c r="F18" s="535">
        <f>Summary!O57</f>
        <v>448971809.51000005</v>
      </c>
      <c r="G18" s="535">
        <v>153945669.56999993</v>
      </c>
      <c r="H18" s="536">
        <f>Summary!O77</f>
        <v>91610001.61999999</v>
      </c>
      <c r="I18" s="535">
        <v>28702979.579999994</v>
      </c>
      <c r="J18" s="535">
        <f t="shared" si="41"/>
        <v>2487472025.6046667</v>
      </c>
      <c r="K18" s="537">
        <f t="shared" si="42"/>
        <v>850017382.12599969</v>
      </c>
      <c r="L18" s="537">
        <f>Summary!O98</f>
        <v>3968960179.2800002</v>
      </c>
      <c r="M18" s="537">
        <f>Summary!O119</f>
        <v>97324137.29904002</v>
      </c>
      <c r="N18" s="537">
        <f t="shared" si="0"/>
        <v>4066284316.5790401</v>
      </c>
      <c r="O18" s="538">
        <f t="shared" si="1"/>
        <v>0.15718225810546269</v>
      </c>
      <c r="P18" s="539">
        <f t="shared" si="2"/>
        <v>15805.942784322344</v>
      </c>
      <c r="Q18" s="43">
        <f t="shared" si="43"/>
        <v>15806</v>
      </c>
      <c r="R18" s="540">
        <f t="shared" si="3"/>
        <v>4.7761550740621862E-2</v>
      </c>
      <c r="S18" s="534">
        <f t="shared" si="4"/>
        <v>4606.2166585955601</v>
      </c>
      <c r="T18" s="36">
        <f t="shared" si="21"/>
        <v>4606</v>
      </c>
      <c r="U18" s="541">
        <f t="shared" si="5"/>
        <v>79030000</v>
      </c>
      <c r="V18" s="541">
        <f t="shared" si="6"/>
        <v>23031083.292977802</v>
      </c>
      <c r="W18" s="539">
        <f t="shared" si="22"/>
        <v>1203502.5380710661</v>
      </c>
      <c r="X18" s="539">
        <f t="shared" si="22"/>
        <v>350727.15674585477</v>
      </c>
      <c r="Y18" s="542">
        <f t="shared" si="7"/>
        <v>80233502.538071066</v>
      </c>
      <c r="Z18" s="542">
        <f t="shared" si="8"/>
        <v>23381810.449723657</v>
      </c>
      <c r="AA18" s="543">
        <f t="shared" si="9"/>
        <v>7.9189585662486031E-2</v>
      </c>
      <c r="AB18" s="539">
        <f t="shared" si="10"/>
        <v>7731.2145895474023</v>
      </c>
      <c r="AC18" s="43">
        <f t="shared" si="44"/>
        <v>7731</v>
      </c>
      <c r="AD18" s="544">
        <f t="shared" si="11"/>
        <v>4.7761550740621862E-2</v>
      </c>
      <c r="AE18" s="534">
        <f t="shared" si="12"/>
        <v>4472.0550083452044</v>
      </c>
      <c r="AF18" s="36">
        <f t="shared" si="23"/>
        <v>4472</v>
      </c>
      <c r="AG18" s="541">
        <f t="shared" si="24"/>
        <v>39815755.136169121</v>
      </c>
      <c r="AH18" s="541">
        <f t="shared" si="25"/>
        <v>39815755</v>
      </c>
      <c r="AI18" s="541">
        <f t="shared" si="26"/>
        <v>39814650</v>
      </c>
      <c r="AJ18" s="541">
        <f t="shared" si="13"/>
        <v>23031083.292977802</v>
      </c>
      <c r="AK18" s="541">
        <f t="shared" si="14"/>
        <v>23030800</v>
      </c>
      <c r="AL18" s="541">
        <f t="shared" si="27"/>
        <v>62846838.429146923</v>
      </c>
      <c r="AM18" s="541">
        <f t="shared" si="28"/>
        <v>62846.84</v>
      </c>
      <c r="AN18" s="544">
        <f t="shared" si="29"/>
        <v>6.2846838429146928E-2</v>
      </c>
      <c r="AO18" s="539">
        <f t="shared" si="45"/>
        <v>576014.73166539252</v>
      </c>
      <c r="AP18" s="539">
        <f t="shared" si="30"/>
        <v>576015</v>
      </c>
      <c r="AQ18" s="539">
        <f t="shared" si="46"/>
        <v>333190.79890856199</v>
      </c>
      <c r="AR18" s="539">
        <f t="shared" si="31"/>
        <v>333191</v>
      </c>
      <c r="AS18" s="539">
        <f t="shared" si="32"/>
        <v>1485220.5305739543</v>
      </c>
      <c r="AT18" s="539">
        <f t="shared" si="33"/>
        <v>1485.22</v>
      </c>
      <c r="AU18" s="539">
        <f t="shared" si="34"/>
        <v>63756043.95972088</v>
      </c>
      <c r="AV18" s="543">
        <f t="shared" si="35"/>
        <v>6.3756043959720884E-2</v>
      </c>
      <c r="AW18" s="542">
        <f t="shared" si="17"/>
        <v>40422086.432659008</v>
      </c>
      <c r="AX18" s="542">
        <f t="shared" si="18"/>
        <v>23381810.449723657</v>
      </c>
      <c r="AY18" s="537">
        <f t="shared" si="19"/>
        <v>12203</v>
      </c>
      <c r="AZ18" s="543">
        <f t="shared" si="36"/>
        <v>6.3801531905994302E-2</v>
      </c>
      <c r="BA18" s="545">
        <v>3675</v>
      </c>
      <c r="BB18" s="545">
        <v>12888</v>
      </c>
      <c r="BC18" s="542">
        <f t="shared" si="37"/>
        <v>11576250</v>
      </c>
      <c r="BD18" s="542">
        <f t="shared" si="37"/>
        <v>40597200</v>
      </c>
      <c r="BE18" s="539">
        <f t="shared" si="38"/>
        <v>52173450</v>
      </c>
      <c r="BF18" s="543">
        <f t="shared" si="39"/>
        <v>0.10434700434700435</v>
      </c>
      <c r="BG18" s="539">
        <f t="shared" si="20"/>
        <v>11582593.95972088</v>
      </c>
      <c r="BH18" s="543">
        <f t="shared" si="40"/>
        <v>0.22200168782629631</v>
      </c>
    </row>
    <row r="19" spans="1:62">
      <c r="A19" s="535" t="s">
        <v>308</v>
      </c>
      <c r="B19" s="536">
        <f>Summary!O18</f>
        <v>1055584373.9520001</v>
      </c>
      <c r="C19" s="536">
        <v>149204851.31200001</v>
      </c>
      <c r="D19" s="535">
        <f>Summary!O38</f>
        <v>385636989.01333338</v>
      </c>
      <c r="E19" s="535">
        <v>39267521.919999994</v>
      </c>
      <c r="F19" s="535">
        <f>Summary!O58</f>
        <v>408369601.35333335</v>
      </c>
      <c r="G19" s="535">
        <v>41974786.479999982</v>
      </c>
      <c r="H19" s="536">
        <f>Summary!O78</f>
        <v>0</v>
      </c>
      <c r="I19" s="536">
        <v>0</v>
      </c>
      <c r="J19" s="535">
        <f t="shared" si="41"/>
        <v>1849590964.3186669</v>
      </c>
      <c r="K19" s="537">
        <f t="shared" si="42"/>
        <v>230447159.71199998</v>
      </c>
      <c r="L19" s="537">
        <f>Summary!O99</f>
        <v>7980862911.4400005</v>
      </c>
      <c r="M19" s="537">
        <f>Summary!O120</f>
        <v>95099496.440000013</v>
      </c>
      <c r="N19" s="537">
        <f t="shared" si="0"/>
        <v>8075962407.8800001</v>
      </c>
      <c r="O19" s="538">
        <f t="shared" si="1"/>
        <v>4.2613487322960504E-2</v>
      </c>
      <c r="P19" s="539">
        <f t="shared" si="2"/>
        <v>4285.1295724180145</v>
      </c>
      <c r="Q19" s="43">
        <f t="shared" si="43"/>
        <v>4285</v>
      </c>
      <c r="R19" s="540">
        <f t="shared" si="3"/>
        <v>9.4858219025820978E-2</v>
      </c>
      <c r="S19" s="534">
        <f t="shared" si="4"/>
        <v>9148.3107626533056</v>
      </c>
      <c r="T19" s="36">
        <f t="shared" si="21"/>
        <v>9148</v>
      </c>
      <c r="U19" s="541">
        <f t="shared" si="5"/>
        <v>21425000</v>
      </c>
      <c r="V19" s="541">
        <f t="shared" si="6"/>
        <v>45741553.813266531</v>
      </c>
      <c r="W19" s="539">
        <f t="shared" si="22"/>
        <v>326269.03553299606</v>
      </c>
      <c r="X19" s="539">
        <f t="shared" si="22"/>
        <v>696571.88548121601</v>
      </c>
      <c r="Y19" s="542">
        <f t="shared" si="7"/>
        <v>21751269.035532996</v>
      </c>
      <c r="Z19" s="542">
        <f t="shared" si="8"/>
        <v>46438125.698747747</v>
      </c>
      <c r="AA19" s="543">
        <f t="shared" si="9"/>
        <v>5.8882407762502975E-2</v>
      </c>
      <c r="AB19" s="539">
        <f t="shared" si="10"/>
        <v>5748.6413920813902</v>
      </c>
      <c r="AC19" s="43">
        <f t="shared" si="44"/>
        <v>5749</v>
      </c>
      <c r="AD19" s="544">
        <f t="shared" si="11"/>
        <v>9.4858219025820978E-2</v>
      </c>
      <c r="AE19" s="534">
        <f t="shared" si="12"/>
        <v>8881.8551093721399</v>
      </c>
      <c r="AF19" s="36">
        <f t="shared" si="23"/>
        <v>8882</v>
      </c>
      <c r="AG19" s="541">
        <f>AB19*$L$30-0.01</f>
        <v>29605503.159219157</v>
      </c>
      <c r="AH19" s="541">
        <f t="shared" si="25"/>
        <v>29605503</v>
      </c>
      <c r="AI19" s="541">
        <f t="shared" si="26"/>
        <v>29607350</v>
      </c>
      <c r="AJ19" s="541">
        <f t="shared" si="13"/>
        <v>45741553.813266523</v>
      </c>
      <c r="AK19" s="541">
        <f t="shared" si="14"/>
        <v>45742300</v>
      </c>
      <c r="AL19" s="541">
        <f t="shared" si="27"/>
        <v>75347056.972485676</v>
      </c>
      <c r="AM19" s="541">
        <f t="shared" si="28"/>
        <v>75347.06</v>
      </c>
      <c r="AN19" s="544">
        <f t="shared" si="29"/>
        <v>7.5347056972485685E-2</v>
      </c>
      <c r="AO19" s="539">
        <f t="shared" si="45"/>
        <v>428302.97413083818</v>
      </c>
      <c r="AP19" s="539">
        <f t="shared" si="30"/>
        <v>428303</v>
      </c>
      <c r="AQ19" s="539">
        <f t="shared" si="46"/>
        <v>661743.29120715521</v>
      </c>
      <c r="AR19" s="539">
        <f t="shared" si="31"/>
        <v>661743</v>
      </c>
      <c r="AS19" s="539">
        <f t="shared" si="32"/>
        <v>1518349.2653379934</v>
      </c>
      <c r="AT19" s="539">
        <f t="shared" si="33"/>
        <v>1518.35</v>
      </c>
      <c r="AU19" s="539">
        <f t="shared" si="34"/>
        <v>76437103.237823665</v>
      </c>
      <c r="AV19" s="543">
        <f t="shared" si="35"/>
        <v>7.643710323782367E-2</v>
      </c>
      <c r="AW19" s="542">
        <f t="shared" si="17"/>
        <v>30056348.395146355</v>
      </c>
      <c r="AX19" s="542">
        <f t="shared" si="18"/>
        <v>46438125.698747739</v>
      </c>
      <c r="AY19" s="537">
        <f t="shared" si="19"/>
        <v>14631</v>
      </c>
      <c r="AZ19" s="543">
        <f t="shared" si="36"/>
        <v>7.649596110109011E-2</v>
      </c>
      <c r="BA19" s="545">
        <v>2215</v>
      </c>
      <c r="BB19" s="545">
        <v>1616</v>
      </c>
      <c r="BC19" s="542">
        <f t="shared" si="37"/>
        <v>6977250</v>
      </c>
      <c r="BD19" s="542">
        <f t="shared" si="37"/>
        <v>5090400</v>
      </c>
      <c r="BE19" s="539">
        <f t="shared" si="38"/>
        <v>12067650</v>
      </c>
      <c r="BF19" s="543">
        <f t="shared" si="39"/>
        <v>2.4135324135324137E-2</v>
      </c>
      <c r="BG19" s="539">
        <f t="shared" si="20"/>
        <v>64369453.237823665</v>
      </c>
      <c r="BH19" s="543">
        <f t="shared" si="40"/>
        <v>5.3340503940554846</v>
      </c>
    </row>
    <row r="20" spans="1:62">
      <c r="A20" s="535" t="s">
        <v>309</v>
      </c>
      <c r="B20" s="536">
        <f>Summary!O19</f>
        <v>10562766.133333335</v>
      </c>
      <c r="C20" s="536">
        <v>1409770.9999999995</v>
      </c>
      <c r="D20" s="535">
        <f>Summary!O39</f>
        <v>30407247.840000004</v>
      </c>
      <c r="E20" s="535">
        <v>3085948.7999999989</v>
      </c>
      <c r="F20" s="535">
        <f>Summary!O59</f>
        <v>1771637.1333333335</v>
      </c>
      <c r="G20" s="535">
        <v>177240.36</v>
      </c>
      <c r="H20" s="536">
        <f>Summary!O79</f>
        <v>0</v>
      </c>
      <c r="I20" s="536">
        <v>0</v>
      </c>
      <c r="J20" s="535">
        <f t="shared" si="41"/>
        <v>42741651.106666669</v>
      </c>
      <c r="K20" s="537">
        <f t="shared" si="42"/>
        <v>4672960.1599999992</v>
      </c>
      <c r="L20" s="537">
        <f>Summary!O100</f>
        <v>1514620195.5200002</v>
      </c>
      <c r="M20" s="537">
        <f>Summary!O121</f>
        <v>8517475894.358242</v>
      </c>
      <c r="N20" s="537">
        <f t="shared" si="0"/>
        <v>10032096089.878242</v>
      </c>
      <c r="O20" s="538">
        <f t="shared" si="1"/>
        <v>8.6410754112883166E-4</v>
      </c>
      <c r="P20" s="539">
        <f t="shared" si="2"/>
        <v>86.892977103177969</v>
      </c>
      <c r="Q20" s="43">
        <f>ROUND(P20, 0)</f>
        <v>87</v>
      </c>
      <c r="R20" s="540">
        <f t="shared" si="3"/>
        <v>0.11783447224236915</v>
      </c>
      <c r="S20" s="534">
        <f t="shared" si="4"/>
        <v>11364.185219764704</v>
      </c>
      <c r="T20" s="36">
        <f t="shared" si="21"/>
        <v>11364</v>
      </c>
      <c r="U20" s="541">
        <f t="shared" si="5"/>
        <v>435000</v>
      </c>
      <c r="V20" s="541">
        <f t="shared" si="6"/>
        <v>56820926.098823518</v>
      </c>
      <c r="W20" s="539">
        <f t="shared" si="22"/>
        <v>6624.3654822335229</v>
      </c>
      <c r="X20" s="539">
        <f t="shared" si="22"/>
        <v>865293.29084502906</v>
      </c>
      <c r="Y20" s="542">
        <f t="shared" si="7"/>
        <v>441624.36548223352</v>
      </c>
      <c r="Z20" s="542">
        <f t="shared" si="8"/>
        <v>57686219.389668547</v>
      </c>
      <c r="AA20" s="543">
        <f t="shared" si="9"/>
        <v>1.3606961633446726E-3</v>
      </c>
      <c r="AB20" s="539">
        <f t="shared" si="10"/>
        <v>132.8436554123177</v>
      </c>
      <c r="AC20" s="43">
        <f>ROUND(AB20, 0)</f>
        <v>133</v>
      </c>
      <c r="AD20" s="544">
        <f t="shared" si="11"/>
        <v>0.11783447224236915</v>
      </c>
      <c r="AE20" s="534">
        <f t="shared" si="12"/>
        <v>11033.18953375214</v>
      </c>
      <c r="AF20" s="36">
        <f t="shared" si="23"/>
        <v>11033</v>
      </c>
      <c r="AG20" s="541">
        <f t="shared" si="24"/>
        <v>684144.82537343621</v>
      </c>
      <c r="AH20" s="541">
        <f t="shared" si="25"/>
        <v>684145</v>
      </c>
      <c r="AI20" s="541">
        <f t="shared" si="26"/>
        <v>684950</v>
      </c>
      <c r="AJ20" s="541">
        <f t="shared" si="13"/>
        <v>56820926.098823518</v>
      </c>
      <c r="AK20" s="541">
        <f t="shared" si="14"/>
        <v>56819950</v>
      </c>
      <c r="AL20" s="541">
        <f t="shared" si="27"/>
        <v>57505070.924196951</v>
      </c>
      <c r="AM20" s="541">
        <f>ROUND(AL20/1000,2)+0.01</f>
        <v>57505.08</v>
      </c>
      <c r="AN20" s="544">
        <f t="shared" si="29"/>
        <v>5.750507092419696E-2</v>
      </c>
      <c r="AO20" s="539">
        <f>(AW20-AG20)*$AQ$24-0.01</f>
        <v>9897.5166614939317</v>
      </c>
      <c r="AP20" s="539">
        <f t="shared" si="30"/>
        <v>9898</v>
      </c>
      <c r="AQ20" s="539">
        <f t="shared" si="46"/>
        <v>822028.62630277756</v>
      </c>
      <c r="AR20" s="539">
        <f t="shared" si="31"/>
        <v>822029</v>
      </c>
      <c r="AS20" s="539">
        <f t="shared" si="32"/>
        <v>841824.14296427148</v>
      </c>
      <c r="AT20" s="539">
        <f t="shared" si="33"/>
        <v>841.82</v>
      </c>
      <c r="AU20" s="539">
        <f t="shared" si="34"/>
        <v>58336997.067161225</v>
      </c>
      <c r="AV20" s="543">
        <f t="shared" si="35"/>
        <v>5.833699706716123E-2</v>
      </c>
      <c r="AW20" s="542">
        <f t="shared" si="17"/>
        <v>694563.27449079824</v>
      </c>
      <c r="AX20" s="542">
        <f t="shared" si="18"/>
        <v>57686219.389668547</v>
      </c>
      <c r="AY20" s="537">
        <f t="shared" si="19"/>
        <v>11166</v>
      </c>
      <c r="AZ20" s="543">
        <f t="shared" si="36"/>
        <v>5.8379734922751156E-2</v>
      </c>
      <c r="BA20" s="546"/>
      <c r="BB20" s="546"/>
      <c r="BC20" s="542"/>
      <c r="BD20" s="542">
        <f t="shared" ref="BD20" si="47">BB20*3150</f>
        <v>0</v>
      </c>
      <c r="BE20" s="539">
        <f t="shared" si="38"/>
        <v>0</v>
      </c>
      <c r="BF20" s="543">
        <f t="shared" si="39"/>
        <v>0</v>
      </c>
      <c r="BG20" s="539">
        <f t="shared" si="20"/>
        <v>58336997.067161225</v>
      </c>
      <c r="BH20" s="543" t="e">
        <f t="shared" si="40"/>
        <v>#DIV/0!</v>
      </c>
    </row>
    <row r="21" spans="1:62" s="22" customFormat="1">
      <c r="A21" s="547" t="s">
        <v>341</v>
      </c>
      <c r="B21" s="42">
        <f t="shared" ref="B21:N21" si="48">SUM(B4:B20)</f>
        <v>15807126288.951336</v>
      </c>
      <c r="C21" s="42">
        <f t="shared" si="48"/>
        <v>2363239369.8539991</v>
      </c>
      <c r="D21" s="42">
        <f t="shared" si="48"/>
        <v>10967804493.6</v>
      </c>
      <c r="E21" s="42">
        <f t="shared" si="48"/>
        <v>1511536044.4799998</v>
      </c>
      <c r="F21" s="42">
        <f t="shared" si="48"/>
        <v>3406975489.5100002</v>
      </c>
      <c r="G21" s="42">
        <f t="shared" si="48"/>
        <v>498265587.99599981</v>
      </c>
      <c r="H21" s="42">
        <f t="shared" si="48"/>
        <v>1229699241.4025466</v>
      </c>
      <c r="I21" s="42">
        <f t="shared" si="48"/>
        <v>1034804592.7859198</v>
      </c>
      <c r="J21" s="42">
        <f t="shared" si="48"/>
        <v>31411605513.463882</v>
      </c>
      <c r="K21" s="42">
        <f t="shared" si="48"/>
        <v>5407845595.1159182</v>
      </c>
      <c r="L21" s="42">
        <f t="shared" si="48"/>
        <v>68102240231.32</v>
      </c>
      <c r="M21" s="42">
        <f t="shared" si="48"/>
        <v>17034951788.716484</v>
      </c>
      <c r="N21" s="42">
        <f t="shared" si="48"/>
        <v>85137192020.036499</v>
      </c>
      <c r="O21" s="538">
        <f t="shared" si="1"/>
        <v>1</v>
      </c>
      <c r="P21" s="548">
        <f>SUM(P4:P20)</f>
        <v>100558.05899999999</v>
      </c>
      <c r="Q21" s="37">
        <f>SUM(Q4:Q20)</f>
        <v>100557</v>
      </c>
      <c r="R21" s="540">
        <f t="shared" si="3"/>
        <v>1</v>
      </c>
      <c r="S21" s="549">
        <f>SUM(S4:S20)</f>
        <v>96441.941000000006</v>
      </c>
      <c r="T21" s="37">
        <f>SUM(T4:T20)</f>
        <v>96443</v>
      </c>
      <c r="U21" s="549">
        <f t="shared" ref="U21:Z21" si="49">SUM(U4:U20)</f>
        <v>502785000</v>
      </c>
      <c r="V21" s="549">
        <f t="shared" si="49"/>
        <v>482209705</v>
      </c>
      <c r="W21" s="549">
        <f t="shared" si="49"/>
        <v>7656624.3654822372</v>
      </c>
      <c r="X21" s="549">
        <f t="shared" si="49"/>
        <v>7343295.0000000009</v>
      </c>
      <c r="Y21" s="549">
        <f t="shared" si="49"/>
        <v>510441624.36548215</v>
      </c>
      <c r="Z21" s="549">
        <f t="shared" si="49"/>
        <v>489552999.99999994</v>
      </c>
      <c r="AA21" s="538">
        <f t="shared" si="9"/>
        <v>1</v>
      </c>
      <c r="AB21" s="548">
        <f>SUM(AB4:AB20)</f>
        <v>97629.18349514564</v>
      </c>
      <c r="AC21" s="37">
        <f>SUM(AC4:AC20)</f>
        <v>97630</v>
      </c>
      <c r="AD21" s="540">
        <f t="shared" si="11"/>
        <v>1</v>
      </c>
      <c r="AE21" s="549">
        <f>SUM(AE4:AE20)</f>
        <v>93632.952427184457</v>
      </c>
      <c r="AF21" s="37">
        <f>SUM(AF4:AF20)</f>
        <v>93635</v>
      </c>
      <c r="AG21" s="549">
        <f>SUM(AG4:AG20)</f>
        <v>502790294.98999995</v>
      </c>
      <c r="AH21" s="549">
        <f>SUM(AH4:AH20)</f>
        <v>502790296</v>
      </c>
      <c r="AI21" s="549">
        <f>SUM(AI4:AI20)</f>
        <v>502794500</v>
      </c>
      <c r="AJ21" s="549">
        <f t="shared" ref="AJ21:AY21" si="50">SUM(AJ4:AJ20)</f>
        <v>482209704.99999988</v>
      </c>
      <c r="AK21" s="549">
        <f t="shared" si="50"/>
        <v>482220250</v>
      </c>
      <c r="AL21" s="549">
        <f t="shared" si="50"/>
        <v>984999999.98999977</v>
      </c>
      <c r="AM21" s="549">
        <f t="shared" si="50"/>
        <v>985000.00000000012</v>
      </c>
      <c r="AN21" s="544">
        <f>AL21/$AW$23</f>
        <v>0.98499999998999987</v>
      </c>
      <c r="AO21" s="549">
        <f t="shared" si="50"/>
        <v>7273869.749500012</v>
      </c>
      <c r="AP21" s="549">
        <f t="shared" si="50"/>
        <v>7273872</v>
      </c>
      <c r="AQ21" s="549">
        <f t="shared" si="50"/>
        <v>6976130.2500000028</v>
      </c>
      <c r="AR21" s="549">
        <f t="shared" si="50"/>
        <v>6976130</v>
      </c>
      <c r="AS21" s="539">
        <f>SUM(AO21:AQ21)</f>
        <v>21523871.999500014</v>
      </c>
      <c r="AT21" s="539"/>
      <c r="AU21" s="549">
        <f t="shared" ref="AU21" si="51">SUM(AU4:AU20)</f>
        <v>999249999.98949993</v>
      </c>
      <c r="AV21" s="550">
        <f t="shared" ref="AV21" si="52">SUM(AV4:AV20)</f>
        <v>0.99924999998950015</v>
      </c>
      <c r="AW21" s="549">
        <f t="shared" si="50"/>
        <v>510446999.99999994</v>
      </c>
      <c r="AX21" s="549">
        <f t="shared" si="50"/>
        <v>489552999.99999994</v>
      </c>
      <c r="AY21" s="37">
        <f t="shared" si="50"/>
        <v>191265</v>
      </c>
      <c r="AZ21" s="551">
        <f>SUM(AZ4:AZ20)</f>
        <v>1</v>
      </c>
      <c r="BA21" s="552">
        <f t="shared" ref="BA21:BG21" si="53">SUM(BA4:BA20)</f>
        <v>79365</v>
      </c>
      <c r="BB21" s="552">
        <f t="shared" si="53"/>
        <v>79365</v>
      </c>
      <c r="BC21" s="552">
        <f t="shared" si="53"/>
        <v>249999750</v>
      </c>
      <c r="BD21" s="552">
        <f t="shared" si="53"/>
        <v>249999750</v>
      </c>
      <c r="BE21" s="552">
        <f t="shared" si="53"/>
        <v>499999500</v>
      </c>
      <c r="BF21" s="553">
        <f t="shared" si="53"/>
        <v>1</v>
      </c>
      <c r="BG21" s="552">
        <f t="shared" si="53"/>
        <v>499250499.98949987</v>
      </c>
      <c r="BH21" s="551">
        <f>SUM(BH4:BH19)</f>
        <v>21.328317745309548</v>
      </c>
    </row>
    <row r="22" spans="1:62" hidden="1">
      <c r="O22" s="546"/>
      <c r="P22" s="546"/>
      <c r="Q22" s="546"/>
      <c r="R22" s="546"/>
      <c r="S22" s="546"/>
      <c r="T22" s="546"/>
      <c r="U22" s="546"/>
      <c r="V22" s="546"/>
      <c r="W22" s="546"/>
      <c r="X22" s="546"/>
      <c r="Y22" s="546"/>
      <c r="Z22" s="546"/>
      <c r="AA22" s="546"/>
      <c r="AB22" s="546"/>
      <c r="AC22" s="546"/>
      <c r="AD22" s="546"/>
      <c r="AE22" s="546"/>
      <c r="AF22" s="546"/>
      <c r="AG22" s="546"/>
      <c r="AH22" s="546"/>
      <c r="AI22" s="546"/>
      <c r="AJ22" s="546"/>
      <c r="AK22" s="546"/>
      <c r="AL22" s="546"/>
      <c r="AM22" s="546"/>
      <c r="AN22" s="546"/>
      <c r="AO22" s="546"/>
      <c r="AP22" s="546"/>
      <c r="AQ22" s="546"/>
      <c r="AR22" s="546"/>
      <c r="AS22" s="546"/>
      <c r="AT22" s="546"/>
      <c r="AU22" s="546"/>
      <c r="AV22" s="546"/>
      <c r="AW22" s="546"/>
      <c r="AX22" s="546"/>
    </row>
    <row r="23" spans="1:62">
      <c r="O23" s="555"/>
      <c r="P23" s="555"/>
      <c r="Q23" s="591">
        <f>T21+Q21</f>
        <v>197000</v>
      </c>
      <c r="R23" s="591"/>
      <c r="S23" s="591"/>
      <c r="T23" s="591"/>
      <c r="U23" s="592">
        <f>SUM(U21:V21)</f>
        <v>984994705</v>
      </c>
      <c r="V23" s="592"/>
      <c r="W23" s="592">
        <f>SUM(W21:X21)</f>
        <v>14999919.365482237</v>
      </c>
      <c r="X23" s="592"/>
      <c r="Y23" s="592">
        <f>SUM(Y21:Z21)</f>
        <v>999994624.36548209</v>
      </c>
      <c r="Z23" s="592"/>
      <c r="AA23" s="555"/>
      <c r="AB23" s="555"/>
      <c r="AC23" s="591">
        <f>AF21+AC21</f>
        <v>191265</v>
      </c>
      <c r="AD23" s="591"/>
      <c r="AE23" s="591"/>
      <c r="AF23" s="591"/>
      <c r="AG23" s="592">
        <f>SUM(AG21:AJ21)</f>
        <v>1990584795.9899998</v>
      </c>
      <c r="AH23" s="592"/>
      <c r="AI23" s="592"/>
      <c r="AJ23" s="592"/>
      <c r="AK23" s="556"/>
      <c r="AL23" s="556"/>
      <c r="AM23" s="556"/>
      <c r="AN23" s="556"/>
      <c r="AO23" s="565">
        <f>SUM(AO21,AQ21)</f>
        <v>14249999.999500014</v>
      </c>
      <c r="AP23" s="566">
        <f>SUM(AP21,AR21)</f>
        <v>14250002</v>
      </c>
      <c r="AQ23" s="566"/>
      <c r="AR23" s="567"/>
      <c r="AS23" s="556"/>
      <c r="AT23" s="556"/>
      <c r="AU23" s="556"/>
      <c r="AV23" s="556"/>
      <c r="AW23" s="592">
        <f>SUM(AW21:AX21)</f>
        <v>999999999.99999988</v>
      </c>
      <c r="AX23" s="592"/>
      <c r="BD23" s="557">
        <f>SUM(BC21:BD21)</f>
        <v>499999500</v>
      </c>
      <c r="BG23" s="557">
        <f>BG21+AV27</f>
        <v>500000499.98999983</v>
      </c>
    </row>
    <row r="24" spans="1:62">
      <c r="AQ24" s="558">
        <f>19/20</f>
        <v>0.95</v>
      </c>
      <c r="AR24" s="558"/>
      <c r="AS24" s="558"/>
      <c r="AT24" s="558"/>
      <c r="AU24" s="558"/>
      <c r="AV24" s="558"/>
    </row>
    <row r="25" spans="1:62">
      <c r="AG25" s="557">
        <f>SUM(AG4:AG20)</f>
        <v>502790294.98999995</v>
      </c>
      <c r="AH25" s="557"/>
      <c r="AI25" s="557"/>
      <c r="AO25" s="557">
        <f>ROUND(AQ25*I28,0)</f>
        <v>382835</v>
      </c>
      <c r="AP25" s="557">
        <f>ROUND(AQ25*I29,0)</f>
        <v>367165</v>
      </c>
      <c r="AQ25" s="557">
        <f>N27-AO23</f>
        <v>750000.00049998611</v>
      </c>
      <c r="AR25" s="557"/>
      <c r="AS25" s="24" t="s">
        <v>760</v>
      </c>
      <c r="BA25" s="568">
        <v>0.3</v>
      </c>
      <c r="BB25" s="557">
        <f>BA25*AW21</f>
        <v>153134099.99999997</v>
      </c>
      <c r="BD25" s="568">
        <v>0.6</v>
      </c>
      <c r="BE25" s="557">
        <f>BD25*AW21</f>
        <v>306268199.99999994</v>
      </c>
      <c r="BG25" s="568">
        <v>0.1</v>
      </c>
      <c r="BH25" s="557">
        <f>BG25*AW21</f>
        <v>51044700</v>
      </c>
    </row>
    <row r="26" spans="1:62" s="17" customFormat="1" ht="28.8">
      <c r="A26" s="563"/>
      <c r="B26" s="563"/>
      <c r="C26" s="563"/>
      <c r="D26" s="563"/>
      <c r="E26" s="563"/>
      <c r="F26" s="563"/>
      <c r="G26" s="563"/>
      <c r="H26" s="564"/>
      <c r="I26" s="16" t="s">
        <v>758</v>
      </c>
      <c r="J26" s="16" t="s">
        <v>756</v>
      </c>
      <c r="K26" s="16" t="s">
        <v>757</v>
      </c>
      <c r="L26" s="16" t="s">
        <v>758</v>
      </c>
      <c r="M26" s="16" t="s">
        <v>756</v>
      </c>
      <c r="N26" s="16" t="s">
        <v>757</v>
      </c>
      <c r="AQ26" s="16"/>
      <c r="AR26" s="16"/>
      <c r="AS26" s="16" t="s">
        <v>761</v>
      </c>
      <c r="AT26" s="16" t="s">
        <v>762</v>
      </c>
      <c r="AU26" s="16" t="s">
        <v>763</v>
      </c>
      <c r="AV26" s="16" t="s">
        <v>257</v>
      </c>
      <c r="AX26" s="17" t="s">
        <v>238</v>
      </c>
      <c r="AY26" s="17" t="s">
        <v>239</v>
      </c>
      <c r="AZ26" s="17" t="s">
        <v>240</v>
      </c>
      <c r="BA26" s="17" t="s">
        <v>241</v>
      </c>
      <c r="BB26" s="17" t="s">
        <v>236</v>
      </c>
      <c r="BC26" s="17" t="s">
        <v>237</v>
      </c>
      <c r="BD26" s="17" t="s">
        <v>242</v>
      </c>
      <c r="BE26" s="17" t="s">
        <v>243</v>
      </c>
      <c r="BF26" s="17" t="s">
        <v>244</v>
      </c>
      <c r="BG26" s="17" t="s">
        <v>245</v>
      </c>
      <c r="BH26" s="17" t="s">
        <v>246</v>
      </c>
      <c r="BI26" s="17" t="s">
        <v>247</v>
      </c>
    </row>
    <row r="27" spans="1:62" ht="28.8">
      <c r="H27" s="562" t="s">
        <v>577</v>
      </c>
      <c r="I27" s="559">
        <v>1000000000</v>
      </c>
      <c r="J27" s="559">
        <f>I27*0.985</f>
        <v>985000000</v>
      </c>
      <c r="K27" s="559">
        <f>I27*0.015</f>
        <v>15000000</v>
      </c>
      <c r="L27" s="559">
        <v>1000000000</v>
      </c>
      <c r="M27" s="559">
        <f>L27*0.985</f>
        <v>985000000</v>
      </c>
      <c r="N27" s="559">
        <f>L27*0.015</f>
        <v>15000000</v>
      </c>
      <c r="AQ27" s="38" t="s">
        <v>341</v>
      </c>
      <c r="AR27" s="38"/>
      <c r="AS27" s="534">
        <f>1/6*AQ25</f>
        <v>125000.00008333102</v>
      </c>
      <c r="AT27" s="534">
        <f>1/6*AQ25</f>
        <v>125000.00008333102</v>
      </c>
      <c r="AU27" s="534">
        <f>2/3*AQ25</f>
        <v>500000.00033332407</v>
      </c>
      <c r="AV27" s="534">
        <f>SUM(AS27:AU27)</f>
        <v>750000.00049998611</v>
      </c>
      <c r="AW27" s="24" t="s">
        <v>778</v>
      </c>
      <c r="BA27" s="557">
        <f>$BB$25/3</f>
        <v>51044699.999999993</v>
      </c>
      <c r="BB27" s="557">
        <f t="shared" ref="BB27:BC27" si="54">$BB$25/3</f>
        <v>51044699.999999993</v>
      </c>
      <c r="BC27" s="557">
        <f t="shared" si="54"/>
        <v>51044699.999999993</v>
      </c>
      <c r="BD27" s="557">
        <f>$BE$25/3</f>
        <v>102089399.99999999</v>
      </c>
      <c r="BE27" s="557">
        <f t="shared" ref="BE27:BF27" si="55">$BE$25/3</f>
        <v>102089399.99999999</v>
      </c>
      <c r="BF27" s="557">
        <f t="shared" si="55"/>
        <v>102089399.99999999</v>
      </c>
      <c r="BG27" s="557">
        <f>$BH$25/2</f>
        <v>25522350</v>
      </c>
      <c r="BH27" s="557">
        <f>$BH$25/2</f>
        <v>25522350</v>
      </c>
      <c r="BJ27" s="557">
        <f>SUM(AX27:BI27)</f>
        <v>510446999.99999994</v>
      </c>
    </row>
    <row r="28" spans="1:62">
      <c r="H28" s="562" t="s">
        <v>578</v>
      </c>
      <c r="I28" s="560">
        <v>0.51044699999999998</v>
      </c>
      <c r="J28" s="560"/>
      <c r="K28" s="560"/>
      <c r="L28" s="560">
        <v>5.1044899999999997E-3</v>
      </c>
      <c r="M28" s="560"/>
      <c r="N28" s="560"/>
      <c r="AQ28" s="535" t="s">
        <v>583</v>
      </c>
      <c r="AR28" s="535"/>
      <c r="AS28" s="539">
        <f>AS$27*$AZ4</f>
        <v>5596.2931049254357</v>
      </c>
      <c r="AT28" s="539">
        <f>AT$27*$AZ4</f>
        <v>5596.2931049254357</v>
      </c>
      <c r="AU28" s="539">
        <f>AU$27*$AZ4</f>
        <v>22385.172419701743</v>
      </c>
      <c r="AV28" s="539">
        <f>SUM(AS28:AU28)</f>
        <v>33577.758629552613</v>
      </c>
      <c r="AW28" s="24" t="s">
        <v>768</v>
      </c>
      <c r="BA28" s="569">
        <f>ROUND(BA27/3150,0)</f>
        <v>16205</v>
      </c>
      <c r="BB28" s="569">
        <f t="shared" ref="BB28:BH28" si="56">ROUND(BB27/3150,0)</f>
        <v>16205</v>
      </c>
      <c r="BC28" s="569">
        <f t="shared" si="56"/>
        <v>16205</v>
      </c>
      <c r="BD28" s="569">
        <f t="shared" si="56"/>
        <v>32409</v>
      </c>
      <c r="BE28" s="569">
        <f t="shared" si="56"/>
        <v>32409</v>
      </c>
      <c r="BF28" s="569">
        <f t="shared" si="56"/>
        <v>32409</v>
      </c>
      <c r="BG28" s="569">
        <f t="shared" si="56"/>
        <v>8102</v>
      </c>
      <c r="BH28" s="569">
        <f t="shared" si="56"/>
        <v>8102</v>
      </c>
      <c r="BJ28" s="557">
        <f>SUM(AX28:BI28)</f>
        <v>162046</v>
      </c>
    </row>
    <row r="29" spans="1:62">
      <c r="H29" s="562" t="s">
        <v>579</v>
      </c>
      <c r="I29" s="560">
        <f>100%-I28</f>
        <v>0.48955300000000002</v>
      </c>
      <c r="J29" s="560"/>
      <c r="K29" s="560"/>
      <c r="L29" s="560">
        <v>0.4</v>
      </c>
      <c r="M29" s="560"/>
      <c r="N29" s="560"/>
      <c r="AQ29" s="535" t="s">
        <v>294</v>
      </c>
      <c r="AR29" s="535"/>
      <c r="AS29" s="539">
        <f t="shared" ref="AS29:AS44" si="57">AS$27*AZ5</f>
        <v>1398.583118596337</v>
      </c>
      <c r="AT29" s="539">
        <f t="shared" ref="AT29:AU29" si="58">AT$27*$AZ5</f>
        <v>1398.583118596337</v>
      </c>
      <c r="AU29" s="539">
        <f t="shared" si="58"/>
        <v>5594.3324743853482</v>
      </c>
      <c r="AV29" s="539">
        <f t="shared" ref="AV29:AV44" si="59">SUM(AS29:AU29)</f>
        <v>8391.4987115780223</v>
      </c>
    </row>
    <row r="30" spans="1:62" ht="28.8">
      <c r="H30" s="562" t="s">
        <v>580</v>
      </c>
      <c r="I30" s="559">
        <v>5000</v>
      </c>
      <c r="J30" s="559"/>
      <c r="K30" s="559"/>
      <c r="L30" s="559">
        <v>5150</v>
      </c>
      <c r="M30" s="559"/>
      <c r="N30" s="559"/>
      <c r="AQ30" s="535" t="s">
        <v>295</v>
      </c>
      <c r="AR30" s="535"/>
      <c r="AS30" s="539">
        <f t="shared" si="57"/>
        <v>12178.783371515297</v>
      </c>
      <c r="AT30" s="539">
        <f t="shared" ref="AT30:AU30" si="60">AT$27*$AZ6</f>
        <v>12178.783371515297</v>
      </c>
      <c r="AU30" s="539">
        <f t="shared" si="60"/>
        <v>48715.13348606119</v>
      </c>
      <c r="AV30" s="539">
        <f t="shared" si="59"/>
        <v>73072.700229091788</v>
      </c>
    </row>
    <row r="31" spans="1:62" ht="28.8">
      <c r="H31" s="562" t="s">
        <v>581</v>
      </c>
      <c r="I31" s="559">
        <f>I27*I28/I30</f>
        <v>102089.4</v>
      </c>
      <c r="J31" s="559">
        <f>J27*I28/I30</f>
        <v>100558.05899999999</v>
      </c>
      <c r="K31" s="559">
        <f>K27*I28/I30</f>
        <v>1531.3409999999999</v>
      </c>
      <c r="L31" s="559">
        <f>I27*I28/L30</f>
        <v>99115.922330097092</v>
      </c>
      <c r="M31" s="559">
        <f>M27*I28/L30</f>
        <v>97629.183495145626</v>
      </c>
      <c r="N31" s="559">
        <f>N27*I28/L30</f>
        <v>1486.7388349514563</v>
      </c>
      <c r="AQ31" s="535" t="s">
        <v>296</v>
      </c>
      <c r="AR31" s="535"/>
      <c r="AS31" s="539">
        <f t="shared" si="57"/>
        <v>16667.973764804196</v>
      </c>
      <c r="AT31" s="539">
        <f t="shared" ref="AT31:AU31" si="61">AT$27*$AZ7</f>
        <v>16667.973764804196</v>
      </c>
      <c r="AU31" s="539">
        <f t="shared" si="61"/>
        <v>66671.895059216782</v>
      </c>
      <c r="AV31" s="539">
        <f t="shared" si="59"/>
        <v>100007.84258882518</v>
      </c>
    </row>
    <row r="32" spans="1:62" ht="28.8">
      <c r="H32" s="562" t="s">
        <v>582</v>
      </c>
      <c r="I32" s="559">
        <f>I27*I29/I30</f>
        <v>97910.6</v>
      </c>
      <c r="J32" s="559">
        <f>J27*I29/I30</f>
        <v>96441.941000000006</v>
      </c>
      <c r="K32" s="559">
        <f>K27*I29/I30</f>
        <v>1468.6590000000001</v>
      </c>
      <c r="L32" s="559">
        <f>I27*I29/L30</f>
        <v>95058.834951456316</v>
      </c>
      <c r="M32" s="559">
        <f>M27*I29/L30</f>
        <v>93632.952427184471</v>
      </c>
      <c r="N32" s="559">
        <f>N27*I29/L30</f>
        <v>1425.8825242718447</v>
      </c>
      <c r="AO32" s="558"/>
      <c r="AP32" s="558"/>
      <c r="AQ32" s="535" t="s">
        <v>297</v>
      </c>
      <c r="AR32" s="535"/>
      <c r="AS32" s="539">
        <f t="shared" si="57"/>
        <v>9142.4202084318476</v>
      </c>
      <c r="AT32" s="539">
        <f t="shared" ref="AT32:AU32" si="62">AT$27*$AZ8</f>
        <v>9142.4202084318476</v>
      </c>
      <c r="AU32" s="539">
        <f t="shared" si="62"/>
        <v>36569.680833727391</v>
      </c>
      <c r="AV32" s="539">
        <f t="shared" si="59"/>
        <v>54854.521250591089</v>
      </c>
    </row>
    <row r="33" spans="8:48" ht="28.8">
      <c r="H33" s="562" t="s">
        <v>587</v>
      </c>
      <c r="I33" s="537">
        <f>I31+I32</f>
        <v>200000</v>
      </c>
      <c r="J33" s="537">
        <f>SUM(J31:J32)</f>
        <v>197000</v>
      </c>
      <c r="K33" s="537">
        <f>SUM(K31:K32)</f>
        <v>3000</v>
      </c>
      <c r="L33" s="537">
        <f>L31+L32</f>
        <v>194174.75728155341</v>
      </c>
      <c r="M33" s="537">
        <f>SUM(M31:M32)</f>
        <v>191262.13592233008</v>
      </c>
      <c r="N33" s="537">
        <f>SUM(N31:N32)</f>
        <v>2912.6213592233007</v>
      </c>
      <c r="AQ33" s="535" t="s">
        <v>298</v>
      </c>
      <c r="AR33" s="535"/>
      <c r="AS33" s="539">
        <f t="shared" si="57"/>
        <v>8744.4122087939195</v>
      </c>
      <c r="AT33" s="539">
        <f t="shared" ref="AT33:AU33" si="63">AT$27*$AZ9</f>
        <v>8744.4122087939195</v>
      </c>
      <c r="AU33" s="539">
        <f t="shared" si="63"/>
        <v>34977.648835175678</v>
      </c>
      <c r="AV33" s="539">
        <f t="shared" si="59"/>
        <v>52466.473252763521</v>
      </c>
    </row>
    <row r="34" spans="8:48">
      <c r="AQ34" s="535" t="s">
        <v>299</v>
      </c>
      <c r="AR34" s="535"/>
      <c r="AS34" s="539">
        <f t="shared" si="57"/>
        <v>5656.4191081548106</v>
      </c>
      <c r="AT34" s="539">
        <f t="shared" ref="AT34:AU34" si="64">AT$27*$AZ10</f>
        <v>5656.4191081548106</v>
      </c>
      <c r="AU34" s="539">
        <f t="shared" si="64"/>
        <v>22625.676432619242</v>
      </c>
      <c r="AV34" s="539">
        <f t="shared" si="59"/>
        <v>33938.51464892886</v>
      </c>
    </row>
    <row r="35" spans="8:48">
      <c r="AQ35" s="535" t="s">
        <v>300</v>
      </c>
      <c r="AR35" s="535"/>
      <c r="AS35" s="539">
        <f t="shared" si="57"/>
        <v>6330.8760139451942</v>
      </c>
      <c r="AT35" s="539">
        <f t="shared" ref="AT35:AU35" si="65">AT$27*$AZ11</f>
        <v>6330.8760139451942</v>
      </c>
      <c r="AU35" s="539">
        <f t="shared" si="65"/>
        <v>25323.504055780777</v>
      </c>
      <c r="AV35" s="539">
        <f t="shared" si="59"/>
        <v>37985.256083671164</v>
      </c>
    </row>
    <row r="36" spans="8:48">
      <c r="AQ36" s="535" t="s">
        <v>301</v>
      </c>
      <c r="AR36" s="535"/>
      <c r="AS36" s="539">
        <f t="shared" si="57"/>
        <v>7398.1125712666044</v>
      </c>
      <c r="AT36" s="539">
        <f t="shared" ref="AT36:AU36" si="66">AT$27*$AZ12</f>
        <v>7398.1125712666044</v>
      </c>
      <c r="AU36" s="539">
        <f t="shared" si="66"/>
        <v>29592.450285066418</v>
      </c>
      <c r="AV36" s="539">
        <f t="shared" si="59"/>
        <v>44388.675427599628</v>
      </c>
    </row>
    <row r="37" spans="8:48">
      <c r="AQ37" s="535" t="s">
        <v>302</v>
      </c>
      <c r="AR37" s="535"/>
      <c r="AS37" s="539">
        <f t="shared" si="57"/>
        <v>4051.9697828492008</v>
      </c>
      <c r="AT37" s="539">
        <f t="shared" ref="AT37:AU37" si="67">AT$27*$AZ13</f>
        <v>4051.9697828492008</v>
      </c>
      <c r="AU37" s="539">
        <f t="shared" si="67"/>
        <v>16207.879131396803</v>
      </c>
      <c r="AV37" s="539">
        <f t="shared" si="59"/>
        <v>24311.818697095205</v>
      </c>
    </row>
    <row r="38" spans="8:48">
      <c r="AQ38" s="535" t="s">
        <v>303</v>
      </c>
      <c r="AR38" s="535"/>
      <c r="AS38" s="539">
        <f t="shared" si="57"/>
        <v>4097.0642852712317</v>
      </c>
      <c r="AT38" s="539">
        <f t="shared" ref="AT38:AU38" si="68">AT$27*$AZ14</f>
        <v>4097.0642852712317</v>
      </c>
      <c r="AU38" s="539">
        <f t="shared" si="68"/>
        <v>16388.257141084927</v>
      </c>
      <c r="AV38" s="539">
        <f t="shared" si="59"/>
        <v>24582.38571162739</v>
      </c>
    </row>
    <row r="39" spans="8:48">
      <c r="AQ39" s="535" t="s">
        <v>304</v>
      </c>
      <c r="AR39" s="535"/>
      <c r="AS39" s="539">
        <f t="shared" si="57"/>
        <v>5923.0648616068229</v>
      </c>
      <c r="AT39" s="539">
        <f t="shared" ref="AT39:AU39" si="69">AT$27*$AZ15</f>
        <v>5923.0648616068229</v>
      </c>
      <c r="AU39" s="539">
        <f t="shared" si="69"/>
        <v>23692.259446427292</v>
      </c>
      <c r="AV39" s="539">
        <f t="shared" si="59"/>
        <v>35538.389169640941</v>
      </c>
    </row>
    <row r="40" spans="8:48">
      <c r="AQ40" s="535" t="s">
        <v>305</v>
      </c>
      <c r="AR40" s="535"/>
      <c r="AS40" s="539">
        <f t="shared" si="57"/>
        <v>8205.8923537829924</v>
      </c>
      <c r="AT40" s="539">
        <f t="shared" ref="AT40:AU40" si="70">AT$27*$AZ16</f>
        <v>8205.8923537829924</v>
      </c>
      <c r="AU40" s="539">
        <f t="shared" si="70"/>
        <v>32823.569415131969</v>
      </c>
      <c r="AV40" s="539">
        <f t="shared" si="59"/>
        <v>49235.354122697958</v>
      </c>
    </row>
    <row r="41" spans="8:48">
      <c r="AQ41" s="535" t="s">
        <v>306</v>
      </c>
      <c r="AR41" s="535"/>
      <c r="AS41" s="539">
        <f t="shared" si="57"/>
        <v>4773.4818216017038</v>
      </c>
      <c r="AT41" s="539">
        <f t="shared" ref="AT41:AU41" si="71">AT$27*$AZ17</f>
        <v>4773.4818216017038</v>
      </c>
      <c r="AU41" s="539">
        <f t="shared" si="71"/>
        <v>19093.927286406815</v>
      </c>
      <c r="AV41" s="539">
        <f t="shared" si="59"/>
        <v>28640.890929610221</v>
      </c>
    </row>
    <row r="42" spans="8:48">
      <c r="AQ42" s="535" t="s">
        <v>307</v>
      </c>
      <c r="AR42" s="535"/>
      <c r="AS42" s="539">
        <f t="shared" si="57"/>
        <v>7975.1914935659343</v>
      </c>
      <c r="AT42" s="539">
        <f t="shared" ref="AT42:AU42" si="72">AT$27*$AZ18</f>
        <v>7975.1914935659343</v>
      </c>
      <c r="AU42" s="539">
        <f t="shared" si="72"/>
        <v>31900.765974263737</v>
      </c>
      <c r="AV42" s="539">
        <f t="shared" si="59"/>
        <v>47851.148961395607</v>
      </c>
    </row>
    <row r="43" spans="8:48">
      <c r="AQ43" s="535" t="s">
        <v>308</v>
      </c>
      <c r="AR43" s="535"/>
      <c r="AS43" s="539">
        <f t="shared" si="57"/>
        <v>9561.9951440107507</v>
      </c>
      <c r="AT43" s="539">
        <f t="shared" ref="AT43:AU43" si="73">AT$27*$AZ19</f>
        <v>9561.9951440107507</v>
      </c>
      <c r="AU43" s="539">
        <f t="shared" si="73"/>
        <v>38247.980576043003</v>
      </c>
      <c r="AV43" s="539">
        <f t="shared" si="59"/>
        <v>57371.970864064504</v>
      </c>
    </row>
    <row r="44" spans="8:48">
      <c r="AQ44" s="535" t="s">
        <v>309</v>
      </c>
      <c r="AR44" s="535"/>
      <c r="AS44" s="539">
        <f t="shared" si="57"/>
        <v>7297.4668702087374</v>
      </c>
      <c r="AT44" s="539">
        <f t="shared" ref="AT44:AU44" si="74">AT$27*$AZ20</f>
        <v>7297.4668702087374</v>
      </c>
      <c r="AU44" s="539">
        <f t="shared" si="74"/>
        <v>29189.86748083495</v>
      </c>
      <c r="AV44" s="539">
        <f t="shared" si="59"/>
        <v>43784.801221252426</v>
      </c>
    </row>
    <row r="45" spans="8:48">
      <c r="AQ45" s="546"/>
      <c r="AR45" s="546"/>
      <c r="AS45" s="546"/>
      <c r="AT45" s="546"/>
      <c r="AU45" s="546"/>
      <c r="AV45" s="546"/>
    </row>
  </sheetData>
  <mergeCells count="35">
    <mergeCell ref="A1:N1"/>
    <mergeCell ref="AU1:AU3"/>
    <mergeCell ref="AV1:AV3"/>
    <mergeCell ref="B2:C2"/>
    <mergeCell ref="D2:E2"/>
    <mergeCell ref="F2:G2"/>
    <mergeCell ref="H2:I2"/>
    <mergeCell ref="J2:K2"/>
    <mergeCell ref="O1:T1"/>
    <mergeCell ref="L2:N2"/>
    <mergeCell ref="O2:Q2"/>
    <mergeCell ref="AG1:AM2"/>
    <mergeCell ref="W1:X2"/>
    <mergeCell ref="Y1:Z2"/>
    <mergeCell ref="AA2:AC2"/>
    <mergeCell ref="AD2:AF2"/>
    <mergeCell ref="BC2:BF2"/>
    <mergeCell ref="BA1:BF1"/>
    <mergeCell ref="BG1:BG3"/>
    <mergeCell ref="BH1:BH3"/>
    <mergeCell ref="BA2:BB2"/>
    <mergeCell ref="Q23:T23"/>
    <mergeCell ref="U23:V23"/>
    <mergeCell ref="AY1:AY3"/>
    <mergeCell ref="AZ1:AZ3"/>
    <mergeCell ref="W23:X23"/>
    <mergeCell ref="Y23:Z23"/>
    <mergeCell ref="AC23:AF23"/>
    <mergeCell ref="AG23:AJ23"/>
    <mergeCell ref="AW23:AX23"/>
    <mergeCell ref="AW1:AX2"/>
    <mergeCell ref="AN1:AT2"/>
    <mergeCell ref="R2:T2"/>
    <mergeCell ref="U1:V2"/>
    <mergeCell ref="AA1:AF1"/>
  </mergeCells>
  <phoneticPr fontId="8" type="noConversion"/>
  <pageMargins left="0.75" right="0.75" top="1" bottom="1" header="0.5" footer="0.5"/>
  <pageSetup paperSize="9" orientation="portrait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252"/>
  <sheetViews>
    <sheetView topLeftCell="A61" workbookViewId="0">
      <selection activeCell="A72" sqref="A72:XFD74"/>
    </sheetView>
  </sheetViews>
  <sheetFormatPr defaultColWidth="9.109375" defaultRowHeight="15"/>
  <cols>
    <col min="1" max="1" width="10.6640625" style="278" customWidth="1"/>
    <col min="2" max="5" width="9.33203125" style="278" customWidth="1"/>
    <col min="6" max="9" width="9.109375" style="278" customWidth="1"/>
    <col min="10" max="11" width="9.77734375" style="278" customWidth="1"/>
    <col min="12" max="19" width="9.109375" style="278" customWidth="1"/>
    <col min="20" max="20" width="10.44140625" style="278" customWidth="1"/>
    <col min="21" max="21" width="10.109375" style="278" customWidth="1"/>
    <col min="22" max="22" width="9.44140625" style="278" customWidth="1"/>
    <col min="23" max="31" width="9.109375" style="278" customWidth="1"/>
    <col min="32" max="32" width="9.109375" style="278"/>
    <col min="33" max="33" width="9.6640625" style="278" customWidth="1"/>
    <col min="34" max="47" width="9.109375" style="278" customWidth="1"/>
    <col min="48" max="48" width="9.44140625" style="278" customWidth="1"/>
    <col min="49" max="49" width="9.109375" style="278" customWidth="1"/>
    <col min="50" max="50" width="10.33203125" style="278" customWidth="1"/>
    <col min="51" max="51" width="10.109375" style="278" customWidth="1"/>
    <col min="52" max="55" width="9.109375" style="278" customWidth="1"/>
    <col min="56" max="56" width="10" style="278" customWidth="1"/>
    <col min="57" max="59" width="9.109375" style="278" customWidth="1"/>
    <col min="60" max="60" width="9.77734375" style="278" customWidth="1"/>
    <col min="61" max="64" width="9.109375" style="278" customWidth="1"/>
    <col min="65" max="65" width="9.77734375" style="278" bestFit="1" customWidth="1"/>
    <col min="66" max="67" width="9.109375" style="278" customWidth="1"/>
    <col min="68" max="69" width="9.109375" style="278"/>
    <col min="70" max="70" width="9.6640625" style="278" customWidth="1"/>
    <col min="71" max="16384" width="9.109375" style="278"/>
  </cols>
  <sheetData>
    <row r="1" spans="1:87" s="273" customFormat="1" ht="30.6" thickBot="1">
      <c r="A1" s="271" t="s">
        <v>405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2"/>
      <c r="AJ1" s="272"/>
      <c r="AK1" s="272"/>
      <c r="AL1" s="272"/>
      <c r="AM1" s="272"/>
      <c r="AN1" s="272"/>
      <c r="AO1" s="272"/>
      <c r="AP1" s="272"/>
      <c r="AQ1" s="272"/>
      <c r="AR1" s="272"/>
      <c r="AS1" s="272"/>
      <c r="AT1" s="272"/>
      <c r="AU1" s="272"/>
      <c r="AV1" s="272"/>
      <c r="AW1" s="272"/>
      <c r="AX1" s="272"/>
      <c r="AY1" s="272"/>
      <c r="AZ1" s="272"/>
      <c r="BA1" s="272"/>
      <c r="BB1" s="272"/>
      <c r="BC1" s="272"/>
      <c r="BD1" s="272"/>
      <c r="BE1" s="272"/>
      <c r="BF1" s="272"/>
      <c r="BG1" s="272"/>
      <c r="BH1" s="272"/>
      <c r="BI1" s="272"/>
      <c r="BJ1" s="272"/>
      <c r="BK1" s="272"/>
      <c r="BL1" s="272"/>
      <c r="BM1" s="272"/>
      <c r="BN1" s="272"/>
      <c r="BO1" s="272"/>
      <c r="BP1" s="272"/>
      <c r="BQ1" s="272"/>
      <c r="BR1" s="272"/>
    </row>
    <row r="2" spans="1:87" s="273" customFormat="1" ht="16.2" thickTop="1">
      <c r="A2" s="274" t="s">
        <v>406</v>
      </c>
    </row>
    <row r="3" spans="1:87" s="273" customFormat="1" ht="13.8">
      <c r="A3" s="275" t="s">
        <v>407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</row>
    <row r="4" spans="1:87" s="273" customFormat="1" ht="13.2">
      <c r="A4" s="277" t="s">
        <v>408</v>
      </c>
    </row>
    <row r="5" spans="1:87" s="273" customFormat="1">
      <c r="A5" s="278"/>
    </row>
    <row r="6" spans="1:87" s="273" customFormat="1">
      <c r="A6" s="278"/>
    </row>
    <row r="7" spans="1:87" ht="52.8">
      <c r="A7" s="279"/>
      <c r="B7" s="280" t="s">
        <v>409</v>
      </c>
      <c r="C7" s="280" t="s">
        <v>410</v>
      </c>
      <c r="D7" s="280" t="s">
        <v>411</v>
      </c>
      <c r="E7" s="280" t="s">
        <v>412</v>
      </c>
      <c r="F7" s="280" t="s">
        <v>413</v>
      </c>
      <c r="G7" s="280" t="s">
        <v>414</v>
      </c>
      <c r="H7" s="280" t="s">
        <v>415</v>
      </c>
      <c r="I7" s="280" t="s">
        <v>416</v>
      </c>
      <c r="J7" s="280" t="s">
        <v>417</v>
      </c>
      <c r="K7" s="280" t="s">
        <v>418</v>
      </c>
      <c r="L7" s="280" t="s">
        <v>419</v>
      </c>
      <c r="M7" s="280" t="s">
        <v>420</v>
      </c>
      <c r="N7" s="280" t="s">
        <v>421</v>
      </c>
      <c r="O7" s="280" t="s">
        <v>422</v>
      </c>
      <c r="P7" s="280" t="s">
        <v>423</v>
      </c>
      <c r="Q7" s="280" t="s">
        <v>424</v>
      </c>
      <c r="R7" s="280" t="s">
        <v>425</v>
      </c>
      <c r="S7" s="280" t="s">
        <v>426</v>
      </c>
      <c r="T7" s="280" t="s">
        <v>427</v>
      </c>
      <c r="U7" s="280" t="s">
        <v>428</v>
      </c>
      <c r="V7" s="280" t="s">
        <v>429</v>
      </c>
      <c r="W7" s="280" t="s">
        <v>430</v>
      </c>
      <c r="X7" s="280" t="s">
        <v>431</v>
      </c>
      <c r="Y7" s="280" t="s">
        <v>432</v>
      </c>
      <c r="Z7" s="280" t="s">
        <v>433</v>
      </c>
      <c r="AA7" s="280" t="s">
        <v>434</v>
      </c>
      <c r="AB7" s="280" t="s">
        <v>435</v>
      </c>
      <c r="AC7" s="280" t="s">
        <v>436</v>
      </c>
      <c r="AD7" s="280" t="s">
        <v>437</v>
      </c>
      <c r="AE7" s="280" t="s">
        <v>438</v>
      </c>
      <c r="AF7" s="280" t="s">
        <v>439</v>
      </c>
      <c r="AG7" s="280" t="s">
        <v>440</v>
      </c>
      <c r="AH7" s="280" t="s">
        <v>441</v>
      </c>
      <c r="AI7" s="280" t="s">
        <v>442</v>
      </c>
      <c r="AJ7" s="280" t="s">
        <v>443</v>
      </c>
      <c r="AK7" s="280" t="s">
        <v>444</v>
      </c>
      <c r="AL7" s="280" t="s">
        <v>445</v>
      </c>
      <c r="AM7" s="280" t="s">
        <v>446</v>
      </c>
      <c r="AN7" s="280" t="s">
        <v>447</v>
      </c>
      <c r="AO7" s="280" t="s">
        <v>448</v>
      </c>
      <c r="AP7" s="280" t="s">
        <v>449</v>
      </c>
      <c r="AQ7" s="280" t="s">
        <v>450</v>
      </c>
      <c r="AR7" s="280" t="s">
        <v>451</v>
      </c>
      <c r="AS7" s="280" t="s">
        <v>452</v>
      </c>
      <c r="AT7" s="280" t="s">
        <v>453</v>
      </c>
      <c r="AU7" s="280" t="s">
        <v>454</v>
      </c>
      <c r="AV7" s="280" t="s">
        <v>455</v>
      </c>
      <c r="AW7" s="280" t="s">
        <v>456</v>
      </c>
      <c r="AX7" s="280" t="s">
        <v>457</v>
      </c>
      <c r="AY7" s="280" t="s">
        <v>458</v>
      </c>
      <c r="AZ7" s="280" t="s">
        <v>459</v>
      </c>
      <c r="BA7" s="280" t="s">
        <v>460</v>
      </c>
      <c r="BB7" s="280" t="s">
        <v>461</v>
      </c>
      <c r="BC7" s="280" t="s">
        <v>462</v>
      </c>
      <c r="BD7" s="280" t="s">
        <v>463</v>
      </c>
      <c r="BE7" s="280" t="s">
        <v>464</v>
      </c>
      <c r="BF7" s="280" t="s">
        <v>465</v>
      </c>
      <c r="BG7" s="280" t="s">
        <v>466</v>
      </c>
      <c r="BH7" s="280" t="s">
        <v>467</v>
      </c>
      <c r="BI7" s="280" t="s">
        <v>468</v>
      </c>
      <c r="BJ7" s="280" t="s">
        <v>469</v>
      </c>
      <c r="BK7" s="280" t="s">
        <v>470</v>
      </c>
      <c r="BL7" s="280" t="s">
        <v>471</v>
      </c>
      <c r="BM7" s="280" t="s">
        <v>472</v>
      </c>
      <c r="BN7" s="280" t="s">
        <v>473</v>
      </c>
      <c r="BO7" s="280" t="s">
        <v>474</v>
      </c>
      <c r="BP7" s="280" t="s">
        <v>475</v>
      </c>
      <c r="BQ7" s="280" t="s">
        <v>476</v>
      </c>
      <c r="BR7" s="280" t="s">
        <v>477</v>
      </c>
      <c r="BS7" s="281"/>
      <c r="BT7" s="281"/>
      <c r="BU7" s="281"/>
      <c r="BV7" s="281"/>
      <c r="BW7" s="281"/>
      <c r="BX7" s="281"/>
      <c r="BY7" s="281"/>
      <c r="BZ7" s="281"/>
      <c r="CA7" s="281"/>
      <c r="CB7" s="281"/>
      <c r="CC7" s="281"/>
      <c r="CD7" s="281"/>
      <c r="CE7" s="281"/>
      <c r="CF7" s="281"/>
      <c r="CG7" s="281"/>
      <c r="CH7" s="281"/>
      <c r="CI7" s="281"/>
    </row>
    <row r="8" spans="1:87" s="273" customFormat="1" ht="13.2">
      <c r="A8" s="277"/>
      <c r="B8" s="277" t="s">
        <v>478</v>
      </c>
      <c r="C8" s="277" t="s">
        <v>478</v>
      </c>
      <c r="D8" s="277" t="s">
        <v>478</v>
      </c>
      <c r="E8" s="277" t="s">
        <v>478</v>
      </c>
      <c r="F8" s="277" t="s">
        <v>479</v>
      </c>
      <c r="G8" s="277" t="s">
        <v>479</v>
      </c>
      <c r="H8" s="277" t="s">
        <v>480</v>
      </c>
      <c r="I8" s="277" t="s">
        <v>480</v>
      </c>
      <c r="J8" s="277" t="s">
        <v>480</v>
      </c>
      <c r="K8" s="277" t="s">
        <v>481</v>
      </c>
      <c r="L8" s="277" t="s">
        <v>482</v>
      </c>
      <c r="M8" s="277" t="s">
        <v>482</v>
      </c>
      <c r="N8" s="277" t="s">
        <v>482</v>
      </c>
      <c r="O8" s="277" t="s">
        <v>482</v>
      </c>
      <c r="P8" s="277" t="s">
        <v>482</v>
      </c>
      <c r="Q8" s="277" t="s">
        <v>482</v>
      </c>
      <c r="R8" s="277" t="s">
        <v>482</v>
      </c>
      <c r="S8" s="277" t="s">
        <v>479</v>
      </c>
      <c r="T8" s="277" t="s">
        <v>479</v>
      </c>
      <c r="U8" s="277" t="s">
        <v>479</v>
      </c>
      <c r="V8" s="277" t="s">
        <v>479</v>
      </c>
      <c r="W8" s="277" t="s">
        <v>479</v>
      </c>
      <c r="X8" s="277" t="s">
        <v>479</v>
      </c>
      <c r="Y8" s="277" t="s">
        <v>479</v>
      </c>
      <c r="Z8" s="277" t="s">
        <v>479</v>
      </c>
      <c r="AA8" s="277" t="s">
        <v>479</v>
      </c>
      <c r="AB8" s="277" t="s">
        <v>479</v>
      </c>
      <c r="AC8" s="277" t="s">
        <v>479</v>
      </c>
      <c r="AD8" s="277" t="s">
        <v>479</v>
      </c>
      <c r="AE8" s="277" t="s">
        <v>479</v>
      </c>
      <c r="AF8" s="277" t="s">
        <v>479</v>
      </c>
      <c r="AG8" s="277" t="s">
        <v>479</v>
      </c>
      <c r="AH8" s="277" t="s">
        <v>479</v>
      </c>
      <c r="AI8" s="277" t="s">
        <v>479</v>
      </c>
      <c r="AJ8" s="277" t="s">
        <v>479</v>
      </c>
      <c r="AK8" s="277" t="s">
        <v>482</v>
      </c>
      <c r="AL8" s="277" t="s">
        <v>482</v>
      </c>
      <c r="AM8" s="277" t="s">
        <v>482</v>
      </c>
      <c r="AN8" s="277" t="s">
        <v>482</v>
      </c>
      <c r="AO8" s="277" t="s">
        <v>482</v>
      </c>
      <c r="AP8" s="277" t="s">
        <v>482</v>
      </c>
      <c r="AQ8" s="277" t="s">
        <v>482</v>
      </c>
      <c r="AR8" s="277" t="s">
        <v>482</v>
      </c>
      <c r="AS8" s="277" t="s">
        <v>482</v>
      </c>
      <c r="AT8" s="277" t="s">
        <v>482</v>
      </c>
      <c r="AU8" s="277" t="s">
        <v>479</v>
      </c>
      <c r="AV8" s="277" t="s">
        <v>483</v>
      </c>
      <c r="AW8" s="277" t="s">
        <v>483</v>
      </c>
      <c r="AX8" s="277" t="s">
        <v>483</v>
      </c>
      <c r="AY8" s="277" t="s">
        <v>483</v>
      </c>
      <c r="AZ8" s="277" t="s">
        <v>484</v>
      </c>
      <c r="BA8" s="277" t="s">
        <v>482</v>
      </c>
      <c r="BB8" s="277" t="s">
        <v>482</v>
      </c>
      <c r="BC8" s="277" t="s">
        <v>482</v>
      </c>
      <c r="BD8" s="277" t="s">
        <v>479</v>
      </c>
      <c r="BE8" s="277" t="s">
        <v>479</v>
      </c>
      <c r="BF8" s="277" t="s">
        <v>479</v>
      </c>
      <c r="BG8" s="277" t="s">
        <v>479</v>
      </c>
      <c r="BH8" s="277" t="s">
        <v>479</v>
      </c>
      <c r="BI8" s="277" t="s">
        <v>479</v>
      </c>
      <c r="BJ8" s="277" t="s">
        <v>485</v>
      </c>
      <c r="BK8" s="277" t="s">
        <v>479</v>
      </c>
      <c r="BL8" s="277" t="s">
        <v>479</v>
      </c>
      <c r="BM8" s="277" t="s">
        <v>479</v>
      </c>
      <c r="BN8" s="277" t="s">
        <v>479</v>
      </c>
      <c r="BO8" s="277" t="s">
        <v>479</v>
      </c>
      <c r="BP8" s="277" t="s">
        <v>486</v>
      </c>
      <c r="BQ8" s="277" t="s">
        <v>486</v>
      </c>
      <c r="BR8" s="277" t="s">
        <v>486</v>
      </c>
      <c r="BS8" s="277"/>
      <c r="BT8" s="277"/>
      <c r="BU8" s="277"/>
      <c r="BV8" s="277"/>
      <c r="BW8" s="277"/>
      <c r="BX8" s="277"/>
      <c r="BY8" s="277"/>
      <c r="BZ8" s="277"/>
      <c r="CA8" s="277"/>
      <c r="CB8" s="277"/>
      <c r="CC8" s="277"/>
      <c r="CD8" s="277"/>
      <c r="CE8" s="277"/>
      <c r="CF8" s="277"/>
      <c r="CG8" s="277"/>
      <c r="CH8" s="277"/>
      <c r="CI8" s="277"/>
    </row>
    <row r="9" spans="1:87" hidden="1">
      <c r="A9" s="277"/>
      <c r="B9" s="277" t="s">
        <v>487</v>
      </c>
      <c r="C9" s="277" t="s">
        <v>488</v>
      </c>
      <c r="D9" s="277" t="s">
        <v>489</v>
      </c>
      <c r="E9" s="277" t="s">
        <v>490</v>
      </c>
      <c r="F9" s="277" t="s">
        <v>491</v>
      </c>
      <c r="G9" s="277" t="s">
        <v>492</v>
      </c>
      <c r="H9" s="277" t="s">
        <v>493</v>
      </c>
      <c r="I9" s="277" t="s">
        <v>494</v>
      </c>
      <c r="J9" s="277" t="s">
        <v>495</v>
      </c>
      <c r="K9" s="277" t="s">
        <v>496</v>
      </c>
      <c r="L9" s="277" t="s">
        <v>497</v>
      </c>
      <c r="M9" s="277" t="s">
        <v>498</v>
      </c>
      <c r="N9" s="277" t="s">
        <v>499</v>
      </c>
      <c r="O9" s="277" t="s">
        <v>500</v>
      </c>
      <c r="P9" s="277" t="s">
        <v>501</v>
      </c>
      <c r="Q9" s="277" t="s">
        <v>502</v>
      </c>
      <c r="R9" s="277" t="s">
        <v>503</v>
      </c>
      <c r="S9" s="277" t="s">
        <v>504</v>
      </c>
      <c r="T9" s="277" t="s">
        <v>505</v>
      </c>
      <c r="U9" s="277" t="s">
        <v>506</v>
      </c>
      <c r="V9" s="277" t="s">
        <v>507</v>
      </c>
      <c r="W9" s="277" t="s">
        <v>508</v>
      </c>
      <c r="X9" s="277" t="s">
        <v>509</v>
      </c>
      <c r="Y9" s="277" t="s">
        <v>510</v>
      </c>
      <c r="Z9" s="277" t="s">
        <v>511</v>
      </c>
      <c r="AA9" s="277" t="s">
        <v>512</v>
      </c>
      <c r="AB9" s="277" t="s">
        <v>513</v>
      </c>
      <c r="AC9" s="277" t="s">
        <v>514</v>
      </c>
      <c r="AD9" s="277" t="s">
        <v>515</v>
      </c>
      <c r="AE9" s="277" t="s">
        <v>516</v>
      </c>
      <c r="AF9" s="277" t="s">
        <v>517</v>
      </c>
      <c r="AG9" s="277" t="s">
        <v>518</v>
      </c>
      <c r="AH9" s="277" t="s">
        <v>519</v>
      </c>
      <c r="AI9" s="277" t="s">
        <v>520</v>
      </c>
      <c r="AJ9" s="277" t="s">
        <v>521</v>
      </c>
      <c r="AK9" s="277" t="s">
        <v>522</v>
      </c>
      <c r="AL9" s="277" t="s">
        <v>523</v>
      </c>
      <c r="AM9" s="277" t="s">
        <v>524</v>
      </c>
      <c r="AN9" s="277" t="s">
        <v>525</v>
      </c>
      <c r="AO9" s="277" t="s">
        <v>526</v>
      </c>
      <c r="AP9" s="277" t="s">
        <v>527</v>
      </c>
      <c r="AQ9" s="277" t="s">
        <v>528</v>
      </c>
      <c r="AR9" s="277" t="s">
        <v>529</v>
      </c>
      <c r="AS9" s="277" t="s">
        <v>530</v>
      </c>
      <c r="AT9" s="277" t="s">
        <v>531</v>
      </c>
      <c r="AU9" s="277" t="s">
        <v>532</v>
      </c>
      <c r="AV9" s="277" t="s">
        <v>533</v>
      </c>
      <c r="AW9" s="277" t="s">
        <v>534</v>
      </c>
      <c r="AX9" s="277" t="s">
        <v>535</v>
      </c>
      <c r="AY9" s="277" t="s">
        <v>536</v>
      </c>
      <c r="AZ9" s="277" t="s">
        <v>537</v>
      </c>
      <c r="BA9" s="277" t="s">
        <v>538</v>
      </c>
      <c r="BB9" s="277" t="s">
        <v>539</v>
      </c>
      <c r="BC9" s="277" t="s">
        <v>540</v>
      </c>
      <c r="BD9" s="277" t="s">
        <v>541</v>
      </c>
      <c r="BE9" s="277" t="s">
        <v>464</v>
      </c>
      <c r="BF9" s="277" t="s">
        <v>465</v>
      </c>
      <c r="BG9" s="277" t="s">
        <v>542</v>
      </c>
      <c r="BH9" s="277" t="s">
        <v>543</v>
      </c>
      <c r="BI9" s="277" t="s">
        <v>544</v>
      </c>
      <c r="BJ9" s="277" t="s">
        <v>545</v>
      </c>
      <c r="BK9" s="277" t="s">
        <v>546</v>
      </c>
      <c r="BL9" s="277" t="s">
        <v>547</v>
      </c>
      <c r="BM9" s="277" t="s">
        <v>472</v>
      </c>
      <c r="BN9" s="277" t="s">
        <v>548</v>
      </c>
      <c r="BO9" s="277" t="s">
        <v>474</v>
      </c>
      <c r="BP9" s="277" t="s">
        <v>549</v>
      </c>
      <c r="BQ9" s="277" t="s">
        <v>550</v>
      </c>
      <c r="BR9" s="277" t="s">
        <v>551</v>
      </c>
      <c r="BS9" s="281"/>
      <c r="BT9" s="281"/>
      <c r="BU9" s="281"/>
      <c r="BV9" s="281"/>
      <c r="BW9" s="281"/>
      <c r="BX9" s="281"/>
      <c r="BY9" s="281"/>
      <c r="BZ9" s="281"/>
      <c r="CA9" s="281"/>
      <c r="CB9" s="281"/>
      <c r="CC9" s="281"/>
      <c r="CD9" s="281"/>
      <c r="CE9" s="281"/>
      <c r="CF9" s="281"/>
      <c r="CG9" s="281"/>
      <c r="CH9" s="281"/>
      <c r="CI9" s="281"/>
    </row>
    <row r="10" spans="1:87">
      <c r="A10" s="282">
        <v>1960</v>
      </c>
      <c r="B10" s="283">
        <v>1.63000011444092</v>
      </c>
      <c r="C10" s="283">
        <v>1.63000011444092</v>
      </c>
      <c r="D10" s="283">
        <v>1.63000011444092</v>
      </c>
      <c r="E10" s="283" t="s">
        <v>334</v>
      </c>
      <c r="F10" s="283" t="s">
        <v>334</v>
      </c>
      <c r="G10" s="283" t="s">
        <v>334</v>
      </c>
      <c r="H10" s="283">
        <v>0.14000000000000001</v>
      </c>
      <c r="I10" s="283">
        <v>0.40477399635468603</v>
      </c>
      <c r="J10" s="283" t="s">
        <v>334</v>
      </c>
      <c r="K10" s="283" t="s">
        <v>334</v>
      </c>
      <c r="L10" s="283">
        <v>0.58901666666666697</v>
      </c>
      <c r="M10" s="283">
        <v>0.92351666666666699</v>
      </c>
      <c r="N10" s="283">
        <v>0.69594573333333298</v>
      </c>
      <c r="O10" s="283">
        <v>1.0297000000000001</v>
      </c>
      <c r="P10" s="283">
        <v>0.93030089999999999</v>
      </c>
      <c r="Q10" s="283">
        <v>1.1214010000000001</v>
      </c>
      <c r="R10" s="283">
        <v>1.0374000000000001</v>
      </c>
      <c r="S10" s="283">
        <v>312.33333333333297</v>
      </c>
      <c r="T10" s="283" t="s">
        <v>334</v>
      </c>
      <c r="U10" s="283" t="s">
        <v>334</v>
      </c>
      <c r="V10" s="283">
        <v>327</v>
      </c>
      <c r="W10" s="283">
        <v>224.416666666667</v>
      </c>
      <c r="X10" s="283" t="s">
        <v>334</v>
      </c>
      <c r="Y10" s="283">
        <v>91.8333333333333</v>
      </c>
      <c r="Z10" s="283">
        <v>223.916666666667</v>
      </c>
      <c r="AA10" s="283">
        <v>81.008333333333297</v>
      </c>
      <c r="AB10" s="283">
        <v>20.153697388323401</v>
      </c>
      <c r="AC10" s="283">
        <v>44.5</v>
      </c>
      <c r="AD10" s="283">
        <v>36.575000000000003</v>
      </c>
      <c r="AE10" s="283">
        <v>107.349166666667</v>
      </c>
      <c r="AF10" s="283" t="s">
        <v>334</v>
      </c>
      <c r="AG10" s="283" t="s">
        <v>334</v>
      </c>
      <c r="AH10" s="283" t="s">
        <v>334</v>
      </c>
      <c r="AI10" s="283" t="s">
        <v>334</v>
      </c>
      <c r="AJ10" s="283">
        <v>57.993333333333297</v>
      </c>
      <c r="AK10" s="283" t="s">
        <v>334</v>
      </c>
      <c r="AL10" s="283">
        <v>0.14286750000000001</v>
      </c>
      <c r="AM10" s="283">
        <v>0.12998333333333301</v>
      </c>
      <c r="AN10" s="283">
        <v>0.73653333333333304</v>
      </c>
      <c r="AO10" s="283">
        <v>0.30013023264266597</v>
      </c>
      <c r="AP10" s="283" t="s">
        <v>334</v>
      </c>
      <c r="AQ10" s="283">
        <v>1.6056982333333301</v>
      </c>
      <c r="AR10" s="283">
        <v>0.12235641</v>
      </c>
      <c r="AS10" s="283">
        <v>0.12584705833333301</v>
      </c>
      <c r="AT10" s="283">
        <v>6.62083333333333E-2</v>
      </c>
      <c r="AU10" s="283">
        <v>1736.87</v>
      </c>
      <c r="AV10" s="283" t="s">
        <v>334</v>
      </c>
      <c r="AW10" s="283">
        <v>31.94</v>
      </c>
      <c r="AX10" s="283" t="s">
        <v>334</v>
      </c>
      <c r="AY10" s="283">
        <v>149.17497836620501</v>
      </c>
      <c r="AZ10" s="283" t="s">
        <v>334</v>
      </c>
      <c r="BA10" s="283">
        <v>0.65454166666666702</v>
      </c>
      <c r="BB10" s="283" t="s">
        <v>334</v>
      </c>
      <c r="BC10" s="283">
        <v>0.780233333333333</v>
      </c>
      <c r="BD10" s="283">
        <v>13</v>
      </c>
      <c r="BE10" s="283" t="s">
        <v>334</v>
      </c>
      <c r="BF10" s="283">
        <v>53</v>
      </c>
      <c r="BG10" s="283">
        <v>42.25</v>
      </c>
      <c r="BH10" s="283">
        <v>28.5</v>
      </c>
      <c r="BI10" s="283">
        <v>511.47183227539102</v>
      </c>
      <c r="BJ10" s="283">
        <v>11.42</v>
      </c>
      <c r="BK10" s="283">
        <v>678.75583333333304</v>
      </c>
      <c r="BL10" s="283">
        <v>198.85</v>
      </c>
      <c r="BM10" s="283">
        <v>2196.7333333333299</v>
      </c>
      <c r="BN10" s="283">
        <v>1631</v>
      </c>
      <c r="BO10" s="283">
        <v>246.191666666667</v>
      </c>
      <c r="BP10" s="283">
        <v>35.270000000000003</v>
      </c>
      <c r="BQ10" s="283">
        <v>83.5</v>
      </c>
      <c r="BR10" s="283">
        <v>0.91369999999999996</v>
      </c>
      <c r="BS10" s="281"/>
      <c r="BT10" s="281"/>
      <c r="BU10" s="281"/>
      <c r="BV10" s="281"/>
      <c r="BW10" s="281"/>
      <c r="BX10" s="281"/>
      <c r="BY10" s="281"/>
      <c r="BZ10" s="281"/>
      <c r="CA10" s="281"/>
      <c r="CB10" s="281"/>
      <c r="CC10" s="281"/>
      <c r="CD10" s="281"/>
      <c r="CE10" s="281"/>
      <c r="CF10" s="281"/>
      <c r="CG10" s="281"/>
      <c r="CH10" s="281"/>
      <c r="CI10" s="281"/>
    </row>
    <row r="11" spans="1:87">
      <c r="A11" s="277">
        <v>1961</v>
      </c>
      <c r="B11" s="284">
        <v>1.57</v>
      </c>
      <c r="C11" s="284">
        <v>1.57</v>
      </c>
      <c r="D11" s="284">
        <v>1.57</v>
      </c>
      <c r="E11" s="284" t="s">
        <v>334</v>
      </c>
      <c r="F11" s="284" t="s">
        <v>334</v>
      </c>
      <c r="G11" s="284" t="s">
        <v>334</v>
      </c>
      <c r="H11" s="284">
        <v>0.15</v>
      </c>
      <c r="I11" s="284">
        <v>0.40477399635468603</v>
      </c>
      <c r="J11" s="284" t="s">
        <v>334</v>
      </c>
      <c r="K11" s="284" t="s">
        <v>334</v>
      </c>
      <c r="L11" s="284">
        <v>0.47855833333333297</v>
      </c>
      <c r="M11" s="284">
        <v>0.89554166666666701</v>
      </c>
      <c r="N11" s="284">
        <v>0.66943580833333305</v>
      </c>
      <c r="O11" s="284">
        <v>0.95179999999999998</v>
      </c>
      <c r="P11" s="284">
        <v>0.89250090000000004</v>
      </c>
      <c r="Q11" s="284">
        <v>0.97860100000000005</v>
      </c>
      <c r="R11" s="284">
        <v>0.98419959999999995</v>
      </c>
      <c r="S11" s="284">
        <v>253.416666666667</v>
      </c>
      <c r="T11" s="284" t="s">
        <v>334</v>
      </c>
      <c r="U11" s="284" t="s">
        <v>334</v>
      </c>
      <c r="V11" s="284">
        <v>330.25</v>
      </c>
      <c r="W11" s="284">
        <v>228.416666666667</v>
      </c>
      <c r="X11" s="284" t="s">
        <v>334</v>
      </c>
      <c r="Y11" s="284">
        <v>109.333333333333</v>
      </c>
      <c r="Z11" s="284">
        <v>287.33333333333297</v>
      </c>
      <c r="AA11" s="284">
        <v>96.908333333333303</v>
      </c>
      <c r="AB11" s="284">
        <v>20.748039769067301</v>
      </c>
      <c r="AC11" s="284">
        <v>44.956666666666699</v>
      </c>
      <c r="AD11" s="284">
        <v>41.4166666666667</v>
      </c>
      <c r="AE11" s="284">
        <v>118.95</v>
      </c>
      <c r="AF11" s="284" t="s">
        <v>334</v>
      </c>
      <c r="AG11" s="284" t="s">
        <v>334</v>
      </c>
      <c r="AH11" s="284" t="s">
        <v>334</v>
      </c>
      <c r="AI11" s="284" t="s">
        <v>334</v>
      </c>
      <c r="AJ11" s="284">
        <v>58.605833333333301</v>
      </c>
      <c r="AK11" s="284" t="s">
        <v>334</v>
      </c>
      <c r="AL11" s="284">
        <v>0.134921666666667</v>
      </c>
      <c r="AM11" s="284">
        <v>0.13300833333333301</v>
      </c>
      <c r="AN11" s="284">
        <v>0.68194999999999995</v>
      </c>
      <c r="AO11" s="284">
        <v>0.31227945619453801</v>
      </c>
      <c r="AP11" s="284" t="s">
        <v>334</v>
      </c>
      <c r="AQ11" s="284">
        <v>1.6938830333333299</v>
      </c>
      <c r="AR11" s="284">
        <v>0.124340568</v>
      </c>
      <c r="AS11" s="284">
        <v>0.12566334000000001</v>
      </c>
      <c r="AT11" s="284">
        <v>5.9450000000000003E-2</v>
      </c>
      <c r="AU11" s="284">
        <v>1563.19</v>
      </c>
      <c r="AV11" s="284" t="s">
        <v>334</v>
      </c>
      <c r="AW11" s="284">
        <v>33.06</v>
      </c>
      <c r="AX11" s="284" t="s">
        <v>334</v>
      </c>
      <c r="AY11" s="284">
        <v>151.97728078765201</v>
      </c>
      <c r="AZ11" s="284" t="s">
        <v>334</v>
      </c>
      <c r="BA11" s="284">
        <v>0.67218333333333302</v>
      </c>
      <c r="BB11" s="284" t="s">
        <v>334</v>
      </c>
      <c r="BC11" s="284">
        <v>0.601308333333333</v>
      </c>
      <c r="BD11" s="284">
        <v>13</v>
      </c>
      <c r="BE11" s="284" t="s">
        <v>334</v>
      </c>
      <c r="BF11" s="284">
        <v>52</v>
      </c>
      <c r="BG11" s="284">
        <v>42.25</v>
      </c>
      <c r="BH11" s="284">
        <v>30</v>
      </c>
      <c r="BI11" s="284">
        <v>511.47183227539102</v>
      </c>
      <c r="BJ11" s="284">
        <v>11.02</v>
      </c>
      <c r="BK11" s="284">
        <v>633.08416666666699</v>
      </c>
      <c r="BL11" s="284">
        <v>176.97499999999999</v>
      </c>
      <c r="BM11" s="284">
        <v>2449.8916666666701</v>
      </c>
      <c r="BN11" s="284">
        <v>1711</v>
      </c>
      <c r="BO11" s="284">
        <v>214.308333333333</v>
      </c>
      <c r="BP11" s="284">
        <v>35.25</v>
      </c>
      <c r="BQ11" s="284">
        <v>83.5</v>
      </c>
      <c r="BR11" s="284">
        <v>0.92444166666666605</v>
      </c>
      <c r="BS11" s="281"/>
      <c r="BT11" s="281"/>
      <c r="BU11" s="281"/>
      <c r="BV11" s="281"/>
      <c r="BW11" s="281"/>
      <c r="BX11" s="281"/>
      <c r="BY11" s="281"/>
      <c r="BZ11" s="281"/>
      <c r="CA11" s="281"/>
      <c r="CB11" s="281"/>
      <c r="CC11" s="281"/>
      <c r="CD11" s="281"/>
      <c r="CE11" s="281"/>
      <c r="CF11" s="281"/>
      <c r="CG11" s="281"/>
      <c r="CH11" s="281"/>
      <c r="CI11" s="281"/>
    </row>
    <row r="12" spans="1:87">
      <c r="A12" s="282">
        <v>1962</v>
      </c>
      <c r="B12" s="283">
        <v>1.52</v>
      </c>
      <c r="C12" s="283">
        <v>1.52</v>
      </c>
      <c r="D12" s="283">
        <v>1.52</v>
      </c>
      <c r="E12" s="283" t="s">
        <v>334</v>
      </c>
      <c r="F12" s="283" t="s">
        <v>334</v>
      </c>
      <c r="G12" s="283" t="s">
        <v>334</v>
      </c>
      <c r="H12" s="283">
        <v>0.16</v>
      </c>
      <c r="I12" s="283">
        <v>0.40477399635468603</v>
      </c>
      <c r="J12" s="283" t="s">
        <v>334</v>
      </c>
      <c r="K12" s="283" t="s">
        <v>334</v>
      </c>
      <c r="L12" s="283">
        <v>0.45796666666666702</v>
      </c>
      <c r="M12" s="283">
        <v>0.83259166666666595</v>
      </c>
      <c r="N12" s="283">
        <v>0.68220393333333296</v>
      </c>
      <c r="O12" s="283">
        <v>0.97299999999999998</v>
      </c>
      <c r="P12" s="283">
        <v>0.86100089999999996</v>
      </c>
      <c r="Q12" s="283">
        <v>1.1046009999999999</v>
      </c>
      <c r="R12" s="283">
        <v>0.95339960000000001</v>
      </c>
      <c r="S12" s="283">
        <v>251.21666666666701</v>
      </c>
      <c r="T12" s="283" t="s">
        <v>334</v>
      </c>
      <c r="U12" s="283" t="s">
        <v>334</v>
      </c>
      <c r="V12" s="283">
        <v>274.33999999999997</v>
      </c>
      <c r="W12" s="283">
        <v>216.23583333333301</v>
      </c>
      <c r="X12" s="283" t="s">
        <v>334</v>
      </c>
      <c r="Y12" s="283">
        <v>100.54</v>
      </c>
      <c r="Z12" s="283">
        <v>227</v>
      </c>
      <c r="AA12" s="283">
        <v>89.008333333333397</v>
      </c>
      <c r="AB12" s="283">
        <v>22.702439204122498</v>
      </c>
      <c r="AC12" s="283">
        <v>48.6533333333333</v>
      </c>
      <c r="AD12" s="283">
        <v>44.7008333333333</v>
      </c>
      <c r="AE12" s="283">
        <v>134.925833333333</v>
      </c>
      <c r="AF12" s="283" t="s">
        <v>334</v>
      </c>
      <c r="AG12" s="283" t="s">
        <v>334</v>
      </c>
      <c r="AH12" s="283" t="s">
        <v>334</v>
      </c>
      <c r="AI12" s="283" t="s">
        <v>334</v>
      </c>
      <c r="AJ12" s="283">
        <v>64.332499999999996</v>
      </c>
      <c r="AK12" s="283" t="s">
        <v>334</v>
      </c>
      <c r="AL12" s="283">
        <v>0.13139000000000001</v>
      </c>
      <c r="AM12" s="283">
        <v>0.108008333333333</v>
      </c>
      <c r="AN12" s="283">
        <v>0.71412500000000001</v>
      </c>
      <c r="AO12" s="283">
        <v>0.31956187706611699</v>
      </c>
      <c r="AP12" s="283" t="s">
        <v>334</v>
      </c>
      <c r="AQ12" s="283">
        <v>2.2523867666666701</v>
      </c>
      <c r="AR12" s="283">
        <v>0.126324726</v>
      </c>
      <c r="AS12" s="283">
        <v>0.128419115</v>
      </c>
      <c r="AT12" s="283">
        <v>6.1683333333333298E-2</v>
      </c>
      <c r="AU12" s="283">
        <v>1404.9</v>
      </c>
      <c r="AV12" s="283" t="s">
        <v>334</v>
      </c>
      <c r="AW12" s="283">
        <v>36.39</v>
      </c>
      <c r="AX12" s="283" t="s">
        <v>334</v>
      </c>
      <c r="AY12" s="283">
        <v>160.060968785033</v>
      </c>
      <c r="AZ12" s="283" t="s">
        <v>334</v>
      </c>
      <c r="BA12" s="283">
        <v>0.64932500000000004</v>
      </c>
      <c r="BB12" s="283" t="s">
        <v>334</v>
      </c>
      <c r="BC12" s="283">
        <v>0.56363333333333299</v>
      </c>
      <c r="BD12" s="283">
        <v>11.5</v>
      </c>
      <c r="BE12" s="283" t="s">
        <v>334</v>
      </c>
      <c r="BF12" s="283">
        <v>51</v>
      </c>
      <c r="BG12" s="283">
        <v>42.25</v>
      </c>
      <c r="BH12" s="283">
        <v>30</v>
      </c>
      <c r="BI12" s="283">
        <v>498.06039174397802</v>
      </c>
      <c r="BJ12" s="283">
        <v>11.01</v>
      </c>
      <c r="BK12" s="283">
        <v>645.14333333333298</v>
      </c>
      <c r="BL12" s="283">
        <v>155.28333333333299</v>
      </c>
      <c r="BM12" s="283">
        <v>2471.38333333333</v>
      </c>
      <c r="BN12" s="283">
        <v>1761</v>
      </c>
      <c r="BO12" s="283">
        <v>185.92500000000001</v>
      </c>
      <c r="BP12" s="283">
        <v>35.229999999999997</v>
      </c>
      <c r="BQ12" s="283">
        <v>83.5</v>
      </c>
      <c r="BR12" s="283">
        <v>1.083725</v>
      </c>
      <c r="BS12" s="281"/>
      <c r="BT12" s="281"/>
      <c r="BU12" s="281"/>
      <c r="BV12" s="281"/>
      <c r="BW12" s="281"/>
      <c r="BX12" s="281"/>
      <c r="BY12" s="281"/>
      <c r="BZ12" s="281"/>
      <c r="CA12" s="281"/>
      <c r="CB12" s="281"/>
      <c r="CC12" s="281"/>
      <c r="CD12" s="281"/>
      <c r="CE12" s="281"/>
      <c r="CF12" s="281"/>
      <c r="CG12" s="281"/>
      <c r="CH12" s="281"/>
      <c r="CI12" s="281"/>
    </row>
    <row r="13" spans="1:87">
      <c r="A13" s="277">
        <v>1963</v>
      </c>
      <c r="B13" s="284">
        <v>1.5</v>
      </c>
      <c r="C13" s="284">
        <v>1.5</v>
      </c>
      <c r="D13" s="284">
        <v>1.5</v>
      </c>
      <c r="E13" s="284" t="s">
        <v>334</v>
      </c>
      <c r="F13" s="284" t="s">
        <v>334</v>
      </c>
      <c r="G13" s="284" t="s">
        <v>334</v>
      </c>
      <c r="H13" s="284">
        <v>0.16</v>
      </c>
      <c r="I13" s="284">
        <v>0.391351137946851</v>
      </c>
      <c r="J13" s="284" t="s">
        <v>334</v>
      </c>
      <c r="K13" s="284" t="s">
        <v>334</v>
      </c>
      <c r="L13" s="284">
        <v>0.55234166666666695</v>
      </c>
      <c r="M13" s="284">
        <v>0.80574166666666702</v>
      </c>
      <c r="N13" s="284">
        <v>0.62350728333333305</v>
      </c>
      <c r="O13" s="284">
        <v>0.95289999999999997</v>
      </c>
      <c r="P13" s="284">
        <v>0.81480079999999999</v>
      </c>
      <c r="Q13" s="284">
        <v>1.083601</v>
      </c>
      <c r="R13" s="284">
        <v>0.96039960000000002</v>
      </c>
      <c r="S13" s="284">
        <v>286.33333333333297</v>
      </c>
      <c r="T13" s="284" t="s">
        <v>334</v>
      </c>
      <c r="U13" s="284" t="s">
        <v>334</v>
      </c>
      <c r="V13" s="284">
        <v>268.50333333333299</v>
      </c>
      <c r="W13" s="284">
        <v>222.393333333333</v>
      </c>
      <c r="X13" s="284" t="s">
        <v>334</v>
      </c>
      <c r="Y13" s="284">
        <v>110.09333333333301</v>
      </c>
      <c r="Z13" s="284">
        <v>223.583333333333</v>
      </c>
      <c r="AA13" s="284">
        <v>91.016666666666694</v>
      </c>
      <c r="AB13" s="284">
        <v>23.977474100333801</v>
      </c>
      <c r="AC13" s="284">
        <v>53.7708333333333</v>
      </c>
      <c r="AD13" s="284">
        <v>47.84</v>
      </c>
      <c r="AE13" s="284">
        <v>125.663333333333</v>
      </c>
      <c r="AF13" s="284" t="s">
        <v>334</v>
      </c>
      <c r="AG13" s="284" t="s">
        <v>334</v>
      </c>
      <c r="AH13" s="284" t="s">
        <v>334</v>
      </c>
      <c r="AI13" s="284" t="s">
        <v>334</v>
      </c>
      <c r="AJ13" s="284">
        <v>64.486666666666693</v>
      </c>
      <c r="AK13" s="284" t="s">
        <v>334</v>
      </c>
      <c r="AL13" s="284">
        <v>0.14408333333333301</v>
      </c>
      <c r="AM13" s="284">
        <v>9.4008333333333305E-2</v>
      </c>
      <c r="AN13" s="284">
        <v>0.66634166666666705</v>
      </c>
      <c r="AO13" s="284">
        <v>0.32802898679500397</v>
      </c>
      <c r="AP13" s="284" t="s">
        <v>334</v>
      </c>
      <c r="AQ13" s="284">
        <v>1.9970182833333301</v>
      </c>
      <c r="AR13" s="284">
        <v>0.12676565000000001</v>
      </c>
      <c r="AS13" s="284">
        <v>0.165897655</v>
      </c>
      <c r="AT13" s="284">
        <v>0.183233333333333</v>
      </c>
      <c r="AU13" s="284">
        <v>1343.61</v>
      </c>
      <c r="AV13" s="284" t="s">
        <v>334</v>
      </c>
      <c r="AW13" s="284">
        <v>35.485833333333296</v>
      </c>
      <c r="AX13" s="284" t="s">
        <v>334</v>
      </c>
      <c r="AY13" s="284">
        <v>157.84746193132401</v>
      </c>
      <c r="AZ13" s="284" t="s">
        <v>334</v>
      </c>
      <c r="BA13" s="284">
        <v>0.64559166666666701</v>
      </c>
      <c r="BB13" s="284" t="s">
        <v>334</v>
      </c>
      <c r="BC13" s="284">
        <v>0.52138333333333298</v>
      </c>
      <c r="BD13" s="284">
        <v>11.5</v>
      </c>
      <c r="BE13" s="284" t="s">
        <v>334</v>
      </c>
      <c r="BF13" s="284">
        <v>52</v>
      </c>
      <c r="BG13" s="284">
        <v>42.25</v>
      </c>
      <c r="BH13" s="284">
        <v>30</v>
      </c>
      <c r="BI13" s="284">
        <v>498.79526519775402</v>
      </c>
      <c r="BJ13" s="284">
        <v>11.02</v>
      </c>
      <c r="BK13" s="284">
        <v>645.95083333333298</v>
      </c>
      <c r="BL13" s="284">
        <v>174.808333333333</v>
      </c>
      <c r="BM13" s="284">
        <v>2507.7333333333299</v>
      </c>
      <c r="BN13" s="284">
        <v>1741.6666666666699</v>
      </c>
      <c r="BO13" s="284">
        <v>211.50833333333301</v>
      </c>
      <c r="BP13" s="284">
        <v>35.090000000000003</v>
      </c>
      <c r="BQ13" s="284">
        <v>80.930833333333396</v>
      </c>
      <c r="BR13" s="284">
        <v>1.27910833333333</v>
      </c>
      <c r="BS13" s="281"/>
      <c r="BT13" s="281"/>
      <c r="BU13" s="281"/>
      <c r="BV13" s="281"/>
      <c r="BW13" s="281"/>
      <c r="BX13" s="281"/>
      <c r="BY13" s="281"/>
      <c r="BZ13" s="281"/>
      <c r="CA13" s="281"/>
      <c r="CB13" s="281"/>
      <c r="CC13" s="281"/>
      <c r="CD13" s="281"/>
      <c r="CE13" s="281"/>
      <c r="CF13" s="281"/>
      <c r="CG13" s="281"/>
      <c r="CH13" s="281"/>
      <c r="CI13" s="281"/>
    </row>
    <row r="14" spans="1:87">
      <c r="A14" s="282">
        <v>1964</v>
      </c>
      <c r="B14" s="283">
        <v>1.45</v>
      </c>
      <c r="C14" s="283">
        <v>1.45</v>
      </c>
      <c r="D14" s="283">
        <v>1.45</v>
      </c>
      <c r="E14" s="283" t="s">
        <v>334</v>
      </c>
      <c r="F14" s="283" t="s">
        <v>334</v>
      </c>
      <c r="G14" s="283" t="s">
        <v>334</v>
      </c>
      <c r="H14" s="283">
        <v>0.15</v>
      </c>
      <c r="I14" s="283">
        <v>0.38414980235889501</v>
      </c>
      <c r="J14" s="283" t="s">
        <v>334</v>
      </c>
      <c r="K14" s="283" t="s">
        <v>334</v>
      </c>
      <c r="L14" s="283">
        <v>0.50574166666666698</v>
      </c>
      <c r="M14" s="283">
        <v>1.00975833333333</v>
      </c>
      <c r="N14" s="283">
        <v>0.78706794166666605</v>
      </c>
      <c r="O14" s="283">
        <v>0.92700000000000005</v>
      </c>
      <c r="P14" s="283">
        <v>0.81900079999999997</v>
      </c>
      <c r="Q14" s="283">
        <v>1.039501</v>
      </c>
      <c r="R14" s="283">
        <v>0.92259959999999996</v>
      </c>
      <c r="S14" s="283">
        <v>296.47500000000002</v>
      </c>
      <c r="T14" s="283" t="s">
        <v>334</v>
      </c>
      <c r="U14" s="283" t="s">
        <v>334</v>
      </c>
      <c r="V14" s="283">
        <v>315.37583333333299</v>
      </c>
      <c r="W14" s="283">
        <v>239.45249999999999</v>
      </c>
      <c r="X14" s="283" t="s">
        <v>334</v>
      </c>
      <c r="Y14" s="283">
        <v>110.505833333333</v>
      </c>
      <c r="Z14" s="283">
        <v>233</v>
      </c>
      <c r="AA14" s="283">
        <v>89.008333333333397</v>
      </c>
      <c r="AB14" s="283">
        <v>25.1433833223854</v>
      </c>
      <c r="AC14" s="283">
        <v>54.631666666666703</v>
      </c>
      <c r="AD14" s="283">
        <v>48.234999999999999</v>
      </c>
      <c r="AE14" s="283">
        <v>120.14749999999999</v>
      </c>
      <c r="AF14" s="283" t="s">
        <v>334</v>
      </c>
      <c r="AG14" s="283" t="s">
        <v>334</v>
      </c>
      <c r="AH14" s="283" t="s">
        <v>334</v>
      </c>
      <c r="AI14" s="283" t="s">
        <v>334</v>
      </c>
      <c r="AJ14" s="283">
        <v>67.526666666666699</v>
      </c>
      <c r="AK14" s="283" t="s">
        <v>334</v>
      </c>
      <c r="AL14" s="283">
        <v>0.170408333333333</v>
      </c>
      <c r="AM14" s="283">
        <v>8.4000000000000005E-2</v>
      </c>
      <c r="AN14" s="283">
        <v>0.84088333333333298</v>
      </c>
      <c r="AO14" s="283">
        <v>0.33763147780740999</v>
      </c>
      <c r="AP14" s="283" t="s">
        <v>334</v>
      </c>
      <c r="AQ14" s="283">
        <v>1.81329995</v>
      </c>
      <c r="AR14" s="283">
        <v>0.12658193166666701</v>
      </c>
      <c r="AS14" s="283">
        <v>0.13870734166666701</v>
      </c>
      <c r="AT14" s="283">
        <v>0.12632499999999999</v>
      </c>
      <c r="AU14" s="283">
        <v>1488.3</v>
      </c>
      <c r="AV14" s="283" t="s">
        <v>334</v>
      </c>
      <c r="AW14" s="283">
        <v>30.254999999999999</v>
      </c>
      <c r="AX14" s="283" t="s">
        <v>334</v>
      </c>
      <c r="AY14" s="283">
        <v>144.83399269970599</v>
      </c>
      <c r="AZ14" s="283" t="s">
        <v>334</v>
      </c>
      <c r="BA14" s="283">
        <v>0.65035833333333304</v>
      </c>
      <c r="BB14" s="283" t="s">
        <v>334</v>
      </c>
      <c r="BC14" s="283">
        <v>0.49050833333333299</v>
      </c>
      <c r="BD14" s="283">
        <v>12.5</v>
      </c>
      <c r="BE14" s="283" t="s">
        <v>334</v>
      </c>
      <c r="BF14" s="283">
        <v>53</v>
      </c>
      <c r="BG14" s="283">
        <v>60.5</v>
      </c>
      <c r="BH14" s="283">
        <v>32.5</v>
      </c>
      <c r="BI14" s="283">
        <v>525.98563130696596</v>
      </c>
      <c r="BJ14" s="283">
        <v>10.24</v>
      </c>
      <c r="BK14" s="283">
        <v>969.75333333333299</v>
      </c>
      <c r="BL14" s="283">
        <v>277.88333333333298</v>
      </c>
      <c r="BM14" s="283">
        <v>3412.74166666667</v>
      </c>
      <c r="BN14" s="283">
        <v>1741.6666666666699</v>
      </c>
      <c r="BO14" s="283">
        <v>326.49166666666702</v>
      </c>
      <c r="BP14" s="283">
        <v>35.1</v>
      </c>
      <c r="BQ14" s="283">
        <v>88.480833333333393</v>
      </c>
      <c r="BR14" s="283">
        <v>1.2929999999999999</v>
      </c>
      <c r="BS14" s="281"/>
      <c r="BT14" s="281"/>
      <c r="BU14" s="281"/>
      <c r="BV14" s="281"/>
      <c r="BW14" s="281"/>
      <c r="BX14" s="281"/>
      <c r="BY14" s="281"/>
      <c r="BZ14" s="281"/>
      <c r="CA14" s="281"/>
      <c r="CB14" s="281"/>
      <c r="CC14" s="281"/>
      <c r="CD14" s="281"/>
      <c r="CE14" s="281"/>
      <c r="CF14" s="281"/>
      <c r="CG14" s="281"/>
      <c r="CH14" s="281"/>
      <c r="CI14" s="281"/>
    </row>
    <row r="15" spans="1:87">
      <c r="A15" s="277">
        <v>1965</v>
      </c>
      <c r="B15" s="284">
        <v>1.42</v>
      </c>
      <c r="C15" s="284">
        <v>1.42</v>
      </c>
      <c r="D15" s="284">
        <v>1.42</v>
      </c>
      <c r="E15" s="284" t="s">
        <v>334</v>
      </c>
      <c r="F15" s="284" t="s">
        <v>334</v>
      </c>
      <c r="G15" s="284" t="s">
        <v>334</v>
      </c>
      <c r="H15" s="284">
        <v>0.16</v>
      </c>
      <c r="I15" s="284">
        <v>0.41076610521566898</v>
      </c>
      <c r="J15" s="284" t="s">
        <v>334</v>
      </c>
      <c r="K15" s="284" t="s">
        <v>334</v>
      </c>
      <c r="L15" s="284">
        <v>0.36530833333333301</v>
      </c>
      <c r="M15" s="284">
        <v>1.0003500000000001</v>
      </c>
      <c r="N15" s="284">
        <v>0.67825407500000001</v>
      </c>
      <c r="O15" s="284">
        <v>1.0003</v>
      </c>
      <c r="P15" s="284">
        <v>0.84630090000000002</v>
      </c>
      <c r="Q15" s="284">
        <v>1.142401</v>
      </c>
      <c r="R15" s="284">
        <v>1.0122</v>
      </c>
      <c r="S15" s="284">
        <v>350.13333333333298</v>
      </c>
      <c r="T15" s="284" t="s">
        <v>334</v>
      </c>
      <c r="U15" s="284" t="s">
        <v>334</v>
      </c>
      <c r="V15" s="284">
        <v>323.91750000000002</v>
      </c>
      <c r="W15" s="284">
        <v>272.52166666666699</v>
      </c>
      <c r="X15" s="284" t="s">
        <v>334</v>
      </c>
      <c r="Y15" s="284">
        <v>116.868333333333</v>
      </c>
      <c r="Z15" s="284">
        <v>270</v>
      </c>
      <c r="AA15" s="284">
        <v>97.025000000000006</v>
      </c>
      <c r="AB15" s="284">
        <v>24.344802165836899</v>
      </c>
      <c r="AC15" s="284">
        <v>55.672499999999999</v>
      </c>
      <c r="AD15" s="284">
        <v>47.9316666666667</v>
      </c>
      <c r="AE15" s="284">
        <v>118.789166666667</v>
      </c>
      <c r="AF15" s="284" t="s">
        <v>334</v>
      </c>
      <c r="AG15" s="284" t="s">
        <v>334</v>
      </c>
      <c r="AH15" s="284" t="s">
        <v>334</v>
      </c>
      <c r="AI15" s="284" t="s">
        <v>334</v>
      </c>
      <c r="AJ15" s="284">
        <v>59.461666666666702</v>
      </c>
      <c r="AK15" s="284" t="s">
        <v>334</v>
      </c>
      <c r="AL15" s="284">
        <v>0.15940833333333301</v>
      </c>
      <c r="AM15" s="284">
        <v>9.6000000000000002E-2</v>
      </c>
      <c r="AN15" s="284">
        <v>0.88161666666666705</v>
      </c>
      <c r="AO15" s="284">
        <v>0.35023987828688802</v>
      </c>
      <c r="AP15" s="284" t="s">
        <v>334</v>
      </c>
      <c r="AQ15" s="284">
        <v>1.98783236666667</v>
      </c>
      <c r="AR15" s="284">
        <v>0.12456103</v>
      </c>
      <c r="AS15" s="284">
        <v>0.13613528499999999</v>
      </c>
      <c r="AT15" s="284">
        <v>4.4216666666666703E-2</v>
      </c>
      <c r="AU15" s="284">
        <v>1265.4100000000001</v>
      </c>
      <c r="AV15" s="284" t="s">
        <v>334</v>
      </c>
      <c r="AW15" s="284">
        <v>35.024999999999999</v>
      </c>
      <c r="AX15" s="284" t="s">
        <v>334</v>
      </c>
      <c r="AY15" s="284">
        <v>156.749313066144</v>
      </c>
      <c r="AZ15" s="284" t="s">
        <v>334</v>
      </c>
      <c r="BA15" s="284">
        <v>0.63792499999999996</v>
      </c>
      <c r="BB15" s="284" t="s">
        <v>334</v>
      </c>
      <c r="BC15" s="284">
        <v>0.50485833333333296</v>
      </c>
      <c r="BD15" s="284">
        <v>14</v>
      </c>
      <c r="BE15" s="284" t="s">
        <v>334</v>
      </c>
      <c r="BF15" s="284">
        <v>54</v>
      </c>
      <c r="BG15" s="284">
        <v>65.75</v>
      </c>
      <c r="BH15" s="284">
        <v>29.5</v>
      </c>
      <c r="BI15" s="284">
        <v>540.1318359375</v>
      </c>
      <c r="BJ15" s="284">
        <v>10.661666666666701</v>
      </c>
      <c r="BK15" s="284">
        <v>1292.8441666666699</v>
      </c>
      <c r="BL15" s="284">
        <v>317.17500000000001</v>
      </c>
      <c r="BM15" s="284">
        <v>3890.7833333333301</v>
      </c>
      <c r="BN15" s="284">
        <v>1735</v>
      </c>
      <c r="BO15" s="284">
        <v>311.25</v>
      </c>
      <c r="BP15" s="284">
        <v>35.119999999999997</v>
      </c>
      <c r="BQ15" s="284">
        <v>98.0416666666667</v>
      </c>
      <c r="BR15" s="284">
        <v>1.2929999999999999</v>
      </c>
      <c r="BS15" s="281"/>
      <c r="BT15" s="281"/>
      <c r="BU15" s="281"/>
      <c r="BV15" s="281"/>
      <c r="BW15" s="281"/>
      <c r="BX15" s="281"/>
      <c r="BY15" s="281"/>
      <c r="BZ15" s="281"/>
      <c r="CA15" s="281"/>
      <c r="CB15" s="281"/>
      <c r="CC15" s="281"/>
      <c r="CD15" s="281"/>
      <c r="CE15" s="281"/>
      <c r="CF15" s="281"/>
      <c r="CG15" s="281"/>
      <c r="CH15" s="281"/>
      <c r="CI15" s="281"/>
    </row>
    <row r="16" spans="1:87">
      <c r="A16" s="282">
        <v>1966</v>
      </c>
      <c r="B16" s="283">
        <v>1.36</v>
      </c>
      <c r="C16" s="283">
        <v>1.36</v>
      </c>
      <c r="D16" s="283">
        <v>1.36</v>
      </c>
      <c r="E16" s="283" t="s">
        <v>334</v>
      </c>
      <c r="F16" s="283" t="s">
        <v>334</v>
      </c>
      <c r="G16" s="283" t="s">
        <v>334</v>
      </c>
      <c r="H16" s="283">
        <v>0.16</v>
      </c>
      <c r="I16" s="283">
        <v>0.424928665138044</v>
      </c>
      <c r="J16" s="283" t="s">
        <v>334</v>
      </c>
      <c r="K16" s="283" t="s">
        <v>334</v>
      </c>
      <c r="L16" s="283">
        <v>0.51763333333333295</v>
      </c>
      <c r="M16" s="283">
        <v>0.92872500000000002</v>
      </c>
      <c r="N16" s="283">
        <v>0.73913689999999999</v>
      </c>
      <c r="O16" s="283">
        <v>0.87432500000000002</v>
      </c>
      <c r="P16" s="283">
        <v>0.76020080000000001</v>
      </c>
      <c r="Q16" s="283">
        <v>0.94869484166666596</v>
      </c>
      <c r="R16" s="283">
        <v>0.9141996</v>
      </c>
      <c r="S16" s="283">
        <v>323.70833333333297</v>
      </c>
      <c r="T16" s="283" t="s">
        <v>334</v>
      </c>
      <c r="U16" s="283" t="s">
        <v>334</v>
      </c>
      <c r="V16" s="283">
        <v>296.30500000000001</v>
      </c>
      <c r="W16" s="283">
        <v>235.64</v>
      </c>
      <c r="X16" s="283" t="s">
        <v>334</v>
      </c>
      <c r="Y16" s="283">
        <v>125.66249999999999</v>
      </c>
      <c r="Z16" s="283">
        <v>261.5</v>
      </c>
      <c r="AA16" s="283">
        <v>107.035833333333</v>
      </c>
      <c r="AB16" s="283">
        <v>25.911773800935201</v>
      </c>
      <c r="AC16" s="283">
        <v>58.296666666666702</v>
      </c>
      <c r="AD16" s="283">
        <v>48.5758333333333</v>
      </c>
      <c r="AE16" s="283">
        <v>145.20249999999999</v>
      </c>
      <c r="AF16" s="283" t="s">
        <v>334</v>
      </c>
      <c r="AG16" s="283" t="s">
        <v>334</v>
      </c>
      <c r="AH16" s="283" t="s">
        <v>334</v>
      </c>
      <c r="AI16" s="283" t="s">
        <v>334</v>
      </c>
      <c r="AJ16" s="283">
        <v>62.954166666666701</v>
      </c>
      <c r="AK16" s="283" t="s">
        <v>334</v>
      </c>
      <c r="AL16" s="283">
        <v>0.15379166666666699</v>
      </c>
      <c r="AM16" s="283">
        <v>8.4025000000000002E-2</v>
      </c>
      <c r="AN16" s="283">
        <v>1.0223500000000001</v>
      </c>
      <c r="AO16" s="283">
        <v>0.363625162165436</v>
      </c>
      <c r="AP16" s="283" t="s">
        <v>334</v>
      </c>
      <c r="AQ16" s="283">
        <v>2.314851</v>
      </c>
      <c r="AR16" s="283">
        <v>0.13095442800000001</v>
      </c>
      <c r="AS16" s="283">
        <v>0.140911961666667</v>
      </c>
      <c r="AT16" s="283">
        <v>3.98083333333333E-2</v>
      </c>
      <c r="AU16" s="283">
        <v>1581.22</v>
      </c>
      <c r="AV16" s="283" t="s">
        <v>334</v>
      </c>
      <c r="AW16" s="283">
        <v>36.825000000000003</v>
      </c>
      <c r="AX16" s="283" t="s">
        <v>334</v>
      </c>
      <c r="AY16" s="283">
        <v>161.090318372658</v>
      </c>
      <c r="AZ16" s="283" t="s">
        <v>334</v>
      </c>
      <c r="BA16" s="283">
        <v>0.62280000000000002</v>
      </c>
      <c r="BB16" s="283" t="s">
        <v>334</v>
      </c>
      <c r="BC16" s="283">
        <v>0.47155833333333302</v>
      </c>
      <c r="BD16" s="283">
        <v>13</v>
      </c>
      <c r="BE16" s="283" t="s">
        <v>334</v>
      </c>
      <c r="BF16" s="283">
        <v>50</v>
      </c>
      <c r="BG16" s="283">
        <v>59.25</v>
      </c>
      <c r="BH16" s="283">
        <v>27.5</v>
      </c>
      <c r="BI16" s="283">
        <v>540.1318359375</v>
      </c>
      <c r="BJ16" s="283">
        <v>9.52</v>
      </c>
      <c r="BK16" s="283">
        <v>1531.5133333333299</v>
      </c>
      <c r="BL16" s="283">
        <v>260.64999999999998</v>
      </c>
      <c r="BM16" s="283">
        <v>3573.50833333333</v>
      </c>
      <c r="BN16" s="283">
        <v>1739</v>
      </c>
      <c r="BO16" s="283">
        <v>281.10833333333301</v>
      </c>
      <c r="BP16" s="283">
        <v>35.130000000000003</v>
      </c>
      <c r="BQ16" s="283">
        <v>99.720833333333303</v>
      </c>
      <c r="BR16" s="283">
        <v>1.2929999999999999</v>
      </c>
      <c r="BS16" s="281"/>
      <c r="BT16" s="281"/>
      <c r="BU16" s="281"/>
      <c r="BV16" s="281"/>
      <c r="BW16" s="281"/>
      <c r="BX16" s="281"/>
      <c r="BY16" s="281"/>
      <c r="BZ16" s="281"/>
      <c r="CA16" s="281"/>
      <c r="CB16" s="281"/>
      <c r="CC16" s="281"/>
      <c r="CD16" s="281"/>
      <c r="CE16" s="281"/>
      <c r="CF16" s="281"/>
      <c r="CG16" s="281"/>
      <c r="CH16" s="281"/>
      <c r="CI16" s="281"/>
    </row>
    <row r="17" spans="1:87">
      <c r="A17" s="277">
        <v>1967</v>
      </c>
      <c r="B17" s="284">
        <v>1.33</v>
      </c>
      <c r="C17" s="284">
        <v>1.33</v>
      </c>
      <c r="D17" s="284">
        <v>1.33</v>
      </c>
      <c r="E17" s="284" t="s">
        <v>334</v>
      </c>
      <c r="F17" s="284" t="s">
        <v>334</v>
      </c>
      <c r="G17" s="284" t="s">
        <v>334</v>
      </c>
      <c r="H17" s="284">
        <v>0.16</v>
      </c>
      <c r="I17" s="284">
        <v>0.45664737627884</v>
      </c>
      <c r="J17" s="284" t="s">
        <v>334</v>
      </c>
      <c r="K17" s="284" t="s">
        <v>334</v>
      </c>
      <c r="L17" s="284">
        <v>0.59811666666666696</v>
      </c>
      <c r="M17" s="284">
        <v>0.86420833333333302</v>
      </c>
      <c r="N17" s="284">
        <v>0.73911853333333299</v>
      </c>
      <c r="O17" s="284">
        <v>0.83614166666666601</v>
      </c>
      <c r="P17" s="284">
        <v>0.71862073333333298</v>
      </c>
      <c r="Q17" s="284">
        <v>0.79866669999999995</v>
      </c>
      <c r="R17" s="284">
        <v>0.99119959999999996</v>
      </c>
      <c r="S17" s="284">
        <v>326.35833333333301</v>
      </c>
      <c r="T17" s="284" t="s">
        <v>334</v>
      </c>
      <c r="U17" s="284" t="s">
        <v>334</v>
      </c>
      <c r="V17" s="284">
        <v>282.95333333333298</v>
      </c>
      <c r="W17" s="284">
        <v>223.45083333333301</v>
      </c>
      <c r="X17" s="284" t="s">
        <v>334</v>
      </c>
      <c r="Y17" s="284">
        <v>114.72499999999999</v>
      </c>
      <c r="Z17" s="284">
        <v>216.833333333333</v>
      </c>
      <c r="AA17" s="284">
        <v>98.891666666666694</v>
      </c>
      <c r="AB17" s="284">
        <v>26.250324115509901</v>
      </c>
      <c r="AC17" s="284">
        <v>54.102499999999999</v>
      </c>
      <c r="AD17" s="284">
        <v>51.897500000000001</v>
      </c>
      <c r="AE17" s="284">
        <v>189.37333333333299</v>
      </c>
      <c r="AF17" s="284" t="s">
        <v>334</v>
      </c>
      <c r="AG17" s="284" t="s">
        <v>334</v>
      </c>
      <c r="AH17" s="284" t="s">
        <v>334</v>
      </c>
      <c r="AI17" s="284" t="s">
        <v>334</v>
      </c>
      <c r="AJ17" s="284">
        <v>65.709999999999994</v>
      </c>
      <c r="AK17" s="284" t="s">
        <v>334</v>
      </c>
      <c r="AL17" s="284">
        <v>0.15862499999999999</v>
      </c>
      <c r="AM17" s="284">
        <v>0.159008333333333</v>
      </c>
      <c r="AN17" s="284">
        <v>1.0411333333333299</v>
      </c>
      <c r="AO17" s="284">
        <v>0.37215391673575099</v>
      </c>
      <c r="AP17" s="284" t="s">
        <v>334</v>
      </c>
      <c r="AQ17" s="284">
        <v>2.2928047999999999</v>
      </c>
      <c r="AR17" s="284">
        <v>0.12941119400000001</v>
      </c>
      <c r="AS17" s="284">
        <v>0.147158385</v>
      </c>
      <c r="AT17" s="284">
        <v>4.2058333333333302E-2</v>
      </c>
      <c r="AU17" s="284">
        <v>1299.43</v>
      </c>
      <c r="AV17" s="284" t="s">
        <v>334</v>
      </c>
      <c r="AW17" s="284">
        <v>39.329166666666701</v>
      </c>
      <c r="AX17" s="284" t="s">
        <v>334</v>
      </c>
      <c r="AY17" s="284">
        <v>166.88483616584401</v>
      </c>
      <c r="AZ17" s="284" t="s">
        <v>334</v>
      </c>
      <c r="BA17" s="284">
        <v>0.67653333333333299</v>
      </c>
      <c r="BB17" s="284" t="s">
        <v>334</v>
      </c>
      <c r="BC17" s="284">
        <v>0.390125</v>
      </c>
      <c r="BD17" s="284">
        <v>12</v>
      </c>
      <c r="BE17" s="284">
        <v>68.5</v>
      </c>
      <c r="BF17" s="284">
        <v>45</v>
      </c>
      <c r="BG17" s="284">
        <v>49.25</v>
      </c>
      <c r="BH17" s="284">
        <v>25.5</v>
      </c>
      <c r="BI17" s="284">
        <v>540.1318359375</v>
      </c>
      <c r="BJ17" s="284">
        <v>8.86</v>
      </c>
      <c r="BK17" s="284">
        <v>1134.7725</v>
      </c>
      <c r="BL17" s="284">
        <v>227.67500000000001</v>
      </c>
      <c r="BM17" s="284">
        <v>3308.0250000000001</v>
      </c>
      <c r="BN17" s="284">
        <v>1935.7</v>
      </c>
      <c r="BO17" s="284">
        <v>273.33333333333297</v>
      </c>
      <c r="BP17" s="284">
        <v>34.950000000000003</v>
      </c>
      <c r="BQ17" s="284">
        <v>110.24833333333299</v>
      </c>
      <c r="BR17" s="284">
        <v>1.54918333333333</v>
      </c>
      <c r="BS17" s="281"/>
      <c r="BT17" s="281"/>
      <c r="BU17" s="281"/>
      <c r="BV17" s="281"/>
      <c r="BW17" s="281"/>
      <c r="BX17" s="281"/>
      <c r="BY17" s="281"/>
      <c r="BZ17" s="281"/>
      <c r="CA17" s="281"/>
      <c r="CB17" s="281"/>
      <c r="CC17" s="281"/>
      <c r="CD17" s="281"/>
      <c r="CE17" s="281"/>
      <c r="CF17" s="281"/>
      <c r="CG17" s="281"/>
      <c r="CH17" s="281"/>
      <c r="CI17" s="281"/>
    </row>
    <row r="18" spans="1:87">
      <c r="A18" s="282">
        <v>1968</v>
      </c>
      <c r="B18" s="283">
        <v>1.32</v>
      </c>
      <c r="C18" s="283">
        <v>1.32</v>
      </c>
      <c r="D18" s="283">
        <v>1.32</v>
      </c>
      <c r="E18" s="283" t="s">
        <v>334</v>
      </c>
      <c r="F18" s="283" t="s">
        <v>334</v>
      </c>
      <c r="G18" s="283" t="s">
        <v>334</v>
      </c>
      <c r="H18" s="283">
        <v>0.16</v>
      </c>
      <c r="I18" s="283">
        <v>0.451801877372704</v>
      </c>
      <c r="J18" s="283" t="s">
        <v>334</v>
      </c>
      <c r="K18" s="283" t="s">
        <v>334</v>
      </c>
      <c r="L18" s="283">
        <v>0.72088333333333299</v>
      </c>
      <c r="M18" s="283">
        <v>0.86699999999999999</v>
      </c>
      <c r="N18" s="283">
        <v>0.74630177499999995</v>
      </c>
      <c r="O18" s="283">
        <v>0.74870000000000003</v>
      </c>
      <c r="P18" s="283">
        <v>0.67704129999999996</v>
      </c>
      <c r="Q18" s="283">
        <v>0.73333340000000002</v>
      </c>
      <c r="R18" s="283">
        <v>0.83579970000000003</v>
      </c>
      <c r="S18" s="283">
        <v>399.26666666666699</v>
      </c>
      <c r="T18" s="283" t="s">
        <v>334</v>
      </c>
      <c r="U18" s="283" t="s">
        <v>334</v>
      </c>
      <c r="V18" s="283">
        <v>270.73416666666702</v>
      </c>
      <c r="W18" s="283">
        <v>168.830833333333</v>
      </c>
      <c r="X18" s="283" t="s">
        <v>334</v>
      </c>
      <c r="Y18" s="283">
        <v>110.800833333333</v>
      </c>
      <c r="Z18" s="283">
        <v>178.083333333333</v>
      </c>
      <c r="AA18" s="283">
        <v>96.4166666666667</v>
      </c>
      <c r="AB18" s="283">
        <v>25.163887740044501</v>
      </c>
      <c r="AC18" s="283">
        <v>47.963333333333303</v>
      </c>
      <c r="AD18" s="283">
        <v>52.566666666666698</v>
      </c>
      <c r="AE18" s="283">
        <v>182.91333333333299</v>
      </c>
      <c r="AF18" s="283" t="s">
        <v>334</v>
      </c>
      <c r="AG18" s="283" t="s">
        <v>334</v>
      </c>
      <c r="AH18" s="283" t="s">
        <v>334</v>
      </c>
      <c r="AI18" s="283" t="s">
        <v>334</v>
      </c>
      <c r="AJ18" s="283">
        <v>62.771666666666697</v>
      </c>
      <c r="AK18" s="283" t="s">
        <v>334</v>
      </c>
      <c r="AL18" s="283">
        <v>0.15308333333333299</v>
      </c>
      <c r="AM18" s="283">
        <v>0.16800833333333301</v>
      </c>
      <c r="AN18" s="283">
        <v>1.08520833333333</v>
      </c>
      <c r="AO18" s="283">
        <v>0.38389968662763002</v>
      </c>
      <c r="AP18" s="283" t="s">
        <v>334</v>
      </c>
      <c r="AQ18" s="283">
        <v>2.5794054000000002</v>
      </c>
      <c r="AR18" s="283">
        <v>0.112215158</v>
      </c>
      <c r="AS18" s="283">
        <v>0.15285365333333301</v>
      </c>
      <c r="AT18" s="283">
        <v>4.1933333333333302E-2</v>
      </c>
      <c r="AU18" s="283">
        <v>1204.4691666666699</v>
      </c>
      <c r="AV18" s="283" t="s">
        <v>334</v>
      </c>
      <c r="AW18" s="283">
        <v>40.048333333333296</v>
      </c>
      <c r="AX18" s="283" t="s">
        <v>334</v>
      </c>
      <c r="AY18" s="283">
        <v>168.53413884917799</v>
      </c>
      <c r="AZ18" s="283" t="s">
        <v>334</v>
      </c>
      <c r="BA18" s="283">
        <v>0.684516666666667</v>
      </c>
      <c r="BB18" s="283" t="s">
        <v>334</v>
      </c>
      <c r="BC18" s="283">
        <v>0.38211666666666699</v>
      </c>
      <c r="BD18" s="283">
        <v>11.5</v>
      </c>
      <c r="BE18" s="283">
        <v>60.5</v>
      </c>
      <c r="BF18" s="283">
        <v>37.5</v>
      </c>
      <c r="BG18" s="283">
        <v>35.5</v>
      </c>
      <c r="BH18" s="283">
        <v>24</v>
      </c>
      <c r="BI18" s="283">
        <v>552.99208577473996</v>
      </c>
      <c r="BJ18" s="283">
        <v>8.77</v>
      </c>
      <c r="BK18" s="283">
        <v>1241.9525000000001</v>
      </c>
      <c r="BL18" s="283">
        <v>240.49166666666699</v>
      </c>
      <c r="BM18" s="283">
        <v>3126.88333333333</v>
      </c>
      <c r="BN18" s="283">
        <v>2074.5</v>
      </c>
      <c r="BO18" s="283">
        <v>262.89166666666699</v>
      </c>
      <c r="BP18" s="283">
        <v>38.924999999999997</v>
      </c>
      <c r="BQ18" s="283">
        <v>117.208333333333</v>
      </c>
      <c r="BR18" s="283">
        <v>2.1446333333333301</v>
      </c>
      <c r="BS18" s="281"/>
      <c r="BT18" s="281"/>
      <c r="BU18" s="281"/>
      <c r="BV18" s="281"/>
      <c r="BW18" s="281"/>
      <c r="BX18" s="281"/>
      <c r="BY18" s="281"/>
      <c r="BZ18" s="281"/>
      <c r="CA18" s="281"/>
      <c r="CB18" s="281"/>
      <c r="CC18" s="281"/>
      <c r="CD18" s="281"/>
      <c r="CE18" s="281"/>
      <c r="CF18" s="281"/>
      <c r="CG18" s="281"/>
      <c r="CH18" s="281"/>
      <c r="CI18" s="281"/>
    </row>
    <row r="19" spans="1:87">
      <c r="A19" s="277">
        <v>1969</v>
      </c>
      <c r="B19" s="284">
        <v>1.27</v>
      </c>
      <c r="C19" s="284">
        <v>1.27</v>
      </c>
      <c r="D19" s="284">
        <v>1.27</v>
      </c>
      <c r="E19" s="284" t="s">
        <v>334</v>
      </c>
      <c r="F19" s="284" t="s">
        <v>334</v>
      </c>
      <c r="G19" s="284" t="s">
        <v>334</v>
      </c>
      <c r="H19" s="284">
        <v>0.17</v>
      </c>
      <c r="I19" s="284">
        <v>0.45181991823558199</v>
      </c>
      <c r="J19" s="284" t="s">
        <v>334</v>
      </c>
      <c r="K19" s="284" t="s">
        <v>334</v>
      </c>
      <c r="L19" s="284">
        <v>0.89771666666666705</v>
      </c>
      <c r="M19" s="284">
        <v>0.87672499999999998</v>
      </c>
      <c r="N19" s="284">
        <v>0.72973077500000005</v>
      </c>
      <c r="O19" s="284">
        <v>0.72619999999999996</v>
      </c>
      <c r="P19" s="284">
        <v>0.59640110000000002</v>
      </c>
      <c r="Q19" s="284">
        <v>0.86266670000000001</v>
      </c>
      <c r="R19" s="284">
        <v>0.71959969999999995</v>
      </c>
      <c r="S19" s="284">
        <v>361.26666666666699</v>
      </c>
      <c r="T19" s="284" t="s">
        <v>334</v>
      </c>
      <c r="U19" s="284" t="s">
        <v>334</v>
      </c>
      <c r="V19" s="284">
        <v>331.52499999999998</v>
      </c>
      <c r="W19" s="284">
        <v>181.11416666666699</v>
      </c>
      <c r="X19" s="284" t="s">
        <v>334</v>
      </c>
      <c r="Y19" s="284">
        <v>106.746666666667</v>
      </c>
      <c r="Z19" s="284">
        <v>197.166666666667</v>
      </c>
      <c r="AA19" s="284">
        <v>94.6666666666667</v>
      </c>
      <c r="AB19" s="284">
        <v>25.5674891904318</v>
      </c>
      <c r="AC19" s="284">
        <v>52.286666666666697</v>
      </c>
      <c r="AD19" s="284">
        <v>53.758333333333297</v>
      </c>
      <c r="AE19" s="284">
        <v>168.370833333333</v>
      </c>
      <c r="AF19" s="284" t="s">
        <v>334</v>
      </c>
      <c r="AG19" s="284" t="s">
        <v>334</v>
      </c>
      <c r="AH19" s="284" t="s">
        <v>334</v>
      </c>
      <c r="AI19" s="284" t="s">
        <v>334</v>
      </c>
      <c r="AJ19" s="284">
        <v>58.394166666666699</v>
      </c>
      <c r="AK19" s="284" t="s">
        <v>334</v>
      </c>
      <c r="AL19" s="284">
        <v>0.159508333333333</v>
      </c>
      <c r="AM19" s="284">
        <v>0.17003333333333301</v>
      </c>
      <c r="AN19" s="284">
        <v>1.2228666666666701</v>
      </c>
      <c r="AO19" s="284">
        <v>0.40068749638744799</v>
      </c>
      <c r="AP19" s="284" t="s">
        <v>334</v>
      </c>
      <c r="AQ19" s="284">
        <v>2.8660060000000001</v>
      </c>
      <c r="AR19" s="284">
        <v>0.112215158</v>
      </c>
      <c r="AS19" s="284">
        <v>0.15744661166666701</v>
      </c>
      <c r="AT19" s="284">
        <v>7.0591666666666594E-2</v>
      </c>
      <c r="AU19" s="284">
        <v>1112.3824999999999</v>
      </c>
      <c r="AV19" s="284" t="s">
        <v>334</v>
      </c>
      <c r="AW19" s="284">
        <v>38.89</v>
      </c>
      <c r="AX19" s="284" t="s">
        <v>334</v>
      </c>
      <c r="AY19" s="284">
        <v>165.908111728573</v>
      </c>
      <c r="AZ19" s="284" t="s">
        <v>334</v>
      </c>
      <c r="BA19" s="284">
        <v>0.62699166666666695</v>
      </c>
      <c r="BB19" s="284" t="s">
        <v>334</v>
      </c>
      <c r="BC19" s="284">
        <v>0.50219999999999998</v>
      </c>
      <c r="BD19" s="284">
        <v>11.25</v>
      </c>
      <c r="BE19" s="284">
        <v>58</v>
      </c>
      <c r="BF19" s="284">
        <v>39.25</v>
      </c>
      <c r="BG19" s="284">
        <v>26.6</v>
      </c>
      <c r="BH19" s="284">
        <v>22</v>
      </c>
      <c r="BI19" s="284">
        <v>588.44986979166697</v>
      </c>
      <c r="BJ19" s="284">
        <v>9.84</v>
      </c>
      <c r="BK19" s="284">
        <v>1467.34</v>
      </c>
      <c r="BL19" s="284">
        <v>289.89166666666699</v>
      </c>
      <c r="BM19" s="284">
        <v>3427.45</v>
      </c>
      <c r="BN19" s="284">
        <v>2363.4</v>
      </c>
      <c r="BO19" s="284">
        <v>286.40833333333302</v>
      </c>
      <c r="BP19" s="284">
        <v>41.0833333333333</v>
      </c>
      <c r="BQ19" s="284">
        <v>124.1875</v>
      </c>
      <c r="BR19" s="284">
        <v>1.79066666666667</v>
      </c>
      <c r="BS19" s="281"/>
      <c r="BT19" s="281"/>
      <c r="BU19" s="281"/>
      <c r="BV19" s="281"/>
      <c r="BW19" s="281"/>
      <c r="BX19" s="281"/>
      <c r="BY19" s="281"/>
      <c r="BZ19" s="281"/>
      <c r="CA19" s="281"/>
      <c r="CB19" s="281"/>
      <c r="CC19" s="281"/>
      <c r="CD19" s="281"/>
      <c r="CE19" s="281"/>
      <c r="CF19" s="281"/>
      <c r="CG19" s="281"/>
      <c r="CH19" s="281"/>
      <c r="CI19" s="281"/>
    </row>
    <row r="20" spans="1:87">
      <c r="A20" s="282">
        <v>1970</v>
      </c>
      <c r="B20" s="283">
        <v>1.21</v>
      </c>
      <c r="C20" s="283">
        <v>1.21</v>
      </c>
      <c r="D20" s="283">
        <v>1.21</v>
      </c>
      <c r="E20" s="283" t="s">
        <v>334</v>
      </c>
      <c r="F20" s="283">
        <v>7.8</v>
      </c>
      <c r="G20" s="283" t="s">
        <v>334</v>
      </c>
      <c r="H20" s="283">
        <v>0.17</v>
      </c>
      <c r="I20" s="283">
        <v>0.44721801013673601</v>
      </c>
      <c r="J20" s="283" t="s">
        <v>334</v>
      </c>
      <c r="K20" s="283" t="s">
        <v>334</v>
      </c>
      <c r="L20" s="283">
        <v>0.67500000000000004</v>
      </c>
      <c r="M20" s="283">
        <v>1.1466166666666699</v>
      </c>
      <c r="N20" s="283">
        <v>0.91355507499999999</v>
      </c>
      <c r="O20" s="283">
        <v>0.83499999999999996</v>
      </c>
      <c r="P20" s="283">
        <v>0.62664120000000001</v>
      </c>
      <c r="Q20" s="283">
        <v>0.99066670000000001</v>
      </c>
      <c r="R20" s="283">
        <v>0.88759960000000004</v>
      </c>
      <c r="S20" s="283">
        <v>397.183333333333</v>
      </c>
      <c r="T20" s="283" t="s">
        <v>334</v>
      </c>
      <c r="U20" s="283" t="s">
        <v>334</v>
      </c>
      <c r="V20" s="283">
        <v>378.54583333333301</v>
      </c>
      <c r="W20" s="283">
        <v>260.04583333333301</v>
      </c>
      <c r="X20" s="283" t="s">
        <v>334</v>
      </c>
      <c r="Y20" s="283">
        <v>116.916666666667</v>
      </c>
      <c r="Z20" s="283">
        <v>286.33333333333297</v>
      </c>
      <c r="AA20" s="283">
        <v>102.583333333333</v>
      </c>
      <c r="AB20" s="283">
        <v>26.358665507809999</v>
      </c>
      <c r="AC20" s="283">
        <v>58.4</v>
      </c>
      <c r="AD20" s="283">
        <v>51.8</v>
      </c>
      <c r="AE20" s="283">
        <v>126.308333333333</v>
      </c>
      <c r="AF20" s="283" t="s">
        <v>334</v>
      </c>
      <c r="AG20" s="283" t="s">
        <v>334</v>
      </c>
      <c r="AH20" s="283" t="s">
        <v>334</v>
      </c>
      <c r="AI20" s="283" t="s">
        <v>334</v>
      </c>
      <c r="AJ20" s="283">
        <v>54.902500000000003</v>
      </c>
      <c r="AK20" s="283" t="s">
        <v>334</v>
      </c>
      <c r="AL20" s="283">
        <v>0.166083333333333</v>
      </c>
      <c r="AM20" s="283">
        <v>0.16804166666666701</v>
      </c>
      <c r="AN20" s="283">
        <v>1.30429166666667</v>
      </c>
      <c r="AO20" s="283">
        <v>0.41997203448532899</v>
      </c>
      <c r="AP20" s="283" t="s">
        <v>334</v>
      </c>
      <c r="AQ20" s="283">
        <v>2.7337288000000002</v>
      </c>
      <c r="AR20" s="283">
        <v>0.112215158</v>
      </c>
      <c r="AS20" s="283">
        <v>0.16534650000000001</v>
      </c>
      <c r="AT20" s="283">
        <v>8.2241666666666699E-2</v>
      </c>
      <c r="AU20" s="283">
        <v>1075.9775</v>
      </c>
      <c r="AV20" s="283">
        <v>42.99</v>
      </c>
      <c r="AW20" s="283">
        <v>43.131666666666703</v>
      </c>
      <c r="AX20" s="283">
        <v>175</v>
      </c>
      <c r="AY20" s="283">
        <v>175.406404421855</v>
      </c>
      <c r="AZ20" s="283" t="s">
        <v>334</v>
      </c>
      <c r="BA20" s="283">
        <v>0.67628333333333301</v>
      </c>
      <c r="BB20" s="283" t="s">
        <v>334</v>
      </c>
      <c r="BC20" s="283">
        <v>0.40716666666666701</v>
      </c>
      <c r="BD20" s="283">
        <v>11</v>
      </c>
      <c r="BE20" s="283">
        <v>54</v>
      </c>
      <c r="BF20" s="283">
        <v>42.5</v>
      </c>
      <c r="BG20" s="283">
        <v>18.25</v>
      </c>
      <c r="BH20" s="283">
        <v>31.5</v>
      </c>
      <c r="BI20" s="283">
        <v>614.17045084635402</v>
      </c>
      <c r="BJ20" s="283">
        <v>9.84</v>
      </c>
      <c r="BK20" s="283">
        <v>1415.7</v>
      </c>
      <c r="BL20" s="283">
        <v>302.90833333333302</v>
      </c>
      <c r="BM20" s="283">
        <v>3673.45</v>
      </c>
      <c r="BN20" s="283">
        <v>2846.2</v>
      </c>
      <c r="BO20" s="283">
        <v>295.816666666667</v>
      </c>
      <c r="BP20" s="283">
        <v>35.941666666666698</v>
      </c>
      <c r="BQ20" s="283">
        <v>132.5</v>
      </c>
      <c r="BR20" s="283">
        <v>1.7708333333333299</v>
      </c>
      <c r="BS20" s="281"/>
      <c r="BT20" s="281"/>
      <c r="BU20" s="281"/>
      <c r="BV20" s="281"/>
      <c r="BW20" s="281"/>
      <c r="BX20" s="281"/>
      <c r="BY20" s="281"/>
      <c r="BZ20" s="281"/>
      <c r="CA20" s="281"/>
      <c r="CB20" s="281"/>
      <c r="CC20" s="281"/>
      <c r="CD20" s="281"/>
      <c r="CE20" s="281"/>
      <c r="CF20" s="281"/>
      <c r="CG20" s="281"/>
      <c r="CH20" s="281"/>
      <c r="CI20" s="281"/>
    </row>
    <row r="21" spans="1:87">
      <c r="A21" s="277">
        <v>1971</v>
      </c>
      <c r="B21" s="284">
        <v>1.69</v>
      </c>
      <c r="C21" s="284">
        <v>1.69</v>
      </c>
      <c r="D21" s="284">
        <v>1.69</v>
      </c>
      <c r="E21" s="284" t="s">
        <v>334</v>
      </c>
      <c r="F21" s="284">
        <v>8.68</v>
      </c>
      <c r="G21" s="284" t="s">
        <v>334</v>
      </c>
      <c r="H21" s="284">
        <v>0.18</v>
      </c>
      <c r="I21" s="284">
        <v>0.50224354378996605</v>
      </c>
      <c r="J21" s="284" t="s">
        <v>334</v>
      </c>
      <c r="K21" s="284" t="s">
        <v>334</v>
      </c>
      <c r="L21" s="284">
        <v>0.53800000000000003</v>
      </c>
      <c r="M21" s="284">
        <v>0.99187499999999995</v>
      </c>
      <c r="N21" s="284">
        <v>0.93157740833333302</v>
      </c>
      <c r="O21" s="284">
        <v>0.85069166666666596</v>
      </c>
      <c r="P21" s="284">
        <v>0.67673282499999998</v>
      </c>
      <c r="Q21" s="284">
        <v>0.97380937499999998</v>
      </c>
      <c r="R21" s="284">
        <v>0.90159959999999995</v>
      </c>
      <c r="S21" s="284">
        <v>365.52666666666698</v>
      </c>
      <c r="T21" s="284" t="s">
        <v>334</v>
      </c>
      <c r="U21" s="284" t="s">
        <v>334</v>
      </c>
      <c r="V21" s="284">
        <v>440.61500000000001</v>
      </c>
      <c r="W21" s="284">
        <v>260.941666666667</v>
      </c>
      <c r="X21" s="284" t="s">
        <v>334</v>
      </c>
      <c r="Y21" s="284">
        <v>125.583333333333</v>
      </c>
      <c r="Z21" s="284">
        <v>303.75</v>
      </c>
      <c r="AA21" s="284">
        <v>102.25</v>
      </c>
      <c r="AB21" s="284">
        <v>28.3829506028842</v>
      </c>
      <c r="AC21" s="284">
        <v>58.4</v>
      </c>
      <c r="AD21" s="284">
        <v>55.77</v>
      </c>
      <c r="AE21" s="284">
        <v>111.53749999999999</v>
      </c>
      <c r="AF21" s="284" t="s">
        <v>334</v>
      </c>
      <c r="AG21" s="284" t="s">
        <v>334</v>
      </c>
      <c r="AH21" s="284" t="s">
        <v>334</v>
      </c>
      <c r="AI21" s="284" t="s">
        <v>334</v>
      </c>
      <c r="AJ21" s="284">
        <v>61.728333333333303</v>
      </c>
      <c r="AK21" s="284" t="s">
        <v>334</v>
      </c>
      <c r="AL21" s="284">
        <v>0.14016666666666699</v>
      </c>
      <c r="AM21" s="284">
        <v>0.153008333333333</v>
      </c>
      <c r="AN21" s="284">
        <v>1.34585833333333</v>
      </c>
      <c r="AO21" s="284">
        <v>0.44006712097977302</v>
      </c>
      <c r="AP21" s="284">
        <v>0.79675833333333301</v>
      </c>
      <c r="AQ21" s="284">
        <v>3.3069299999999999</v>
      </c>
      <c r="AR21" s="284">
        <v>0.113831879333333</v>
      </c>
      <c r="AS21" s="284">
        <v>0.17489985333333299</v>
      </c>
      <c r="AT21" s="284">
        <v>9.9099999999999994E-2</v>
      </c>
      <c r="AU21" s="284">
        <v>1042.6466666666699</v>
      </c>
      <c r="AV21" s="284">
        <v>44.43</v>
      </c>
      <c r="AW21" s="284">
        <v>43.265000000000001</v>
      </c>
      <c r="AX21" s="284" t="s">
        <v>334</v>
      </c>
      <c r="AY21" s="284">
        <v>175.72387991557801</v>
      </c>
      <c r="AZ21" s="284" t="s">
        <v>334</v>
      </c>
      <c r="BA21" s="284">
        <v>0.78320000000000001</v>
      </c>
      <c r="BB21" s="284" t="s">
        <v>334</v>
      </c>
      <c r="BC21" s="284">
        <v>0.33255000000000001</v>
      </c>
      <c r="BD21" s="284">
        <v>11.25</v>
      </c>
      <c r="BE21" s="284">
        <v>61.75</v>
      </c>
      <c r="BF21" s="284">
        <v>43.25</v>
      </c>
      <c r="BG21" s="284">
        <v>16</v>
      </c>
      <c r="BH21" s="284">
        <v>32.5</v>
      </c>
      <c r="BI21" s="284">
        <v>627.94932047526004</v>
      </c>
      <c r="BJ21" s="284">
        <v>10.33</v>
      </c>
      <c r="BK21" s="284">
        <v>1081.4166666666699</v>
      </c>
      <c r="BL21" s="284">
        <v>253.625</v>
      </c>
      <c r="BM21" s="284">
        <v>3511.9666666666699</v>
      </c>
      <c r="BN21" s="284">
        <v>2932.1</v>
      </c>
      <c r="BO21" s="284">
        <v>309.28333333333302</v>
      </c>
      <c r="BP21" s="284">
        <v>40.804166666666703</v>
      </c>
      <c r="BQ21" s="284">
        <v>123.041666666667</v>
      </c>
      <c r="BR21" s="284">
        <v>1.5456416666666699</v>
      </c>
      <c r="BS21" s="281"/>
      <c r="BT21" s="281"/>
      <c r="BU21" s="281"/>
      <c r="BV21" s="281"/>
      <c r="BW21" s="281"/>
      <c r="BX21" s="281"/>
      <c r="BY21" s="281"/>
      <c r="BZ21" s="281"/>
      <c r="CA21" s="281"/>
      <c r="CB21" s="281"/>
      <c r="CC21" s="281"/>
      <c r="CD21" s="281"/>
      <c r="CE21" s="281"/>
      <c r="CF21" s="281"/>
      <c r="CG21" s="281"/>
      <c r="CH21" s="281"/>
      <c r="CI21" s="281"/>
    </row>
    <row r="22" spans="1:87">
      <c r="A22" s="282">
        <v>1972</v>
      </c>
      <c r="B22" s="283">
        <v>1.82</v>
      </c>
      <c r="C22" s="283">
        <v>1.82</v>
      </c>
      <c r="D22" s="283">
        <v>1.82</v>
      </c>
      <c r="E22" s="283" t="s">
        <v>334</v>
      </c>
      <c r="F22" s="283">
        <v>9.6</v>
      </c>
      <c r="G22" s="283" t="s">
        <v>334</v>
      </c>
      <c r="H22" s="283">
        <v>0.19</v>
      </c>
      <c r="I22" s="283">
        <v>0.54216598654527204</v>
      </c>
      <c r="J22" s="283" t="s">
        <v>334</v>
      </c>
      <c r="K22" s="283" t="s">
        <v>334</v>
      </c>
      <c r="L22" s="283">
        <v>0.64400000000000002</v>
      </c>
      <c r="M22" s="283">
        <v>1.1095916666666701</v>
      </c>
      <c r="N22" s="283">
        <v>0.99607937499999999</v>
      </c>
      <c r="O22" s="283">
        <v>0.78224166666666695</v>
      </c>
      <c r="P22" s="283">
        <v>0.699631591666667</v>
      </c>
      <c r="Q22" s="283">
        <v>0.83648714166666704</v>
      </c>
      <c r="R22" s="283">
        <v>0.81059970000000003</v>
      </c>
      <c r="S22" s="283">
        <v>234.06</v>
      </c>
      <c r="T22" s="283" t="s">
        <v>334</v>
      </c>
      <c r="U22" s="283" t="s">
        <v>334</v>
      </c>
      <c r="V22" s="283">
        <v>425.93416666666701</v>
      </c>
      <c r="W22" s="283">
        <v>217.25833333333301</v>
      </c>
      <c r="X22" s="283" t="s">
        <v>334</v>
      </c>
      <c r="Y22" s="283">
        <v>140</v>
      </c>
      <c r="Z22" s="283">
        <v>240.583333333333</v>
      </c>
      <c r="AA22" s="283">
        <v>129.833333333333</v>
      </c>
      <c r="AB22" s="283">
        <v>30.066429758987599</v>
      </c>
      <c r="AC22" s="283">
        <v>55.752499999999998</v>
      </c>
      <c r="AD22" s="283">
        <v>56.238333333333301</v>
      </c>
      <c r="AE22" s="283">
        <v>129.449166666667</v>
      </c>
      <c r="AF22" s="283" t="s">
        <v>334</v>
      </c>
      <c r="AG22" s="283" t="s">
        <v>334</v>
      </c>
      <c r="AH22" s="283" t="s">
        <v>334</v>
      </c>
      <c r="AI22" s="283" t="s">
        <v>334</v>
      </c>
      <c r="AJ22" s="283">
        <v>69.8125</v>
      </c>
      <c r="AK22" s="283" t="s">
        <v>334</v>
      </c>
      <c r="AL22" s="283">
        <v>0.1361</v>
      </c>
      <c r="AM22" s="283">
        <v>0.154983333333333</v>
      </c>
      <c r="AN22" s="283">
        <v>1.48026666666667</v>
      </c>
      <c r="AO22" s="283">
        <v>0.47262380014537397</v>
      </c>
      <c r="AP22" s="283">
        <v>1.0681</v>
      </c>
      <c r="AQ22" s="283">
        <v>4.1226393999999997</v>
      </c>
      <c r="AR22" s="283">
        <v>0.15002439100000001</v>
      </c>
      <c r="AS22" s="283">
        <v>0.18812757333333299</v>
      </c>
      <c r="AT22" s="283">
        <v>0.160275</v>
      </c>
      <c r="AU22" s="283">
        <v>1073.6424999999999</v>
      </c>
      <c r="AV22" s="283">
        <v>52.48</v>
      </c>
      <c r="AW22" s="283">
        <v>41.115833333333299</v>
      </c>
      <c r="AX22" s="283" t="s">
        <v>334</v>
      </c>
      <c r="AY22" s="283">
        <v>170.928573831276</v>
      </c>
      <c r="AZ22" s="283" t="s">
        <v>334</v>
      </c>
      <c r="BA22" s="283">
        <v>0.82699166666666701</v>
      </c>
      <c r="BB22" s="283" t="s">
        <v>334</v>
      </c>
      <c r="BC22" s="283">
        <v>0.33177499999999999</v>
      </c>
      <c r="BD22" s="283">
        <v>11.5</v>
      </c>
      <c r="BE22" s="283">
        <v>91</v>
      </c>
      <c r="BF22" s="283">
        <v>67.5</v>
      </c>
      <c r="BG22" s="283">
        <v>29.25</v>
      </c>
      <c r="BH22" s="283">
        <v>33.5</v>
      </c>
      <c r="BI22" s="283">
        <v>590.10331217447902</v>
      </c>
      <c r="BJ22" s="283">
        <v>10.33</v>
      </c>
      <c r="BK22" s="283">
        <v>1057.675</v>
      </c>
      <c r="BL22" s="283">
        <v>301.65833333333302</v>
      </c>
      <c r="BM22" s="283">
        <v>3739.9583333333298</v>
      </c>
      <c r="BN22" s="283">
        <v>3079.9</v>
      </c>
      <c r="BO22" s="283">
        <v>377.691666666667</v>
      </c>
      <c r="BP22" s="283">
        <v>58.1591666666667</v>
      </c>
      <c r="BQ22" s="283">
        <v>127.125</v>
      </c>
      <c r="BR22" s="283">
        <v>1.6845666666666701</v>
      </c>
      <c r="BS22" s="281"/>
      <c r="BT22" s="281"/>
      <c r="BU22" s="281"/>
      <c r="BV22" s="281"/>
      <c r="BW22" s="281"/>
      <c r="BX22" s="281"/>
      <c r="BY22" s="281"/>
      <c r="BZ22" s="281"/>
      <c r="CA22" s="281"/>
      <c r="CB22" s="281"/>
      <c r="CC22" s="281"/>
      <c r="CD22" s="281"/>
      <c r="CE22" s="281"/>
      <c r="CF22" s="281"/>
      <c r="CG22" s="281"/>
      <c r="CH22" s="281"/>
      <c r="CI22" s="281"/>
    </row>
    <row r="23" spans="1:87">
      <c r="A23" s="277">
        <v>1973</v>
      </c>
      <c r="B23" s="284">
        <v>2.8075000000000001</v>
      </c>
      <c r="C23" s="284">
        <v>2.8075000000000001</v>
      </c>
      <c r="D23" s="284">
        <v>2.8075000000000001</v>
      </c>
      <c r="E23" s="284" t="s">
        <v>334</v>
      </c>
      <c r="F23" s="284">
        <v>11.48</v>
      </c>
      <c r="G23" s="284" t="s">
        <v>334</v>
      </c>
      <c r="H23" s="284">
        <v>0.21</v>
      </c>
      <c r="I23" s="284">
        <v>0.69350672431226301</v>
      </c>
      <c r="J23" s="284" t="s">
        <v>334</v>
      </c>
      <c r="K23" s="284" t="s">
        <v>334</v>
      </c>
      <c r="L23" s="284">
        <v>1.131</v>
      </c>
      <c r="M23" s="284">
        <v>1.3734500000000001</v>
      </c>
      <c r="N23" s="284">
        <v>1.0998595</v>
      </c>
      <c r="O23" s="284">
        <v>0.78825833333333295</v>
      </c>
      <c r="P23" s="284">
        <v>0.66159353333333304</v>
      </c>
      <c r="Q23" s="284">
        <v>0.86592464166666705</v>
      </c>
      <c r="R23" s="284">
        <v>0.83724385833333403</v>
      </c>
      <c r="S23" s="284">
        <v>513</v>
      </c>
      <c r="T23" s="284" t="s">
        <v>334</v>
      </c>
      <c r="U23" s="284" t="s">
        <v>334</v>
      </c>
      <c r="V23" s="284">
        <v>546.16833333333295</v>
      </c>
      <c r="W23" s="284">
        <v>377.53833333333301</v>
      </c>
      <c r="X23" s="284" t="s">
        <v>334</v>
      </c>
      <c r="Y23" s="284">
        <v>290.33333333333297</v>
      </c>
      <c r="Z23" s="284">
        <v>436</v>
      </c>
      <c r="AA23" s="284">
        <v>301.66666666666703</v>
      </c>
      <c r="AB23" s="284">
        <v>51.029191345616198</v>
      </c>
      <c r="AC23" s="284">
        <v>97.821666666666701</v>
      </c>
      <c r="AD23" s="284">
        <v>93.391666666666694</v>
      </c>
      <c r="AE23" s="284">
        <v>289.58</v>
      </c>
      <c r="AF23" s="284" t="s">
        <v>334</v>
      </c>
      <c r="AG23" s="284" t="s">
        <v>334</v>
      </c>
      <c r="AH23" s="284" t="s">
        <v>334</v>
      </c>
      <c r="AI23" s="284" t="s">
        <v>334</v>
      </c>
      <c r="AJ23" s="284">
        <v>139.81</v>
      </c>
      <c r="AK23" s="284" t="s">
        <v>334</v>
      </c>
      <c r="AL23" s="284">
        <v>0.14508333333333301</v>
      </c>
      <c r="AM23" s="284">
        <v>0.16300000000000001</v>
      </c>
      <c r="AN23" s="284">
        <v>2.010875</v>
      </c>
      <c r="AO23" s="284">
        <v>0.52907754398856999</v>
      </c>
      <c r="AP23" s="284">
        <v>1.3910499999999999</v>
      </c>
      <c r="AQ23" s="284">
        <v>5.0044874000000004</v>
      </c>
      <c r="AR23" s="284">
        <v>0.14704815399999999</v>
      </c>
      <c r="AS23" s="284">
        <v>0.22685539800000001</v>
      </c>
      <c r="AT23" s="284">
        <v>0.20857500000000001</v>
      </c>
      <c r="AU23" s="284">
        <v>1128.0208333333301</v>
      </c>
      <c r="AV23" s="284">
        <v>133.47</v>
      </c>
      <c r="AW23" s="284">
        <v>68.029166666666697</v>
      </c>
      <c r="AX23" s="284" t="s">
        <v>334</v>
      </c>
      <c r="AY23" s="284">
        <v>223.52884858539201</v>
      </c>
      <c r="AZ23" s="284" t="s">
        <v>334</v>
      </c>
      <c r="BA23" s="284">
        <v>1.3905749999999999</v>
      </c>
      <c r="BB23" s="284" t="s">
        <v>334</v>
      </c>
      <c r="BC23" s="284">
        <v>0.67800833333333299</v>
      </c>
      <c r="BD23" s="284">
        <v>13.75</v>
      </c>
      <c r="BE23" s="284">
        <v>118.75</v>
      </c>
      <c r="BF23" s="284">
        <v>99.5</v>
      </c>
      <c r="BG23" s="284">
        <v>64.75</v>
      </c>
      <c r="BH23" s="284">
        <v>42.5</v>
      </c>
      <c r="BI23" s="284">
        <v>599.10548909505201</v>
      </c>
      <c r="BJ23" s="284">
        <v>10.33</v>
      </c>
      <c r="BK23" s="284">
        <v>1785.3583333333299</v>
      </c>
      <c r="BL23" s="284">
        <v>429.683333333333</v>
      </c>
      <c r="BM23" s="284">
        <v>4802.2</v>
      </c>
      <c r="BN23" s="284">
        <v>3373.1</v>
      </c>
      <c r="BO23" s="284">
        <v>845.33333333333303</v>
      </c>
      <c r="BP23" s="284">
        <v>97.325833333333307</v>
      </c>
      <c r="BQ23" s="284">
        <v>152.18416666666701</v>
      </c>
      <c r="BR23" s="284">
        <v>2.55755833333333</v>
      </c>
      <c r="BS23" s="281"/>
      <c r="BT23" s="281"/>
      <c r="BU23" s="281"/>
      <c r="BV23" s="281"/>
      <c r="BW23" s="281"/>
      <c r="BX23" s="281"/>
      <c r="BY23" s="281"/>
      <c r="BZ23" s="281"/>
      <c r="CA23" s="281"/>
      <c r="CB23" s="281"/>
      <c r="CC23" s="281"/>
      <c r="CD23" s="281"/>
      <c r="CE23" s="281"/>
      <c r="CF23" s="281"/>
      <c r="CG23" s="281"/>
      <c r="CH23" s="281"/>
      <c r="CI23" s="281"/>
    </row>
    <row r="24" spans="1:87">
      <c r="A24" s="282">
        <v>1974</v>
      </c>
      <c r="B24" s="283">
        <v>10.974999427795399</v>
      </c>
      <c r="C24" s="283">
        <v>10.974999427795399</v>
      </c>
      <c r="D24" s="283">
        <v>10.974999427795399</v>
      </c>
      <c r="E24" s="283" t="s">
        <v>334</v>
      </c>
      <c r="F24" s="283">
        <v>16.89</v>
      </c>
      <c r="G24" s="283" t="s">
        <v>334</v>
      </c>
      <c r="H24" s="283">
        <v>0.28999999999999998</v>
      </c>
      <c r="I24" s="283">
        <v>1.73</v>
      </c>
      <c r="J24" s="283" t="s">
        <v>334</v>
      </c>
      <c r="K24" s="283" t="s">
        <v>334</v>
      </c>
      <c r="L24" s="283">
        <v>1.5609999999999999</v>
      </c>
      <c r="M24" s="283">
        <v>1.45153333333333</v>
      </c>
      <c r="N24" s="283">
        <v>1.2935493333333301</v>
      </c>
      <c r="O24" s="283">
        <v>1.0937749999999999</v>
      </c>
      <c r="P24" s="283">
        <v>0.88988659999999997</v>
      </c>
      <c r="Q24" s="283">
        <v>1.25462845</v>
      </c>
      <c r="R24" s="283">
        <v>1.1368</v>
      </c>
      <c r="S24" s="283">
        <v>997.58333333333405</v>
      </c>
      <c r="T24" s="283" t="s">
        <v>334</v>
      </c>
      <c r="U24" s="283" t="s">
        <v>334</v>
      </c>
      <c r="V24" s="283">
        <v>1076.8875</v>
      </c>
      <c r="W24" s="283">
        <v>669.05333333333294</v>
      </c>
      <c r="X24" s="283" t="s">
        <v>334</v>
      </c>
      <c r="Y24" s="283">
        <v>276.91666666666703</v>
      </c>
      <c r="Z24" s="283">
        <v>832.16666666666595</v>
      </c>
      <c r="AA24" s="283">
        <v>184.333333333333</v>
      </c>
      <c r="AB24" s="283">
        <v>64.933098524967605</v>
      </c>
      <c r="AC24" s="283">
        <v>131.22583333333299</v>
      </c>
      <c r="AD24" s="283">
        <v>120.9425</v>
      </c>
      <c r="AE24" s="283">
        <v>517.16499999999996</v>
      </c>
      <c r="AF24" s="283" t="s">
        <v>334</v>
      </c>
      <c r="AG24" s="283" t="s">
        <v>334</v>
      </c>
      <c r="AH24" s="283" t="s">
        <v>334</v>
      </c>
      <c r="AI24" s="283" t="s">
        <v>334</v>
      </c>
      <c r="AJ24" s="283">
        <v>179.705833333333</v>
      </c>
      <c r="AK24" s="283" t="s">
        <v>334</v>
      </c>
      <c r="AL24" s="283">
        <v>0.183995833333333</v>
      </c>
      <c r="AM24" s="283">
        <v>0.183975</v>
      </c>
      <c r="AN24" s="283">
        <v>1.582225</v>
      </c>
      <c r="AO24" s="283">
        <v>0.55890230478756697</v>
      </c>
      <c r="AP24" s="283">
        <v>1.4235916666666699</v>
      </c>
      <c r="AQ24" s="283">
        <v>4.6517482000000001</v>
      </c>
      <c r="AR24" s="283">
        <v>0.234700170833333</v>
      </c>
      <c r="AS24" s="283">
        <v>0.64997709150000005</v>
      </c>
      <c r="AT24" s="283">
        <v>0.65481666666666705</v>
      </c>
      <c r="AU24" s="283">
        <v>1482.0725</v>
      </c>
      <c r="AV24" s="283">
        <v>120.43</v>
      </c>
      <c r="AW24" s="283">
        <v>81.663333333333298</v>
      </c>
      <c r="AX24" s="283" t="s">
        <v>334</v>
      </c>
      <c r="AY24" s="283">
        <v>246.83365396770299</v>
      </c>
      <c r="AZ24" s="283" t="s">
        <v>334</v>
      </c>
      <c r="BA24" s="283">
        <v>1.4587416666666699</v>
      </c>
      <c r="BB24" s="283" t="s">
        <v>334</v>
      </c>
      <c r="BC24" s="283">
        <v>0.75160000000000005</v>
      </c>
      <c r="BD24" s="283">
        <v>54.5208333333333</v>
      </c>
      <c r="BE24" s="283">
        <v>332.620833333333</v>
      </c>
      <c r="BF24" s="283">
        <v>303.58333333333297</v>
      </c>
      <c r="BG24" s="283">
        <v>285.75</v>
      </c>
      <c r="BH24" s="283">
        <v>60.5</v>
      </c>
      <c r="BI24" s="283">
        <v>764.81943766276004</v>
      </c>
      <c r="BJ24" s="283">
        <v>13.38</v>
      </c>
      <c r="BK24" s="283">
        <v>2058.5</v>
      </c>
      <c r="BL24" s="283">
        <v>592.25833333333298</v>
      </c>
      <c r="BM24" s="283">
        <v>8184.2666666666701</v>
      </c>
      <c r="BN24" s="283">
        <v>3825.25</v>
      </c>
      <c r="BO24" s="283">
        <v>1239.5833333333301</v>
      </c>
      <c r="BP24" s="283">
        <v>159.245</v>
      </c>
      <c r="BQ24" s="283">
        <v>184.97749999999999</v>
      </c>
      <c r="BR24" s="283">
        <v>4.7079800000000001</v>
      </c>
      <c r="BS24" s="281"/>
      <c r="BT24" s="281"/>
      <c r="BU24" s="281"/>
      <c r="BV24" s="281"/>
      <c r="BW24" s="281"/>
      <c r="BX24" s="281"/>
      <c r="BY24" s="281"/>
      <c r="BZ24" s="281"/>
      <c r="CA24" s="281"/>
      <c r="CB24" s="281"/>
      <c r="CC24" s="281"/>
      <c r="CD24" s="281"/>
      <c r="CE24" s="281"/>
      <c r="CF24" s="281"/>
      <c r="CG24" s="281"/>
      <c r="CH24" s="281"/>
      <c r="CI24" s="281"/>
    </row>
    <row r="25" spans="1:87">
      <c r="A25" s="277">
        <v>1975</v>
      </c>
      <c r="B25" s="284">
        <v>10.432500123977601</v>
      </c>
      <c r="C25" s="284">
        <v>10.432500123977601</v>
      </c>
      <c r="D25" s="284">
        <v>10.432500123977601</v>
      </c>
      <c r="E25" s="284" t="s">
        <v>334</v>
      </c>
      <c r="F25" s="284">
        <v>26.84</v>
      </c>
      <c r="G25" s="284" t="s">
        <v>334</v>
      </c>
      <c r="H25" s="284">
        <v>0.43</v>
      </c>
      <c r="I25" s="284">
        <v>1.6820935907694801</v>
      </c>
      <c r="J25" s="284" t="s">
        <v>334</v>
      </c>
      <c r="K25" s="284" t="s">
        <v>334</v>
      </c>
      <c r="L25" s="284">
        <v>1.246</v>
      </c>
      <c r="M25" s="284">
        <v>1.4421250000000001</v>
      </c>
      <c r="N25" s="284">
        <v>1.3458526666666699</v>
      </c>
      <c r="O25" s="284">
        <v>1.14215</v>
      </c>
      <c r="P25" s="284">
        <v>0.88141170000000002</v>
      </c>
      <c r="Q25" s="284">
        <v>1.44858316666667</v>
      </c>
      <c r="R25" s="284">
        <v>1.0964731166666699</v>
      </c>
      <c r="S25" s="284">
        <v>393.5</v>
      </c>
      <c r="T25" s="284" t="s">
        <v>334</v>
      </c>
      <c r="U25" s="284" t="s">
        <v>334</v>
      </c>
      <c r="V25" s="284">
        <v>857.5</v>
      </c>
      <c r="W25" s="284">
        <v>434.16916666666702</v>
      </c>
      <c r="X25" s="284" t="s">
        <v>334</v>
      </c>
      <c r="Y25" s="284">
        <v>219.916666666667</v>
      </c>
      <c r="Z25" s="284">
        <v>563.33333333333303</v>
      </c>
      <c r="AA25" s="284">
        <v>155</v>
      </c>
      <c r="AB25" s="284">
        <v>58.978615120559297</v>
      </c>
      <c r="AC25" s="284">
        <v>119.63500000000001</v>
      </c>
      <c r="AD25" s="284">
        <v>111.87333333333299</v>
      </c>
      <c r="AE25" s="284">
        <v>341.428333333333</v>
      </c>
      <c r="AF25" s="284" t="s">
        <v>334</v>
      </c>
      <c r="AG25" s="284" t="s">
        <v>334</v>
      </c>
      <c r="AH25" s="284" t="s">
        <v>334</v>
      </c>
      <c r="AI25" s="284" t="s">
        <v>334</v>
      </c>
      <c r="AJ25" s="284">
        <v>149.05500000000001</v>
      </c>
      <c r="AK25" s="284" t="s">
        <v>334</v>
      </c>
      <c r="AL25" s="284">
        <v>0.21766666666666701</v>
      </c>
      <c r="AM25" s="284">
        <v>0.22800833333333301</v>
      </c>
      <c r="AN25" s="284">
        <v>1.3270916666666699</v>
      </c>
      <c r="AO25" s="284">
        <v>0.58063009308283897</v>
      </c>
      <c r="AP25" s="284">
        <v>1.47759166666667</v>
      </c>
      <c r="AQ25" s="284">
        <v>5.8863354000000001</v>
      </c>
      <c r="AR25" s="284">
        <v>0.34041169983333303</v>
      </c>
      <c r="AS25" s="284">
        <v>0.49545160133333299</v>
      </c>
      <c r="AT25" s="284">
        <v>0.451091666666667</v>
      </c>
      <c r="AU25" s="284">
        <v>1841.9891666666699</v>
      </c>
      <c r="AV25" s="284">
        <v>126.57</v>
      </c>
      <c r="AW25" s="284">
        <v>67.510000000000005</v>
      </c>
      <c r="AX25" s="284" t="s">
        <v>334</v>
      </c>
      <c r="AY25" s="284">
        <v>223.43818486601401</v>
      </c>
      <c r="AZ25" s="284" t="s">
        <v>334</v>
      </c>
      <c r="BA25" s="284">
        <v>1.2228749999999999</v>
      </c>
      <c r="BB25" s="284" t="s">
        <v>334</v>
      </c>
      <c r="BC25" s="284">
        <v>0.56090833333333301</v>
      </c>
      <c r="BD25" s="284">
        <v>67.1666666666667</v>
      </c>
      <c r="BE25" s="284">
        <v>242.5</v>
      </c>
      <c r="BF25" s="284">
        <v>202.5</v>
      </c>
      <c r="BG25" s="284">
        <v>168</v>
      </c>
      <c r="BH25" s="284">
        <v>81.3333333333333</v>
      </c>
      <c r="BI25" s="284">
        <v>868.43656412760402</v>
      </c>
      <c r="BJ25" s="284">
        <v>17.3</v>
      </c>
      <c r="BK25" s="284">
        <v>1234.75</v>
      </c>
      <c r="BL25" s="284">
        <v>411.67500000000001</v>
      </c>
      <c r="BM25" s="284">
        <v>6876.5749999999998</v>
      </c>
      <c r="BN25" s="284">
        <v>4571.3333333333303</v>
      </c>
      <c r="BO25" s="284">
        <v>745.16666666666595</v>
      </c>
      <c r="BP25" s="284">
        <v>161.02916666666701</v>
      </c>
      <c r="BQ25" s="284">
        <v>169.87416666666701</v>
      </c>
      <c r="BR25" s="284">
        <v>4.4185150000000002</v>
      </c>
      <c r="BS25" s="281"/>
      <c r="BT25" s="281"/>
      <c r="BU25" s="281"/>
      <c r="BV25" s="281"/>
      <c r="BW25" s="281"/>
      <c r="BX25" s="281"/>
      <c r="BY25" s="281"/>
      <c r="BZ25" s="281"/>
      <c r="CA25" s="281"/>
      <c r="CB25" s="281"/>
      <c r="CC25" s="281"/>
      <c r="CD25" s="281"/>
      <c r="CE25" s="281"/>
      <c r="CF25" s="281"/>
      <c r="CG25" s="281"/>
      <c r="CH25" s="281"/>
      <c r="CI25" s="281"/>
    </row>
    <row r="26" spans="1:87">
      <c r="A26" s="282">
        <v>1976</v>
      </c>
      <c r="B26" s="283">
        <v>11.6300001144409</v>
      </c>
      <c r="C26" s="283">
        <v>11.6300001144409</v>
      </c>
      <c r="D26" s="283">
        <v>11.6300001144409</v>
      </c>
      <c r="E26" s="283" t="s">
        <v>334</v>
      </c>
      <c r="F26" s="283">
        <v>27.16</v>
      </c>
      <c r="G26" s="283" t="s">
        <v>334</v>
      </c>
      <c r="H26" s="283">
        <v>0.58083333333333298</v>
      </c>
      <c r="I26" s="283">
        <v>1.73511329971173</v>
      </c>
      <c r="J26" s="283" t="s">
        <v>334</v>
      </c>
      <c r="K26" s="283" t="s">
        <v>334</v>
      </c>
      <c r="L26" s="283">
        <v>2.04575</v>
      </c>
      <c r="M26" s="283">
        <v>3.1466583333333298</v>
      </c>
      <c r="N26" s="283">
        <v>2.81339766666667</v>
      </c>
      <c r="O26" s="283">
        <v>1.1871166666666699</v>
      </c>
      <c r="P26" s="283">
        <v>0.92756736666666595</v>
      </c>
      <c r="Q26" s="283">
        <v>1.4182170833333301</v>
      </c>
      <c r="R26" s="283">
        <v>1.21553025</v>
      </c>
      <c r="S26" s="283">
        <v>418.5</v>
      </c>
      <c r="T26" s="283" t="s">
        <v>334</v>
      </c>
      <c r="U26" s="283" t="s">
        <v>334</v>
      </c>
      <c r="V26" s="283">
        <v>712.83333333333405</v>
      </c>
      <c r="W26" s="283">
        <v>406.53416666666698</v>
      </c>
      <c r="X26" s="283" t="s">
        <v>334</v>
      </c>
      <c r="Y26" s="283">
        <v>231.166666666667</v>
      </c>
      <c r="Z26" s="283">
        <v>438.33333333333297</v>
      </c>
      <c r="AA26" s="283">
        <v>200</v>
      </c>
      <c r="AB26" s="283">
        <v>55.7940304411336</v>
      </c>
      <c r="AC26" s="283">
        <v>112.371666666667</v>
      </c>
      <c r="AD26" s="283">
        <v>105.213333333333</v>
      </c>
      <c r="AE26" s="283">
        <v>234.680833333333</v>
      </c>
      <c r="AF26" s="283" t="s">
        <v>334</v>
      </c>
      <c r="AG26" s="283" t="s">
        <v>334</v>
      </c>
      <c r="AH26" s="283" t="s">
        <v>334</v>
      </c>
      <c r="AI26" s="283" t="s">
        <v>334</v>
      </c>
      <c r="AJ26" s="283">
        <v>132.91999999999999</v>
      </c>
      <c r="AK26" s="283" t="s">
        <v>334</v>
      </c>
      <c r="AL26" s="283">
        <v>0.258583333333333</v>
      </c>
      <c r="AM26" s="283">
        <v>0.216</v>
      </c>
      <c r="AN26" s="283">
        <v>1.581</v>
      </c>
      <c r="AO26" s="283">
        <v>0.61029466647976505</v>
      </c>
      <c r="AP26" s="283">
        <v>1.5660833333333299</v>
      </c>
      <c r="AQ26" s="283">
        <v>8.3114173999999998</v>
      </c>
      <c r="AR26" s="283">
        <v>0.295216989833333</v>
      </c>
      <c r="AS26" s="283">
        <v>0.29343492199999999</v>
      </c>
      <c r="AT26" s="283">
        <v>0.25482500000000002</v>
      </c>
      <c r="AU26" s="283">
        <v>2186.7150000000001</v>
      </c>
      <c r="AV26" s="283">
        <v>142.33916666666701</v>
      </c>
      <c r="AW26" s="283">
        <v>92.017499999999998</v>
      </c>
      <c r="AX26" s="283" t="s">
        <v>334</v>
      </c>
      <c r="AY26" s="283">
        <v>263.54774328822401</v>
      </c>
      <c r="AZ26" s="283" t="s">
        <v>334</v>
      </c>
      <c r="BA26" s="283">
        <v>1.7475083333333301</v>
      </c>
      <c r="BB26" s="283" t="s">
        <v>334</v>
      </c>
      <c r="BC26" s="283">
        <v>0.77373333333333405</v>
      </c>
      <c r="BD26" s="283">
        <v>35.8333333333333</v>
      </c>
      <c r="BE26" s="283">
        <v>119.916666666667</v>
      </c>
      <c r="BF26" s="283">
        <v>90.9166666666667</v>
      </c>
      <c r="BG26" s="283">
        <v>82</v>
      </c>
      <c r="BH26" s="283">
        <v>55.5</v>
      </c>
      <c r="BI26" s="283">
        <v>889.931640625</v>
      </c>
      <c r="BJ26" s="283">
        <v>22.72</v>
      </c>
      <c r="BK26" s="283">
        <v>1400.75</v>
      </c>
      <c r="BL26" s="283">
        <v>446.41666666666703</v>
      </c>
      <c r="BM26" s="283">
        <v>7585.5416666666697</v>
      </c>
      <c r="BN26" s="283">
        <v>4973.0833333333303</v>
      </c>
      <c r="BO26" s="283">
        <v>711.41666666666595</v>
      </c>
      <c r="BP26" s="283">
        <v>124.815833333333</v>
      </c>
      <c r="BQ26" s="283">
        <v>159.64750000000001</v>
      </c>
      <c r="BR26" s="283">
        <v>4.3556249999999999</v>
      </c>
      <c r="BS26" s="281"/>
      <c r="BT26" s="281"/>
      <c r="BU26" s="281"/>
      <c r="BV26" s="281"/>
      <c r="BW26" s="281"/>
      <c r="BX26" s="281"/>
      <c r="BY26" s="281"/>
      <c r="BZ26" s="281"/>
      <c r="CA26" s="281"/>
      <c r="CB26" s="281"/>
      <c r="CC26" s="281"/>
      <c r="CD26" s="281"/>
      <c r="CE26" s="281"/>
      <c r="CF26" s="281"/>
      <c r="CG26" s="281"/>
      <c r="CH26" s="281"/>
      <c r="CI26" s="281"/>
    </row>
    <row r="27" spans="1:87">
      <c r="A27" s="277">
        <v>1977</v>
      </c>
      <c r="B27" s="284">
        <v>12.5650000572204</v>
      </c>
      <c r="C27" s="284">
        <v>12.5650000572204</v>
      </c>
      <c r="D27" s="284">
        <v>12.5650000572204</v>
      </c>
      <c r="E27" s="284" t="s">
        <v>334</v>
      </c>
      <c r="F27" s="284">
        <v>28.678518518518501</v>
      </c>
      <c r="G27" s="284" t="s">
        <v>334</v>
      </c>
      <c r="H27" s="284">
        <v>0.79</v>
      </c>
      <c r="I27" s="284">
        <v>1.7916226068158201</v>
      </c>
      <c r="J27" s="284">
        <v>2.7711628728192399</v>
      </c>
      <c r="K27" s="284">
        <v>19.9880355208001</v>
      </c>
      <c r="L27" s="284">
        <v>3.7900666666666698</v>
      </c>
      <c r="M27" s="284">
        <v>5.1688666666666698</v>
      </c>
      <c r="N27" s="284">
        <v>4.93285208333333</v>
      </c>
      <c r="O27" s="284">
        <v>1.95444166666667</v>
      </c>
      <c r="P27" s="284">
        <v>1.6958341166666699</v>
      </c>
      <c r="Q27" s="284">
        <v>2.0673815000000002</v>
      </c>
      <c r="R27" s="284">
        <v>2.1001298333333298</v>
      </c>
      <c r="S27" s="284">
        <v>578.16666666666697</v>
      </c>
      <c r="T27" s="284" t="s">
        <v>334</v>
      </c>
      <c r="U27" s="284" t="s">
        <v>334</v>
      </c>
      <c r="V27" s="284">
        <v>852.75</v>
      </c>
      <c r="W27" s="284">
        <v>530.02499999999998</v>
      </c>
      <c r="X27" s="284" t="s">
        <v>334</v>
      </c>
      <c r="Y27" s="284">
        <v>280.16666666666703</v>
      </c>
      <c r="Z27" s="284">
        <v>580.25</v>
      </c>
      <c r="AA27" s="284">
        <v>229.833333333333</v>
      </c>
      <c r="AB27" s="284">
        <v>47.886441121611099</v>
      </c>
      <c r="AC27" s="284">
        <v>95.35</v>
      </c>
      <c r="AD27" s="284">
        <v>88.366666666666703</v>
      </c>
      <c r="AE27" s="284">
        <v>252.22499999999999</v>
      </c>
      <c r="AF27" s="284" t="s">
        <v>334</v>
      </c>
      <c r="AG27" s="284" t="s">
        <v>334</v>
      </c>
      <c r="AH27" s="284" t="s">
        <v>334</v>
      </c>
      <c r="AI27" s="284" t="s">
        <v>334</v>
      </c>
      <c r="AJ27" s="284">
        <v>103.21833333333301</v>
      </c>
      <c r="AK27" s="284" t="s">
        <v>334</v>
      </c>
      <c r="AL27" s="284">
        <v>0.27374999999999999</v>
      </c>
      <c r="AM27" s="284">
        <v>0.254</v>
      </c>
      <c r="AN27" s="284">
        <v>1.50646666666667</v>
      </c>
      <c r="AO27" s="284">
        <v>0.651783917501643</v>
      </c>
      <c r="AP27" s="284">
        <v>1.7006250000000001</v>
      </c>
      <c r="AQ27" s="284">
        <v>7.9145858000000002</v>
      </c>
      <c r="AR27" s="284">
        <v>0.30892237750000001</v>
      </c>
      <c r="AS27" s="284">
        <v>0.24260005916666699</v>
      </c>
      <c r="AT27" s="284">
        <v>0.178933333333333</v>
      </c>
      <c r="AU27" s="284">
        <v>2253.92583333333</v>
      </c>
      <c r="AV27" s="284">
        <v>158.77000000000001</v>
      </c>
      <c r="AW27" s="284">
        <v>92.566666666666606</v>
      </c>
      <c r="AX27" s="284" t="s">
        <v>334</v>
      </c>
      <c r="AY27" s="284">
        <v>264.98374892297602</v>
      </c>
      <c r="AZ27" s="284" t="s">
        <v>334</v>
      </c>
      <c r="BA27" s="284">
        <v>1.6285416666666701</v>
      </c>
      <c r="BB27" s="284" t="s">
        <v>334</v>
      </c>
      <c r="BC27" s="284">
        <v>0.81468333333333298</v>
      </c>
      <c r="BD27" s="284">
        <v>61.787500000000001</v>
      </c>
      <c r="BE27" s="284">
        <v>134.083333333333</v>
      </c>
      <c r="BF27" s="284">
        <v>97.9166666666667</v>
      </c>
      <c r="BG27" s="284">
        <v>120.763194444444</v>
      </c>
      <c r="BH27" s="284">
        <v>55.293750000000003</v>
      </c>
      <c r="BI27" s="284">
        <v>1143.83034261068</v>
      </c>
      <c r="BJ27" s="284">
        <v>23.06</v>
      </c>
      <c r="BK27" s="284">
        <v>1308.75</v>
      </c>
      <c r="BL27" s="284">
        <v>618</v>
      </c>
      <c r="BM27" s="284">
        <v>10804.45</v>
      </c>
      <c r="BN27" s="284">
        <v>5118.1666666666697</v>
      </c>
      <c r="BO27" s="284">
        <v>589.66666666666697</v>
      </c>
      <c r="BP27" s="284">
        <v>147.72083333333299</v>
      </c>
      <c r="BQ27" s="284">
        <v>158.321666666667</v>
      </c>
      <c r="BR27" s="284">
        <v>4.63608333333333</v>
      </c>
      <c r="BS27" s="281"/>
      <c r="BT27" s="281"/>
      <c r="BU27" s="281"/>
      <c r="BV27" s="281"/>
      <c r="BW27" s="281"/>
      <c r="BX27" s="281"/>
      <c r="BY27" s="281"/>
      <c r="BZ27" s="281"/>
      <c r="CA27" s="281"/>
      <c r="CB27" s="281"/>
      <c r="CC27" s="281"/>
      <c r="CD27" s="281"/>
      <c r="CE27" s="281"/>
      <c r="CF27" s="281"/>
      <c r="CG27" s="281"/>
      <c r="CH27" s="281"/>
      <c r="CI27" s="281"/>
    </row>
    <row r="28" spans="1:87">
      <c r="A28" s="282">
        <v>1978</v>
      </c>
      <c r="B28" s="283">
        <v>12.9166666666667</v>
      </c>
      <c r="C28" s="283">
        <v>12.9166666666667</v>
      </c>
      <c r="D28" s="283">
        <v>12.9166666666667</v>
      </c>
      <c r="E28" s="283" t="s">
        <v>334</v>
      </c>
      <c r="F28" s="283">
        <v>29.058657407407399</v>
      </c>
      <c r="G28" s="283" t="s">
        <v>334</v>
      </c>
      <c r="H28" s="283">
        <v>0.90583333333333405</v>
      </c>
      <c r="I28" s="283">
        <v>2.30221809927454</v>
      </c>
      <c r="J28" s="283">
        <v>3.0360808420402701</v>
      </c>
      <c r="K28" s="283">
        <v>24.001480121918998</v>
      </c>
      <c r="L28" s="283">
        <v>3.4031583333333302</v>
      </c>
      <c r="M28" s="283">
        <v>3.5899916666666698</v>
      </c>
      <c r="N28" s="283">
        <v>3.2512418333333302</v>
      </c>
      <c r="O28" s="283">
        <v>1.4094833333333301</v>
      </c>
      <c r="P28" s="283">
        <v>0.745656758333333</v>
      </c>
      <c r="Q28" s="283">
        <v>1.8749519166666699</v>
      </c>
      <c r="R28" s="283">
        <v>1.6077982500000001</v>
      </c>
      <c r="S28" s="283">
        <v>683.20833333333303</v>
      </c>
      <c r="T28" s="283" t="s">
        <v>334</v>
      </c>
      <c r="U28" s="283" t="s">
        <v>334</v>
      </c>
      <c r="V28" s="283">
        <v>1079.1666666666699</v>
      </c>
      <c r="W28" s="283">
        <v>600.33333333333303</v>
      </c>
      <c r="X28" s="283" t="s">
        <v>334</v>
      </c>
      <c r="Y28" s="283">
        <v>268.33333333333297</v>
      </c>
      <c r="Z28" s="283">
        <v>607</v>
      </c>
      <c r="AA28" s="283">
        <v>213.291666666667</v>
      </c>
      <c r="AB28" s="283">
        <v>54.960060524094303</v>
      </c>
      <c r="AC28" s="283">
        <v>100.74250000000001</v>
      </c>
      <c r="AD28" s="283">
        <v>93.838333333333395</v>
      </c>
      <c r="AE28" s="283">
        <v>345.65750000000003</v>
      </c>
      <c r="AF28" s="283" t="s">
        <v>334</v>
      </c>
      <c r="AG28" s="283" t="s">
        <v>334</v>
      </c>
      <c r="AH28" s="283" t="s">
        <v>334</v>
      </c>
      <c r="AI28" s="283" t="s">
        <v>334</v>
      </c>
      <c r="AJ28" s="283">
        <v>127.745</v>
      </c>
      <c r="AK28" s="283" t="s">
        <v>334</v>
      </c>
      <c r="AL28" s="283">
        <v>0.28725000000000001</v>
      </c>
      <c r="AM28" s="283">
        <v>0.30014999999999997</v>
      </c>
      <c r="AN28" s="283">
        <v>2.1382750000000001</v>
      </c>
      <c r="AO28" s="283">
        <v>0.69505797034226702</v>
      </c>
      <c r="AP28" s="283">
        <v>2.19414166666667</v>
      </c>
      <c r="AQ28" s="283">
        <v>8.0689092000000002</v>
      </c>
      <c r="AR28" s="283">
        <v>0.35119596600000003</v>
      </c>
      <c r="AS28" s="283">
        <v>0.30805890133333302</v>
      </c>
      <c r="AT28" s="283">
        <v>0.17230833333333301</v>
      </c>
      <c r="AU28" s="283">
        <v>2268.0174999999999</v>
      </c>
      <c r="AV28" s="283">
        <v>191.28083333333299</v>
      </c>
      <c r="AW28" s="283">
        <v>97.358333333333306</v>
      </c>
      <c r="AX28" s="283" t="s">
        <v>334</v>
      </c>
      <c r="AY28" s="283">
        <v>272.28210517459399</v>
      </c>
      <c r="AZ28" s="283" t="s">
        <v>334</v>
      </c>
      <c r="BA28" s="283">
        <v>1.60666666666667</v>
      </c>
      <c r="BB28" s="283" t="s">
        <v>334</v>
      </c>
      <c r="BC28" s="283">
        <v>0.98562499999999997</v>
      </c>
      <c r="BD28" s="283">
        <v>31.28125</v>
      </c>
      <c r="BE28" s="283">
        <v>139.833333333333</v>
      </c>
      <c r="BF28" s="283">
        <v>98.0416666666667</v>
      </c>
      <c r="BG28" s="283">
        <v>136.035416666667</v>
      </c>
      <c r="BH28" s="283">
        <v>59.0104166666667</v>
      </c>
      <c r="BI28" s="283">
        <v>1324.92150878906</v>
      </c>
      <c r="BJ28" s="283">
        <v>21.45</v>
      </c>
      <c r="BK28" s="283">
        <v>1364.8333333333301</v>
      </c>
      <c r="BL28" s="283">
        <v>661.91666666666697</v>
      </c>
      <c r="BM28" s="283">
        <v>12875.208333333299</v>
      </c>
      <c r="BN28" s="283">
        <v>4609.25</v>
      </c>
      <c r="BO28" s="283">
        <v>593.91666666666697</v>
      </c>
      <c r="BP28" s="283">
        <v>193.23916666666699</v>
      </c>
      <c r="BQ28" s="283">
        <v>260.65083333333303</v>
      </c>
      <c r="BR28" s="283">
        <v>5.4187666666666701</v>
      </c>
      <c r="BS28" s="281"/>
      <c r="BT28" s="281"/>
      <c r="BU28" s="281"/>
      <c r="BV28" s="281"/>
      <c r="BW28" s="281"/>
      <c r="BX28" s="281"/>
      <c r="BY28" s="281"/>
      <c r="BZ28" s="281"/>
      <c r="CA28" s="281"/>
      <c r="CB28" s="281"/>
      <c r="CC28" s="281"/>
      <c r="CD28" s="281"/>
      <c r="CE28" s="281"/>
      <c r="CF28" s="281"/>
      <c r="CG28" s="281"/>
      <c r="CH28" s="281"/>
      <c r="CI28" s="281"/>
    </row>
    <row r="29" spans="1:87">
      <c r="A29" s="277">
        <v>1979</v>
      </c>
      <c r="B29" s="284">
        <v>30.9645832777023</v>
      </c>
      <c r="C29" s="284">
        <v>32.112500031789203</v>
      </c>
      <c r="D29" s="284">
        <v>29.816666523615499</v>
      </c>
      <c r="E29" s="284" t="s">
        <v>334</v>
      </c>
      <c r="F29" s="284">
        <v>30.89</v>
      </c>
      <c r="G29" s="284" t="s">
        <v>334</v>
      </c>
      <c r="H29" s="284">
        <v>1.18</v>
      </c>
      <c r="I29" s="284">
        <v>3.2594885748471798</v>
      </c>
      <c r="J29" s="284">
        <v>3.6924229155722199</v>
      </c>
      <c r="K29" s="284">
        <v>32.326293497727598</v>
      </c>
      <c r="L29" s="284">
        <v>3.2928333333333302</v>
      </c>
      <c r="M29" s="284">
        <v>3.8261333333333298</v>
      </c>
      <c r="N29" s="284">
        <v>3.6519416666666702</v>
      </c>
      <c r="O29" s="284">
        <v>1.50539166666667</v>
      </c>
      <c r="P29" s="284">
        <v>0.782832641666667</v>
      </c>
      <c r="Q29" s="284">
        <v>2.1025033333333298</v>
      </c>
      <c r="R29" s="284">
        <v>1.6308335</v>
      </c>
      <c r="S29" s="284">
        <v>984.5</v>
      </c>
      <c r="T29" s="284" t="s">
        <v>334</v>
      </c>
      <c r="U29" s="284">
        <v>394.875</v>
      </c>
      <c r="V29" s="284">
        <v>888.66666666666595</v>
      </c>
      <c r="W29" s="284">
        <v>653.83333333333303</v>
      </c>
      <c r="X29" s="284" t="s">
        <v>334</v>
      </c>
      <c r="Y29" s="284">
        <v>297.75</v>
      </c>
      <c r="Z29" s="284">
        <v>662.18333333333305</v>
      </c>
      <c r="AA29" s="284">
        <v>243.02500000000001</v>
      </c>
      <c r="AB29" s="284">
        <v>65.247045232138404</v>
      </c>
      <c r="AC29" s="284">
        <v>115.52249999999999</v>
      </c>
      <c r="AD29" s="284">
        <v>108.10833333333299</v>
      </c>
      <c r="AE29" s="284">
        <v>313.069166666667</v>
      </c>
      <c r="AF29" s="284" t="s">
        <v>334</v>
      </c>
      <c r="AG29" s="284" t="s">
        <v>334</v>
      </c>
      <c r="AH29" s="284" t="s">
        <v>334</v>
      </c>
      <c r="AI29" s="284">
        <v>156.31</v>
      </c>
      <c r="AJ29" s="284">
        <v>160.29333333333301</v>
      </c>
      <c r="AK29" s="284" t="s">
        <v>334</v>
      </c>
      <c r="AL29" s="284">
        <v>0.325616666666667</v>
      </c>
      <c r="AM29" s="284">
        <v>0.39845833333333303</v>
      </c>
      <c r="AN29" s="284">
        <v>2.8840166666666698</v>
      </c>
      <c r="AO29" s="284">
        <v>0.74055755522489897</v>
      </c>
      <c r="AP29" s="284">
        <v>2.37096666666667</v>
      </c>
      <c r="AQ29" s="284">
        <v>11.9710866</v>
      </c>
      <c r="AR29" s="284">
        <v>0.42530794166666702</v>
      </c>
      <c r="AS29" s="284">
        <v>0.34232237049999997</v>
      </c>
      <c r="AT29" s="284">
        <v>0.21295</v>
      </c>
      <c r="AU29" s="284">
        <v>2344.4333333333302</v>
      </c>
      <c r="AV29" s="284">
        <v>211.52500000000001</v>
      </c>
      <c r="AW29" s="284">
        <v>170.041666666667</v>
      </c>
      <c r="AX29" s="284" t="s">
        <v>334</v>
      </c>
      <c r="AY29" s="284">
        <v>365.93189303776001</v>
      </c>
      <c r="AZ29" s="284">
        <v>262.5</v>
      </c>
      <c r="BA29" s="284">
        <v>1.7073499999999999</v>
      </c>
      <c r="BB29" s="284" t="s">
        <v>334</v>
      </c>
      <c r="BC29" s="284">
        <v>1.2621</v>
      </c>
      <c r="BD29" s="284">
        <v>35.4791666666667</v>
      </c>
      <c r="BE29" s="284">
        <v>193.333333333333</v>
      </c>
      <c r="BF29" s="284">
        <v>146.22499999999999</v>
      </c>
      <c r="BG29" s="284">
        <v>153.00208333333299</v>
      </c>
      <c r="BH29" s="284">
        <v>76.46875</v>
      </c>
      <c r="BI29" s="284">
        <v>1602.8682250976599</v>
      </c>
      <c r="BJ29" s="284">
        <v>23.5</v>
      </c>
      <c r="BK29" s="284">
        <v>1985.25833333333</v>
      </c>
      <c r="BL29" s="284">
        <v>1208.25</v>
      </c>
      <c r="BM29" s="284">
        <v>15447.4083333333</v>
      </c>
      <c r="BN29" s="284">
        <v>5986</v>
      </c>
      <c r="BO29" s="284">
        <v>741.66666666666595</v>
      </c>
      <c r="BP29" s="284">
        <v>306.66750000000002</v>
      </c>
      <c r="BQ29" s="284">
        <v>442.79833333333301</v>
      </c>
      <c r="BR29" s="284">
        <v>11.099575</v>
      </c>
      <c r="BS29" s="281"/>
      <c r="BT29" s="281"/>
      <c r="BU29" s="281"/>
      <c r="BV29" s="281"/>
      <c r="BW29" s="281"/>
      <c r="BX29" s="281"/>
      <c r="BY29" s="281"/>
      <c r="BZ29" s="281"/>
      <c r="CA29" s="281"/>
      <c r="CB29" s="281"/>
      <c r="CC29" s="281"/>
      <c r="CD29" s="281"/>
      <c r="CE29" s="281"/>
      <c r="CF29" s="281"/>
      <c r="CG29" s="281"/>
      <c r="CH29" s="281"/>
      <c r="CI29" s="281"/>
    </row>
    <row r="30" spans="1:87">
      <c r="A30" s="282">
        <v>1980</v>
      </c>
      <c r="B30" s="283">
        <v>36.8687499364217</v>
      </c>
      <c r="C30" s="283">
        <v>37.891667048136398</v>
      </c>
      <c r="D30" s="283">
        <v>35.845832824707003</v>
      </c>
      <c r="E30" s="283" t="s">
        <v>334</v>
      </c>
      <c r="F30" s="283">
        <v>40.140833333333298</v>
      </c>
      <c r="G30" s="283" t="s">
        <v>334</v>
      </c>
      <c r="H30" s="283">
        <v>1.5891666666666699</v>
      </c>
      <c r="I30" s="283">
        <v>4.22</v>
      </c>
      <c r="J30" s="283">
        <v>5.69622732831838</v>
      </c>
      <c r="K30" s="283">
        <v>43.218767379808597</v>
      </c>
      <c r="L30" s="283">
        <v>2.6034916666666699</v>
      </c>
      <c r="M30" s="283">
        <v>3.4662833333333301</v>
      </c>
      <c r="N30" s="283">
        <v>3.2432166666666702</v>
      </c>
      <c r="O30" s="283">
        <v>1.6592916666666699</v>
      </c>
      <c r="P30" s="283">
        <v>1.1113645000000001</v>
      </c>
      <c r="Q30" s="283">
        <v>2.0493532499999998</v>
      </c>
      <c r="R30" s="283">
        <v>1.8171269999999999</v>
      </c>
      <c r="S30" s="283">
        <v>673.83333333333303</v>
      </c>
      <c r="T30" s="283">
        <v>1236.5833333333301</v>
      </c>
      <c r="U30" s="283">
        <v>504.42500000000001</v>
      </c>
      <c r="V30" s="283">
        <v>858.75</v>
      </c>
      <c r="W30" s="283">
        <v>583.69166666666695</v>
      </c>
      <c r="X30" s="283" t="s">
        <v>334</v>
      </c>
      <c r="Y30" s="283">
        <v>296.22916666666703</v>
      </c>
      <c r="Z30" s="283">
        <v>597.60833333333301</v>
      </c>
      <c r="AA30" s="283">
        <v>262.41666666666703</v>
      </c>
      <c r="AB30" s="283">
        <v>78.228711504166696</v>
      </c>
      <c r="AC30" s="283">
        <v>125.2625</v>
      </c>
      <c r="AD30" s="283">
        <v>128.86083333333301</v>
      </c>
      <c r="AE30" s="283">
        <v>410.74250000000001</v>
      </c>
      <c r="AF30" s="283" t="s">
        <v>334</v>
      </c>
      <c r="AG30" s="283" t="s">
        <v>334</v>
      </c>
      <c r="AH30" s="283" t="s">
        <v>334</v>
      </c>
      <c r="AI30" s="283">
        <v>168.30166666666699</v>
      </c>
      <c r="AJ30" s="283">
        <v>172.726666666667</v>
      </c>
      <c r="AK30" s="283" t="s">
        <v>334</v>
      </c>
      <c r="AL30" s="283">
        <v>0.37726666666666703</v>
      </c>
      <c r="AM30" s="283">
        <v>0.400175</v>
      </c>
      <c r="AN30" s="283">
        <v>2.7599666666666698</v>
      </c>
      <c r="AO30" s="283">
        <v>0.75712162350000001</v>
      </c>
      <c r="AP30" s="283">
        <v>2.8794166666666698</v>
      </c>
      <c r="AQ30" s="283">
        <v>10.141252</v>
      </c>
      <c r="AR30" s="283">
        <v>0.48689032700000001</v>
      </c>
      <c r="AS30" s="283">
        <v>0.66208412966666697</v>
      </c>
      <c r="AT30" s="283">
        <v>0.63160833333333299</v>
      </c>
      <c r="AU30" s="283">
        <v>2275.86</v>
      </c>
      <c r="AV30" s="283">
        <v>251.691666666667</v>
      </c>
      <c r="AW30" s="283">
        <v>195.51333333333301</v>
      </c>
      <c r="AX30" s="283">
        <v>396</v>
      </c>
      <c r="AY30" s="283">
        <v>396.201340671384</v>
      </c>
      <c r="AZ30" s="283">
        <v>273.78333333333302</v>
      </c>
      <c r="BA30" s="283">
        <v>2.0618416666666701</v>
      </c>
      <c r="BB30" s="283" t="s">
        <v>334</v>
      </c>
      <c r="BC30" s="283">
        <v>1.4245416666666699</v>
      </c>
      <c r="BD30" s="283">
        <v>44.6666666666667</v>
      </c>
      <c r="BE30" s="283">
        <v>222.208333333333</v>
      </c>
      <c r="BF30" s="283">
        <v>180.25</v>
      </c>
      <c r="BG30" s="283">
        <v>200.5625</v>
      </c>
      <c r="BH30" s="283">
        <v>106.5</v>
      </c>
      <c r="BI30" s="283">
        <v>1774.91284179688</v>
      </c>
      <c r="BJ30" s="283">
        <v>28.09</v>
      </c>
      <c r="BK30" s="283">
        <v>2182.0916666666699</v>
      </c>
      <c r="BL30" s="283">
        <v>905.75</v>
      </c>
      <c r="BM30" s="283">
        <v>16774.883333333299</v>
      </c>
      <c r="BN30" s="283">
        <v>6518.6750000000002</v>
      </c>
      <c r="BO30" s="283">
        <v>761.21666666666704</v>
      </c>
      <c r="BP30" s="283">
        <v>607.86416666666696</v>
      </c>
      <c r="BQ30" s="283">
        <v>679.1</v>
      </c>
      <c r="BR30" s="283">
        <v>20.804366666666699</v>
      </c>
      <c r="BS30" s="281"/>
      <c r="BT30" s="281"/>
      <c r="BU30" s="281"/>
      <c r="BV30" s="281"/>
      <c r="BW30" s="281"/>
      <c r="BX30" s="281"/>
      <c r="BY30" s="281"/>
      <c r="BZ30" s="281"/>
      <c r="CA30" s="281"/>
      <c r="CB30" s="281"/>
      <c r="CC30" s="281"/>
      <c r="CD30" s="281"/>
      <c r="CE30" s="281"/>
      <c r="CF30" s="281"/>
      <c r="CG30" s="281"/>
      <c r="CH30" s="281"/>
      <c r="CI30" s="281"/>
    </row>
    <row r="31" spans="1:87">
      <c r="A31" s="277">
        <v>1981</v>
      </c>
      <c r="B31" s="284">
        <v>35.484999656677203</v>
      </c>
      <c r="C31" s="284">
        <v>36.675833066304499</v>
      </c>
      <c r="D31" s="284">
        <v>34.294166247050001</v>
      </c>
      <c r="E31" s="284" t="s">
        <v>334</v>
      </c>
      <c r="F31" s="284">
        <v>53.62</v>
      </c>
      <c r="G31" s="284" t="s">
        <v>334</v>
      </c>
      <c r="H31" s="284">
        <v>1.9833333333333301</v>
      </c>
      <c r="I31" s="284">
        <v>4.5999999999999996</v>
      </c>
      <c r="J31" s="284">
        <v>6.0303414353367897</v>
      </c>
      <c r="K31" s="284">
        <v>50.038150067575103</v>
      </c>
      <c r="L31" s="284">
        <v>2.0795499999999998</v>
      </c>
      <c r="M31" s="284">
        <v>2.8685499999999999</v>
      </c>
      <c r="N31" s="284">
        <v>2.2402166666666701</v>
      </c>
      <c r="O31" s="284">
        <v>1.4702</v>
      </c>
      <c r="P31" s="284">
        <v>0.97327289166666597</v>
      </c>
      <c r="Q31" s="284">
        <v>1.8130886666666699</v>
      </c>
      <c r="R31" s="284">
        <v>1.6242095000000001</v>
      </c>
      <c r="S31" s="284">
        <v>569.91666666666697</v>
      </c>
      <c r="T31" s="284">
        <v>1257.4166666666699</v>
      </c>
      <c r="U31" s="284">
        <v>467.48333333333301</v>
      </c>
      <c r="V31" s="284">
        <v>1042.75</v>
      </c>
      <c r="W31" s="284">
        <v>570.66666666666697</v>
      </c>
      <c r="X31" s="284" t="s">
        <v>334</v>
      </c>
      <c r="Y31" s="284">
        <v>288.41666666666703</v>
      </c>
      <c r="Z31" s="284">
        <v>506.85</v>
      </c>
      <c r="AA31" s="284">
        <v>252.583333333333</v>
      </c>
      <c r="AB31" s="284">
        <v>79.725833333333398</v>
      </c>
      <c r="AC31" s="284">
        <v>130.78083333333299</v>
      </c>
      <c r="AD31" s="284">
        <v>126.371666666667</v>
      </c>
      <c r="AE31" s="284">
        <v>458.98916666666702</v>
      </c>
      <c r="AF31" s="284" t="s">
        <v>334</v>
      </c>
      <c r="AG31" s="284" t="s">
        <v>334</v>
      </c>
      <c r="AH31" s="284" t="s">
        <v>334</v>
      </c>
      <c r="AI31" s="284">
        <v>154.58666666666701</v>
      </c>
      <c r="AJ31" s="284">
        <v>174.96</v>
      </c>
      <c r="AK31" s="284" t="s">
        <v>334</v>
      </c>
      <c r="AL31" s="284">
        <v>0.40127499999999999</v>
      </c>
      <c r="AM31" s="284">
        <v>0.40572750000000002</v>
      </c>
      <c r="AN31" s="284">
        <v>2.4743583333333299</v>
      </c>
      <c r="AO31" s="284">
        <v>0.77395022283333303</v>
      </c>
      <c r="AP31" s="284">
        <v>2.7386583333333299</v>
      </c>
      <c r="AQ31" s="284">
        <v>10.1632982</v>
      </c>
      <c r="AR31" s="284">
        <v>0.41727945049999998</v>
      </c>
      <c r="AS31" s="284">
        <v>0.434971526</v>
      </c>
      <c r="AT31" s="284">
        <v>0.37408333333333299</v>
      </c>
      <c r="AU31" s="284">
        <v>2321.6866666666701</v>
      </c>
      <c r="AV31" s="284">
        <v>212.79</v>
      </c>
      <c r="AW31" s="284">
        <v>154.56333333333299</v>
      </c>
      <c r="AX31" s="284" t="s">
        <v>334</v>
      </c>
      <c r="AY31" s="284">
        <v>349.406410968324</v>
      </c>
      <c r="AZ31" s="284">
        <v>244.694166666667</v>
      </c>
      <c r="BA31" s="284">
        <v>1.8710583333333299</v>
      </c>
      <c r="BB31" s="284" t="s">
        <v>334</v>
      </c>
      <c r="BC31" s="284">
        <v>1.12283333333333</v>
      </c>
      <c r="BD31" s="284">
        <v>48.9583333333333</v>
      </c>
      <c r="BE31" s="284">
        <v>177.625</v>
      </c>
      <c r="BF31" s="284">
        <v>161.333333333333</v>
      </c>
      <c r="BG31" s="284">
        <v>182.5</v>
      </c>
      <c r="BH31" s="284">
        <v>110.166666666667</v>
      </c>
      <c r="BI31" s="284">
        <v>1262.7302856445301</v>
      </c>
      <c r="BJ31" s="284">
        <v>28.09</v>
      </c>
      <c r="BK31" s="284">
        <v>1741.95</v>
      </c>
      <c r="BL31" s="284">
        <v>726.72500000000002</v>
      </c>
      <c r="BM31" s="284">
        <v>14159.125</v>
      </c>
      <c r="BN31" s="284">
        <v>5953.0833333333303</v>
      </c>
      <c r="BO31" s="284">
        <v>845.65</v>
      </c>
      <c r="BP31" s="284">
        <v>459.754166666667</v>
      </c>
      <c r="BQ31" s="284">
        <v>447.48166666666702</v>
      </c>
      <c r="BR31" s="284">
        <v>10.5231833333333</v>
      </c>
      <c r="BS31" s="281"/>
      <c r="BT31" s="281"/>
      <c r="BU31" s="281"/>
      <c r="BV31" s="281"/>
      <c r="BW31" s="281"/>
      <c r="BX31" s="281"/>
      <c r="BY31" s="281"/>
      <c r="BZ31" s="281"/>
      <c r="CA31" s="281"/>
      <c r="CB31" s="281"/>
      <c r="CC31" s="281"/>
      <c r="CD31" s="281"/>
      <c r="CE31" s="281"/>
      <c r="CF31" s="281"/>
      <c r="CG31" s="281"/>
      <c r="CH31" s="281"/>
      <c r="CI31" s="281"/>
    </row>
    <row r="32" spans="1:87">
      <c r="A32" s="282">
        <v>1982</v>
      </c>
      <c r="B32" s="283">
        <v>32.6472221268548</v>
      </c>
      <c r="C32" s="283">
        <v>33.4183328946432</v>
      </c>
      <c r="D32" s="283">
        <v>31.756666819254601</v>
      </c>
      <c r="E32" s="283">
        <v>32.766666666666701</v>
      </c>
      <c r="F32" s="283">
        <v>54.767499999999998</v>
      </c>
      <c r="G32" s="283" t="s">
        <v>334</v>
      </c>
      <c r="H32" s="283">
        <v>2.4649999999999999</v>
      </c>
      <c r="I32" s="283">
        <v>4.45</v>
      </c>
      <c r="J32" s="283">
        <v>6.0516223988852804</v>
      </c>
      <c r="K32" s="283">
        <v>55.188529918454101</v>
      </c>
      <c r="L32" s="283">
        <v>1.7356166666666699</v>
      </c>
      <c r="M32" s="283">
        <v>3.0875583333333299</v>
      </c>
      <c r="N32" s="283">
        <v>2.4236499999999999</v>
      </c>
      <c r="O32" s="283">
        <v>1.5432999999999999</v>
      </c>
      <c r="P32" s="283">
        <v>1.1449704333333299</v>
      </c>
      <c r="Q32" s="283">
        <v>1.8463989999999999</v>
      </c>
      <c r="R32" s="283">
        <v>1.63854091666667</v>
      </c>
      <c r="S32" s="283">
        <v>464.41666666666703</v>
      </c>
      <c r="T32" s="283">
        <v>827.5</v>
      </c>
      <c r="U32" s="283">
        <v>352.91666666666703</v>
      </c>
      <c r="V32" s="283">
        <v>584.91666666666697</v>
      </c>
      <c r="W32" s="283">
        <v>445.08333333333297</v>
      </c>
      <c r="X32" s="283" t="s">
        <v>334</v>
      </c>
      <c r="Y32" s="283">
        <v>244.604166666667</v>
      </c>
      <c r="Z32" s="283">
        <v>447.25</v>
      </c>
      <c r="AA32" s="283">
        <v>218.52916666666701</v>
      </c>
      <c r="AB32" s="283">
        <v>63.712499999999999</v>
      </c>
      <c r="AC32" s="283">
        <v>109.2625</v>
      </c>
      <c r="AD32" s="283">
        <v>108.529166666667</v>
      </c>
      <c r="AE32" s="283">
        <v>272.48166666666702</v>
      </c>
      <c r="AF32" s="283" t="s">
        <v>334</v>
      </c>
      <c r="AG32" s="283" t="s">
        <v>334</v>
      </c>
      <c r="AH32" s="283" t="s">
        <v>334</v>
      </c>
      <c r="AI32" s="283">
        <v>132.55166666666699</v>
      </c>
      <c r="AJ32" s="283">
        <v>160.35499999999999</v>
      </c>
      <c r="AK32" s="283" t="s">
        <v>334</v>
      </c>
      <c r="AL32" s="283">
        <v>0.37426666666666702</v>
      </c>
      <c r="AM32" s="283">
        <v>0.384566666666667</v>
      </c>
      <c r="AN32" s="283">
        <v>2.3896250000000001</v>
      </c>
      <c r="AO32" s="283">
        <v>0.75978553933333404</v>
      </c>
      <c r="AP32" s="283">
        <v>2.3769166666666699</v>
      </c>
      <c r="AQ32" s="283">
        <v>13.283333333333299</v>
      </c>
      <c r="AR32" s="283">
        <v>0.39945877216666698</v>
      </c>
      <c r="AS32" s="283">
        <v>0.43925216316666699</v>
      </c>
      <c r="AT32" s="283">
        <v>0.18564166666666701</v>
      </c>
      <c r="AU32" s="283">
        <v>2563.9566666666701</v>
      </c>
      <c r="AV32" s="283">
        <v>175.91749999999999</v>
      </c>
      <c r="AW32" s="283">
        <v>146.45416666666699</v>
      </c>
      <c r="AX32" s="283" t="s">
        <v>334</v>
      </c>
      <c r="AY32" s="283">
        <v>339.38347994980103</v>
      </c>
      <c r="AZ32" s="283">
        <v>232.446666666667</v>
      </c>
      <c r="BA32" s="283">
        <v>1.5972666666666699</v>
      </c>
      <c r="BB32" s="283" t="s">
        <v>334</v>
      </c>
      <c r="BC32" s="283">
        <v>0.85767499999999997</v>
      </c>
      <c r="BD32" s="283">
        <v>42.960416666666703</v>
      </c>
      <c r="BE32" s="283">
        <v>166.625</v>
      </c>
      <c r="BF32" s="283">
        <v>138.416666666667</v>
      </c>
      <c r="BG32" s="283">
        <v>123.958333333333</v>
      </c>
      <c r="BH32" s="283">
        <v>83.25</v>
      </c>
      <c r="BI32" s="283">
        <v>991.56666666666604</v>
      </c>
      <c r="BJ32" s="283">
        <v>32.5</v>
      </c>
      <c r="BK32" s="283">
        <v>1480.44166666667</v>
      </c>
      <c r="BL32" s="283">
        <v>545.6</v>
      </c>
      <c r="BM32" s="283">
        <v>12825.8</v>
      </c>
      <c r="BN32" s="283">
        <v>4837.4916666666704</v>
      </c>
      <c r="BO32" s="283">
        <v>744.78333333333296</v>
      </c>
      <c r="BP32" s="283">
        <v>375.79666666666702</v>
      </c>
      <c r="BQ32" s="283">
        <v>328.29166666666703</v>
      </c>
      <c r="BR32" s="283">
        <v>7.9298916666666699</v>
      </c>
      <c r="BS32" s="281"/>
      <c r="BT32" s="281"/>
      <c r="BU32" s="281"/>
      <c r="BV32" s="281"/>
      <c r="BW32" s="281"/>
      <c r="BX32" s="281"/>
      <c r="BY32" s="281"/>
      <c r="BZ32" s="281"/>
      <c r="CA32" s="281"/>
      <c r="CB32" s="281"/>
      <c r="CC32" s="281"/>
      <c r="CD32" s="281"/>
      <c r="CE32" s="281"/>
      <c r="CF32" s="281"/>
      <c r="CG32" s="281"/>
      <c r="CH32" s="281"/>
      <c r="CI32" s="281"/>
    </row>
    <row r="33" spans="1:87">
      <c r="A33" s="277">
        <v>1983</v>
      </c>
      <c r="B33" s="284">
        <v>29.6577778392368</v>
      </c>
      <c r="C33" s="284">
        <v>29.829167048136402</v>
      </c>
      <c r="D33" s="284">
        <v>28.7291666666667</v>
      </c>
      <c r="E33" s="284">
        <v>30.4149998029073</v>
      </c>
      <c r="F33" s="284">
        <v>38.1875</v>
      </c>
      <c r="G33" s="284" t="s">
        <v>334</v>
      </c>
      <c r="H33" s="284">
        <v>2.5924999999999998</v>
      </c>
      <c r="I33" s="284">
        <v>4.05</v>
      </c>
      <c r="J33" s="284">
        <v>5.5458157477301402</v>
      </c>
      <c r="K33" s="284">
        <v>54.492540000376103</v>
      </c>
      <c r="L33" s="284">
        <v>2.1198666666666699</v>
      </c>
      <c r="M33" s="284">
        <v>2.91125833333333</v>
      </c>
      <c r="N33" s="284">
        <v>2.7316416666666701</v>
      </c>
      <c r="O33" s="284">
        <v>2.0970916666666701</v>
      </c>
      <c r="P33" s="284">
        <v>1.8571548333333301</v>
      </c>
      <c r="Q33" s="284">
        <v>2.5200430833333298</v>
      </c>
      <c r="R33" s="284">
        <v>1.9140997500000001</v>
      </c>
      <c r="S33" s="284">
        <v>729.875</v>
      </c>
      <c r="T33" s="284">
        <v>965.33333333333405</v>
      </c>
      <c r="U33" s="284">
        <v>452.58333333333297</v>
      </c>
      <c r="V33" s="284">
        <v>710.91666666666697</v>
      </c>
      <c r="W33" s="284">
        <v>501.42500000000001</v>
      </c>
      <c r="X33" s="284" t="s">
        <v>334</v>
      </c>
      <c r="Y33" s="284">
        <v>281.58749999999998</v>
      </c>
      <c r="Z33" s="284">
        <v>526.88333333333298</v>
      </c>
      <c r="AA33" s="284">
        <v>237.833333333333</v>
      </c>
      <c r="AB33" s="284">
        <v>70.890833333333305</v>
      </c>
      <c r="AC33" s="284">
        <v>136.01666666666699</v>
      </c>
      <c r="AD33" s="284">
        <v>128.755</v>
      </c>
      <c r="AE33" s="284">
        <v>256.80250000000001</v>
      </c>
      <c r="AF33" s="284" t="s">
        <v>334</v>
      </c>
      <c r="AG33" s="284" t="s">
        <v>334</v>
      </c>
      <c r="AH33" s="284" t="s">
        <v>334</v>
      </c>
      <c r="AI33" s="284">
        <v>137.30416666666699</v>
      </c>
      <c r="AJ33" s="284">
        <v>157.41499999999999</v>
      </c>
      <c r="AK33" s="284" t="s">
        <v>334</v>
      </c>
      <c r="AL33" s="284">
        <v>0.42880833333333301</v>
      </c>
      <c r="AM33" s="284">
        <v>0.37319999999999998</v>
      </c>
      <c r="AN33" s="284">
        <v>2.4398916666666701</v>
      </c>
      <c r="AO33" s="284">
        <v>0.77196606483333297</v>
      </c>
      <c r="AP33" s="284">
        <v>1.93103333333333</v>
      </c>
      <c r="AQ33" s="284">
        <v>13.2075</v>
      </c>
      <c r="AR33" s="284">
        <v>0.38724150299999999</v>
      </c>
      <c r="AS33" s="284">
        <v>0.485879876166667</v>
      </c>
      <c r="AT33" s="284">
        <v>0.186725</v>
      </c>
      <c r="AU33" s="284">
        <v>2656.5450000000001</v>
      </c>
      <c r="AV33" s="284">
        <v>160.768333333333</v>
      </c>
      <c r="AW33" s="284">
        <v>137.705833333333</v>
      </c>
      <c r="AX33" s="284" t="s">
        <v>334</v>
      </c>
      <c r="AY33" s="284">
        <v>328.13556860503599</v>
      </c>
      <c r="AZ33" s="284">
        <v>229.808333333333</v>
      </c>
      <c r="BA33" s="284">
        <v>1.85389166666667</v>
      </c>
      <c r="BB33" s="284" t="s">
        <v>334</v>
      </c>
      <c r="BC33" s="284">
        <v>1.0641750000000001</v>
      </c>
      <c r="BD33" s="284">
        <v>39.8020833333333</v>
      </c>
      <c r="BE33" s="284">
        <v>169.083333333333</v>
      </c>
      <c r="BF33" s="284">
        <v>134.666666666667</v>
      </c>
      <c r="BG33" s="284">
        <v>114.541666666667</v>
      </c>
      <c r="BH33" s="284">
        <v>74.4166666666667</v>
      </c>
      <c r="BI33" s="284">
        <v>1438.43333333333</v>
      </c>
      <c r="BJ33" s="284">
        <v>29</v>
      </c>
      <c r="BK33" s="284">
        <v>1591.925</v>
      </c>
      <c r="BL33" s="284">
        <v>425.34166666666698</v>
      </c>
      <c r="BM33" s="284">
        <v>12987.9666666667</v>
      </c>
      <c r="BN33" s="284">
        <v>4672.8</v>
      </c>
      <c r="BO33" s="284">
        <v>764.33333333333405</v>
      </c>
      <c r="BP33" s="284">
        <v>422.53</v>
      </c>
      <c r="BQ33" s="284">
        <v>423.3075</v>
      </c>
      <c r="BR33" s="284">
        <v>11.4262833333333</v>
      </c>
      <c r="BS33" s="281"/>
      <c r="BT33" s="281"/>
      <c r="BU33" s="281"/>
      <c r="BV33" s="281"/>
      <c r="BW33" s="281"/>
      <c r="BX33" s="281"/>
      <c r="BY33" s="281"/>
      <c r="BZ33" s="281"/>
      <c r="CA33" s="281"/>
      <c r="CB33" s="281"/>
      <c r="CC33" s="281"/>
      <c r="CD33" s="281"/>
      <c r="CE33" s="281"/>
      <c r="CF33" s="281"/>
      <c r="CG33" s="281"/>
      <c r="CH33" s="281"/>
      <c r="CI33" s="281"/>
    </row>
    <row r="34" spans="1:87">
      <c r="A34" s="282">
        <v>1984</v>
      </c>
      <c r="B34" s="283">
        <v>28.557499991522899</v>
      </c>
      <c r="C34" s="283">
        <v>28.801666577657102</v>
      </c>
      <c r="D34" s="283">
        <v>27.493333339691201</v>
      </c>
      <c r="E34" s="283">
        <v>29.377500057220399</v>
      </c>
      <c r="F34" s="283">
        <v>30.9583333333333</v>
      </c>
      <c r="G34" s="283">
        <v>32.870833333333302</v>
      </c>
      <c r="H34" s="283">
        <v>2.6549999999999998</v>
      </c>
      <c r="I34" s="283">
        <v>3.76</v>
      </c>
      <c r="J34" s="283">
        <v>5.23768078192714</v>
      </c>
      <c r="K34" s="283">
        <v>53.664089200268599</v>
      </c>
      <c r="L34" s="283">
        <v>2.3959916666666699</v>
      </c>
      <c r="M34" s="283">
        <v>3.18865833333333</v>
      </c>
      <c r="N34" s="283">
        <v>3.0367833333333301</v>
      </c>
      <c r="O34" s="283">
        <v>2.7415500000000002</v>
      </c>
      <c r="P34" s="283">
        <v>2.5003454166666699</v>
      </c>
      <c r="Q34" s="283">
        <v>2.9145965</v>
      </c>
      <c r="R34" s="283">
        <v>2.8096779999999999</v>
      </c>
      <c r="S34" s="283">
        <v>1154.5833333333301</v>
      </c>
      <c r="T34" s="283">
        <v>836.58333333333405</v>
      </c>
      <c r="U34" s="283">
        <v>373.16666666666703</v>
      </c>
      <c r="V34" s="283">
        <v>1016.66666666667</v>
      </c>
      <c r="W34" s="283">
        <v>728.83333333333405</v>
      </c>
      <c r="X34" s="283" t="s">
        <v>334</v>
      </c>
      <c r="Y34" s="283">
        <v>282.08333333333297</v>
      </c>
      <c r="Z34" s="283">
        <v>724</v>
      </c>
      <c r="AA34" s="283">
        <v>197.166666666667</v>
      </c>
      <c r="AB34" s="283">
        <v>78.723333333333301</v>
      </c>
      <c r="AC34" s="283">
        <v>135.9425</v>
      </c>
      <c r="AD34" s="283">
        <v>118.18833333333301</v>
      </c>
      <c r="AE34" s="283">
        <v>232.49916666666701</v>
      </c>
      <c r="AF34" s="283" t="s">
        <v>334</v>
      </c>
      <c r="AG34" s="283" t="s">
        <v>334</v>
      </c>
      <c r="AH34" s="283" t="s">
        <v>334</v>
      </c>
      <c r="AI34" s="283">
        <v>140.22749999999999</v>
      </c>
      <c r="AJ34" s="283">
        <v>152.333333333333</v>
      </c>
      <c r="AK34" s="283" t="s">
        <v>334</v>
      </c>
      <c r="AL34" s="283">
        <v>0.36947833333333302</v>
      </c>
      <c r="AM34" s="283">
        <v>0.352393333333333</v>
      </c>
      <c r="AN34" s="283">
        <v>2.2731499999999998</v>
      </c>
      <c r="AO34" s="283">
        <v>0.87380113699999995</v>
      </c>
      <c r="AP34" s="283">
        <v>1.92109166666667</v>
      </c>
      <c r="AQ34" s="283">
        <v>11.734999999999999</v>
      </c>
      <c r="AR34" s="283">
        <v>0.36269673366666699</v>
      </c>
      <c r="AS34" s="283">
        <v>0.47928438800000001</v>
      </c>
      <c r="AT34" s="283">
        <v>0.114666666666667</v>
      </c>
      <c r="AU34" s="283">
        <v>2786.3225000000002</v>
      </c>
      <c r="AV34" s="283">
        <v>175.64250000000001</v>
      </c>
      <c r="AW34" s="283">
        <v>156.76</v>
      </c>
      <c r="AX34" s="283" t="s">
        <v>334</v>
      </c>
      <c r="AY34" s="283">
        <v>351.63746237431701</v>
      </c>
      <c r="AZ34" s="283">
        <v>226.98</v>
      </c>
      <c r="BA34" s="283">
        <v>1.78485</v>
      </c>
      <c r="BB34" s="283" t="s">
        <v>334</v>
      </c>
      <c r="BC34" s="283">
        <v>0.95765</v>
      </c>
      <c r="BD34" s="283">
        <v>33.066666666666698</v>
      </c>
      <c r="BE34" s="283">
        <v>175.625</v>
      </c>
      <c r="BF34" s="283">
        <v>131.25</v>
      </c>
      <c r="BG34" s="283">
        <v>150.166666666667</v>
      </c>
      <c r="BH34" s="283">
        <v>84.125</v>
      </c>
      <c r="BI34" s="283">
        <v>1251.325</v>
      </c>
      <c r="BJ34" s="283">
        <v>26.15</v>
      </c>
      <c r="BK34" s="283">
        <v>1377.31666666667</v>
      </c>
      <c r="BL34" s="283">
        <v>442.60833333333301</v>
      </c>
      <c r="BM34" s="283">
        <v>12233.4916666667</v>
      </c>
      <c r="BN34" s="283">
        <v>4752.2083333333303</v>
      </c>
      <c r="BO34" s="283">
        <v>921.93333333333305</v>
      </c>
      <c r="BP34" s="283">
        <v>360.47750000000002</v>
      </c>
      <c r="BQ34" s="283">
        <v>357.808333333333</v>
      </c>
      <c r="BR34" s="283">
        <v>8.1440249999999992</v>
      </c>
      <c r="BS34" s="281"/>
      <c r="BT34" s="281"/>
      <c r="BU34" s="281"/>
      <c r="BV34" s="281"/>
      <c r="BW34" s="281"/>
      <c r="BX34" s="281"/>
      <c r="BY34" s="281"/>
      <c r="BZ34" s="281"/>
      <c r="CA34" s="281"/>
      <c r="CB34" s="281"/>
      <c r="CC34" s="281"/>
      <c r="CD34" s="281"/>
      <c r="CE34" s="281"/>
      <c r="CF34" s="281"/>
      <c r="CG34" s="281"/>
      <c r="CH34" s="281"/>
      <c r="CI34" s="281"/>
    </row>
    <row r="35" spans="1:87">
      <c r="A35" s="277">
        <v>1985</v>
      </c>
      <c r="B35" s="284">
        <v>27.183333333333302</v>
      </c>
      <c r="C35" s="284">
        <v>27.329166666666701</v>
      </c>
      <c r="D35" s="284">
        <v>26.4583333333333</v>
      </c>
      <c r="E35" s="284">
        <v>27.762499999999999</v>
      </c>
      <c r="F35" s="284">
        <v>33.75</v>
      </c>
      <c r="G35" s="284">
        <v>34.917499999999997</v>
      </c>
      <c r="H35" s="284">
        <v>2.5108333333333301</v>
      </c>
      <c r="I35" s="284">
        <v>3.65</v>
      </c>
      <c r="J35" s="284">
        <v>5.23</v>
      </c>
      <c r="K35" s="284">
        <v>51.385278949344801</v>
      </c>
      <c r="L35" s="284">
        <v>2.2544499999999998</v>
      </c>
      <c r="M35" s="284">
        <v>3.2307916666666698</v>
      </c>
      <c r="N35" s="284">
        <v>2.6486333333333301</v>
      </c>
      <c r="O35" s="284">
        <v>1.7494749999999999</v>
      </c>
      <c r="P35" s="284">
        <v>1.4566859999999999</v>
      </c>
      <c r="Q35" s="284">
        <v>2.20325066666667</v>
      </c>
      <c r="R35" s="284">
        <v>1.58850425</v>
      </c>
      <c r="S35" s="284">
        <v>590.16666666666697</v>
      </c>
      <c r="T35" s="284">
        <v>675.75</v>
      </c>
      <c r="U35" s="284">
        <v>280.08333333333297</v>
      </c>
      <c r="V35" s="284">
        <v>904.91666666666595</v>
      </c>
      <c r="W35" s="284">
        <v>500.58333333333297</v>
      </c>
      <c r="X35" s="284" t="s">
        <v>334</v>
      </c>
      <c r="Y35" s="284">
        <v>224.416666666667</v>
      </c>
      <c r="Z35" s="284">
        <v>572</v>
      </c>
      <c r="AA35" s="284">
        <v>157.166666666667</v>
      </c>
      <c r="AB35" s="284">
        <v>58.816666666666698</v>
      </c>
      <c r="AC35" s="284">
        <v>112.23333333333299</v>
      </c>
      <c r="AD35" s="284">
        <v>103.009166666667</v>
      </c>
      <c r="AE35" s="284">
        <v>196.92916666666699</v>
      </c>
      <c r="AF35" s="284" t="s">
        <v>334</v>
      </c>
      <c r="AG35" s="284" t="s">
        <v>334</v>
      </c>
      <c r="AH35" s="284" t="s">
        <v>334</v>
      </c>
      <c r="AI35" s="284">
        <v>128.66</v>
      </c>
      <c r="AJ35" s="284">
        <v>135.82833333333301</v>
      </c>
      <c r="AK35" s="284" t="s">
        <v>334</v>
      </c>
      <c r="AL35" s="284">
        <v>0.37807083333333302</v>
      </c>
      <c r="AM35" s="284">
        <v>0.39840833333333298</v>
      </c>
      <c r="AN35" s="284">
        <v>2.15414166666667</v>
      </c>
      <c r="AO35" s="284">
        <v>0.83799443383333405</v>
      </c>
      <c r="AP35" s="284">
        <v>1.8446916666666699</v>
      </c>
      <c r="AQ35" s="284">
        <v>10.491666666666699</v>
      </c>
      <c r="AR35" s="284">
        <v>0.35038760533333302</v>
      </c>
      <c r="AS35" s="284">
        <v>0.44871365733333302</v>
      </c>
      <c r="AT35" s="284">
        <v>8.9466666666666694E-2</v>
      </c>
      <c r="AU35" s="284">
        <v>2611.8166666666698</v>
      </c>
      <c r="AV35" s="284">
        <v>173.88333333333301</v>
      </c>
      <c r="AW35" s="284">
        <v>121.73416666666699</v>
      </c>
      <c r="AX35" s="284">
        <v>307</v>
      </c>
      <c r="AY35" s="284">
        <v>307.13236573299002</v>
      </c>
      <c r="AZ35" s="284">
        <v>210.87833333333299</v>
      </c>
      <c r="BA35" s="284">
        <v>1.3182833333333299</v>
      </c>
      <c r="BB35" s="284" t="s">
        <v>334</v>
      </c>
      <c r="BC35" s="284">
        <v>0.75870833333333298</v>
      </c>
      <c r="BD35" s="284">
        <v>36</v>
      </c>
      <c r="BE35" s="284">
        <v>157.166666666667</v>
      </c>
      <c r="BF35" s="284">
        <v>121.375</v>
      </c>
      <c r="BG35" s="284">
        <v>111.625</v>
      </c>
      <c r="BH35" s="284">
        <v>83.2083333333333</v>
      </c>
      <c r="BI35" s="284">
        <v>1040.7249999999999</v>
      </c>
      <c r="BJ35" s="284">
        <v>26.56</v>
      </c>
      <c r="BK35" s="284">
        <v>1417.38333333333</v>
      </c>
      <c r="BL35" s="284">
        <v>390.85833333333301</v>
      </c>
      <c r="BM35" s="284">
        <v>11539.041666666701</v>
      </c>
      <c r="BN35" s="284">
        <v>4899.0416666666697</v>
      </c>
      <c r="BO35" s="284">
        <v>783.44166666666604</v>
      </c>
      <c r="BP35" s="284">
        <v>317.90750000000003</v>
      </c>
      <c r="BQ35" s="284">
        <v>292.49916666666701</v>
      </c>
      <c r="BR35" s="284">
        <v>6.1152333333333297</v>
      </c>
      <c r="BS35" s="281"/>
      <c r="BT35" s="281"/>
      <c r="BU35" s="281"/>
      <c r="BV35" s="281"/>
      <c r="BW35" s="281"/>
      <c r="BX35" s="281"/>
      <c r="BY35" s="281"/>
      <c r="BZ35" s="281"/>
      <c r="CA35" s="281"/>
      <c r="CB35" s="281"/>
      <c r="CC35" s="281"/>
      <c r="CD35" s="281"/>
      <c r="CE35" s="281"/>
      <c r="CF35" s="281"/>
      <c r="CG35" s="281"/>
      <c r="CH35" s="281"/>
      <c r="CI35" s="281"/>
    </row>
    <row r="36" spans="1:87">
      <c r="A36" s="282">
        <v>1986</v>
      </c>
      <c r="B36" s="283">
        <v>14.35</v>
      </c>
      <c r="C36" s="283">
        <v>14.7708333333333</v>
      </c>
      <c r="D36" s="283">
        <v>13.195833333333301</v>
      </c>
      <c r="E36" s="283">
        <v>15.0833333333333</v>
      </c>
      <c r="F36" s="283">
        <v>31.125</v>
      </c>
      <c r="G36" s="283">
        <v>30.37</v>
      </c>
      <c r="H36" s="283">
        <v>1.9350000000000001</v>
      </c>
      <c r="I36" s="283">
        <v>3.65</v>
      </c>
      <c r="J36" s="283">
        <v>4.0999999999999996</v>
      </c>
      <c r="K36" s="283">
        <v>43.627151691403697</v>
      </c>
      <c r="L36" s="283">
        <v>2.0696166666666702</v>
      </c>
      <c r="M36" s="283">
        <v>4.2925833333333303</v>
      </c>
      <c r="N36" s="283">
        <v>3.2447583333333299</v>
      </c>
      <c r="O36" s="283">
        <v>1.65956666666667</v>
      </c>
      <c r="P36" s="283">
        <v>1.1085275166666699</v>
      </c>
      <c r="Q36" s="283">
        <v>2.16296775</v>
      </c>
      <c r="R36" s="283">
        <v>1.7072462500000001</v>
      </c>
      <c r="S36" s="283">
        <v>296.5</v>
      </c>
      <c r="T36" s="283">
        <v>993.58333333333303</v>
      </c>
      <c r="U36" s="283">
        <v>320.58333333333297</v>
      </c>
      <c r="V36" s="283">
        <v>569.41666666666697</v>
      </c>
      <c r="W36" s="283">
        <v>257</v>
      </c>
      <c r="X36" s="283" t="s">
        <v>334</v>
      </c>
      <c r="Y36" s="283">
        <v>208.416666666667</v>
      </c>
      <c r="Z36" s="283">
        <v>342.41666666666703</v>
      </c>
      <c r="AA36" s="283">
        <v>184.75</v>
      </c>
      <c r="AB36" s="283">
        <v>47.56</v>
      </c>
      <c r="AC36" s="283">
        <v>87.558333333333394</v>
      </c>
      <c r="AD36" s="283">
        <v>82.413333333333298</v>
      </c>
      <c r="AE36" s="283">
        <v>186.245</v>
      </c>
      <c r="AF36" s="283">
        <v>104.120881666667</v>
      </c>
      <c r="AG36" s="283">
        <v>104.25</v>
      </c>
      <c r="AH36" s="283" t="s">
        <v>334</v>
      </c>
      <c r="AI36" s="283">
        <v>118.38916666666699</v>
      </c>
      <c r="AJ36" s="283">
        <v>114.916666666667</v>
      </c>
      <c r="AK36" s="283" t="s">
        <v>334</v>
      </c>
      <c r="AL36" s="283">
        <v>0.38172499999999998</v>
      </c>
      <c r="AM36" s="283">
        <v>0.39373083333333297</v>
      </c>
      <c r="AN36" s="283">
        <v>2.0921500000000002</v>
      </c>
      <c r="AO36" s="283">
        <v>0.92551784783333302</v>
      </c>
      <c r="AP36" s="283">
        <v>2.1532833333333299</v>
      </c>
      <c r="AQ36" s="283">
        <v>12.8858333333333</v>
      </c>
      <c r="AR36" s="283">
        <v>0.41016955100000002</v>
      </c>
      <c r="AS36" s="283">
        <v>0.46030628416666702</v>
      </c>
      <c r="AT36" s="283">
        <v>0.13337499999999999</v>
      </c>
      <c r="AU36" s="283">
        <v>2659.1783333333301</v>
      </c>
      <c r="AV36" s="283">
        <v>221.64416666666699</v>
      </c>
      <c r="AW36" s="283">
        <v>138.57666666666699</v>
      </c>
      <c r="AX36" s="283" t="s">
        <v>334</v>
      </c>
      <c r="AY36" s="283">
        <v>329.34243559812899</v>
      </c>
      <c r="AZ36" s="283">
        <v>273.71749999999997</v>
      </c>
      <c r="BA36" s="283">
        <v>1.0562750000000001</v>
      </c>
      <c r="BB36" s="283" t="s">
        <v>334</v>
      </c>
      <c r="BC36" s="283">
        <v>0.80654166666666705</v>
      </c>
      <c r="BD36" s="283">
        <v>36</v>
      </c>
      <c r="BE36" s="283">
        <v>138.166666666667</v>
      </c>
      <c r="BF36" s="283">
        <v>121.166666666667</v>
      </c>
      <c r="BG36" s="283">
        <v>70.75</v>
      </c>
      <c r="BH36" s="283">
        <v>72.9583333333333</v>
      </c>
      <c r="BI36" s="283">
        <v>1149.9349999999999</v>
      </c>
      <c r="BJ36" s="283">
        <v>26.26</v>
      </c>
      <c r="BK36" s="283">
        <v>1373.7816666666699</v>
      </c>
      <c r="BL36" s="283">
        <v>406.07499999999999</v>
      </c>
      <c r="BM36" s="283">
        <v>6161.3666666666704</v>
      </c>
      <c r="BN36" s="283">
        <v>3881.24166666667</v>
      </c>
      <c r="BO36" s="283">
        <v>754.03333333333296</v>
      </c>
      <c r="BP36" s="283">
        <v>367.694166666667</v>
      </c>
      <c r="BQ36" s="283">
        <v>465.04</v>
      </c>
      <c r="BR36" s="283">
        <v>5.4391916666666704</v>
      </c>
      <c r="BS36" s="281"/>
      <c r="BT36" s="281"/>
      <c r="BU36" s="281"/>
      <c r="BV36" s="281"/>
      <c r="BW36" s="281"/>
      <c r="BX36" s="281"/>
      <c r="BY36" s="281"/>
      <c r="BZ36" s="281"/>
      <c r="CA36" s="281"/>
      <c r="CB36" s="281"/>
      <c r="CC36" s="281"/>
      <c r="CD36" s="281"/>
      <c r="CE36" s="281"/>
      <c r="CF36" s="281"/>
      <c r="CG36" s="281"/>
      <c r="CH36" s="281"/>
      <c r="CI36" s="281"/>
    </row>
    <row r="37" spans="1:87">
      <c r="A37" s="277">
        <v>1987</v>
      </c>
      <c r="B37" s="284">
        <v>18.1458333333333</v>
      </c>
      <c r="C37" s="284">
        <v>18.341666666666701</v>
      </c>
      <c r="D37" s="284">
        <v>16.9375</v>
      </c>
      <c r="E37" s="284">
        <v>19.158333333333299</v>
      </c>
      <c r="F37" s="284">
        <v>27.5</v>
      </c>
      <c r="G37" s="284">
        <v>26.495000000000001</v>
      </c>
      <c r="H37" s="284">
        <v>1.6625000000000001</v>
      </c>
      <c r="I37" s="284">
        <v>2.59</v>
      </c>
      <c r="J37" s="284">
        <v>3.35</v>
      </c>
      <c r="K37" s="284">
        <v>34.770751256245802</v>
      </c>
      <c r="L37" s="284">
        <v>1.9942166666666701</v>
      </c>
      <c r="M37" s="284">
        <v>2.50498333333333</v>
      </c>
      <c r="N37" s="284">
        <v>2.2483416666666698</v>
      </c>
      <c r="O37" s="284">
        <v>1.6512249999999999</v>
      </c>
      <c r="P37" s="284">
        <v>1.34895725</v>
      </c>
      <c r="Q37" s="284">
        <v>2.2945339166666701</v>
      </c>
      <c r="R37" s="284">
        <v>1.3101750000000001</v>
      </c>
      <c r="S37" s="284">
        <v>442.25</v>
      </c>
      <c r="T37" s="284">
        <v>758.5</v>
      </c>
      <c r="U37" s="284">
        <v>383.41666666666703</v>
      </c>
      <c r="V37" s="284">
        <v>499.75</v>
      </c>
      <c r="W37" s="284">
        <v>342.58333333333297</v>
      </c>
      <c r="X37" s="284" t="s">
        <v>334</v>
      </c>
      <c r="Y37" s="284">
        <v>215.75</v>
      </c>
      <c r="Z37" s="284">
        <v>334.25</v>
      </c>
      <c r="AA37" s="284">
        <v>203.25</v>
      </c>
      <c r="AB37" s="284">
        <v>55.001666666666701</v>
      </c>
      <c r="AC37" s="284">
        <v>75.696666666666601</v>
      </c>
      <c r="AD37" s="284">
        <v>72.763333333333307</v>
      </c>
      <c r="AE37" s="284">
        <v>214.60833333333301</v>
      </c>
      <c r="AF37" s="284">
        <v>191</v>
      </c>
      <c r="AG37" s="284">
        <v>153.916666666667</v>
      </c>
      <c r="AH37" s="284" t="s">
        <v>334</v>
      </c>
      <c r="AI37" s="284">
        <v>112.101666666667</v>
      </c>
      <c r="AJ37" s="284">
        <v>112.895833333333</v>
      </c>
      <c r="AK37" s="284" t="s">
        <v>334</v>
      </c>
      <c r="AL37" s="284">
        <v>0.39306666666666701</v>
      </c>
      <c r="AM37" s="284">
        <v>0.45598416666666702</v>
      </c>
      <c r="AN37" s="284">
        <v>2.3859416666666702</v>
      </c>
      <c r="AO37" s="284">
        <v>0.90834018366666702</v>
      </c>
      <c r="AP37" s="284">
        <v>2.1624583333333298</v>
      </c>
      <c r="AQ37" s="284">
        <v>11.44</v>
      </c>
      <c r="AR37" s="284">
        <v>0.47262711635805799</v>
      </c>
      <c r="AS37" s="284">
        <v>0.48130528181737198</v>
      </c>
      <c r="AT37" s="284">
        <v>0.148958333333333</v>
      </c>
      <c r="AU37" s="284">
        <v>2745.5458333333299</v>
      </c>
      <c r="AV37" s="284">
        <v>258.91583333333301</v>
      </c>
      <c r="AW37" s="284">
        <v>201.77250000000001</v>
      </c>
      <c r="AX37" s="284" t="s">
        <v>334</v>
      </c>
      <c r="AY37" s="284">
        <v>401.29656583845201</v>
      </c>
      <c r="AZ37" s="284">
        <v>399.40666666666698</v>
      </c>
      <c r="BA37" s="284">
        <v>1.6484333333333301</v>
      </c>
      <c r="BB37" s="284" t="s">
        <v>334</v>
      </c>
      <c r="BC37" s="284">
        <v>0.98465000000000003</v>
      </c>
      <c r="BD37" s="284">
        <v>34.1458333333333</v>
      </c>
      <c r="BE37" s="284">
        <v>160</v>
      </c>
      <c r="BF37" s="284">
        <v>138</v>
      </c>
      <c r="BG37" s="284">
        <v>82.5</v>
      </c>
      <c r="BH37" s="284">
        <v>67.2916666666667</v>
      </c>
      <c r="BI37" s="284">
        <v>1565.36083333333</v>
      </c>
      <c r="BJ37" s="284">
        <v>25.3</v>
      </c>
      <c r="BK37" s="284">
        <v>1782.5033333333299</v>
      </c>
      <c r="BL37" s="284">
        <v>596.84166666666704</v>
      </c>
      <c r="BM37" s="284">
        <v>6664.8333333333303</v>
      </c>
      <c r="BN37" s="284">
        <v>4872.2166666666699</v>
      </c>
      <c r="BO37" s="284">
        <v>798.79166666666595</v>
      </c>
      <c r="BP37" s="284">
        <v>446.47250000000003</v>
      </c>
      <c r="BQ37" s="284">
        <v>555.72333333333302</v>
      </c>
      <c r="BR37" s="284">
        <v>7.0100916666666704</v>
      </c>
      <c r="BS37" s="281"/>
      <c r="BT37" s="281"/>
      <c r="BU37" s="281"/>
      <c r="BV37" s="281"/>
      <c r="BW37" s="281"/>
      <c r="BX37" s="281"/>
      <c r="BY37" s="281"/>
      <c r="BZ37" s="281"/>
      <c r="CA37" s="281"/>
      <c r="CB37" s="281"/>
      <c r="CC37" s="281"/>
      <c r="CD37" s="281"/>
      <c r="CE37" s="281"/>
      <c r="CF37" s="281"/>
      <c r="CG37" s="281"/>
      <c r="CH37" s="281"/>
      <c r="CI37" s="281"/>
    </row>
    <row r="38" spans="1:87">
      <c r="A38" s="282">
        <v>1988</v>
      </c>
      <c r="B38" s="283">
        <v>14.718055555555599</v>
      </c>
      <c r="C38" s="283">
        <v>14.970833333333299</v>
      </c>
      <c r="D38" s="283">
        <v>13.216666666666701</v>
      </c>
      <c r="E38" s="283">
        <v>15.966666666666701</v>
      </c>
      <c r="F38" s="283">
        <v>34.875</v>
      </c>
      <c r="G38" s="283">
        <v>28.1041666666667</v>
      </c>
      <c r="H38" s="283">
        <v>1.68166666666667</v>
      </c>
      <c r="I38" s="283">
        <v>2.36</v>
      </c>
      <c r="J38" s="283">
        <v>3.34</v>
      </c>
      <c r="K38" s="283">
        <v>33.903310647724297</v>
      </c>
      <c r="L38" s="283">
        <v>1.5846</v>
      </c>
      <c r="M38" s="283">
        <v>3.0337083333333301</v>
      </c>
      <c r="N38" s="283">
        <v>2.0791833333333298</v>
      </c>
      <c r="O38" s="283">
        <v>1.57801666666667</v>
      </c>
      <c r="P38" s="283">
        <v>1.36182491666667</v>
      </c>
      <c r="Q38" s="283">
        <v>2.0126899166666701</v>
      </c>
      <c r="R38" s="283">
        <v>1.35949075</v>
      </c>
      <c r="S38" s="283">
        <v>564.83333333333303</v>
      </c>
      <c r="T38" s="283">
        <v>935.75</v>
      </c>
      <c r="U38" s="283">
        <v>544.41666666666697</v>
      </c>
      <c r="V38" s="283">
        <v>590.33333333333303</v>
      </c>
      <c r="W38" s="283">
        <v>437.16666666666703</v>
      </c>
      <c r="X38" s="283" t="s">
        <v>334</v>
      </c>
      <c r="Y38" s="283">
        <v>303.5</v>
      </c>
      <c r="Z38" s="283">
        <v>463.41666666666703</v>
      </c>
      <c r="AA38" s="283">
        <v>267.5</v>
      </c>
      <c r="AB38" s="283">
        <v>70.3333333333333</v>
      </c>
      <c r="AC38" s="283">
        <v>106.89083333333301</v>
      </c>
      <c r="AD38" s="283">
        <v>98.459166666666604</v>
      </c>
      <c r="AE38" s="283">
        <v>277.47083333333302</v>
      </c>
      <c r="AF38" s="283" t="s">
        <v>334</v>
      </c>
      <c r="AG38" s="283">
        <v>219.75</v>
      </c>
      <c r="AH38" s="283" t="s">
        <v>334</v>
      </c>
      <c r="AI38" s="283">
        <v>140.7225</v>
      </c>
      <c r="AJ38" s="283">
        <v>145.199166666667</v>
      </c>
      <c r="AK38" s="283" t="s">
        <v>334</v>
      </c>
      <c r="AL38" s="283">
        <v>0.47813333333333302</v>
      </c>
      <c r="AM38" s="283">
        <v>0.45340666666666701</v>
      </c>
      <c r="AN38" s="283">
        <v>2.5170750000000002</v>
      </c>
      <c r="AO38" s="283">
        <v>1.0029000098333301</v>
      </c>
      <c r="AP38" s="283">
        <v>2.4107833333333302</v>
      </c>
      <c r="AQ38" s="283">
        <v>12.44</v>
      </c>
      <c r="AR38" s="283">
        <v>0.52504124677728004</v>
      </c>
      <c r="AS38" s="283">
        <v>0.48768033125158999</v>
      </c>
      <c r="AT38" s="283">
        <v>0.22466666666666699</v>
      </c>
      <c r="AU38" s="283">
        <v>2467.8958333333298</v>
      </c>
      <c r="AV38" s="283">
        <v>271.32</v>
      </c>
      <c r="AW38" s="283">
        <v>200.86083333333301</v>
      </c>
      <c r="AX38" s="283" t="s">
        <v>334</v>
      </c>
      <c r="AY38" s="283">
        <v>402.32642876067598</v>
      </c>
      <c r="AZ38" s="283">
        <v>358.83583333333303</v>
      </c>
      <c r="BA38" s="283">
        <v>1.3994</v>
      </c>
      <c r="BB38" s="283" t="s">
        <v>334</v>
      </c>
      <c r="BC38" s="283">
        <v>1.1849499999999999</v>
      </c>
      <c r="BD38" s="283">
        <v>31.6</v>
      </c>
      <c r="BE38" s="283">
        <v>180.166666666667</v>
      </c>
      <c r="BF38" s="283">
        <v>158.375</v>
      </c>
      <c r="BG38" s="283">
        <v>113.541666666667</v>
      </c>
      <c r="BH38" s="283">
        <v>86.8333333333333</v>
      </c>
      <c r="BI38" s="283">
        <v>2550.4558333333298</v>
      </c>
      <c r="BJ38" s="283">
        <v>24.3</v>
      </c>
      <c r="BK38" s="283">
        <v>2601.6716666666698</v>
      </c>
      <c r="BL38" s="283">
        <v>656.22500000000002</v>
      </c>
      <c r="BM38" s="283">
        <v>7051.6333333333296</v>
      </c>
      <c r="BN38" s="283">
        <v>13778.3166666667</v>
      </c>
      <c r="BO38" s="283">
        <v>1241.50833333333</v>
      </c>
      <c r="BP38" s="283">
        <v>437.04833333333301</v>
      </c>
      <c r="BQ38" s="283">
        <v>530.34333333333302</v>
      </c>
      <c r="BR38" s="283">
        <v>6.5304583333333301</v>
      </c>
      <c r="BS38" s="281"/>
      <c r="BT38" s="281"/>
      <c r="BU38" s="281"/>
      <c r="BV38" s="281"/>
      <c r="BW38" s="281"/>
      <c r="BX38" s="281"/>
      <c r="BY38" s="281"/>
      <c r="BZ38" s="281"/>
      <c r="CA38" s="281"/>
      <c r="CB38" s="281"/>
      <c r="CC38" s="281"/>
      <c r="CD38" s="281"/>
      <c r="CE38" s="281"/>
      <c r="CF38" s="281"/>
      <c r="CG38" s="281"/>
      <c r="CH38" s="281"/>
      <c r="CI38" s="281"/>
    </row>
    <row r="39" spans="1:87">
      <c r="A39" s="277">
        <v>1989</v>
      </c>
      <c r="B39" s="284">
        <v>17.838888888888899</v>
      </c>
      <c r="C39" s="284">
        <v>18.216666666666701</v>
      </c>
      <c r="D39" s="284">
        <v>15.704166666666699</v>
      </c>
      <c r="E39" s="284">
        <v>19.595833333333299</v>
      </c>
      <c r="F39" s="284">
        <v>38</v>
      </c>
      <c r="G39" s="284">
        <v>31</v>
      </c>
      <c r="H39" s="284">
        <v>1.6966666666666701</v>
      </c>
      <c r="I39" s="284">
        <v>2.09</v>
      </c>
      <c r="J39" s="284">
        <v>3.28</v>
      </c>
      <c r="K39" s="284">
        <v>32.761239051773998</v>
      </c>
      <c r="L39" s="284">
        <v>1.2410333333333301</v>
      </c>
      <c r="M39" s="284">
        <v>2.3873083333333298</v>
      </c>
      <c r="N39" s="284">
        <v>1.6556166666666701</v>
      </c>
      <c r="O39" s="284">
        <v>1.82484166666667</v>
      </c>
      <c r="P39" s="284">
        <v>1.5292939166666699</v>
      </c>
      <c r="Q39" s="284">
        <v>2.4274834166666701</v>
      </c>
      <c r="R39" s="284">
        <v>1.51776991666667</v>
      </c>
      <c r="S39" s="284">
        <v>516.83333333333303</v>
      </c>
      <c r="T39" s="284">
        <v>817.5</v>
      </c>
      <c r="U39" s="284">
        <v>408.41666666666703</v>
      </c>
      <c r="V39" s="284">
        <v>774.75</v>
      </c>
      <c r="W39" s="284">
        <v>350.41666666666703</v>
      </c>
      <c r="X39" s="284" t="s">
        <v>334</v>
      </c>
      <c r="Y39" s="284">
        <v>275</v>
      </c>
      <c r="Z39" s="284">
        <v>431.5</v>
      </c>
      <c r="AA39" s="284">
        <v>247.583333333333</v>
      </c>
      <c r="AB39" s="284">
        <v>75.137500000000003</v>
      </c>
      <c r="AC39" s="284">
        <v>111.524166666667</v>
      </c>
      <c r="AD39" s="284">
        <v>105.9375</v>
      </c>
      <c r="AE39" s="284">
        <v>299.16250000000002</v>
      </c>
      <c r="AF39" s="284" t="s">
        <v>334</v>
      </c>
      <c r="AG39" s="284">
        <v>218.583333333333</v>
      </c>
      <c r="AH39" s="284" t="s">
        <v>334</v>
      </c>
      <c r="AI39" s="284">
        <v>161.261666666667</v>
      </c>
      <c r="AJ39" s="284">
        <v>169.23500000000001</v>
      </c>
      <c r="AK39" s="284" t="s">
        <v>334</v>
      </c>
      <c r="AL39" s="284">
        <v>0.54679166666666701</v>
      </c>
      <c r="AM39" s="284">
        <v>0.44542583333333302</v>
      </c>
      <c r="AN39" s="284">
        <v>2.5690583333333299</v>
      </c>
      <c r="AO39" s="284">
        <v>1.0995358531666699</v>
      </c>
      <c r="AP39" s="284">
        <v>2.3210250000000001</v>
      </c>
      <c r="AQ39" s="284">
        <v>11.154999999999999</v>
      </c>
      <c r="AR39" s="284">
        <v>0.50160794336509695</v>
      </c>
      <c r="AS39" s="284">
        <v>0.50276359772796597</v>
      </c>
      <c r="AT39" s="284">
        <v>0.28205833333333302</v>
      </c>
      <c r="AU39" s="284">
        <v>3167.5725000000002</v>
      </c>
      <c r="AV39" s="284">
        <v>273.761666666667</v>
      </c>
      <c r="AW39" s="284">
        <v>190.588333333333</v>
      </c>
      <c r="AX39" s="284" t="s">
        <v>334</v>
      </c>
      <c r="AY39" s="284">
        <v>485.27891337892999</v>
      </c>
      <c r="AZ39" s="284">
        <v>350.32</v>
      </c>
      <c r="BA39" s="284">
        <v>1.6742250000000001</v>
      </c>
      <c r="BB39" s="284" t="s">
        <v>334</v>
      </c>
      <c r="BC39" s="284">
        <v>0.96989999999999998</v>
      </c>
      <c r="BD39" s="284">
        <v>31</v>
      </c>
      <c r="BE39" s="284">
        <v>155.291666666667</v>
      </c>
      <c r="BF39" s="284">
        <v>144</v>
      </c>
      <c r="BG39" s="284">
        <v>102.958333333333</v>
      </c>
      <c r="BH39" s="284">
        <v>98.3333333333333</v>
      </c>
      <c r="BI39" s="284">
        <v>1951.2566666666701</v>
      </c>
      <c r="BJ39" s="284">
        <v>27.83</v>
      </c>
      <c r="BK39" s="284">
        <v>2848.41</v>
      </c>
      <c r="BL39" s="284">
        <v>673.47500000000002</v>
      </c>
      <c r="BM39" s="284">
        <v>8534.4333333333398</v>
      </c>
      <c r="BN39" s="284">
        <v>13308.174999999999</v>
      </c>
      <c r="BO39" s="284">
        <v>1658.7666666666701</v>
      </c>
      <c r="BP39" s="284">
        <v>381.43166666666701</v>
      </c>
      <c r="BQ39" s="284">
        <v>509.64249999999998</v>
      </c>
      <c r="BR39" s="284">
        <v>5.5070916666666703</v>
      </c>
      <c r="BS39" s="281"/>
      <c r="BT39" s="281"/>
      <c r="BU39" s="281"/>
      <c r="BV39" s="281"/>
      <c r="BW39" s="281"/>
      <c r="BX39" s="281"/>
      <c r="BY39" s="281"/>
      <c r="BZ39" s="281"/>
      <c r="CA39" s="281"/>
      <c r="CB39" s="281"/>
      <c r="CC39" s="281"/>
      <c r="CD39" s="281"/>
      <c r="CE39" s="281"/>
      <c r="CF39" s="281"/>
      <c r="CG39" s="281"/>
      <c r="CH39" s="281"/>
      <c r="CI39" s="281"/>
    </row>
    <row r="40" spans="1:87">
      <c r="A40" s="282">
        <v>1990</v>
      </c>
      <c r="B40" s="283">
        <v>22.879166666666698</v>
      </c>
      <c r="C40" s="283">
        <v>23.683333333333302</v>
      </c>
      <c r="D40" s="283">
        <v>20.462499999999999</v>
      </c>
      <c r="E40" s="283">
        <v>24.491666666666699</v>
      </c>
      <c r="F40" s="283">
        <v>39.6666666666667</v>
      </c>
      <c r="G40" s="283">
        <v>32.875</v>
      </c>
      <c r="H40" s="283">
        <v>1.6983333333333299</v>
      </c>
      <c r="I40" s="283">
        <v>2.82</v>
      </c>
      <c r="J40" s="283">
        <v>3.64</v>
      </c>
      <c r="K40" s="283">
        <v>36.4957757232471</v>
      </c>
      <c r="L40" s="283">
        <v>1.2666666666666699</v>
      </c>
      <c r="M40" s="283">
        <v>1.9722</v>
      </c>
      <c r="N40" s="283">
        <v>1.1817249999999999</v>
      </c>
      <c r="O40" s="283">
        <v>2.0575083333333302</v>
      </c>
      <c r="P40" s="283">
        <v>1.8772818333333301</v>
      </c>
      <c r="Q40" s="283">
        <v>2.8088911666666698</v>
      </c>
      <c r="R40" s="283">
        <v>1.48635108333333</v>
      </c>
      <c r="S40" s="283">
        <v>336.5</v>
      </c>
      <c r="T40" s="283">
        <v>1325.5</v>
      </c>
      <c r="U40" s="283">
        <v>412.16666666666703</v>
      </c>
      <c r="V40" s="283">
        <v>963.66666666666595</v>
      </c>
      <c r="W40" s="283">
        <v>289.75</v>
      </c>
      <c r="X40" s="283" t="s">
        <v>334</v>
      </c>
      <c r="Y40" s="283">
        <v>246.75</v>
      </c>
      <c r="Z40" s="283">
        <v>447.33333333333297</v>
      </c>
      <c r="AA40" s="283">
        <v>200.166666666667</v>
      </c>
      <c r="AB40" s="283">
        <v>79.924999999999997</v>
      </c>
      <c r="AC40" s="283">
        <v>109.275833333333</v>
      </c>
      <c r="AD40" s="283">
        <v>103.93916666666701</v>
      </c>
      <c r="AE40" s="283">
        <v>270.85416666666703</v>
      </c>
      <c r="AF40" s="283" t="s">
        <v>334</v>
      </c>
      <c r="AG40" s="283">
        <v>156.166666666667</v>
      </c>
      <c r="AH40" s="283" t="s">
        <v>334</v>
      </c>
      <c r="AI40" s="283">
        <v>129.08916666666701</v>
      </c>
      <c r="AJ40" s="283">
        <v>135.52250000000001</v>
      </c>
      <c r="AK40" s="283" t="s">
        <v>334</v>
      </c>
      <c r="AL40" s="283">
        <v>0.54085000000000005</v>
      </c>
      <c r="AM40" s="283">
        <v>0.53106083333333298</v>
      </c>
      <c r="AN40" s="283">
        <v>2.5632333333333301</v>
      </c>
      <c r="AO40" s="283">
        <v>1.0821009833333299</v>
      </c>
      <c r="AP40" s="283">
        <v>2.65661666666667</v>
      </c>
      <c r="AQ40" s="283">
        <v>10.7925</v>
      </c>
      <c r="AR40" s="283">
        <v>0.58318448930285804</v>
      </c>
      <c r="AS40" s="283">
        <v>0.51262927026564198</v>
      </c>
      <c r="AT40" s="283">
        <v>0.276675</v>
      </c>
      <c r="AU40" s="283">
        <v>3392.1858333333298</v>
      </c>
      <c r="AV40" s="283">
        <v>343.46166666666699</v>
      </c>
      <c r="AW40" s="283">
        <v>177.1925</v>
      </c>
      <c r="AX40" s="283">
        <v>533</v>
      </c>
      <c r="AY40" s="283">
        <v>533.08225240892398</v>
      </c>
      <c r="AZ40" s="283">
        <v>354.868333333333</v>
      </c>
      <c r="BA40" s="283">
        <v>1.81914166666667</v>
      </c>
      <c r="BB40" s="283" t="s">
        <v>334</v>
      </c>
      <c r="BC40" s="283">
        <v>0.86468333333333303</v>
      </c>
      <c r="BD40" s="283">
        <v>31.2916666666667</v>
      </c>
      <c r="BE40" s="283">
        <v>154.67500000000001</v>
      </c>
      <c r="BF40" s="283">
        <v>131.82083333333301</v>
      </c>
      <c r="BG40" s="283">
        <v>115.645833333333</v>
      </c>
      <c r="BH40" s="283">
        <v>94.631249999999994</v>
      </c>
      <c r="BI40" s="283">
        <v>1639.4449999999999</v>
      </c>
      <c r="BJ40" s="283">
        <v>32.5</v>
      </c>
      <c r="BK40" s="283">
        <v>2661.4825000000001</v>
      </c>
      <c r="BL40" s="283">
        <v>810.54166666666595</v>
      </c>
      <c r="BM40" s="283">
        <v>6085.3833333333296</v>
      </c>
      <c r="BN40" s="283">
        <v>8864.1</v>
      </c>
      <c r="BO40" s="283">
        <v>1513.4583333333301</v>
      </c>
      <c r="BP40" s="283">
        <v>383.46666666666698</v>
      </c>
      <c r="BQ40" s="283">
        <v>471.58916666666698</v>
      </c>
      <c r="BR40" s="283">
        <v>4.8332249999999997</v>
      </c>
      <c r="BS40" s="281"/>
      <c r="BT40" s="281"/>
      <c r="BU40" s="281"/>
      <c r="BV40" s="281"/>
      <c r="BW40" s="281"/>
      <c r="BX40" s="281"/>
      <c r="BY40" s="281"/>
      <c r="BZ40" s="281"/>
      <c r="CA40" s="281"/>
      <c r="CB40" s="281"/>
      <c r="CC40" s="281"/>
      <c r="CD40" s="281"/>
      <c r="CE40" s="281"/>
      <c r="CF40" s="281"/>
      <c r="CG40" s="281"/>
      <c r="CH40" s="281"/>
      <c r="CI40" s="281"/>
    </row>
    <row r="41" spans="1:87">
      <c r="A41" s="277">
        <v>1991</v>
      </c>
      <c r="B41" s="284">
        <v>19.370833333333302</v>
      </c>
      <c r="C41" s="284">
        <v>20.066666666666698</v>
      </c>
      <c r="D41" s="284">
        <v>16.5625</v>
      </c>
      <c r="E41" s="284">
        <v>21.483333333333299</v>
      </c>
      <c r="F41" s="284">
        <v>39.6666666666667</v>
      </c>
      <c r="G41" s="284">
        <v>31.5</v>
      </c>
      <c r="H41" s="284">
        <v>1.4866666666666699</v>
      </c>
      <c r="I41" s="284">
        <v>3.1141666666666699</v>
      </c>
      <c r="J41" s="284">
        <v>3.99</v>
      </c>
      <c r="K41" s="284">
        <v>35.561011586277701</v>
      </c>
      <c r="L41" s="284">
        <v>1.19505833333333</v>
      </c>
      <c r="M41" s="284">
        <v>1.8733916666666699</v>
      </c>
      <c r="N41" s="284">
        <v>1.071925</v>
      </c>
      <c r="O41" s="284">
        <v>1.67400833333333</v>
      </c>
      <c r="P41" s="284">
        <v>1.4298198333333301</v>
      </c>
      <c r="Q41" s="284">
        <v>2.16314575</v>
      </c>
      <c r="R41" s="284">
        <v>1.4290689166666699</v>
      </c>
      <c r="S41" s="284">
        <v>433</v>
      </c>
      <c r="T41" s="284">
        <v>1237.8333333333301</v>
      </c>
      <c r="U41" s="284">
        <v>477.83333333333297</v>
      </c>
      <c r="V41" s="284">
        <v>894.83333333333405</v>
      </c>
      <c r="W41" s="284">
        <v>339</v>
      </c>
      <c r="X41" s="284" t="s">
        <v>334</v>
      </c>
      <c r="Y41" s="284">
        <v>239.583333333333</v>
      </c>
      <c r="Z41" s="284">
        <v>453.83333333333297</v>
      </c>
      <c r="AA41" s="284">
        <v>197.083333333333</v>
      </c>
      <c r="AB41" s="284">
        <v>78.286666666666605</v>
      </c>
      <c r="AC41" s="284">
        <v>107.42</v>
      </c>
      <c r="AD41" s="284">
        <v>105.11166666666701</v>
      </c>
      <c r="AE41" s="284">
        <v>293.27916666666698</v>
      </c>
      <c r="AF41" s="284">
        <v>239.5</v>
      </c>
      <c r="AG41" s="284">
        <v>179.166666666667</v>
      </c>
      <c r="AH41" s="284" t="s">
        <v>334</v>
      </c>
      <c r="AI41" s="284">
        <v>126.113333333333</v>
      </c>
      <c r="AJ41" s="284">
        <v>128.66499999999999</v>
      </c>
      <c r="AK41" s="284" t="s">
        <v>334</v>
      </c>
      <c r="AL41" s="284">
        <v>0.55946166666666697</v>
      </c>
      <c r="AM41" s="284">
        <v>0.52095083333333303</v>
      </c>
      <c r="AN41" s="284">
        <v>2.6633583333333299</v>
      </c>
      <c r="AO41" s="284">
        <v>1.0560864673333299</v>
      </c>
      <c r="AP41" s="284">
        <v>2.331175</v>
      </c>
      <c r="AQ41" s="284">
        <v>11.544750000000001</v>
      </c>
      <c r="AR41" s="284">
        <v>0.61210206641829801</v>
      </c>
      <c r="AS41" s="284">
        <v>0.47515086762828801</v>
      </c>
      <c r="AT41" s="284">
        <v>0.197591666666667</v>
      </c>
      <c r="AU41" s="284">
        <v>3500.06833333333</v>
      </c>
      <c r="AV41" s="284">
        <v>316.04583333333301</v>
      </c>
      <c r="AW41" s="284">
        <v>191.48416666666699</v>
      </c>
      <c r="AX41" s="284" t="s">
        <v>334</v>
      </c>
      <c r="AY41" s="284">
        <v>552.51985891859795</v>
      </c>
      <c r="AZ41" s="284">
        <v>372.37666666666701</v>
      </c>
      <c r="BA41" s="284">
        <v>1.6774083333333301</v>
      </c>
      <c r="BB41" s="284" t="s">
        <v>334</v>
      </c>
      <c r="BC41" s="284">
        <v>0.82576666666666698</v>
      </c>
      <c r="BD41" s="284">
        <v>31.5</v>
      </c>
      <c r="BE41" s="284">
        <v>158.25</v>
      </c>
      <c r="BF41" s="284">
        <v>133.120833333333</v>
      </c>
      <c r="BG41" s="284">
        <v>138.395833333333</v>
      </c>
      <c r="BH41" s="284">
        <v>106.429166666667</v>
      </c>
      <c r="BI41" s="284">
        <v>1302.1883333333301</v>
      </c>
      <c r="BJ41" s="284">
        <v>34.76</v>
      </c>
      <c r="BK41" s="284">
        <v>2338.7824999999998</v>
      </c>
      <c r="BL41" s="284">
        <v>557.61666666666702</v>
      </c>
      <c r="BM41" s="284">
        <v>5595.0416666666697</v>
      </c>
      <c r="BN41" s="284">
        <v>8155.6166666666704</v>
      </c>
      <c r="BO41" s="284">
        <v>1116.99166666667</v>
      </c>
      <c r="BP41" s="284">
        <v>362.1825</v>
      </c>
      <c r="BQ41" s="284">
        <v>375.816666666667</v>
      </c>
      <c r="BR41" s="284">
        <v>4.0513583333333303</v>
      </c>
      <c r="BS41" s="281"/>
      <c r="BT41" s="281"/>
      <c r="BU41" s="281"/>
      <c r="BV41" s="281"/>
      <c r="BW41" s="281"/>
      <c r="BX41" s="281"/>
      <c r="BY41" s="281"/>
      <c r="BZ41" s="281"/>
      <c r="CA41" s="281"/>
      <c r="CB41" s="281"/>
      <c r="CC41" s="281"/>
      <c r="CD41" s="281"/>
      <c r="CE41" s="281"/>
      <c r="CF41" s="281"/>
      <c r="CG41" s="281"/>
      <c r="CH41" s="281"/>
      <c r="CI41" s="281"/>
    </row>
    <row r="42" spans="1:87">
      <c r="A42" s="282">
        <v>1992</v>
      </c>
      <c r="B42" s="283">
        <v>19.0208333333333</v>
      </c>
      <c r="C42" s="283">
        <v>19.3125</v>
      </c>
      <c r="D42" s="283">
        <v>17.1875</v>
      </c>
      <c r="E42" s="283">
        <v>20.5625</v>
      </c>
      <c r="F42" s="283">
        <v>38.5625</v>
      </c>
      <c r="G42" s="283">
        <v>28.8333333333333</v>
      </c>
      <c r="H42" s="283">
        <v>1.7716666666666701</v>
      </c>
      <c r="I42" s="283">
        <v>2.55833333333333</v>
      </c>
      <c r="J42" s="283">
        <v>3.5951125833333299</v>
      </c>
      <c r="K42" s="283">
        <v>36.111922673219802</v>
      </c>
      <c r="L42" s="283">
        <v>1.0995666666666699</v>
      </c>
      <c r="M42" s="283">
        <v>1.41191666666667</v>
      </c>
      <c r="N42" s="283">
        <v>0.94042499999999996</v>
      </c>
      <c r="O42" s="283">
        <v>1.6042333333333301</v>
      </c>
      <c r="P42" s="283">
        <v>1.4443060833333301</v>
      </c>
      <c r="Q42" s="283">
        <v>1.69034666666667</v>
      </c>
      <c r="R42" s="283">
        <v>1.67804483333333</v>
      </c>
      <c r="S42" s="283">
        <v>577.58333333333303</v>
      </c>
      <c r="T42" s="283">
        <v>799.131666666667</v>
      </c>
      <c r="U42" s="283">
        <v>481.5</v>
      </c>
      <c r="V42" s="283">
        <v>609.91666666666697</v>
      </c>
      <c r="W42" s="283">
        <v>393.5</v>
      </c>
      <c r="X42" s="283" t="s">
        <v>334</v>
      </c>
      <c r="Y42" s="283">
        <v>235.5</v>
      </c>
      <c r="Z42" s="283">
        <v>428.91666666666703</v>
      </c>
      <c r="AA42" s="283">
        <v>204.416666666667</v>
      </c>
      <c r="AB42" s="283">
        <v>78.674999999999997</v>
      </c>
      <c r="AC42" s="283">
        <v>104.245833333333</v>
      </c>
      <c r="AD42" s="283">
        <v>102.75</v>
      </c>
      <c r="AE42" s="283">
        <v>268.22083333333302</v>
      </c>
      <c r="AF42" s="283">
        <v>228.333333333333</v>
      </c>
      <c r="AG42" s="283">
        <v>177.916666666667</v>
      </c>
      <c r="AH42" s="283" t="s">
        <v>334</v>
      </c>
      <c r="AI42" s="283">
        <v>145.14166666666699</v>
      </c>
      <c r="AJ42" s="283">
        <v>151.19999999999999</v>
      </c>
      <c r="AK42" s="283" t="s">
        <v>334</v>
      </c>
      <c r="AL42" s="283">
        <v>0.47308333333333302</v>
      </c>
      <c r="AM42" s="283">
        <v>0.48924083333333301</v>
      </c>
      <c r="AN42" s="283">
        <v>2.4545750000000002</v>
      </c>
      <c r="AO42" s="283">
        <v>1.057445983</v>
      </c>
      <c r="AP42" s="283">
        <v>2.6514083333333298</v>
      </c>
      <c r="AQ42" s="283">
        <v>10.953333333333299</v>
      </c>
      <c r="AR42" s="283">
        <v>0.62776367518603005</v>
      </c>
      <c r="AS42" s="283">
        <v>0.46958936948674501</v>
      </c>
      <c r="AT42" s="283">
        <v>0.199591666666667</v>
      </c>
      <c r="AU42" s="283">
        <v>3439.5391666666701</v>
      </c>
      <c r="AV42" s="283">
        <v>331.27833333333302</v>
      </c>
      <c r="AW42" s="283">
        <v>209.50833333333301</v>
      </c>
      <c r="AX42" s="283" t="s">
        <v>334</v>
      </c>
      <c r="AY42" s="283">
        <v>607.21693580569604</v>
      </c>
      <c r="AZ42" s="283">
        <v>380.761666666667</v>
      </c>
      <c r="BA42" s="283">
        <v>1.2783</v>
      </c>
      <c r="BB42" s="283" t="s">
        <v>334</v>
      </c>
      <c r="BC42" s="283">
        <v>0.86158333333333403</v>
      </c>
      <c r="BD42" s="283">
        <v>31.5</v>
      </c>
      <c r="BE42" s="283">
        <v>137.87291666666701</v>
      </c>
      <c r="BF42" s="283">
        <v>120.73583333333301</v>
      </c>
      <c r="BG42" s="283">
        <v>117.604166666667</v>
      </c>
      <c r="BH42" s="283">
        <v>111.758333333333</v>
      </c>
      <c r="BI42" s="283">
        <v>1254.2833333333299</v>
      </c>
      <c r="BJ42" s="283">
        <v>33.1</v>
      </c>
      <c r="BK42" s="283">
        <v>2281.1574999999998</v>
      </c>
      <c r="BL42" s="283">
        <v>541.36666666666702</v>
      </c>
      <c r="BM42" s="283">
        <v>6101.0249999999996</v>
      </c>
      <c r="BN42" s="283">
        <v>7001.2291666666697</v>
      </c>
      <c r="BO42" s="283">
        <v>1239.7750000000001</v>
      </c>
      <c r="BP42" s="283">
        <v>343.73333333333301</v>
      </c>
      <c r="BQ42" s="283">
        <v>359.68583333333299</v>
      </c>
      <c r="BR42" s="283">
        <v>3.9460083333333298</v>
      </c>
      <c r="BS42" s="281"/>
      <c r="BT42" s="281"/>
      <c r="BU42" s="281"/>
      <c r="BV42" s="281"/>
      <c r="BW42" s="281"/>
      <c r="BX42" s="281"/>
      <c r="BY42" s="281"/>
      <c r="BZ42" s="281"/>
      <c r="CA42" s="281"/>
      <c r="CB42" s="281"/>
      <c r="CC42" s="281"/>
      <c r="CD42" s="281"/>
      <c r="CE42" s="281"/>
      <c r="CF42" s="281"/>
      <c r="CG42" s="281"/>
      <c r="CH42" s="281"/>
      <c r="CI42" s="281"/>
    </row>
    <row r="43" spans="1:87">
      <c r="A43" s="277">
        <v>1993</v>
      </c>
      <c r="B43" s="284">
        <v>16.841666666666701</v>
      </c>
      <c r="C43" s="284">
        <v>17.0208333333333</v>
      </c>
      <c r="D43" s="284">
        <v>14.9416666666667</v>
      </c>
      <c r="E43" s="284">
        <v>18.5625</v>
      </c>
      <c r="F43" s="284">
        <v>31.3333333333333</v>
      </c>
      <c r="G43" s="284">
        <v>26.9583333333333</v>
      </c>
      <c r="H43" s="284">
        <v>2.12083333333333</v>
      </c>
      <c r="I43" s="284">
        <v>2.67166666666667</v>
      </c>
      <c r="J43" s="284">
        <v>3.5065987500000002</v>
      </c>
      <c r="K43" s="284">
        <v>40.830799675143098</v>
      </c>
      <c r="L43" s="284">
        <v>1.1169249999999999</v>
      </c>
      <c r="M43" s="284">
        <v>1.5602</v>
      </c>
      <c r="N43" s="284">
        <v>1.157375</v>
      </c>
      <c r="O43" s="284">
        <v>1.6148416666666701</v>
      </c>
      <c r="P43" s="284">
        <v>1.44233891666667</v>
      </c>
      <c r="Q43" s="284">
        <v>1.84469033333333</v>
      </c>
      <c r="R43" s="284">
        <v>1.5575000000000001</v>
      </c>
      <c r="S43" s="284">
        <v>450.25</v>
      </c>
      <c r="T43" s="284">
        <v>1092.1458333333301</v>
      </c>
      <c r="U43" s="284">
        <v>364.75</v>
      </c>
      <c r="V43" s="284">
        <v>739.08333333333405</v>
      </c>
      <c r="W43" s="284">
        <v>377.75</v>
      </c>
      <c r="X43" s="284" t="s">
        <v>334</v>
      </c>
      <c r="Y43" s="284">
        <v>255.083333333333</v>
      </c>
      <c r="Z43" s="284">
        <v>480.41666666666703</v>
      </c>
      <c r="AA43" s="284">
        <v>208.166666666667</v>
      </c>
      <c r="AB43" s="284">
        <v>71.376666666666694</v>
      </c>
      <c r="AC43" s="284">
        <v>102.09</v>
      </c>
      <c r="AD43" s="284">
        <v>99.026666666666699</v>
      </c>
      <c r="AE43" s="284">
        <v>235.41249999999999</v>
      </c>
      <c r="AF43" s="284">
        <v>202.416666666667</v>
      </c>
      <c r="AG43" s="284">
        <v>157.583333333333</v>
      </c>
      <c r="AH43" s="284" t="s">
        <v>334</v>
      </c>
      <c r="AI43" s="284">
        <v>134.77416666666701</v>
      </c>
      <c r="AJ43" s="284">
        <v>140.238333333333</v>
      </c>
      <c r="AK43" s="284" t="s">
        <v>334</v>
      </c>
      <c r="AL43" s="284">
        <v>0.44302583333333301</v>
      </c>
      <c r="AM43" s="284">
        <v>0.43249416666666701</v>
      </c>
      <c r="AN43" s="284">
        <v>2.61754166666667</v>
      </c>
      <c r="AO43" s="284">
        <v>1.2053943568333301</v>
      </c>
      <c r="AP43" s="284">
        <v>2.9072416666666698</v>
      </c>
      <c r="AQ43" s="284">
        <v>11.390124999999999</v>
      </c>
      <c r="AR43" s="284">
        <v>0.61948333333333305</v>
      </c>
      <c r="AS43" s="284">
        <v>0.47647499999999998</v>
      </c>
      <c r="AT43" s="284">
        <v>0.220975</v>
      </c>
      <c r="AU43" s="284">
        <v>2695.3366666666702</v>
      </c>
      <c r="AV43" s="284">
        <v>310.32</v>
      </c>
      <c r="AW43" s="284">
        <v>389.8075</v>
      </c>
      <c r="AX43" s="284" t="s">
        <v>334</v>
      </c>
      <c r="AY43" s="284">
        <v>758.25006117498197</v>
      </c>
      <c r="AZ43" s="284">
        <v>661.42666666666696</v>
      </c>
      <c r="BA43" s="284">
        <v>1.28026666666667</v>
      </c>
      <c r="BB43" s="284" t="s">
        <v>334</v>
      </c>
      <c r="BC43" s="284">
        <v>0.83128333333333404</v>
      </c>
      <c r="BD43" s="284">
        <v>31.5</v>
      </c>
      <c r="BE43" s="284">
        <v>121.995833333333</v>
      </c>
      <c r="BF43" s="284">
        <v>111.944166666667</v>
      </c>
      <c r="BG43" s="284">
        <v>85.5416666666667</v>
      </c>
      <c r="BH43" s="284">
        <v>112.541666666667</v>
      </c>
      <c r="BI43" s="284">
        <v>1139.0491666666701</v>
      </c>
      <c r="BJ43" s="284">
        <v>29.09</v>
      </c>
      <c r="BK43" s="284">
        <v>1913.07666666667</v>
      </c>
      <c r="BL43" s="284">
        <v>406.35833333333301</v>
      </c>
      <c r="BM43" s="284">
        <v>5161.1416666666701</v>
      </c>
      <c r="BN43" s="284">
        <v>5293.4191666666702</v>
      </c>
      <c r="BO43" s="284">
        <v>961.98333333333301</v>
      </c>
      <c r="BP43" s="284">
        <v>359.77</v>
      </c>
      <c r="BQ43" s="284">
        <v>374.02583333333303</v>
      </c>
      <c r="BR43" s="284">
        <v>4.3083999999999998</v>
      </c>
      <c r="BS43" s="281"/>
      <c r="BT43" s="281"/>
      <c r="BU43" s="281"/>
      <c r="BV43" s="281"/>
      <c r="BW43" s="281"/>
      <c r="BX43" s="281"/>
      <c r="BY43" s="281"/>
      <c r="BZ43" s="281"/>
      <c r="CA43" s="281"/>
      <c r="CB43" s="281"/>
      <c r="CC43" s="281"/>
      <c r="CD43" s="281"/>
      <c r="CE43" s="281"/>
      <c r="CF43" s="281"/>
      <c r="CG43" s="281"/>
      <c r="CH43" s="281"/>
      <c r="CI43" s="281"/>
    </row>
    <row r="44" spans="1:87">
      <c r="A44" s="282">
        <v>1994</v>
      </c>
      <c r="B44" s="283">
        <v>15.8866666666667</v>
      </c>
      <c r="C44" s="283">
        <v>15.83</v>
      </c>
      <c r="D44" s="283">
        <v>14.6666666666667</v>
      </c>
      <c r="E44" s="283">
        <v>17.163333333333298</v>
      </c>
      <c r="F44" s="283">
        <v>32.299999999999997</v>
      </c>
      <c r="G44" s="283">
        <v>28.5625</v>
      </c>
      <c r="H44" s="283">
        <v>1.92</v>
      </c>
      <c r="I44" s="283">
        <v>2.4433333333333298</v>
      </c>
      <c r="J44" s="283">
        <v>3.18</v>
      </c>
      <c r="K44" s="283">
        <v>37.085246518011402</v>
      </c>
      <c r="L44" s="283">
        <v>1.3959666666666699</v>
      </c>
      <c r="M44" s="283">
        <v>3.3076416666666701</v>
      </c>
      <c r="N44" s="283">
        <v>2.61968333333333</v>
      </c>
      <c r="O44" s="283">
        <v>1.4921916666666699</v>
      </c>
      <c r="P44" s="283">
        <v>1.33095116666667</v>
      </c>
      <c r="Q44" s="283">
        <v>1.57481283333333</v>
      </c>
      <c r="R44" s="283">
        <v>1.57083333333333</v>
      </c>
      <c r="S44" s="283">
        <v>607.5</v>
      </c>
      <c r="T44" s="283">
        <v>954.79833333333295</v>
      </c>
      <c r="U44" s="283">
        <v>376.33333333333297</v>
      </c>
      <c r="V44" s="283">
        <v>1022.75</v>
      </c>
      <c r="W44" s="283">
        <v>528.41666666666697</v>
      </c>
      <c r="X44" s="283" t="s">
        <v>334</v>
      </c>
      <c r="Y44" s="283">
        <v>251.833333333333</v>
      </c>
      <c r="Z44" s="283">
        <v>615.58333333333303</v>
      </c>
      <c r="AA44" s="283">
        <v>192.416666666667</v>
      </c>
      <c r="AB44" s="283">
        <v>72.648333333333397</v>
      </c>
      <c r="AC44" s="283">
        <v>107.55</v>
      </c>
      <c r="AD44" s="283">
        <v>103.869166666667</v>
      </c>
      <c r="AE44" s="283">
        <v>267.59166666666698</v>
      </c>
      <c r="AF44" s="283">
        <v>229.916666666667</v>
      </c>
      <c r="AG44" s="283">
        <v>182.3</v>
      </c>
      <c r="AH44" s="283" t="s">
        <v>334</v>
      </c>
      <c r="AI44" s="283">
        <v>138.55500000000001</v>
      </c>
      <c r="AJ44" s="283">
        <v>149.729166666667</v>
      </c>
      <c r="AK44" s="283" t="s">
        <v>334</v>
      </c>
      <c r="AL44" s="283">
        <v>0.43979083333333302</v>
      </c>
      <c r="AM44" s="283">
        <v>0.41133999999999998</v>
      </c>
      <c r="AN44" s="283">
        <v>2.3328500000000001</v>
      </c>
      <c r="AO44" s="283">
        <v>1.218824167</v>
      </c>
      <c r="AP44" s="283">
        <v>2.97519166666667</v>
      </c>
      <c r="AQ44" s="283">
        <v>13.075416666666699</v>
      </c>
      <c r="AR44" s="283">
        <v>0.62166666666666703</v>
      </c>
      <c r="AS44" s="283">
        <v>0.48567500000000002</v>
      </c>
      <c r="AT44" s="283">
        <v>0.26698333333333302</v>
      </c>
      <c r="AU44" s="283">
        <v>2641.6608333333302</v>
      </c>
      <c r="AV44" s="283">
        <v>330.26</v>
      </c>
      <c r="AW44" s="283">
        <v>307.54916666666702</v>
      </c>
      <c r="AX44" s="283" t="s">
        <v>334</v>
      </c>
      <c r="AY44" s="283">
        <v>821.03602499550595</v>
      </c>
      <c r="AZ44" s="283">
        <v>601.16333333333296</v>
      </c>
      <c r="BA44" s="283">
        <v>1.762775</v>
      </c>
      <c r="BB44" s="283" t="s">
        <v>334</v>
      </c>
      <c r="BC44" s="283">
        <v>1.1257999999999999</v>
      </c>
      <c r="BD44" s="283">
        <v>31.8333333333333</v>
      </c>
      <c r="BE44" s="283">
        <v>160.424305555556</v>
      </c>
      <c r="BF44" s="283">
        <v>132.10499999999999</v>
      </c>
      <c r="BG44" s="283">
        <v>93.8854166666667</v>
      </c>
      <c r="BH44" s="283">
        <v>112.5</v>
      </c>
      <c r="BI44" s="283">
        <v>1476.7825</v>
      </c>
      <c r="BJ44" s="283">
        <v>26.47</v>
      </c>
      <c r="BK44" s="283">
        <v>2307.4175</v>
      </c>
      <c r="BL44" s="283">
        <v>547.76666666666699</v>
      </c>
      <c r="BM44" s="283">
        <v>5463.85</v>
      </c>
      <c r="BN44" s="283">
        <v>6339.82</v>
      </c>
      <c r="BO44" s="283">
        <v>997.72500000000002</v>
      </c>
      <c r="BP44" s="283">
        <v>384.011666666667</v>
      </c>
      <c r="BQ44" s="283">
        <v>405.261666666667</v>
      </c>
      <c r="BR44" s="283">
        <v>5.2847</v>
      </c>
      <c r="BS44" s="281"/>
      <c r="BT44" s="281"/>
      <c r="BU44" s="281"/>
      <c r="BV44" s="281"/>
      <c r="BW44" s="281"/>
      <c r="BX44" s="281"/>
      <c r="BY44" s="281"/>
      <c r="BZ44" s="281"/>
      <c r="CA44" s="281"/>
      <c r="CB44" s="281"/>
      <c r="CC44" s="281"/>
      <c r="CD44" s="281"/>
      <c r="CE44" s="281"/>
      <c r="CF44" s="281"/>
      <c r="CG44" s="281"/>
      <c r="CH44" s="281"/>
      <c r="CI44" s="281"/>
    </row>
    <row r="45" spans="1:87">
      <c r="A45" s="277">
        <v>1995</v>
      </c>
      <c r="B45" s="284">
        <v>17.183333333333302</v>
      </c>
      <c r="C45" s="284">
        <v>17.065833333333298</v>
      </c>
      <c r="D45" s="284">
        <v>16.114999999999998</v>
      </c>
      <c r="E45" s="284">
        <v>18.3691666666667</v>
      </c>
      <c r="F45" s="284">
        <v>39.371666666666698</v>
      </c>
      <c r="G45" s="284">
        <v>35.2291666666667</v>
      </c>
      <c r="H45" s="284">
        <v>1.7224999999999999</v>
      </c>
      <c r="I45" s="284">
        <v>2.7275</v>
      </c>
      <c r="J45" s="284">
        <v>3.4491666666666698</v>
      </c>
      <c r="K45" s="284">
        <v>36.220209668742399</v>
      </c>
      <c r="L45" s="284">
        <v>1.4324250000000001</v>
      </c>
      <c r="M45" s="284">
        <v>3.332325</v>
      </c>
      <c r="N45" s="284">
        <v>2.7707083333333302</v>
      </c>
      <c r="O45" s="284">
        <v>1.4886333333333299</v>
      </c>
      <c r="P45" s="284">
        <v>1.42214975</v>
      </c>
      <c r="Q45" s="284">
        <v>1.7423925</v>
      </c>
      <c r="R45" s="284">
        <v>1.30141666666667</v>
      </c>
      <c r="S45" s="284">
        <v>669.58333333333303</v>
      </c>
      <c r="T45" s="284">
        <v>909.91666666666595</v>
      </c>
      <c r="U45" s="284">
        <v>495</v>
      </c>
      <c r="V45" s="284">
        <v>990.91666666666595</v>
      </c>
      <c r="W45" s="284">
        <v>628.25</v>
      </c>
      <c r="X45" s="284" t="s">
        <v>334</v>
      </c>
      <c r="Y45" s="284">
        <v>259.25</v>
      </c>
      <c r="Z45" s="284">
        <v>625.08333333333303</v>
      </c>
      <c r="AA45" s="284">
        <v>196.916666666667</v>
      </c>
      <c r="AB45" s="284">
        <v>104.010833333333</v>
      </c>
      <c r="AC45" s="284">
        <v>123.4875</v>
      </c>
      <c r="AD45" s="284">
        <v>118.97166666666701</v>
      </c>
      <c r="AE45" s="284">
        <v>320.95833333333297</v>
      </c>
      <c r="AF45" s="284">
        <v>297.66666666666703</v>
      </c>
      <c r="AG45" s="284">
        <v>262.870833333333</v>
      </c>
      <c r="AH45" s="284" t="s">
        <v>334</v>
      </c>
      <c r="AI45" s="284">
        <v>167.35833333333301</v>
      </c>
      <c r="AJ45" s="284">
        <v>176.98249999999999</v>
      </c>
      <c r="AK45" s="284" t="s">
        <v>334</v>
      </c>
      <c r="AL45" s="284">
        <v>0.44510250000000001</v>
      </c>
      <c r="AM45" s="284">
        <v>0.53146666666666698</v>
      </c>
      <c r="AN45" s="284">
        <v>1.86865428383333</v>
      </c>
      <c r="AO45" s="284">
        <v>1.22319666333333</v>
      </c>
      <c r="AP45" s="284">
        <v>2.6209250000000002</v>
      </c>
      <c r="AQ45" s="284">
        <v>13.5373083333333</v>
      </c>
      <c r="AR45" s="284">
        <v>0.68798333333333295</v>
      </c>
      <c r="AS45" s="284">
        <v>0.50819166666666704</v>
      </c>
      <c r="AT45" s="284">
        <v>0.29278333333333301</v>
      </c>
      <c r="AU45" s="284">
        <v>2643.44</v>
      </c>
      <c r="AV45" s="284">
        <v>339.50833333333298</v>
      </c>
      <c r="AW45" s="284">
        <v>255.62</v>
      </c>
      <c r="AX45" s="284">
        <v>596.132459436418</v>
      </c>
      <c r="AY45" s="284">
        <v>739.95109793687004</v>
      </c>
      <c r="AZ45" s="284">
        <v>584.43583333333299</v>
      </c>
      <c r="BA45" s="284">
        <v>2.1278999999999999</v>
      </c>
      <c r="BB45" s="284" t="s">
        <v>334</v>
      </c>
      <c r="BC45" s="284">
        <v>1.5800416666666699</v>
      </c>
      <c r="BD45" s="284">
        <v>32.6666666666667</v>
      </c>
      <c r="BE45" s="284">
        <v>199.77222222222201</v>
      </c>
      <c r="BF45" s="284">
        <v>149.631666666667</v>
      </c>
      <c r="BG45" s="284">
        <v>126.8625</v>
      </c>
      <c r="BH45" s="284">
        <v>112.5</v>
      </c>
      <c r="BI45" s="284">
        <v>1805.6575</v>
      </c>
      <c r="BJ45" s="284">
        <v>28.38</v>
      </c>
      <c r="BK45" s="284">
        <v>2935.6058333333299</v>
      </c>
      <c r="BL45" s="284">
        <v>630.95000000000005</v>
      </c>
      <c r="BM45" s="284">
        <v>6213.8083333333298</v>
      </c>
      <c r="BN45" s="284">
        <v>8228.0391666666601</v>
      </c>
      <c r="BO45" s="284">
        <v>1031.11666666667</v>
      </c>
      <c r="BP45" s="284">
        <v>384.16416666666697</v>
      </c>
      <c r="BQ45" s="284">
        <v>424.33666666666699</v>
      </c>
      <c r="BR45" s="284">
        <v>5.2002416666666704</v>
      </c>
      <c r="BS45" s="281"/>
      <c r="BT45" s="281"/>
      <c r="BU45" s="281"/>
      <c r="BV45" s="281"/>
      <c r="BW45" s="281"/>
      <c r="BX45" s="281"/>
      <c r="BY45" s="281"/>
      <c r="BZ45" s="281"/>
      <c r="CA45" s="281"/>
      <c r="CB45" s="281"/>
      <c r="CC45" s="281"/>
      <c r="CD45" s="281"/>
      <c r="CE45" s="281"/>
      <c r="CF45" s="281"/>
      <c r="CG45" s="281"/>
      <c r="CH45" s="281"/>
      <c r="CI45" s="281"/>
    </row>
    <row r="46" spans="1:87">
      <c r="A46" s="282">
        <v>1996</v>
      </c>
      <c r="B46" s="283">
        <v>20.420000000000002</v>
      </c>
      <c r="C46" s="283">
        <v>20.65</v>
      </c>
      <c r="D46" s="283">
        <v>18.54</v>
      </c>
      <c r="E46" s="283">
        <v>22.07</v>
      </c>
      <c r="F46" s="283">
        <v>38.074166666666699</v>
      </c>
      <c r="G46" s="283">
        <v>33.517499999999998</v>
      </c>
      <c r="H46" s="283">
        <v>2.73416666666667</v>
      </c>
      <c r="I46" s="283">
        <v>2.8441666666666698</v>
      </c>
      <c r="J46" s="283">
        <v>3.6675</v>
      </c>
      <c r="K46" s="283">
        <v>49.207804982006799</v>
      </c>
      <c r="L46" s="283">
        <v>1.45556666666667</v>
      </c>
      <c r="M46" s="283">
        <v>2.69420833333333</v>
      </c>
      <c r="N46" s="283">
        <v>1.8059416666666701</v>
      </c>
      <c r="O46" s="283">
        <v>1.66055</v>
      </c>
      <c r="P46" s="283">
        <v>1.88911925</v>
      </c>
      <c r="Q46" s="283">
        <v>1.6695755000000001</v>
      </c>
      <c r="R46" s="283">
        <v>1.4229499999999999</v>
      </c>
      <c r="S46" s="283">
        <v>751.58333333333405</v>
      </c>
      <c r="T46" s="283">
        <v>962</v>
      </c>
      <c r="U46" s="283">
        <v>586</v>
      </c>
      <c r="V46" s="283">
        <v>897.25</v>
      </c>
      <c r="W46" s="283">
        <v>530.91666666666697</v>
      </c>
      <c r="X46" s="283">
        <v>728</v>
      </c>
      <c r="Y46" s="283">
        <v>304.83333333333297</v>
      </c>
      <c r="Z46" s="283">
        <v>551.5</v>
      </c>
      <c r="AA46" s="283">
        <v>267.5</v>
      </c>
      <c r="AB46" s="283">
        <v>119.665833333333</v>
      </c>
      <c r="AC46" s="283">
        <v>165.80916666666701</v>
      </c>
      <c r="AD46" s="283">
        <v>150.02916666666701</v>
      </c>
      <c r="AE46" s="283">
        <v>338.875</v>
      </c>
      <c r="AF46" s="283">
        <v>286.08333333333297</v>
      </c>
      <c r="AG46" s="283">
        <v>232.70416666666699</v>
      </c>
      <c r="AH46" s="283" t="s">
        <v>334</v>
      </c>
      <c r="AI46" s="283">
        <v>187.419166666667</v>
      </c>
      <c r="AJ46" s="283">
        <v>207.6</v>
      </c>
      <c r="AK46" s="283" t="s">
        <v>334</v>
      </c>
      <c r="AL46" s="283">
        <v>0.46958416666666702</v>
      </c>
      <c r="AM46" s="283">
        <v>0.49166749999999998</v>
      </c>
      <c r="AN46" s="283">
        <v>1.74995386866667</v>
      </c>
      <c r="AO46" s="283">
        <v>1.37373546566667</v>
      </c>
      <c r="AP46" s="283">
        <v>3.294575</v>
      </c>
      <c r="AQ46" s="283">
        <v>13.1193166666667</v>
      </c>
      <c r="AR46" s="283">
        <v>0.68313333333333304</v>
      </c>
      <c r="AS46" s="283">
        <v>0.492916666666667</v>
      </c>
      <c r="AT46" s="283">
        <v>0.263575</v>
      </c>
      <c r="AU46" s="283">
        <v>3055.3733333333298</v>
      </c>
      <c r="AV46" s="283">
        <v>284.32</v>
      </c>
      <c r="AW46" s="283">
        <v>252.10083333333299</v>
      </c>
      <c r="AX46" s="283">
        <v>512.407089915852</v>
      </c>
      <c r="AY46" s="283">
        <v>741.34855087564097</v>
      </c>
      <c r="AZ46" s="283">
        <v>529.52833333333297</v>
      </c>
      <c r="BA46" s="283">
        <v>1.7733333333333301</v>
      </c>
      <c r="BB46" s="283" t="s">
        <v>334</v>
      </c>
      <c r="BC46" s="283">
        <v>1.3937583333333301</v>
      </c>
      <c r="BD46" s="283">
        <v>33.033333333333303</v>
      </c>
      <c r="BE46" s="283">
        <v>198.104166666667</v>
      </c>
      <c r="BF46" s="283">
        <v>175.83</v>
      </c>
      <c r="BG46" s="283">
        <v>153.691666666667</v>
      </c>
      <c r="BH46" s="283">
        <v>112.5</v>
      </c>
      <c r="BI46" s="283">
        <v>1505.6608333333299</v>
      </c>
      <c r="BJ46" s="283">
        <v>30</v>
      </c>
      <c r="BK46" s="283">
        <v>2294.8566666666702</v>
      </c>
      <c r="BL46" s="283">
        <v>774.32500000000005</v>
      </c>
      <c r="BM46" s="283">
        <v>6165.0749999999998</v>
      </c>
      <c r="BN46" s="283">
        <v>7500.8166666666702</v>
      </c>
      <c r="BO46" s="283">
        <v>1025.1416666666701</v>
      </c>
      <c r="BP46" s="283">
        <v>387.69583333333298</v>
      </c>
      <c r="BQ46" s="283">
        <v>397.11250000000001</v>
      </c>
      <c r="BR46" s="283">
        <v>5.2012999999999998</v>
      </c>
      <c r="BS46" s="281"/>
      <c r="BT46" s="281"/>
      <c r="BU46" s="281"/>
      <c r="BV46" s="281"/>
      <c r="BW46" s="281"/>
      <c r="BX46" s="281"/>
      <c r="BY46" s="281"/>
      <c r="BZ46" s="281"/>
      <c r="CA46" s="281"/>
      <c r="CB46" s="281"/>
      <c r="CC46" s="281"/>
      <c r="CD46" s="281"/>
      <c r="CE46" s="281"/>
      <c r="CF46" s="281"/>
      <c r="CG46" s="281"/>
      <c r="CH46" s="281"/>
      <c r="CI46" s="281"/>
    </row>
    <row r="47" spans="1:87">
      <c r="A47" s="277">
        <v>1997</v>
      </c>
      <c r="B47" s="284">
        <v>19.1710427248677</v>
      </c>
      <c r="C47" s="284">
        <v>19.090208333333301</v>
      </c>
      <c r="D47" s="284">
        <v>18.097083333333298</v>
      </c>
      <c r="E47" s="284">
        <v>20.325836507936501</v>
      </c>
      <c r="F47" s="284">
        <v>35.099166666666697</v>
      </c>
      <c r="G47" s="284">
        <v>31.349166666666701</v>
      </c>
      <c r="H47" s="284">
        <v>2.4817499999999999</v>
      </c>
      <c r="I47" s="284">
        <v>2.7383333333333302</v>
      </c>
      <c r="J47" s="284">
        <v>3.9083333333333301</v>
      </c>
      <c r="K47" s="284">
        <v>45.8026496691025</v>
      </c>
      <c r="L47" s="284">
        <v>1.61873333333333</v>
      </c>
      <c r="M47" s="284">
        <v>4.1679416666666702</v>
      </c>
      <c r="N47" s="284">
        <v>1.736075</v>
      </c>
      <c r="O47" s="284">
        <v>2.0601083333333299</v>
      </c>
      <c r="P47" s="284">
        <v>2.0201190833333298</v>
      </c>
      <c r="Q47" s="284">
        <v>2.1449734166666699</v>
      </c>
      <c r="R47" s="284">
        <v>2.0152639166666702</v>
      </c>
      <c r="S47" s="284">
        <v>656.83333333333303</v>
      </c>
      <c r="T47" s="284">
        <v>988.42</v>
      </c>
      <c r="U47" s="284">
        <v>606.25</v>
      </c>
      <c r="V47" s="284">
        <v>1010.41666666667</v>
      </c>
      <c r="W47" s="284">
        <v>545.83333333333303</v>
      </c>
      <c r="X47" s="284">
        <v>651.83333333333303</v>
      </c>
      <c r="Y47" s="284">
        <v>295.41666666666703</v>
      </c>
      <c r="Z47" s="284">
        <v>564.75</v>
      </c>
      <c r="AA47" s="284">
        <v>275.75</v>
      </c>
      <c r="AB47" s="284">
        <v>97.238333333333301</v>
      </c>
      <c r="AC47" s="284">
        <v>117.091666666667</v>
      </c>
      <c r="AD47" s="284">
        <v>109.621666666667</v>
      </c>
      <c r="AE47" s="284">
        <v>303.51</v>
      </c>
      <c r="AF47" s="284">
        <v>257.08333333333297</v>
      </c>
      <c r="AG47" s="284">
        <v>210.381944444444</v>
      </c>
      <c r="AH47" s="284" t="s">
        <v>334</v>
      </c>
      <c r="AI47" s="284">
        <v>143.648333333333</v>
      </c>
      <c r="AJ47" s="284">
        <v>159.48416666666699</v>
      </c>
      <c r="AK47" s="284">
        <v>0.96801833333333298</v>
      </c>
      <c r="AL47" s="284">
        <v>0.51705333333333303</v>
      </c>
      <c r="AM47" s="284">
        <v>0.458963333333333</v>
      </c>
      <c r="AN47" s="284">
        <v>1.84815131783333</v>
      </c>
      <c r="AO47" s="284">
        <v>1.3445793661666701</v>
      </c>
      <c r="AP47" s="284">
        <v>3.3934000000000002</v>
      </c>
      <c r="AQ47" s="284">
        <v>14.7628583333333</v>
      </c>
      <c r="AR47" s="284">
        <v>0.62723333333333298</v>
      </c>
      <c r="AS47" s="284">
        <v>0.48364166666666702</v>
      </c>
      <c r="AT47" s="284">
        <v>0.25064999999999998</v>
      </c>
      <c r="AU47" s="284">
        <v>3531.5458333333299</v>
      </c>
      <c r="AV47" s="284">
        <v>284.754166666667</v>
      </c>
      <c r="AW47" s="284">
        <v>238.2525</v>
      </c>
      <c r="AX47" s="284">
        <v>563.57584679685999</v>
      </c>
      <c r="AY47" s="284">
        <v>664.52615740031604</v>
      </c>
      <c r="AZ47" s="284">
        <v>484.95833333333297</v>
      </c>
      <c r="BA47" s="284">
        <v>1.7475833333333299</v>
      </c>
      <c r="BB47" s="284" t="s">
        <v>334</v>
      </c>
      <c r="BC47" s="284">
        <v>1.01751666666667</v>
      </c>
      <c r="BD47" s="284">
        <v>32.5</v>
      </c>
      <c r="BE47" s="284">
        <v>186.989583333333</v>
      </c>
      <c r="BF47" s="284">
        <v>171.90916666666701</v>
      </c>
      <c r="BG47" s="284">
        <v>117.49375000000001</v>
      </c>
      <c r="BH47" s="284">
        <v>112.5</v>
      </c>
      <c r="BI47" s="284">
        <v>1599.33</v>
      </c>
      <c r="BJ47" s="284">
        <v>30.15</v>
      </c>
      <c r="BK47" s="284">
        <v>2276.7666666666701</v>
      </c>
      <c r="BL47" s="284">
        <v>624.17499999999995</v>
      </c>
      <c r="BM47" s="284">
        <v>5646.7666666666701</v>
      </c>
      <c r="BN47" s="284">
        <v>6927.3858333333301</v>
      </c>
      <c r="BO47" s="284">
        <v>1316.125</v>
      </c>
      <c r="BP47" s="284">
        <v>331.09583333333302</v>
      </c>
      <c r="BQ47" s="284">
        <v>394.91500000000002</v>
      </c>
      <c r="BR47" s="284">
        <v>4.9060333333333297</v>
      </c>
      <c r="BS47" s="281"/>
      <c r="BT47" s="281"/>
      <c r="BU47" s="281"/>
      <c r="BV47" s="281"/>
      <c r="BW47" s="281"/>
      <c r="BX47" s="281"/>
      <c r="BY47" s="281"/>
      <c r="BZ47" s="281"/>
      <c r="CA47" s="281"/>
      <c r="CB47" s="281"/>
      <c r="CC47" s="281"/>
      <c r="CD47" s="281"/>
      <c r="CE47" s="281"/>
      <c r="CF47" s="281"/>
      <c r="CG47" s="281"/>
      <c r="CH47" s="281"/>
      <c r="CI47" s="281"/>
    </row>
    <row r="48" spans="1:87">
      <c r="A48" s="282">
        <v>1998</v>
      </c>
      <c r="B48" s="283">
        <v>13.064441666666699</v>
      </c>
      <c r="C48" s="283">
        <v>12.7165416666667</v>
      </c>
      <c r="D48" s="283">
        <v>12.1275833333333</v>
      </c>
      <c r="E48" s="283">
        <v>14.3492</v>
      </c>
      <c r="F48" s="283">
        <v>29.230833333333301</v>
      </c>
      <c r="G48" s="283">
        <v>26.839166666666699</v>
      </c>
      <c r="H48" s="283">
        <v>2.0869166666666699</v>
      </c>
      <c r="I48" s="283">
        <v>2.4158333333333299</v>
      </c>
      <c r="J48" s="283">
        <v>3.0191666666666701</v>
      </c>
      <c r="K48" s="283">
        <v>38.872479983498302</v>
      </c>
      <c r="L48" s="283">
        <v>1.67638333333333</v>
      </c>
      <c r="M48" s="283">
        <v>2.9813166666666699</v>
      </c>
      <c r="N48" s="283">
        <v>1.8225833333333299</v>
      </c>
      <c r="O48" s="283">
        <v>2.0460583333333302</v>
      </c>
      <c r="P48" s="283">
        <v>2.0746422500000001</v>
      </c>
      <c r="Q48" s="283">
        <v>2.1646417499999999</v>
      </c>
      <c r="R48" s="283">
        <v>1.8989277499999999</v>
      </c>
      <c r="S48" s="283">
        <v>657.91666666666697</v>
      </c>
      <c r="T48" s="283">
        <v>988.75</v>
      </c>
      <c r="U48" s="283">
        <v>661.91666666666697</v>
      </c>
      <c r="V48" s="283">
        <v>909.41666666666595</v>
      </c>
      <c r="W48" s="283">
        <v>671.08333333333303</v>
      </c>
      <c r="X48" s="283">
        <v>686.66666666666697</v>
      </c>
      <c r="Y48" s="283">
        <v>243.25</v>
      </c>
      <c r="Z48" s="283">
        <v>625.91666666666697</v>
      </c>
      <c r="AA48" s="283">
        <v>170.333333333333</v>
      </c>
      <c r="AB48" s="283">
        <v>85.053333333333299</v>
      </c>
      <c r="AC48" s="283">
        <v>101.98666666666701</v>
      </c>
      <c r="AD48" s="283">
        <v>98.037499999999994</v>
      </c>
      <c r="AE48" s="283">
        <v>304.15833333333302</v>
      </c>
      <c r="AF48" s="283">
        <v>259.85833333333301</v>
      </c>
      <c r="AG48" s="283">
        <v>213.020833333333</v>
      </c>
      <c r="AH48" s="283" t="s">
        <v>334</v>
      </c>
      <c r="AI48" s="283">
        <v>111.515</v>
      </c>
      <c r="AJ48" s="283">
        <v>126.12666666666701</v>
      </c>
      <c r="AK48" s="283">
        <v>1.0049574999999999</v>
      </c>
      <c r="AL48" s="283">
        <v>0.48950500000000002</v>
      </c>
      <c r="AM48" s="283">
        <v>0.44240083333333302</v>
      </c>
      <c r="AN48" s="283">
        <v>1.71611295166667</v>
      </c>
      <c r="AO48" s="283">
        <v>1.39234613283333</v>
      </c>
      <c r="AP48" s="283">
        <v>2.7503000000000002</v>
      </c>
      <c r="AQ48" s="283">
        <v>14.2396666666667</v>
      </c>
      <c r="AR48" s="283">
        <v>0.59748333333333303</v>
      </c>
      <c r="AS48" s="283">
        <v>0.486416666666667</v>
      </c>
      <c r="AT48" s="283">
        <v>0.19672500000000001</v>
      </c>
      <c r="AU48" s="283">
        <v>3336.1216666666701</v>
      </c>
      <c r="AV48" s="283">
        <v>286.40249999999997</v>
      </c>
      <c r="AW48" s="283">
        <v>162.425833333333</v>
      </c>
      <c r="AX48" s="283">
        <v>526.32652116042505</v>
      </c>
      <c r="AY48" s="283">
        <v>484.14789869720198</v>
      </c>
      <c r="AZ48" s="283">
        <v>376.053333333333</v>
      </c>
      <c r="BA48" s="283">
        <v>1.44471666666667</v>
      </c>
      <c r="BB48" s="283" t="s">
        <v>334</v>
      </c>
      <c r="BC48" s="283">
        <v>0.72157499999999997</v>
      </c>
      <c r="BD48" s="283">
        <v>32.5</v>
      </c>
      <c r="BE48" s="283">
        <v>186.86319444444399</v>
      </c>
      <c r="BF48" s="283">
        <v>173.04916666666699</v>
      </c>
      <c r="BG48" s="283">
        <v>83.216666666666697</v>
      </c>
      <c r="BH48" s="283">
        <v>112.5</v>
      </c>
      <c r="BI48" s="283">
        <v>1357.4691666666699</v>
      </c>
      <c r="BJ48" s="283">
        <v>31</v>
      </c>
      <c r="BK48" s="283">
        <v>1654.05833333333</v>
      </c>
      <c r="BL48" s="283">
        <v>528.64166666666699</v>
      </c>
      <c r="BM48" s="283">
        <v>5540.3333333333303</v>
      </c>
      <c r="BN48" s="283">
        <v>4629.5233333333299</v>
      </c>
      <c r="BO48" s="283">
        <v>1024.4666666666701</v>
      </c>
      <c r="BP48" s="283">
        <v>294.16083333333302</v>
      </c>
      <c r="BQ48" s="283">
        <v>372.27833333333302</v>
      </c>
      <c r="BR48" s="283">
        <v>5.5507916666666697</v>
      </c>
      <c r="BS48" s="281"/>
      <c r="BT48" s="281"/>
      <c r="BU48" s="281"/>
      <c r="BV48" s="281"/>
      <c r="BW48" s="281"/>
      <c r="BX48" s="281"/>
      <c r="BY48" s="281"/>
      <c r="BZ48" s="281"/>
      <c r="CA48" s="281"/>
      <c r="CB48" s="281"/>
      <c r="CC48" s="281"/>
      <c r="CD48" s="281"/>
      <c r="CE48" s="281"/>
      <c r="CF48" s="281"/>
      <c r="CG48" s="281"/>
      <c r="CH48" s="281"/>
      <c r="CI48" s="281"/>
    </row>
    <row r="49" spans="1:87">
      <c r="A49" s="277">
        <v>1999</v>
      </c>
      <c r="B49" s="284">
        <v>18.071388888888901</v>
      </c>
      <c r="C49" s="284">
        <v>17.808333333333302</v>
      </c>
      <c r="D49" s="284">
        <v>17.164999999999999</v>
      </c>
      <c r="E49" s="284">
        <v>19.240833333333299</v>
      </c>
      <c r="F49" s="284">
        <v>25.891666666666701</v>
      </c>
      <c r="G49" s="284">
        <v>24.273333333333301</v>
      </c>
      <c r="H49" s="284">
        <v>2.2666666666666702</v>
      </c>
      <c r="I49" s="284">
        <v>2.1308333333333298</v>
      </c>
      <c r="J49" s="284">
        <v>3.1375000000000002</v>
      </c>
      <c r="K49" s="284">
        <v>39.780539278325101</v>
      </c>
      <c r="L49" s="284">
        <v>1.1353166666666701</v>
      </c>
      <c r="M49" s="284">
        <v>2.2905833333333301</v>
      </c>
      <c r="N49" s="284">
        <v>1.4887583333333301</v>
      </c>
      <c r="O49" s="284">
        <v>1.8391</v>
      </c>
      <c r="P49" s="284">
        <v>1.6493249999999999</v>
      </c>
      <c r="Q49" s="284">
        <v>2.0678999999999998</v>
      </c>
      <c r="R49" s="284">
        <v>1.8002</v>
      </c>
      <c r="S49" s="284">
        <v>737.08333333333405</v>
      </c>
      <c r="T49" s="284">
        <v>863.63416666666706</v>
      </c>
      <c r="U49" s="284">
        <v>407.879166666667</v>
      </c>
      <c r="V49" s="284">
        <v>832.84166666666704</v>
      </c>
      <c r="W49" s="284">
        <v>436</v>
      </c>
      <c r="X49" s="284">
        <v>694.08333333333303</v>
      </c>
      <c r="Y49" s="284">
        <v>201.666666666667</v>
      </c>
      <c r="Z49" s="284">
        <v>426.46833333333302</v>
      </c>
      <c r="AA49" s="284">
        <v>165.16749999999999</v>
      </c>
      <c r="AB49" s="284">
        <v>75.938333333333304</v>
      </c>
      <c r="AC49" s="284">
        <v>90.216666666666697</v>
      </c>
      <c r="AD49" s="284">
        <v>84.389166666666696</v>
      </c>
      <c r="AE49" s="284">
        <v>248.416666666667</v>
      </c>
      <c r="AF49" s="284">
        <v>216.291666666667</v>
      </c>
      <c r="AG49" s="284">
        <v>192.61666666666699</v>
      </c>
      <c r="AH49" s="284" t="s">
        <v>334</v>
      </c>
      <c r="AI49" s="284">
        <v>96.278333333333407</v>
      </c>
      <c r="AJ49" s="284">
        <v>112.0425</v>
      </c>
      <c r="AK49" s="284">
        <v>0.85044083333333298</v>
      </c>
      <c r="AL49" s="284">
        <v>0.373830833333333</v>
      </c>
      <c r="AM49" s="284">
        <v>0.43822666666666699</v>
      </c>
      <c r="AN49" s="284">
        <v>1.8102502256666699</v>
      </c>
      <c r="AO49" s="284">
        <v>1.322000383</v>
      </c>
      <c r="AP49" s="284">
        <v>2.6099916666666698</v>
      </c>
      <c r="AQ49" s="284">
        <v>12.345872</v>
      </c>
      <c r="AR49" s="284">
        <v>0.591733333333333</v>
      </c>
      <c r="AS49" s="284">
        <v>0.46598333333333303</v>
      </c>
      <c r="AT49" s="284">
        <v>0.138091666666667</v>
      </c>
      <c r="AU49" s="284">
        <v>3041.1824999999999</v>
      </c>
      <c r="AV49" s="284">
        <v>269.27333333333303</v>
      </c>
      <c r="AW49" s="284">
        <v>187.11</v>
      </c>
      <c r="AX49" s="284">
        <v>455.17111251512699</v>
      </c>
      <c r="AY49" s="284">
        <v>600.81585081585001</v>
      </c>
      <c r="AZ49" s="284">
        <v>440.54916666666702</v>
      </c>
      <c r="BA49" s="284">
        <v>1.1710750000000001</v>
      </c>
      <c r="BB49" s="284">
        <v>0.59107500000000002</v>
      </c>
      <c r="BC49" s="284">
        <v>0.62847500000000001</v>
      </c>
      <c r="BD49" s="284">
        <v>42.8020833333333</v>
      </c>
      <c r="BE49" s="284">
        <v>171.1</v>
      </c>
      <c r="BF49" s="284">
        <v>154.490833333333</v>
      </c>
      <c r="BG49" s="284">
        <v>65.942361111111097</v>
      </c>
      <c r="BH49" s="284">
        <v>112.5</v>
      </c>
      <c r="BI49" s="284">
        <v>1361.09</v>
      </c>
      <c r="BJ49" s="284">
        <v>27.59</v>
      </c>
      <c r="BK49" s="284">
        <v>1572.86083333333</v>
      </c>
      <c r="BL49" s="284">
        <v>502.61666666666702</v>
      </c>
      <c r="BM49" s="284">
        <v>5403.6166666666704</v>
      </c>
      <c r="BN49" s="284">
        <v>6011.2275</v>
      </c>
      <c r="BO49" s="284">
        <v>1076.3416666666701</v>
      </c>
      <c r="BP49" s="284">
        <v>278.76833333333298</v>
      </c>
      <c r="BQ49" s="284">
        <v>376.949166666667</v>
      </c>
      <c r="BR49" s="284">
        <v>5.2154583333333298</v>
      </c>
      <c r="BS49" s="281"/>
      <c r="BT49" s="281"/>
      <c r="BU49" s="281"/>
      <c r="BV49" s="281"/>
      <c r="BW49" s="281"/>
      <c r="BX49" s="281"/>
      <c r="BY49" s="281"/>
      <c r="BZ49" s="281"/>
      <c r="CA49" s="281"/>
      <c r="CB49" s="281"/>
      <c r="CC49" s="281"/>
      <c r="CD49" s="281"/>
      <c r="CE49" s="281"/>
      <c r="CF49" s="281"/>
      <c r="CG49" s="281"/>
      <c r="CH49" s="281"/>
      <c r="CI49" s="281"/>
    </row>
    <row r="50" spans="1:87">
      <c r="A50" s="282">
        <v>2000</v>
      </c>
      <c r="B50" s="283">
        <v>28.229719444444498</v>
      </c>
      <c r="C50" s="283">
        <v>28.272915909090901</v>
      </c>
      <c r="D50" s="283">
        <v>26.0841174242424</v>
      </c>
      <c r="E50" s="283">
        <v>30.332125000000001</v>
      </c>
      <c r="F50" s="283">
        <v>26.25</v>
      </c>
      <c r="G50" s="283">
        <v>26.57</v>
      </c>
      <c r="H50" s="283">
        <v>4.30833333333333</v>
      </c>
      <c r="I50" s="283">
        <v>3.8583333333333298</v>
      </c>
      <c r="J50" s="283">
        <v>4.7125000000000004</v>
      </c>
      <c r="K50" s="283">
        <v>73.852799592962796</v>
      </c>
      <c r="L50" s="283">
        <v>0.90579166666666699</v>
      </c>
      <c r="M50" s="283">
        <v>1.91966666666667</v>
      </c>
      <c r="N50" s="283">
        <v>0.91302499999999998</v>
      </c>
      <c r="O50" s="283">
        <v>1.8762416666666699</v>
      </c>
      <c r="P50" s="283">
        <v>1.7933416666666699</v>
      </c>
      <c r="Q50" s="283">
        <v>1.8060166666666699</v>
      </c>
      <c r="R50" s="283">
        <v>2.02856666666667</v>
      </c>
      <c r="S50" s="283">
        <v>450.33333333333297</v>
      </c>
      <c r="T50" s="283">
        <v>870.68</v>
      </c>
      <c r="U50" s="283">
        <v>407.879166666667</v>
      </c>
      <c r="V50" s="283">
        <v>756.76250000000005</v>
      </c>
      <c r="W50" s="283">
        <v>310.25</v>
      </c>
      <c r="X50" s="283">
        <v>443.5</v>
      </c>
      <c r="Y50" s="283">
        <v>211.833333333333</v>
      </c>
      <c r="Z50" s="283">
        <v>338.14</v>
      </c>
      <c r="AA50" s="283">
        <v>203.69583333333301</v>
      </c>
      <c r="AB50" s="283">
        <v>77.234166666666695</v>
      </c>
      <c r="AC50" s="283">
        <v>88.534166666666593</v>
      </c>
      <c r="AD50" s="283">
        <v>88.003333333333302</v>
      </c>
      <c r="AE50" s="283">
        <v>202.395833333333</v>
      </c>
      <c r="AF50" s="283">
        <v>172.8125</v>
      </c>
      <c r="AG50" s="283">
        <v>143.47361111111101</v>
      </c>
      <c r="AH50" s="283" t="s">
        <v>334</v>
      </c>
      <c r="AI50" s="283">
        <v>98.914166666666603</v>
      </c>
      <c r="AJ50" s="283">
        <v>114.08750000000001</v>
      </c>
      <c r="AK50" s="283">
        <v>0.71242499999999997</v>
      </c>
      <c r="AL50" s="283">
        <v>0.42399833333333298</v>
      </c>
      <c r="AM50" s="283">
        <v>0.36321249999999999</v>
      </c>
      <c r="AN50" s="283">
        <v>1.92547836433333</v>
      </c>
      <c r="AO50" s="283">
        <v>1.3106465899999999</v>
      </c>
      <c r="AP50" s="283">
        <v>2.6184750000000001</v>
      </c>
      <c r="AQ50" s="283">
        <v>14.0177088333333</v>
      </c>
      <c r="AR50" s="283">
        <v>0.55515812597500003</v>
      </c>
      <c r="AS50" s="283">
        <v>0.42759166666666698</v>
      </c>
      <c r="AT50" s="283">
        <v>0.18035833333333301</v>
      </c>
      <c r="AU50" s="283">
        <v>2976.21333333333</v>
      </c>
      <c r="AV50" s="283">
        <v>275.42500000000001</v>
      </c>
      <c r="AW50" s="283">
        <v>189.946666666667</v>
      </c>
      <c r="AX50" s="283">
        <v>489.05068954738698</v>
      </c>
      <c r="AY50" s="283">
        <v>594.69696969696997</v>
      </c>
      <c r="AZ50" s="283">
        <v>448.24</v>
      </c>
      <c r="BA50" s="283">
        <v>1.3021499999999999</v>
      </c>
      <c r="BB50" s="283">
        <v>0.62921666666666698</v>
      </c>
      <c r="BC50" s="283">
        <v>0.66718333333333302</v>
      </c>
      <c r="BD50" s="283">
        <v>44</v>
      </c>
      <c r="BE50" s="283">
        <v>147.66874999999999</v>
      </c>
      <c r="BF50" s="283">
        <v>137.708333333333</v>
      </c>
      <c r="BG50" s="283">
        <v>100.92291666666701</v>
      </c>
      <c r="BH50" s="283">
        <v>112.5</v>
      </c>
      <c r="BI50" s="283">
        <v>1549.14083333333</v>
      </c>
      <c r="BJ50" s="283">
        <v>28.79</v>
      </c>
      <c r="BK50" s="283">
        <v>1813.4691666666699</v>
      </c>
      <c r="BL50" s="283">
        <v>453.941666666667</v>
      </c>
      <c r="BM50" s="283">
        <v>5435.7083333333303</v>
      </c>
      <c r="BN50" s="283">
        <v>8637.7391666666608</v>
      </c>
      <c r="BO50" s="283">
        <v>1128.13333333333</v>
      </c>
      <c r="BP50" s="283">
        <v>279.03166666666698</v>
      </c>
      <c r="BQ50" s="283">
        <v>544.63083333333304</v>
      </c>
      <c r="BR50" s="283">
        <v>4.9532416666666697</v>
      </c>
      <c r="BS50" s="281"/>
      <c r="BT50" s="281"/>
      <c r="BU50" s="281"/>
      <c r="BV50" s="281"/>
      <c r="BW50" s="281"/>
      <c r="BX50" s="281"/>
      <c r="BY50" s="281"/>
      <c r="BZ50" s="281"/>
      <c r="CA50" s="281"/>
      <c r="CB50" s="281"/>
      <c r="CC50" s="281"/>
      <c r="CD50" s="281"/>
      <c r="CE50" s="281"/>
      <c r="CF50" s="281"/>
      <c r="CG50" s="281"/>
      <c r="CH50" s="281"/>
      <c r="CI50" s="281"/>
    </row>
    <row r="51" spans="1:87">
      <c r="A51" s="277">
        <v>2001</v>
      </c>
      <c r="B51" s="284">
        <v>24.351825004292699</v>
      </c>
      <c r="C51" s="284">
        <v>24.4215715358885</v>
      </c>
      <c r="D51" s="284">
        <v>22.714820589434702</v>
      </c>
      <c r="E51" s="284">
        <v>25.919082887554801</v>
      </c>
      <c r="F51" s="284">
        <v>32.3125</v>
      </c>
      <c r="G51" s="284">
        <v>33.864166666666698</v>
      </c>
      <c r="H51" s="284">
        <v>3.95583333333333</v>
      </c>
      <c r="I51" s="284">
        <v>4.0575000000000001</v>
      </c>
      <c r="J51" s="284">
        <v>4.6341666666666699</v>
      </c>
      <c r="K51" s="284">
        <v>70.466023083714603</v>
      </c>
      <c r="L51" s="284">
        <v>1.06873333333333</v>
      </c>
      <c r="M51" s="284">
        <v>1.3731166666666701</v>
      </c>
      <c r="N51" s="284">
        <v>0.60717500000000002</v>
      </c>
      <c r="O51" s="284">
        <v>1.5981416666666699</v>
      </c>
      <c r="P51" s="284">
        <v>1.6166083333333301</v>
      </c>
      <c r="Q51" s="284">
        <v>1.6611499999999999</v>
      </c>
      <c r="R51" s="284">
        <v>1.5166666666666699</v>
      </c>
      <c r="S51" s="284">
        <v>318.08333333333297</v>
      </c>
      <c r="T51" s="284">
        <v>866.42166666666606</v>
      </c>
      <c r="U51" s="284">
        <v>465.324166666667</v>
      </c>
      <c r="V51" s="284">
        <v>759.23416666666606</v>
      </c>
      <c r="W51" s="284">
        <v>287.45833333333297</v>
      </c>
      <c r="X51" s="284">
        <v>305.300833333333</v>
      </c>
      <c r="Y51" s="284">
        <v>195.833333333333</v>
      </c>
      <c r="Z51" s="284">
        <v>353.23500000000001</v>
      </c>
      <c r="AA51" s="284">
        <v>204.634166666667</v>
      </c>
      <c r="AB51" s="284">
        <v>93.936666666666696</v>
      </c>
      <c r="AC51" s="284">
        <v>89.640833333333305</v>
      </c>
      <c r="AD51" s="284">
        <v>95.233333333333306</v>
      </c>
      <c r="AE51" s="284">
        <v>172.838333333333</v>
      </c>
      <c r="AF51" s="284">
        <v>153.06</v>
      </c>
      <c r="AG51" s="284">
        <v>134.10555555555601</v>
      </c>
      <c r="AH51" s="284" t="s">
        <v>334</v>
      </c>
      <c r="AI51" s="284">
        <v>107.724166666667</v>
      </c>
      <c r="AJ51" s="284">
        <v>126.808333333333</v>
      </c>
      <c r="AK51" s="284">
        <v>0.77723500000000001</v>
      </c>
      <c r="AL51" s="284">
        <v>0.58324833333333304</v>
      </c>
      <c r="AM51" s="284">
        <v>0.59549729307092103</v>
      </c>
      <c r="AN51" s="284">
        <v>2.1063858071666699</v>
      </c>
      <c r="AO51" s="284">
        <v>1.40276296233333</v>
      </c>
      <c r="AP51" s="284">
        <v>2.9117999999999999</v>
      </c>
      <c r="AQ51" s="284">
        <v>13.677829916666701</v>
      </c>
      <c r="AR51" s="284">
        <v>0.52865079019500005</v>
      </c>
      <c r="AS51" s="284">
        <v>0.47035833333333299</v>
      </c>
      <c r="AT51" s="284">
        <v>0.19039166666666699</v>
      </c>
      <c r="AU51" s="284">
        <v>3004.6149999999998</v>
      </c>
      <c r="AV51" s="284">
        <v>266.05250000000001</v>
      </c>
      <c r="AW51" s="284">
        <v>159.05250000000001</v>
      </c>
      <c r="AX51" s="284">
        <v>471.93372741844797</v>
      </c>
      <c r="AY51" s="284">
        <v>481.35198135198198</v>
      </c>
      <c r="AZ51" s="284">
        <v>409.8075</v>
      </c>
      <c r="BA51" s="284">
        <v>1.0580750000000001</v>
      </c>
      <c r="BB51" s="284">
        <v>0.51526666666666698</v>
      </c>
      <c r="BC51" s="284">
        <v>0.575125</v>
      </c>
      <c r="BD51" s="284">
        <v>44</v>
      </c>
      <c r="BE51" s="284">
        <v>143.509722222222</v>
      </c>
      <c r="BF51" s="284">
        <v>126.87583333333301</v>
      </c>
      <c r="BG51" s="284">
        <v>96.453472222222203</v>
      </c>
      <c r="BH51" s="284">
        <v>112.5</v>
      </c>
      <c r="BI51" s="284">
        <v>1443.6341666666699</v>
      </c>
      <c r="BJ51" s="284">
        <v>30.03</v>
      </c>
      <c r="BK51" s="284">
        <v>1578.28833333333</v>
      </c>
      <c r="BL51" s="284">
        <v>476.15833333333302</v>
      </c>
      <c r="BM51" s="284">
        <v>4484.4416666666702</v>
      </c>
      <c r="BN51" s="284">
        <v>5944.7266666666701</v>
      </c>
      <c r="BO51" s="284">
        <v>885.76666666666699</v>
      </c>
      <c r="BP51" s="284">
        <v>270.98916666666702</v>
      </c>
      <c r="BQ51" s="284">
        <v>529.52916666666704</v>
      </c>
      <c r="BR51" s="284">
        <v>4.3760000000000003</v>
      </c>
      <c r="BS51" s="281"/>
      <c r="BT51" s="281"/>
      <c r="BU51" s="281"/>
      <c r="BV51" s="281"/>
      <c r="BW51" s="281"/>
      <c r="BX51" s="281"/>
      <c r="BY51" s="281"/>
      <c r="BZ51" s="281"/>
      <c r="CA51" s="281"/>
      <c r="CB51" s="281"/>
      <c r="CC51" s="281"/>
      <c r="CD51" s="281"/>
      <c r="CE51" s="281"/>
      <c r="CF51" s="281"/>
      <c r="CG51" s="281"/>
      <c r="CH51" s="281"/>
      <c r="CI51" s="281"/>
    </row>
    <row r="52" spans="1:87">
      <c r="A52" s="282">
        <v>2002</v>
      </c>
      <c r="B52" s="283">
        <v>24.927748381805799</v>
      </c>
      <c r="C52" s="283">
        <v>24.969477707774001</v>
      </c>
      <c r="D52" s="283">
        <v>23.720599935142001</v>
      </c>
      <c r="E52" s="283">
        <v>26.093167502501299</v>
      </c>
      <c r="F52" s="283">
        <v>25.309374999999999</v>
      </c>
      <c r="G52" s="283">
        <v>26.024166666666702</v>
      </c>
      <c r="H52" s="283">
        <v>3.355</v>
      </c>
      <c r="I52" s="283">
        <v>3.0516666666666699</v>
      </c>
      <c r="J52" s="283">
        <v>4.2816666666666698</v>
      </c>
      <c r="K52" s="283">
        <v>58.149359260364498</v>
      </c>
      <c r="L52" s="283">
        <v>1.77785833333333</v>
      </c>
      <c r="M52" s="283">
        <v>1.3566083333333301</v>
      </c>
      <c r="N52" s="283">
        <v>0.66178333333333295</v>
      </c>
      <c r="O52" s="283">
        <v>1.506</v>
      </c>
      <c r="P52" s="283">
        <v>1.5620166666666699</v>
      </c>
      <c r="Q52" s="283">
        <v>1.4638916666666699</v>
      </c>
      <c r="R52" s="283">
        <v>1.4920833333333301</v>
      </c>
      <c r="S52" s="283">
        <v>421</v>
      </c>
      <c r="T52" s="283">
        <v>723.34749999999997</v>
      </c>
      <c r="U52" s="283">
        <v>638.83333333333303</v>
      </c>
      <c r="V52" s="283">
        <v>719.4325</v>
      </c>
      <c r="W52" s="283">
        <v>410.89499999999998</v>
      </c>
      <c r="X52" s="283">
        <v>412.51416666666699</v>
      </c>
      <c r="Y52" s="283">
        <v>212.666666666667</v>
      </c>
      <c r="Z52" s="283">
        <v>461.71</v>
      </c>
      <c r="AA52" s="283">
        <v>195.70416666666699</v>
      </c>
      <c r="AB52" s="283">
        <v>108.9675</v>
      </c>
      <c r="AC52" s="283">
        <v>99.2708333333333</v>
      </c>
      <c r="AD52" s="283">
        <v>101.741666666667</v>
      </c>
      <c r="AE52" s="283">
        <v>191.87333333333299</v>
      </c>
      <c r="AF52" s="283">
        <v>174.97583333333299</v>
      </c>
      <c r="AG52" s="283">
        <v>150.18194444444401</v>
      </c>
      <c r="AH52" s="283" t="s">
        <v>334</v>
      </c>
      <c r="AI52" s="283">
        <v>129.95750000000001</v>
      </c>
      <c r="AJ52" s="283">
        <v>148.07749999999999</v>
      </c>
      <c r="AK52" s="283">
        <v>0.75942416666666701</v>
      </c>
      <c r="AL52" s="283">
        <v>0.52857583333333302</v>
      </c>
      <c r="AM52" s="283">
        <v>0.56453207630542701</v>
      </c>
      <c r="AN52" s="283">
        <v>2.10859042716667</v>
      </c>
      <c r="AO52" s="283">
        <v>1.3907294115</v>
      </c>
      <c r="AP52" s="283">
        <v>3.3034166666666702</v>
      </c>
      <c r="AQ52" s="283">
        <v>10.389271750000001</v>
      </c>
      <c r="AR52" s="283">
        <v>0.54917212802833304</v>
      </c>
      <c r="AS52" s="283">
        <v>0.46137499999999998</v>
      </c>
      <c r="AT52" s="283">
        <v>0.15182499999999999</v>
      </c>
      <c r="AU52" s="283">
        <v>2744.4733333333302</v>
      </c>
      <c r="AV52" s="283">
        <v>236.02576044362101</v>
      </c>
      <c r="AW52" s="283">
        <v>163.40583333333299</v>
      </c>
      <c r="AX52" s="283">
        <v>486.344244721309</v>
      </c>
      <c r="AY52" s="283">
        <v>526.81177156177205</v>
      </c>
      <c r="AZ52" s="283">
        <v>402.73</v>
      </c>
      <c r="BA52" s="283">
        <v>1.019225</v>
      </c>
      <c r="BB52" s="283">
        <v>0.75153333333333405</v>
      </c>
      <c r="BC52" s="283">
        <v>0.76490000000000002</v>
      </c>
      <c r="BD52" s="283">
        <v>44</v>
      </c>
      <c r="BE52" s="283">
        <v>152.19374999999999</v>
      </c>
      <c r="BF52" s="283">
        <v>133.06333333333299</v>
      </c>
      <c r="BG52" s="283">
        <v>94.418750000000003</v>
      </c>
      <c r="BH52" s="283">
        <v>112.5</v>
      </c>
      <c r="BI52" s="283">
        <v>1349.915</v>
      </c>
      <c r="BJ52" s="283">
        <v>29.31</v>
      </c>
      <c r="BK52" s="283">
        <v>1559.4775</v>
      </c>
      <c r="BL52" s="283">
        <v>452.683333333333</v>
      </c>
      <c r="BM52" s="283">
        <v>4060.5</v>
      </c>
      <c r="BN52" s="283">
        <v>6771.7508333333299</v>
      </c>
      <c r="BO52" s="283">
        <v>778.75</v>
      </c>
      <c r="BP52" s="283">
        <v>309.97166666666698</v>
      </c>
      <c r="BQ52" s="283">
        <v>539.51416666666705</v>
      </c>
      <c r="BR52" s="283">
        <v>4.6010499999999999</v>
      </c>
      <c r="BS52" s="281"/>
      <c r="BT52" s="281"/>
      <c r="BU52" s="281"/>
      <c r="BV52" s="281"/>
      <c r="BW52" s="281"/>
      <c r="BX52" s="281"/>
      <c r="BY52" s="281"/>
      <c r="BZ52" s="281"/>
      <c r="CA52" s="281"/>
      <c r="CB52" s="281"/>
      <c r="CC52" s="281"/>
      <c r="CD52" s="281"/>
      <c r="CE52" s="281"/>
      <c r="CF52" s="281"/>
      <c r="CG52" s="281"/>
      <c r="CH52" s="281"/>
      <c r="CI52" s="281"/>
    </row>
    <row r="53" spans="1:87">
      <c r="A53" s="277">
        <v>2003</v>
      </c>
      <c r="B53" s="284">
        <v>28.898903189480802</v>
      </c>
      <c r="C53" s="284">
        <v>28.851390582847099</v>
      </c>
      <c r="D53" s="284">
        <v>26.738140786749501</v>
      </c>
      <c r="E53" s="284">
        <v>31.107178198845801</v>
      </c>
      <c r="F53" s="284">
        <v>26.090624999999999</v>
      </c>
      <c r="G53" s="284">
        <v>30.235416666666701</v>
      </c>
      <c r="H53" s="284">
        <v>5.4919826666666696</v>
      </c>
      <c r="I53" s="284">
        <v>3.9066666666666698</v>
      </c>
      <c r="J53" s="284">
        <v>4.7308333333333303</v>
      </c>
      <c r="K53" s="284">
        <v>88.468490974799806</v>
      </c>
      <c r="L53" s="284">
        <v>1.75087716666667</v>
      </c>
      <c r="M53" s="284">
        <v>1.4153853333333299</v>
      </c>
      <c r="N53" s="284">
        <v>0.81449685000000005</v>
      </c>
      <c r="O53" s="284">
        <v>1.51664191666667</v>
      </c>
      <c r="P53" s="284">
        <v>1.54108816666667</v>
      </c>
      <c r="Q53" s="284">
        <v>1.46521225</v>
      </c>
      <c r="R53" s="284">
        <v>1.543625</v>
      </c>
      <c r="S53" s="284">
        <v>467.33333333333297</v>
      </c>
      <c r="T53" s="284">
        <v>997.18545454545404</v>
      </c>
      <c r="U53" s="284">
        <v>640.33606585788596</v>
      </c>
      <c r="V53" s="284">
        <v>1209.4475</v>
      </c>
      <c r="W53" s="284">
        <v>476.70333333333298</v>
      </c>
      <c r="X53" s="284">
        <v>457.03916666666697</v>
      </c>
      <c r="Y53" s="284">
        <v>264</v>
      </c>
      <c r="Z53" s="284">
        <v>558.58500000000004</v>
      </c>
      <c r="AA53" s="284">
        <v>232.64</v>
      </c>
      <c r="AB53" s="284">
        <v>104.74049416666701</v>
      </c>
      <c r="AC53" s="284">
        <v>105.370075833333</v>
      </c>
      <c r="AD53" s="284">
        <v>106.534601666667</v>
      </c>
      <c r="AE53" s="284">
        <v>197.61666666666699</v>
      </c>
      <c r="AF53" s="284">
        <v>181.71666666666701</v>
      </c>
      <c r="AG53" s="284">
        <v>151.46666666666701</v>
      </c>
      <c r="AH53" s="284" t="s">
        <v>334</v>
      </c>
      <c r="AI53" s="284">
        <v>138.57684166666701</v>
      </c>
      <c r="AJ53" s="284">
        <v>146.1431</v>
      </c>
      <c r="AK53" s="284">
        <v>0.79039950833333406</v>
      </c>
      <c r="AL53" s="284">
        <v>0.37478707500000003</v>
      </c>
      <c r="AM53" s="284">
        <v>0.68077300833333299</v>
      </c>
      <c r="AN53" s="284">
        <v>2.1266683111666702</v>
      </c>
      <c r="AO53" s="284">
        <v>1.4597543913920901</v>
      </c>
      <c r="AP53" s="284">
        <v>3.8837790833333301</v>
      </c>
      <c r="AQ53" s="284">
        <v>10.7775298277778</v>
      </c>
      <c r="AR53" s="284">
        <v>0.59714496355678603</v>
      </c>
      <c r="AS53" s="284">
        <v>0.47371148333333302</v>
      </c>
      <c r="AT53" s="284">
        <v>0.15630196666666701</v>
      </c>
      <c r="AU53" s="284">
        <v>2646.1022499999999</v>
      </c>
      <c r="AV53" s="284">
        <v>279.48537250859903</v>
      </c>
      <c r="AW53" s="284">
        <v>187.16374166666699</v>
      </c>
      <c r="AX53" s="284">
        <v>551.62958462706604</v>
      </c>
      <c r="AY53" s="284">
        <v>550.99067599067598</v>
      </c>
      <c r="AZ53" s="284">
        <v>431.87835000000001</v>
      </c>
      <c r="BA53" s="284">
        <v>1.3991114084127001</v>
      </c>
      <c r="BB53" s="284">
        <v>1.0040750000000001</v>
      </c>
      <c r="BC53" s="284">
        <v>1.0827102666666699</v>
      </c>
      <c r="BD53" s="284">
        <v>44</v>
      </c>
      <c r="BE53" s="284">
        <v>171.66562500000001</v>
      </c>
      <c r="BF53" s="284">
        <v>149.333333333333</v>
      </c>
      <c r="BG53" s="284">
        <v>138.18541666666701</v>
      </c>
      <c r="BH53" s="284">
        <v>112.5</v>
      </c>
      <c r="BI53" s="284">
        <v>1431.29375</v>
      </c>
      <c r="BJ53" s="284">
        <v>31.95</v>
      </c>
      <c r="BK53" s="284">
        <v>1779.1448333333301</v>
      </c>
      <c r="BL53" s="284">
        <v>515.02941666666698</v>
      </c>
      <c r="BM53" s="284">
        <v>4894.8969166666702</v>
      </c>
      <c r="BN53" s="284">
        <v>9629.4682499999999</v>
      </c>
      <c r="BO53" s="284">
        <v>827.69541666666703</v>
      </c>
      <c r="BP53" s="284">
        <v>363.509166666667</v>
      </c>
      <c r="BQ53" s="284">
        <v>691.71416666666698</v>
      </c>
      <c r="BR53" s="284">
        <v>4.8762416666666697</v>
      </c>
      <c r="BS53" s="281"/>
      <c r="BT53" s="281"/>
      <c r="BU53" s="281"/>
      <c r="BV53" s="281"/>
      <c r="BW53" s="281"/>
      <c r="BX53" s="281"/>
      <c r="BY53" s="281"/>
      <c r="BZ53" s="281"/>
      <c r="CA53" s="281"/>
      <c r="CB53" s="281"/>
      <c r="CC53" s="281"/>
      <c r="CD53" s="281"/>
      <c r="CE53" s="281"/>
      <c r="CF53" s="281"/>
      <c r="CG53" s="281"/>
      <c r="CH53" s="281"/>
      <c r="CI53" s="281"/>
    </row>
    <row r="54" spans="1:87">
      <c r="A54" s="282">
        <v>2004</v>
      </c>
      <c r="B54" s="283">
        <v>37.733387703035604</v>
      </c>
      <c r="C54" s="283">
        <v>38.300679681747198</v>
      </c>
      <c r="D54" s="283">
        <v>33.455866083192198</v>
      </c>
      <c r="E54" s="283">
        <v>41.4436173441674</v>
      </c>
      <c r="F54" s="283">
        <v>52.9479166666667</v>
      </c>
      <c r="G54" s="283">
        <v>54.684375000000003</v>
      </c>
      <c r="H54" s="283">
        <v>5.8948671340736603</v>
      </c>
      <c r="I54" s="283">
        <v>4.2774999999999999</v>
      </c>
      <c r="J54" s="283">
        <v>5.1275000000000004</v>
      </c>
      <c r="K54" s="283">
        <v>95.392538077642797</v>
      </c>
      <c r="L54" s="283">
        <v>1.5498486147892001</v>
      </c>
      <c r="M54" s="283">
        <v>1.7739842266666701</v>
      </c>
      <c r="N54" s="283">
        <v>0.79303855766666698</v>
      </c>
      <c r="O54" s="283">
        <v>1.6856025376233299</v>
      </c>
      <c r="P54" s="283">
        <v>1.7809365237700601</v>
      </c>
      <c r="Q54" s="283">
        <v>1.72162108909992</v>
      </c>
      <c r="R54" s="283">
        <v>1.5542499999999999</v>
      </c>
      <c r="S54" s="283">
        <v>660.75</v>
      </c>
      <c r="T54" s="283">
        <v>988.14250000000004</v>
      </c>
      <c r="U54" s="283">
        <v>648.58333333333303</v>
      </c>
      <c r="V54" s="283">
        <v>1291.6283333333299</v>
      </c>
      <c r="W54" s="283">
        <v>499.28083333333302</v>
      </c>
      <c r="X54" s="283">
        <v>657.45</v>
      </c>
      <c r="Y54" s="283">
        <v>306.5</v>
      </c>
      <c r="Z54" s="283">
        <v>618.22583333333296</v>
      </c>
      <c r="AA54" s="283">
        <v>259.886666666667</v>
      </c>
      <c r="AB54" s="283">
        <v>98.988547595</v>
      </c>
      <c r="AC54" s="283">
        <v>111.803479666667</v>
      </c>
      <c r="AD54" s="283">
        <v>109.775735763426</v>
      </c>
      <c r="AE54" s="283">
        <v>237.666666666667</v>
      </c>
      <c r="AF54" s="283">
        <v>225.42500000000001</v>
      </c>
      <c r="AG54" s="283">
        <v>205.14166666666699</v>
      </c>
      <c r="AH54" s="283">
        <v>226.32170833333299</v>
      </c>
      <c r="AI54" s="283">
        <v>144.44395972875</v>
      </c>
      <c r="AJ54" s="283">
        <v>156.881680087489</v>
      </c>
      <c r="AK54" s="283">
        <v>0.89199256034521002</v>
      </c>
      <c r="AL54" s="283">
        <v>0.52458277135416698</v>
      </c>
      <c r="AM54" s="283">
        <v>0.85752321575139501</v>
      </c>
      <c r="AN54" s="283">
        <v>2.6730833781666701</v>
      </c>
      <c r="AO54" s="283">
        <v>1.6691824613095201</v>
      </c>
      <c r="AP54" s="283">
        <v>4.5988930508333299</v>
      </c>
      <c r="AQ54" s="283">
        <v>10.117368616666701</v>
      </c>
      <c r="AR54" s="283">
        <v>0.66968750419146095</v>
      </c>
      <c r="AS54" s="283">
        <v>0.45467869482857798</v>
      </c>
      <c r="AT54" s="283">
        <v>0.15798607549999999</v>
      </c>
      <c r="AU54" s="283">
        <v>2740.2150000000001</v>
      </c>
      <c r="AV54" s="283">
        <v>331.30374951399898</v>
      </c>
      <c r="AW54" s="283">
        <v>197.25556808014201</v>
      </c>
      <c r="AX54" s="283">
        <v>586.40105489937798</v>
      </c>
      <c r="AY54" s="283">
        <v>581.29370629370601</v>
      </c>
      <c r="AZ54" s="283">
        <v>464.82048152517802</v>
      </c>
      <c r="BA54" s="283">
        <v>1.3657211985798801</v>
      </c>
      <c r="BB54" s="283">
        <v>1.2065999999999999</v>
      </c>
      <c r="BC54" s="283">
        <v>1.280375</v>
      </c>
      <c r="BD54" s="283">
        <v>44</v>
      </c>
      <c r="BE54" s="283">
        <v>204.74375000000001</v>
      </c>
      <c r="BF54" s="283">
        <v>186.3125</v>
      </c>
      <c r="BG54" s="283">
        <v>174.91458333333301</v>
      </c>
      <c r="BH54" s="283">
        <v>125.55</v>
      </c>
      <c r="BI54" s="283">
        <v>1715.5409999999999</v>
      </c>
      <c r="BJ54" s="283">
        <v>37.9</v>
      </c>
      <c r="BK54" s="283">
        <v>2865.8849166666701</v>
      </c>
      <c r="BL54" s="283">
        <v>886.54499999999996</v>
      </c>
      <c r="BM54" s="283">
        <v>8512.7334166666606</v>
      </c>
      <c r="BN54" s="283">
        <v>13823.240750000001</v>
      </c>
      <c r="BO54" s="283">
        <v>1047.75325</v>
      </c>
      <c r="BP54" s="283">
        <v>409.21158333333301</v>
      </c>
      <c r="BQ54" s="283">
        <v>845.35</v>
      </c>
      <c r="BR54" s="283">
        <v>6.6578666666666697</v>
      </c>
      <c r="BS54" s="281"/>
      <c r="BT54" s="281"/>
      <c r="BU54" s="281"/>
      <c r="BV54" s="281"/>
      <c r="BW54" s="281"/>
      <c r="BX54" s="281"/>
      <c r="BY54" s="281"/>
      <c r="BZ54" s="281"/>
      <c r="CA54" s="281"/>
      <c r="CB54" s="281"/>
      <c r="CC54" s="281"/>
      <c r="CD54" s="281"/>
      <c r="CE54" s="281"/>
      <c r="CF54" s="281"/>
      <c r="CG54" s="281"/>
      <c r="CH54" s="281"/>
      <c r="CI54" s="281"/>
    </row>
    <row r="55" spans="1:87">
      <c r="A55" s="277">
        <v>2005</v>
      </c>
      <c r="B55" s="284">
        <v>53.391024596790601</v>
      </c>
      <c r="C55" s="284">
        <v>54.434130411255403</v>
      </c>
      <c r="D55" s="284">
        <v>49.294158910533902</v>
      </c>
      <c r="E55" s="284">
        <v>56.444784468582498</v>
      </c>
      <c r="F55" s="284">
        <v>47.6209027777778</v>
      </c>
      <c r="G55" s="284">
        <v>46.196944444444398</v>
      </c>
      <c r="H55" s="284">
        <v>8.9156728268711891</v>
      </c>
      <c r="I55" s="284">
        <v>6.3266666666666698</v>
      </c>
      <c r="J55" s="284">
        <v>5.99</v>
      </c>
      <c r="K55" s="284">
        <v>142.401328693246</v>
      </c>
      <c r="L55" s="284">
        <v>1.53811959057971</v>
      </c>
      <c r="M55" s="284">
        <v>2.5321714165000002</v>
      </c>
      <c r="N55" s="284">
        <v>1.1145088973333299</v>
      </c>
      <c r="O55" s="284">
        <v>1.64708049798892</v>
      </c>
      <c r="P55" s="284">
        <v>1.8429193087742399</v>
      </c>
      <c r="Q55" s="284">
        <v>1.62082218519251</v>
      </c>
      <c r="R55" s="284">
        <v>1.4775</v>
      </c>
      <c r="S55" s="284">
        <v>616.97916666666697</v>
      </c>
      <c r="T55" s="284">
        <v>874.22166666666703</v>
      </c>
      <c r="U55" s="284">
        <v>676.59493934142097</v>
      </c>
      <c r="V55" s="284">
        <v>1170.98166666667</v>
      </c>
      <c r="W55" s="284">
        <v>450.56416666666701</v>
      </c>
      <c r="X55" s="284">
        <v>630.82166666666706</v>
      </c>
      <c r="Y55" s="284">
        <v>274.6875</v>
      </c>
      <c r="Z55" s="284">
        <v>544.59333333333302</v>
      </c>
      <c r="AA55" s="284">
        <v>236.761666666667</v>
      </c>
      <c r="AB55" s="284">
        <v>95.077129175833306</v>
      </c>
      <c r="AC55" s="284">
        <v>98.671791166666694</v>
      </c>
      <c r="AD55" s="284">
        <v>96.215434547222202</v>
      </c>
      <c r="AE55" s="284">
        <v>286.27083333333297</v>
      </c>
      <c r="AF55" s="284">
        <v>265.379166666667</v>
      </c>
      <c r="AG55" s="284">
        <v>217.816666666667</v>
      </c>
      <c r="AH55" s="284" t="s">
        <v>334</v>
      </c>
      <c r="AI55" s="284">
        <v>135.72001732968801</v>
      </c>
      <c r="AJ55" s="284">
        <v>152.350593749735</v>
      </c>
      <c r="AK55" s="284">
        <v>1.17257962133155</v>
      </c>
      <c r="AL55" s="284">
        <v>0.60284246005208297</v>
      </c>
      <c r="AM55" s="284">
        <v>0.87467396545841802</v>
      </c>
      <c r="AN55" s="284">
        <v>2.7346106479999999</v>
      </c>
      <c r="AO55" s="284">
        <v>1.6293733811431601</v>
      </c>
      <c r="AP55" s="284">
        <v>4.4384745052777799</v>
      </c>
      <c r="AQ55" s="284">
        <v>9.7060232683333307</v>
      </c>
      <c r="AR55" s="284">
        <v>0.66542204546440897</v>
      </c>
      <c r="AS55" s="284">
        <v>0.46926528638819898</v>
      </c>
      <c r="AT55" s="284">
        <v>0.21792668700000001</v>
      </c>
      <c r="AU55" s="284">
        <v>2789.6515466010601</v>
      </c>
      <c r="AV55" s="284">
        <v>334.36862291666699</v>
      </c>
      <c r="AW55" s="284">
        <v>203.12027512155399</v>
      </c>
      <c r="AX55" s="284">
        <v>559.13646024688205</v>
      </c>
      <c r="AY55" s="284">
        <v>659.38228438228396</v>
      </c>
      <c r="AZ55" s="284">
        <v>508.60911417918902</v>
      </c>
      <c r="BA55" s="284">
        <v>1.2169670479971499</v>
      </c>
      <c r="BB55" s="284">
        <v>1.38635833333333</v>
      </c>
      <c r="BC55" s="284">
        <v>1.488</v>
      </c>
      <c r="BD55" s="284">
        <v>44</v>
      </c>
      <c r="BE55" s="284">
        <v>226.785416666667</v>
      </c>
      <c r="BF55" s="284">
        <v>201.479166666667</v>
      </c>
      <c r="BG55" s="284">
        <v>217.35208333333301</v>
      </c>
      <c r="BH55" s="284">
        <v>155</v>
      </c>
      <c r="BI55" s="284">
        <v>1898.3080833333299</v>
      </c>
      <c r="BJ55" s="284">
        <v>65</v>
      </c>
      <c r="BK55" s="284">
        <v>3678.8764166666701</v>
      </c>
      <c r="BL55" s="284">
        <v>976.36816666666596</v>
      </c>
      <c r="BM55" s="284">
        <v>7379.8279166666698</v>
      </c>
      <c r="BN55" s="284">
        <v>14743.9593333333</v>
      </c>
      <c r="BO55" s="284">
        <v>1381.3059166666701</v>
      </c>
      <c r="BP55" s="284">
        <v>444.84258333333298</v>
      </c>
      <c r="BQ55" s="284">
        <v>896.52833333333297</v>
      </c>
      <c r="BR55" s="284">
        <v>7.3083666666666698</v>
      </c>
      <c r="BS55" s="281"/>
      <c r="BT55" s="281"/>
      <c r="BU55" s="281"/>
      <c r="BV55" s="281"/>
      <c r="BW55" s="281"/>
      <c r="BX55" s="281"/>
      <c r="BY55" s="281"/>
      <c r="BZ55" s="281"/>
      <c r="CA55" s="281"/>
      <c r="CB55" s="281"/>
      <c r="CC55" s="281"/>
      <c r="CD55" s="281"/>
      <c r="CE55" s="281"/>
      <c r="CF55" s="281"/>
      <c r="CG55" s="281"/>
      <c r="CH55" s="281"/>
      <c r="CI55" s="281"/>
    </row>
    <row r="56" spans="1:87">
      <c r="A56" s="282">
        <v>2006</v>
      </c>
      <c r="B56" s="283">
        <v>64.288259140201603</v>
      </c>
      <c r="C56" s="283">
        <v>65.391381220673594</v>
      </c>
      <c r="D56" s="283">
        <v>61.430812003658701</v>
      </c>
      <c r="E56" s="283">
        <v>66.042584196272401</v>
      </c>
      <c r="F56" s="283">
        <v>49.089583333333302</v>
      </c>
      <c r="G56" s="283">
        <v>50.694166666666703</v>
      </c>
      <c r="H56" s="283">
        <v>6.7195430939833098</v>
      </c>
      <c r="I56" s="283">
        <v>8.4708333333333297</v>
      </c>
      <c r="J56" s="283">
        <v>7.0750000000000002</v>
      </c>
      <c r="K56" s="283">
        <v>126.661296467022</v>
      </c>
      <c r="L56" s="283">
        <v>1.59190223742863</v>
      </c>
      <c r="M56" s="283">
        <v>2.52210365183333</v>
      </c>
      <c r="N56" s="283">
        <v>1.48931266916667</v>
      </c>
      <c r="O56" s="283">
        <v>1.87207711459157</v>
      </c>
      <c r="P56" s="283">
        <v>1.9097188060418799</v>
      </c>
      <c r="Q56" s="283">
        <v>1.7542069821772699</v>
      </c>
      <c r="R56" s="283">
        <v>1.95230555555556</v>
      </c>
      <c r="S56" s="283">
        <v>606.90972222222194</v>
      </c>
      <c r="T56" s="283">
        <v>875.26228260869505</v>
      </c>
      <c r="U56" s="283">
        <v>755.35209416522196</v>
      </c>
      <c r="V56" s="283">
        <v>1019.4783333333301</v>
      </c>
      <c r="W56" s="283">
        <v>508.29916666666702</v>
      </c>
      <c r="X56" s="283">
        <v>578.5675</v>
      </c>
      <c r="Y56" s="283">
        <v>268.64583333333297</v>
      </c>
      <c r="Z56" s="283">
        <v>599.33500000000004</v>
      </c>
      <c r="AA56" s="283">
        <v>227.36166666666699</v>
      </c>
      <c r="AB56" s="283">
        <v>116.61509517499999</v>
      </c>
      <c r="AC56" s="283">
        <v>121.85101775</v>
      </c>
      <c r="AD56" s="283">
        <v>122.9392564125</v>
      </c>
      <c r="AE56" s="283">
        <v>304.87638888888898</v>
      </c>
      <c r="AF56" s="283">
        <v>277.12361111111102</v>
      </c>
      <c r="AG56" s="283">
        <v>219.51249999999999</v>
      </c>
      <c r="AH56" s="283" t="s">
        <v>334</v>
      </c>
      <c r="AI56" s="283">
        <v>158.96785216265599</v>
      </c>
      <c r="AJ56" s="283">
        <v>192.04335668599799</v>
      </c>
      <c r="AK56" s="283">
        <v>0.89702574209164398</v>
      </c>
      <c r="AL56" s="283">
        <v>0.67724399375</v>
      </c>
      <c r="AM56" s="283">
        <v>0.82918481229663199</v>
      </c>
      <c r="AN56" s="283">
        <v>2.649843009</v>
      </c>
      <c r="AO56" s="283">
        <v>1.52614102184829</v>
      </c>
      <c r="AP56" s="283">
        <v>4.03590583333333</v>
      </c>
      <c r="AQ56" s="283">
        <v>9.6040595933333393</v>
      </c>
      <c r="AR56" s="283">
        <v>0.64564118874348397</v>
      </c>
      <c r="AS56" s="283">
        <v>0.487645777780358</v>
      </c>
      <c r="AT56" s="283">
        <v>0.32587239068840601</v>
      </c>
      <c r="AU56" s="283">
        <v>2969.1955153326599</v>
      </c>
      <c r="AV56" s="283">
        <v>318.47839270833299</v>
      </c>
      <c r="AW56" s="283">
        <v>239.42914707308</v>
      </c>
      <c r="AX56" s="283">
        <v>622.86582905988098</v>
      </c>
      <c r="AY56" s="283">
        <v>749.34343862397202</v>
      </c>
      <c r="AZ56" s="283">
        <v>595.56383908188502</v>
      </c>
      <c r="BA56" s="283">
        <v>1.2665541899999999</v>
      </c>
      <c r="BB56" s="283">
        <v>1.9460666666666699</v>
      </c>
      <c r="BC56" s="283">
        <v>2.0787499999999999</v>
      </c>
      <c r="BD56" s="283">
        <v>44</v>
      </c>
      <c r="BE56" s="283">
        <v>229.871527777778</v>
      </c>
      <c r="BF56" s="283">
        <v>201.63333333333301</v>
      </c>
      <c r="BG56" s="283">
        <v>222.138888888889</v>
      </c>
      <c r="BH56" s="283">
        <v>178.333333333333</v>
      </c>
      <c r="BI56" s="283">
        <v>2569.8987499999998</v>
      </c>
      <c r="BJ56" s="283">
        <v>69.3333333333333</v>
      </c>
      <c r="BK56" s="283">
        <v>6722.1345000000001</v>
      </c>
      <c r="BL56" s="283">
        <v>1289.7220833333299</v>
      </c>
      <c r="BM56" s="283">
        <v>8780.8253333333396</v>
      </c>
      <c r="BN56" s="283">
        <v>24254.409250000001</v>
      </c>
      <c r="BO56" s="283">
        <v>3275.2917499999999</v>
      </c>
      <c r="BP56" s="283">
        <v>604.33583333333297</v>
      </c>
      <c r="BQ56" s="283">
        <v>1140.78</v>
      </c>
      <c r="BR56" s="283">
        <v>11.559233333333299</v>
      </c>
      <c r="BS56" s="281"/>
      <c r="BT56" s="281"/>
      <c r="BU56" s="281"/>
      <c r="BV56" s="281"/>
      <c r="BW56" s="281"/>
      <c r="BX56" s="281"/>
      <c r="BY56" s="281"/>
      <c r="BZ56" s="281"/>
      <c r="CA56" s="281"/>
      <c r="CB56" s="281"/>
      <c r="CC56" s="281"/>
      <c r="CD56" s="281"/>
      <c r="CE56" s="281"/>
      <c r="CF56" s="281"/>
      <c r="CG56" s="281"/>
      <c r="CH56" s="281"/>
      <c r="CI56" s="281"/>
    </row>
    <row r="57" spans="1:87">
      <c r="A57" s="277">
        <v>2007</v>
      </c>
      <c r="B57" s="284">
        <v>71.116559010063597</v>
      </c>
      <c r="C57" s="284">
        <v>72.696170525952596</v>
      </c>
      <c r="D57" s="284">
        <v>68.369053899158303</v>
      </c>
      <c r="E57" s="284">
        <v>72.284452605079906</v>
      </c>
      <c r="F57" s="284">
        <v>65.733125000000001</v>
      </c>
      <c r="G57" s="284">
        <v>62.650833333333303</v>
      </c>
      <c r="H57" s="284">
        <v>6.9819506869941703</v>
      </c>
      <c r="I57" s="284">
        <v>8.5549999999999997</v>
      </c>
      <c r="J57" s="284">
        <v>7.68333333333333</v>
      </c>
      <c r="K57" s="284">
        <v>130.66007798703299</v>
      </c>
      <c r="L57" s="284">
        <v>1.9522691552795</v>
      </c>
      <c r="M57" s="284">
        <v>2.7236977790000001</v>
      </c>
      <c r="N57" s="284">
        <v>1.90918254816667</v>
      </c>
      <c r="O57" s="284">
        <v>2.0361013232845702</v>
      </c>
      <c r="P57" s="284">
        <v>2.5221221186840799</v>
      </c>
      <c r="Q57" s="284">
        <v>1.9212374067251901</v>
      </c>
      <c r="R57" s="284">
        <v>1.6649444444444399</v>
      </c>
      <c r="S57" s="284">
        <v>918.875</v>
      </c>
      <c r="T57" s="284">
        <v>1247.5528169014101</v>
      </c>
      <c r="U57" s="284">
        <v>1166.49</v>
      </c>
      <c r="V57" s="284">
        <v>1375.13916666667</v>
      </c>
      <c r="W57" s="284">
        <v>816.68666666666695</v>
      </c>
      <c r="X57" s="284">
        <v>888.40499999999997</v>
      </c>
      <c r="Y57" s="284">
        <v>383.10333333333301</v>
      </c>
      <c r="Z57" s="284">
        <v>886.05666666666605</v>
      </c>
      <c r="AA57" s="284">
        <v>321.9375</v>
      </c>
      <c r="AB57" s="284">
        <v>172.38121729166701</v>
      </c>
      <c r="AC57" s="284">
        <v>163.664914466667</v>
      </c>
      <c r="AD57" s="284">
        <v>162.69360726666699</v>
      </c>
      <c r="AE57" s="284">
        <v>326.43194444444401</v>
      </c>
      <c r="AF57" s="284">
        <v>306.50138888888898</v>
      </c>
      <c r="AG57" s="284">
        <v>272.316666666667</v>
      </c>
      <c r="AH57" s="284" t="s">
        <v>334</v>
      </c>
      <c r="AI57" s="284">
        <v>238.587672411</v>
      </c>
      <c r="AJ57" s="284">
        <v>255.206110496798</v>
      </c>
      <c r="AK57" s="284">
        <v>1.03700829555324</v>
      </c>
      <c r="AL57" s="284">
        <v>0.67581164166666696</v>
      </c>
      <c r="AM57" s="284">
        <v>0.95668084659972696</v>
      </c>
      <c r="AN57" s="284">
        <v>2.6953684120000001</v>
      </c>
      <c r="AO57" s="284">
        <v>1.72358954910577</v>
      </c>
      <c r="AP57" s="284">
        <v>4.1196086083333299</v>
      </c>
      <c r="AQ57" s="284">
        <v>9.6795678283333295</v>
      </c>
      <c r="AR57" s="284">
        <v>0.68091298571553205</v>
      </c>
      <c r="AS57" s="284">
        <v>0.45774555260224098</v>
      </c>
      <c r="AT57" s="284">
        <v>0.22215220866666699</v>
      </c>
      <c r="AU57" s="284">
        <v>3315.05666666667</v>
      </c>
      <c r="AV57" s="284">
        <v>381.32151396739101</v>
      </c>
      <c r="AW57" s="284">
        <v>267.98065534768398</v>
      </c>
      <c r="AX57" s="284">
        <v>759.838710971919</v>
      </c>
      <c r="AY57" s="284">
        <v>806.29676548003204</v>
      </c>
      <c r="AZ57" s="284">
        <v>640.71773681641503</v>
      </c>
      <c r="BA57" s="284">
        <v>1.3951570233333299</v>
      </c>
      <c r="BB57" s="284">
        <v>2.1556583333333301</v>
      </c>
      <c r="BC57" s="284">
        <v>2.2630583333333298</v>
      </c>
      <c r="BD57" s="284">
        <v>52.0208333333333</v>
      </c>
      <c r="BE57" s="284">
        <v>391.96249999999998</v>
      </c>
      <c r="BF57" s="284">
        <v>339.05416666666702</v>
      </c>
      <c r="BG57" s="284">
        <v>307.10763888888903</v>
      </c>
      <c r="BH57" s="284">
        <v>195.416666666667</v>
      </c>
      <c r="BI57" s="284">
        <v>2638.17916666667</v>
      </c>
      <c r="BJ57" s="284">
        <v>122.9875</v>
      </c>
      <c r="BK57" s="284">
        <v>7118.2259999999997</v>
      </c>
      <c r="BL57" s="284">
        <v>2579.9854166666701</v>
      </c>
      <c r="BM57" s="284">
        <v>14536.834500000001</v>
      </c>
      <c r="BN57" s="284">
        <v>37229.806750000003</v>
      </c>
      <c r="BO57" s="284">
        <v>3242.3575833333298</v>
      </c>
      <c r="BP57" s="284">
        <v>696.72024999999996</v>
      </c>
      <c r="BQ57" s="284">
        <v>1304.94</v>
      </c>
      <c r="BR57" s="284">
        <v>13.391975</v>
      </c>
      <c r="BS57" s="281"/>
      <c r="BT57" s="281"/>
      <c r="BU57" s="281"/>
      <c r="BV57" s="281"/>
      <c r="BW57" s="281"/>
      <c r="BX57" s="281"/>
      <c r="BY57" s="281"/>
      <c r="BZ57" s="281"/>
      <c r="CA57" s="281"/>
      <c r="CB57" s="281"/>
      <c r="CC57" s="281"/>
      <c r="CD57" s="281"/>
      <c r="CE57" s="281"/>
      <c r="CF57" s="281"/>
      <c r="CG57" s="281"/>
      <c r="CH57" s="281"/>
      <c r="CI57" s="281"/>
    </row>
    <row r="58" spans="1:87">
      <c r="A58" s="282">
        <v>2008</v>
      </c>
      <c r="B58" s="283">
        <v>96.990453758462905</v>
      </c>
      <c r="C58" s="283">
        <v>97.636484181880903</v>
      </c>
      <c r="D58" s="283">
        <v>93.777133466076194</v>
      </c>
      <c r="E58" s="283">
        <v>99.557743627431606</v>
      </c>
      <c r="F58" s="283">
        <v>127.104166666667</v>
      </c>
      <c r="G58" s="283">
        <v>120.598333333333</v>
      </c>
      <c r="H58" s="283">
        <v>8.8572024107534997</v>
      </c>
      <c r="I58" s="283">
        <v>13.4066666666667</v>
      </c>
      <c r="J58" s="283">
        <v>12.526666666666699</v>
      </c>
      <c r="K58" s="283">
        <v>179.77797816995701</v>
      </c>
      <c r="L58" s="283">
        <v>2.5771163235294101</v>
      </c>
      <c r="M58" s="283">
        <v>3.0815994641666702</v>
      </c>
      <c r="N58" s="283">
        <v>2.3209137050000002</v>
      </c>
      <c r="O58" s="283">
        <v>2.4204735877443202</v>
      </c>
      <c r="P58" s="283">
        <v>2.7892555504332202</v>
      </c>
      <c r="Q58" s="283">
        <v>2.25456799057751</v>
      </c>
      <c r="R58" s="283">
        <v>2.2175972222222202</v>
      </c>
      <c r="S58" s="283">
        <v>1224</v>
      </c>
      <c r="T58" s="283">
        <v>1600.9933333333299</v>
      </c>
      <c r="U58" s="283">
        <v>1203.5308333333301</v>
      </c>
      <c r="V58" s="283">
        <v>2144.7399999999998</v>
      </c>
      <c r="W58" s="283">
        <v>1042.92333333333</v>
      </c>
      <c r="X58" s="283">
        <v>1124.88083333333</v>
      </c>
      <c r="Y58" s="283">
        <v>521.87</v>
      </c>
      <c r="Z58" s="283">
        <v>1260.81083333333</v>
      </c>
      <c r="AA58" s="283">
        <v>442.13833333333298</v>
      </c>
      <c r="AB58" s="283">
        <v>200.51552770252101</v>
      </c>
      <c r="AC58" s="283">
        <v>223.116827733333</v>
      </c>
      <c r="AD58" s="283">
        <v>207.830702533416</v>
      </c>
      <c r="AE58" s="283">
        <v>650.1875</v>
      </c>
      <c r="AF58" s="283" t="s">
        <v>334</v>
      </c>
      <c r="AG58" s="283">
        <v>482.27638888888902</v>
      </c>
      <c r="AH58" s="283" t="s">
        <v>334</v>
      </c>
      <c r="AI58" s="283">
        <v>271.52032792915901</v>
      </c>
      <c r="AJ58" s="283">
        <v>326.03004623959299</v>
      </c>
      <c r="AK58" s="283">
        <v>1.18771047765533</v>
      </c>
      <c r="AL58" s="283">
        <v>0.84421254583333405</v>
      </c>
      <c r="AM58" s="283">
        <v>1.1073069830056299</v>
      </c>
      <c r="AN58" s="283">
        <v>3.23540845283333</v>
      </c>
      <c r="AO58" s="283">
        <v>1.86545112440842</v>
      </c>
      <c r="AP58" s="283">
        <v>4.5850681281250001</v>
      </c>
      <c r="AQ58" s="283">
        <v>10.512179314999999</v>
      </c>
      <c r="AR58" s="283">
        <v>0.69692696843864099</v>
      </c>
      <c r="AS58" s="283">
        <v>0.46858230142232399</v>
      </c>
      <c r="AT58" s="283">
        <v>0.28213624450000002</v>
      </c>
      <c r="AU58" s="283">
        <v>3588.7408333333301</v>
      </c>
      <c r="AV58" s="283">
        <v>526.88663541666699</v>
      </c>
      <c r="AW58" s="283">
        <v>292.29698201023399</v>
      </c>
      <c r="AX58" s="283">
        <v>958.278468925982</v>
      </c>
      <c r="AY58" s="283">
        <v>889.09163146409696</v>
      </c>
      <c r="AZ58" s="283">
        <v>645.45483454420605</v>
      </c>
      <c r="BA58" s="283">
        <v>1.5739062131746</v>
      </c>
      <c r="BB58" s="283">
        <v>2.5299916666666702</v>
      </c>
      <c r="BC58" s="283">
        <v>2.5862583333333302</v>
      </c>
      <c r="BD58" s="283">
        <v>242.739583333333</v>
      </c>
      <c r="BE58" s="283">
        <v>861.61874999999998</v>
      </c>
      <c r="BF58" s="283">
        <v>879.38125000000002</v>
      </c>
      <c r="BG58" s="283">
        <v>514.97916666666697</v>
      </c>
      <c r="BH58" s="283">
        <v>455.96875</v>
      </c>
      <c r="BI58" s="283">
        <v>2572.7891666666701</v>
      </c>
      <c r="BJ58" s="283">
        <v>155.993333333333</v>
      </c>
      <c r="BK58" s="283">
        <v>6955.8798333333298</v>
      </c>
      <c r="BL58" s="283">
        <v>2090.6634166666699</v>
      </c>
      <c r="BM58" s="283">
        <v>18510.0910833333</v>
      </c>
      <c r="BN58" s="283">
        <v>21110.644833333299</v>
      </c>
      <c r="BO58" s="283">
        <v>1874.7086666666701</v>
      </c>
      <c r="BP58" s="283">
        <v>871.70725000000004</v>
      </c>
      <c r="BQ58" s="283">
        <v>1574.4991666666699</v>
      </c>
      <c r="BR58" s="283">
        <v>14.9965333333333</v>
      </c>
      <c r="BS58" s="281"/>
      <c r="BT58" s="281"/>
      <c r="BU58" s="281"/>
      <c r="BV58" s="281"/>
      <c r="BW58" s="281"/>
      <c r="BX58" s="281"/>
      <c r="BY58" s="281"/>
      <c r="BZ58" s="281"/>
      <c r="CA58" s="281"/>
      <c r="CB58" s="281"/>
      <c r="CC58" s="281"/>
      <c r="CD58" s="281"/>
      <c r="CE58" s="281"/>
      <c r="CF58" s="281"/>
      <c r="CG58" s="281"/>
      <c r="CH58" s="281"/>
      <c r="CI58" s="281"/>
    </row>
    <row r="59" spans="1:87">
      <c r="A59" s="277">
        <v>2009</v>
      </c>
      <c r="B59" s="284">
        <v>61.756922215507998</v>
      </c>
      <c r="C59" s="284">
        <v>61.862206890331898</v>
      </c>
      <c r="D59" s="284">
        <v>61.754919756571901</v>
      </c>
      <c r="E59" s="284">
        <v>61.653639999620303</v>
      </c>
      <c r="F59" s="284">
        <v>71.844166666666695</v>
      </c>
      <c r="G59" s="284">
        <v>64.683333333333294</v>
      </c>
      <c r="H59" s="284">
        <v>3.9502916666666699</v>
      </c>
      <c r="I59" s="284">
        <v>8.7100000000000009</v>
      </c>
      <c r="J59" s="284">
        <v>8.9358333333333295</v>
      </c>
      <c r="K59" s="284">
        <v>95.430938841111399</v>
      </c>
      <c r="L59" s="284">
        <v>2.8887503296666699</v>
      </c>
      <c r="M59" s="284">
        <v>3.1711428612416701</v>
      </c>
      <c r="N59" s="284">
        <v>1.6441615035999999</v>
      </c>
      <c r="O59" s="284">
        <v>2.72401329949854</v>
      </c>
      <c r="P59" s="284">
        <v>3.1372094487465101</v>
      </c>
      <c r="Q59" s="284">
        <v>2.5152748941935701</v>
      </c>
      <c r="R59" s="284">
        <v>2.5195555555555602</v>
      </c>
      <c r="S59" s="284">
        <v>725.375</v>
      </c>
      <c r="T59" s="284">
        <v>1130.0158045977</v>
      </c>
      <c r="U59" s="284">
        <v>1191.1041666666699</v>
      </c>
      <c r="V59" s="284">
        <v>1352.59666666667</v>
      </c>
      <c r="W59" s="284">
        <v>741.14583333333405</v>
      </c>
      <c r="X59" s="284">
        <v>699.02166666666699</v>
      </c>
      <c r="Y59" s="284">
        <v>423.6225</v>
      </c>
      <c r="Z59" s="284">
        <v>853.06500000000005</v>
      </c>
      <c r="AA59" s="284">
        <v>423.57583333333298</v>
      </c>
      <c r="AB59" s="284">
        <v>128.322186170028</v>
      </c>
      <c r="AC59" s="284">
        <v>165.509633333333</v>
      </c>
      <c r="AD59" s="284">
        <v>151.054132258333</v>
      </c>
      <c r="AE59" s="284">
        <v>554.993055555556</v>
      </c>
      <c r="AF59" s="284">
        <v>458.066666666667</v>
      </c>
      <c r="AG59" s="284">
        <v>326.35972222222199</v>
      </c>
      <c r="AH59" s="284" t="s">
        <v>334</v>
      </c>
      <c r="AI59" s="284">
        <v>185.95358992499999</v>
      </c>
      <c r="AJ59" s="284">
        <v>224.06988173743301</v>
      </c>
      <c r="AK59" s="284">
        <v>1.1449028222100599</v>
      </c>
      <c r="AL59" s="284">
        <v>0.84714064973958403</v>
      </c>
      <c r="AM59" s="284">
        <v>0.90903947102457905</v>
      </c>
      <c r="AN59" s="284">
        <v>2.7297237403333301</v>
      </c>
      <c r="AO59" s="284">
        <v>1.88778825918269</v>
      </c>
      <c r="AP59" s="284">
        <v>4.2764963604166697</v>
      </c>
      <c r="AQ59" s="284">
        <v>8.9182390550000008</v>
      </c>
      <c r="AR59" s="284">
        <v>0.52435188259394405</v>
      </c>
      <c r="AS59" s="284">
        <v>0.54875121534582305</v>
      </c>
      <c r="AT59" s="284">
        <v>0.40002829899999998</v>
      </c>
      <c r="AU59" s="284">
        <v>4235.19861111111</v>
      </c>
      <c r="AV59" s="284">
        <v>421.47209583333301</v>
      </c>
      <c r="AW59" s="284">
        <v>287.20279327545899</v>
      </c>
      <c r="AX59" s="284">
        <v>748.91833453265599</v>
      </c>
      <c r="AY59" s="284">
        <v>805.52443749999998</v>
      </c>
      <c r="AZ59" s="284">
        <v>564.62351766274605</v>
      </c>
      <c r="BA59" s="284">
        <v>1.3820211625000001</v>
      </c>
      <c r="BB59" s="284">
        <v>1.80018541666667</v>
      </c>
      <c r="BC59" s="284">
        <v>1.9206859166666701</v>
      </c>
      <c r="BD59" s="284">
        <v>222.75</v>
      </c>
      <c r="BE59" s="284">
        <v>288.46875</v>
      </c>
      <c r="BF59" s="284">
        <v>257.41666666666703</v>
      </c>
      <c r="BG59" s="284">
        <v>251.07916666666699</v>
      </c>
      <c r="BH59" s="284">
        <v>558.47916666666697</v>
      </c>
      <c r="BI59" s="284">
        <v>1664.8295000000001</v>
      </c>
      <c r="BJ59" s="284">
        <v>79.9791666666667</v>
      </c>
      <c r="BK59" s="284">
        <v>5149.7385833333301</v>
      </c>
      <c r="BL59" s="284">
        <v>1719.2665</v>
      </c>
      <c r="BM59" s="284">
        <v>13573.876916666701</v>
      </c>
      <c r="BN59" s="284">
        <v>14654.629499999999</v>
      </c>
      <c r="BO59" s="284">
        <v>1655.11441666667</v>
      </c>
      <c r="BP59" s="284">
        <v>972.965916666667</v>
      </c>
      <c r="BQ59" s="284">
        <v>1203.40083333333</v>
      </c>
      <c r="BR59" s="284">
        <v>14.6435333333333</v>
      </c>
      <c r="BS59" s="281"/>
      <c r="BT59" s="281"/>
      <c r="BU59" s="281"/>
      <c r="BV59" s="281"/>
      <c r="BW59" s="281"/>
      <c r="BX59" s="281"/>
      <c r="BY59" s="281"/>
      <c r="BZ59" s="281"/>
      <c r="CA59" s="281"/>
      <c r="CB59" s="281"/>
      <c r="CC59" s="281"/>
      <c r="CD59" s="281"/>
      <c r="CE59" s="281"/>
      <c r="CF59" s="281"/>
      <c r="CG59" s="281"/>
      <c r="CH59" s="281"/>
      <c r="CI59" s="281"/>
    </row>
    <row r="60" spans="1:87">
      <c r="A60" s="282">
        <v>2010</v>
      </c>
      <c r="B60" s="283">
        <v>79.040771784717293</v>
      </c>
      <c r="C60" s="283">
        <v>79.635629979923394</v>
      </c>
      <c r="D60" s="283">
        <v>78.061154819415705</v>
      </c>
      <c r="E60" s="283">
        <v>79.425530554812596</v>
      </c>
      <c r="F60" s="283">
        <v>98.966041666666698</v>
      </c>
      <c r="G60" s="283">
        <v>91.622708333333307</v>
      </c>
      <c r="H60" s="283">
        <v>4.3852537698412704</v>
      </c>
      <c r="I60" s="283">
        <v>8.2874999999999996</v>
      </c>
      <c r="J60" s="283">
        <v>10.848333333333301</v>
      </c>
      <c r="K60" s="283">
        <v>100</v>
      </c>
      <c r="L60" s="283">
        <v>3.1330038538333298</v>
      </c>
      <c r="M60" s="283">
        <v>4.3200998646666697</v>
      </c>
      <c r="N60" s="283">
        <v>1.7359361598333301</v>
      </c>
      <c r="O60" s="283">
        <v>2.8849352675938702</v>
      </c>
      <c r="P60" s="283">
        <v>3.2896454696163402</v>
      </c>
      <c r="Q60" s="283">
        <v>2.8051186664985899</v>
      </c>
      <c r="R60" s="283">
        <v>2.5600416666666699</v>
      </c>
      <c r="S60" s="283">
        <v>1123.5833333333301</v>
      </c>
      <c r="T60" s="283">
        <v>1240.65736285703</v>
      </c>
      <c r="U60" s="283">
        <v>1138.9595756880699</v>
      </c>
      <c r="V60" s="283">
        <v>1400.99166666667</v>
      </c>
      <c r="W60" s="283">
        <v>933.02333333333297</v>
      </c>
      <c r="X60" s="283">
        <v>1187.405</v>
      </c>
      <c r="Y60" s="283">
        <v>447.10166666666697</v>
      </c>
      <c r="Z60" s="283">
        <v>1000.85583333333</v>
      </c>
      <c r="AA60" s="283">
        <v>398.34583333333302</v>
      </c>
      <c r="AB60" s="283">
        <v>158.38666512309399</v>
      </c>
      <c r="AC60" s="283">
        <v>185.91420833333299</v>
      </c>
      <c r="AD60" s="283">
        <v>165.40389885642901</v>
      </c>
      <c r="AE60" s="283">
        <v>488.90694444444398</v>
      </c>
      <c r="AF60" s="283">
        <v>441.50833333333298</v>
      </c>
      <c r="AG60" s="283">
        <v>383.65833333333302</v>
      </c>
      <c r="AH60" s="283">
        <v>429.18633333333298</v>
      </c>
      <c r="AI60" s="283">
        <v>229.677099142857</v>
      </c>
      <c r="AJ60" s="283">
        <v>223.58210540486201</v>
      </c>
      <c r="AK60" s="283">
        <v>1.00224122918895</v>
      </c>
      <c r="AL60" s="283">
        <v>0.86832060132812505</v>
      </c>
      <c r="AM60" s="283">
        <v>1.03320325571745</v>
      </c>
      <c r="AN60" s="283">
        <v>3.4189063241666702</v>
      </c>
      <c r="AO60" s="283">
        <v>1.8922913007593101</v>
      </c>
      <c r="AP60" s="283">
        <v>5.3143171406666703</v>
      </c>
      <c r="AQ60" s="283">
        <v>10.635638034999999</v>
      </c>
      <c r="AR60" s="283">
        <v>0.44179145550575599</v>
      </c>
      <c r="AS60" s="283">
        <v>0.79248467005960999</v>
      </c>
      <c r="AT60" s="283">
        <v>0.46934689633333299</v>
      </c>
      <c r="AU60" s="283">
        <v>4333.2250000000004</v>
      </c>
      <c r="AV60" s="283">
        <v>428.56080208333299</v>
      </c>
      <c r="AW60" s="283">
        <v>278.17198677422601</v>
      </c>
      <c r="AX60" s="283">
        <v>812.69367550195398</v>
      </c>
      <c r="AY60" s="283">
        <v>848.27195666249997</v>
      </c>
      <c r="AZ60" s="283">
        <v>569.08783153161301</v>
      </c>
      <c r="BA60" s="283">
        <v>2.2833804789714298</v>
      </c>
      <c r="BB60" s="283">
        <v>3.3807708393876701</v>
      </c>
      <c r="BC60" s="283">
        <v>3.6538649060951101</v>
      </c>
      <c r="BD60" s="283">
        <v>105.3125</v>
      </c>
      <c r="BE60" s="283">
        <v>456.42708333333297</v>
      </c>
      <c r="BF60" s="283">
        <v>381.88958333333301</v>
      </c>
      <c r="BG60" s="283">
        <v>288.90416666666698</v>
      </c>
      <c r="BH60" s="283">
        <v>332.14583333333297</v>
      </c>
      <c r="BI60" s="283">
        <v>2173.1170000000002</v>
      </c>
      <c r="BJ60" s="283">
        <v>145.863185425685</v>
      </c>
      <c r="BK60" s="283">
        <v>7534.7795833333303</v>
      </c>
      <c r="BL60" s="283">
        <v>2148.4492500000001</v>
      </c>
      <c r="BM60" s="283">
        <v>20405.623250000001</v>
      </c>
      <c r="BN60" s="283">
        <v>21808.852416666701</v>
      </c>
      <c r="BO60" s="283">
        <v>2160.74325</v>
      </c>
      <c r="BP60" s="283">
        <v>1224.66425</v>
      </c>
      <c r="BQ60" s="283">
        <v>1609.75416666667</v>
      </c>
      <c r="BR60" s="283">
        <v>20.152958333333299</v>
      </c>
      <c r="BS60" s="281"/>
      <c r="BT60" s="281"/>
      <c r="BU60" s="281"/>
      <c r="BV60" s="281"/>
      <c r="BW60" s="281"/>
      <c r="BX60" s="281"/>
      <c r="BY60" s="281"/>
      <c r="BZ60" s="281"/>
      <c r="CA60" s="281"/>
      <c r="CB60" s="281"/>
      <c r="CC60" s="281"/>
      <c r="CD60" s="281"/>
      <c r="CE60" s="281"/>
      <c r="CF60" s="281"/>
      <c r="CG60" s="281"/>
      <c r="CH60" s="281"/>
      <c r="CI60" s="281"/>
    </row>
    <row r="61" spans="1:87">
      <c r="A61" s="277">
        <v>2011</v>
      </c>
      <c r="B61" s="284">
        <v>104.009397525526</v>
      </c>
      <c r="C61" s="284">
        <v>110.939925363887</v>
      </c>
      <c r="D61" s="284">
        <v>106.03393828554699</v>
      </c>
      <c r="E61" s="284">
        <v>95.054328927143303</v>
      </c>
      <c r="F61" s="284">
        <v>121.448333333333</v>
      </c>
      <c r="G61" s="284">
        <v>116.29666666666699</v>
      </c>
      <c r="H61" s="284">
        <v>3.9985785533910501</v>
      </c>
      <c r="I61" s="284">
        <v>10.515000000000001</v>
      </c>
      <c r="J61" s="284">
        <v>14.6558333333333</v>
      </c>
      <c r="K61" s="284">
        <v>108.473490868959</v>
      </c>
      <c r="L61" s="284">
        <v>2.9800767131666701</v>
      </c>
      <c r="M61" s="284">
        <v>5.97613692133333</v>
      </c>
      <c r="N61" s="284">
        <v>2.4075920146666698</v>
      </c>
      <c r="O61" s="284">
        <v>2.9205488561944</v>
      </c>
      <c r="P61" s="284">
        <v>3.2641363781838502</v>
      </c>
      <c r="Q61" s="284">
        <v>2.7785518570660201</v>
      </c>
      <c r="R61" s="284">
        <v>2.71895833333333</v>
      </c>
      <c r="S61" s="284">
        <v>1730.0833333333301</v>
      </c>
      <c r="T61" s="284">
        <v>1883.8294314381301</v>
      </c>
      <c r="U61" s="284">
        <v>1442.05831804281</v>
      </c>
      <c r="V61" s="284">
        <v>1866.09</v>
      </c>
      <c r="W61" s="284">
        <v>1193.3699999999999</v>
      </c>
      <c r="X61" s="284">
        <v>1653.645</v>
      </c>
      <c r="Y61" s="284">
        <v>537.51916666666705</v>
      </c>
      <c r="Z61" s="284">
        <v>1297.6600000000001</v>
      </c>
      <c r="AA61" s="284">
        <v>408.67166666666702</v>
      </c>
      <c r="AB61" s="284">
        <v>207.19691870517099</v>
      </c>
      <c r="AC61" s="284">
        <v>291.684073333333</v>
      </c>
      <c r="AD61" s="284">
        <v>268.747938701159</v>
      </c>
      <c r="AE61" s="284">
        <v>543.02916666666704</v>
      </c>
      <c r="AF61" s="284">
        <v>506.03750000000002</v>
      </c>
      <c r="AG61" s="284">
        <v>458.558333333333</v>
      </c>
      <c r="AH61" s="284">
        <v>513.63970833333303</v>
      </c>
      <c r="AI61" s="284">
        <v>285.913346302989</v>
      </c>
      <c r="AJ61" s="284">
        <v>316.26413255853799</v>
      </c>
      <c r="AK61" s="284">
        <v>1.1247367516040201</v>
      </c>
      <c r="AL61" s="284">
        <v>0.96799467473958301</v>
      </c>
      <c r="AM61" s="284">
        <v>0.89110049952401504</v>
      </c>
      <c r="AN61" s="284">
        <v>4.0773528308333304</v>
      </c>
      <c r="AO61" s="284">
        <v>1.92632981744124</v>
      </c>
      <c r="AP61" s="284">
        <v>6.6307268609722199</v>
      </c>
      <c r="AQ61" s="284">
        <v>12.111814843333301</v>
      </c>
      <c r="AR61" s="284">
        <v>0.45461721115081299</v>
      </c>
      <c r="AS61" s="284">
        <v>0.83915666337838402</v>
      </c>
      <c r="AT61" s="284">
        <v>0.57316445633333302</v>
      </c>
      <c r="AU61" s="284">
        <v>4485.0506944444396</v>
      </c>
      <c r="AV61" s="284">
        <v>484.8099575</v>
      </c>
      <c r="AW61" s="284">
        <v>390.51220016736499</v>
      </c>
      <c r="AX61" s="284">
        <v>825.75143455786997</v>
      </c>
      <c r="AY61" s="284">
        <v>939.4469775</v>
      </c>
      <c r="AZ61" s="284">
        <v>607.54112003770899</v>
      </c>
      <c r="BA61" s="284">
        <v>3.3285061872638901</v>
      </c>
      <c r="BB61" s="284">
        <v>4.51900908306669</v>
      </c>
      <c r="BC61" s="284">
        <v>4.8231570220842004</v>
      </c>
      <c r="BD61" s="284">
        <v>163.552083333333</v>
      </c>
      <c r="BE61" s="284">
        <v>516.28750000000002</v>
      </c>
      <c r="BF61" s="284">
        <v>538.26041666666697</v>
      </c>
      <c r="BG61" s="284">
        <v>398.92291666666699</v>
      </c>
      <c r="BH61" s="284">
        <v>392.82291666666703</v>
      </c>
      <c r="BI61" s="284">
        <v>2401.38666666667</v>
      </c>
      <c r="BJ61" s="284">
        <v>167.754166666667</v>
      </c>
      <c r="BK61" s="284">
        <v>8828.1875</v>
      </c>
      <c r="BL61" s="284">
        <v>2400.8120833333301</v>
      </c>
      <c r="BM61" s="284">
        <v>26053.674999999999</v>
      </c>
      <c r="BN61" s="284">
        <v>22910.356666666699</v>
      </c>
      <c r="BO61" s="284">
        <v>2193.90041666667</v>
      </c>
      <c r="BP61" s="284">
        <v>1569.2108333333299</v>
      </c>
      <c r="BQ61" s="284">
        <v>1719.48166666667</v>
      </c>
      <c r="BR61" s="284">
        <v>35.224116666666703</v>
      </c>
      <c r="BS61" s="281"/>
      <c r="BT61" s="281"/>
      <c r="BU61" s="281"/>
      <c r="BV61" s="281"/>
      <c r="BW61" s="281"/>
      <c r="BX61" s="281"/>
      <c r="BY61" s="281"/>
      <c r="BZ61" s="281"/>
      <c r="CA61" s="281"/>
      <c r="CB61" s="281"/>
      <c r="CC61" s="281"/>
      <c r="CD61" s="281"/>
      <c r="CE61" s="281"/>
      <c r="CF61" s="281"/>
      <c r="CG61" s="281"/>
      <c r="CH61" s="281"/>
      <c r="CI61" s="281"/>
    </row>
    <row r="62" spans="1:87">
      <c r="A62" s="282">
        <v>2012</v>
      </c>
      <c r="B62" s="283">
        <v>105.009628884877</v>
      </c>
      <c r="C62" s="283">
        <v>111.965558339607</v>
      </c>
      <c r="D62" s="283">
        <v>108.90444988418</v>
      </c>
      <c r="E62" s="283">
        <v>94.158878430843302</v>
      </c>
      <c r="F62" s="283">
        <v>96.364166666666605</v>
      </c>
      <c r="G62" s="283">
        <v>92.92</v>
      </c>
      <c r="H62" s="283">
        <v>2.7520416666666701</v>
      </c>
      <c r="I62" s="283">
        <v>11.473333333333301</v>
      </c>
      <c r="J62" s="283">
        <v>16.553333333333299</v>
      </c>
      <c r="K62" s="283">
        <v>99.177763768735304</v>
      </c>
      <c r="L62" s="283">
        <v>2.3918690530303</v>
      </c>
      <c r="M62" s="283">
        <v>4.1109570561702897</v>
      </c>
      <c r="N62" s="283">
        <v>2.2668286252173901</v>
      </c>
      <c r="O62" s="283">
        <v>2.89778624847574</v>
      </c>
      <c r="P62" s="283">
        <v>3.0626097890343198</v>
      </c>
      <c r="Q62" s="283">
        <v>2.7502350675040002</v>
      </c>
      <c r="R62" s="283">
        <v>2.8805138888888902</v>
      </c>
      <c r="S62" s="283">
        <v>1110.8333333333301</v>
      </c>
      <c r="T62" s="283">
        <v>2442.8093645485001</v>
      </c>
      <c r="U62" s="283">
        <v>1527.7716666666699</v>
      </c>
      <c r="V62" s="283">
        <v>2359.0583333333302</v>
      </c>
      <c r="W62" s="283">
        <v>1043.3975</v>
      </c>
      <c r="X62" s="283">
        <v>1107.3783333333299</v>
      </c>
      <c r="Y62" s="283">
        <v>595.50750000000005</v>
      </c>
      <c r="Z62" s="283">
        <v>1225.6025</v>
      </c>
      <c r="AA62" s="283">
        <v>531.69583333333298</v>
      </c>
      <c r="AB62" s="283">
        <v>240.28063808774601</v>
      </c>
      <c r="AC62" s="283">
        <v>298.41696413768102</v>
      </c>
      <c r="AD62" s="283">
        <v>271.93008485912497</v>
      </c>
      <c r="AE62" s="283">
        <v>562.98333333333301</v>
      </c>
      <c r="AF62" s="283">
        <v>543.79722222222199</v>
      </c>
      <c r="AG62" s="283">
        <v>525.07083333333298</v>
      </c>
      <c r="AH62" s="283">
        <v>434.44</v>
      </c>
      <c r="AI62" s="283">
        <v>295.36618792744599</v>
      </c>
      <c r="AJ62" s="283">
        <v>313.24226961106802</v>
      </c>
      <c r="AK62" s="283">
        <v>1.09972704510311</v>
      </c>
      <c r="AL62" s="283">
        <v>0.98398391093750004</v>
      </c>
      <c r="AM62" s="283">
        <v>0.867958000187114</v>
      </c>
      <c r="AN62" s="283">
        <v>4.2060658951666703</v>
      </c>
      <c r="AO62" s="283">
        <v>2.0790230460660899</v>
      </c>
      <c r="AP62" s="283">
        <v>6.0911359376623402</v>
      </c>
      <c r="AQ62" s="283">
        <v>11.4643914366667</v>
      </c>
      <c r="AR62" s="283">
        <v>0.42013525049592798</v>
      </c>
      <c r="AS62" s="283">
        <v>0.63563959525259695</v>
      </c>
      <c r="AT62" s="283">
        <v>0.47494541420662201</v>
      </c>
      <c r="AU62" s="283">
        <v>4302.3534722222203</v>
      </c>
      <c r="AV62" s="283">
        <v>451.38708585858598</v>
      </c>
      <c r="AW62" s="283">
        <v>360.51030252170801</v>
      </c>
      <c r="AX62" s="283">
        <v>759.321393787528</v>
      </c>
      <c r="AY62" s="283">
        <v>876.34201945346297</v>
      </c>
      <c r="AZ62" s="283">
        <v>610.34222395539996</v>
      </c>
      <c r="BA62" s="283">
        <v>1.9671164544166699</v>
      </c>
      <c r="BB62" s="283">
        <v>3.1557610275689201</v>
      </c>
      <c r="BC62" s="283">
        <v>3.37726073517126</v>
      </c>
      <c r="BD62" s="283">
        <v>184.927083333333</v>
      </c>
      <c r="BE62" s="283">
        <v>480.23819444444399</v>
      </c>
      <c r="BF62" s="283">
        <v>462</v>
      </c>
      <c r="BG62" s="283">
        <v>398.600694444444</v>
      </c>
      <c r="BH62" s="283">
        <v>465.375</v>
      </c>
      <c r="BI62" s="283">
        <v>2023.28319284294</v>
      </c>
      <c r="BJ62" s="283">
        <v>128.495925925926</v>
      </c>
      <c r="BK62" s="283">
        <v>7962.3470628192699</v>
      </c>
      <c r="BL62" s="283">
        <v>2064.6382656781898</v>
      </c>
      <c r="BM62" s="283">
        <v>21125.994409731498</v>
      </c>
      <c r="BN62" s="283">
        <v>17547.546048528799</v>
      </c>
      <c r="BO62" s="283">
        <v>1950.4135082559801</v>
      </c>
      <c r="BP62" s="283">
        <v>1669.51766666667</v>
      </c>
      <c r="BQ62" s="283">
        <v>1550.8358333333299</v>
      </c>
      <c r="BR62" s="283">
        <v>31.137408333333301</v>
      </c>
      <c r="BS62" s="281"/>
      <c r="BT62" s="281"/>
      <c r="BU62" s="281"/>
      <c r="BV62" s="281"/>
      <c r="BW62" s="281"/>
      <c r="BX62" s="281"/>
      <c r="BY62" s="281"/>
      <c r="BZ62" s="281"/>
      <c r="CA62" s="281"/>
      <c r="CB62" s="281"/>
      <c r="CC62" s="281"/>
      <c r="CD62" s="281"/>
      <c r="CE62" s="281"/>
      <c r="CF62" s="281"/>
      <c r="CG62" s="281"/>
      <c r="CH62" s="281"/>
      <c r="CI62" s="281"/>
    </row>
    <row r="63" spans="1:87">
      <c r="A63" s="277">
        <v>2013</v>
      </c>
      <c r="B63" s="284">
        <v>104.077497497587</v>
      </c>
      <c r="C63" s="284">
        <v>108.85637454514099</v>
      </c>
      <c r="D63" s="284">
        <v>105.433352335466</v>
      </c>
      <c r="E63" s="284">
        <v>97.942765612152996</v>
      </c>
      <c r="F63" s="284">
        <v>84.562169190903205</v>
      </c>
      <c r="G63" s="284">
        <v>80.2385594387693</v>
      </c>
      <c r="H63" s="284">
        <v>3.7239833333333299</v>
      </c>
      <c r="I63" s="284">
        <v>11.785833333333301</v>
      </c>
      <c r="J63" s="284">
        <v>15.955833333333301</v>
      </c>
      <c r="K63" s="284">
        <v>112.061227589301</v>
      </c>
      <c r="L63" s="284">
        <v>2.4388466720779198</v>
      </c>
      <c r="M63" s="284">
        <v>3.0759897956786899</v>
      </c>
      <c r="N63" s="284">
        <v>2.0758544659803801</v>
      </c>
      <c r="O63" s="284">
        <v>2.8619950838773298</v>
      </c>
      <c r="P63" s="284">
        <v>3.4530545789291498</v>
      </c>
      <c r="Q63" s="284">
        <v>2.73409733936951</v>
      </c>
      <c r="R63" s="284">
        <v>2.39883333333333</v>
      </c>
      <c r="S63" s="284">
        <v>939.46916666666596</v>
      </c>
      <c r="T63" s="284">
        <v>1514.2991666666701</v>
      </c>
      <c r="U63" s="284">
        <v>1750.8150000000001</v>
      </c>
      <c r="V63" s="284">
        <v>1820.6216666666701</v>
      </c>
      <c r="W63" s="284">
        <v>870.72583333333296</v>
      </c>
      <c r="X63" s="284">
        <v>896.91916666666702</v>
      </c>
      <c r="Y63" s="284">
        <v>551.38916666666705</v>
      </c>
      <c r="Z63" s="284">
        <v>1055.39333333333</v>
      </c>
      <c r="AA63" s="284">
        <v>543.46249999999998</v>
      </c>
      <c r="AB63" s="284">
        <v>203.00875833333299</v>
      </c>
      <c r="AC63" s="284">
        <v>259.38922323787898</v>
      </c>
      <c r="AD63" s="284">
        <v>243.28292474064901</v>
      </c>
      <c r="AE63" s="284">
        <v>505.89166666666699</v>
      </c>
      <c r="AF63" s="284">
        <v>472.95972222222201</v>
      </c>
      <c r="AG63" s="284">
        <v>473.989406487233</v>
      </c>
      <c r="AH63" s="284">
        <v>392.40207949729898</v>
      </c>
      <c r="AI63" s="284">
        <v>276.73346173918497</v>
      </c>
      <c r="AJ63" s="284">
        <v>312.24786689791802</v>
      </c>
      <c r="AK63" s="284">
        <v>1.0219790266111</v>
      </c>
      <c r="AL63" s="284">
        <v>0.92407451067708302</v>
      </c>
      <c r="AM63" s="284">
        <v>0.96731981632410002</v>
      </c>
      <c r="AN63" s="284">
        <v>4.1283162965000004</v>
      </c>
      <c r="AO63" s="284">
        <v>2.1736879973779599</v>
      </c>
      <c r="AP63" s="284">
        <v>5.1732068088474001</v>
      </c>
      <c r="AQ63" s="284">
        <v>14.17460429</v>
      </c>
      <c r="AR63" s="284">
        <v>0.43382928583048502</v>
      </c>
      <c r="AS63" s="284">
        <v>0.450500583801071</v>
      </c>
      <c r="AT63" s="284">
        <v>0.39004470693267401</v>
      </c>
      <c r="AU63" s="284">
        <v>4588.8194444444398</v>
      </c>
      <c r="AV63" s="284">
        <v>463.52884910243802</v>
      </c>
      <c r="AW63" s="284">
        <v>305.43418248257598</v>
      </c>
      <c r="AX63" s="284">
        <v>749.16982600937695</v>
      </c>
      <c r="AY63" s="284">
        <v>852.79773030597096</v>
      </c>
      <c r="AZ63" s="284">
        <v>560.23496041643796</v>
      </c>
      <c r="BA63" s="284">
        <v>1.9926963095416701</v>
      </c>
      <c r="BB63" s="284">
        <v>2.5169333333333301</v>
      </c>
      <c r="BC63" s="284">
        <v>2.7945500000000001</v>
      </c>
      <c r="BD63" s="284">
        <v>126.322916666667</v>
      </c>
      <c r="BE63" s="284">
        <v>410.972916666667</v>
      </c>
      <c r="BF63" s="284">
        <v>380.75</v>
      </c>
      <c r="BG63" s="284">
        <v>339.61458333333297</v>
      </c>
      <c r="BH63" s="284">
        <v>395</v>
      </c>
      <c r="BI63" s="284">
        <v>1846.66896845003</v>
      </c>
      <c r="BJ63" s="284">
        <v>135.36118854173199</v>
      </c>
      <c r="BK63" s="284">
        <v>7332.1004774844696</v>
      </c>
      <c r="BL63" s="284">
        <v>2139.79005854351</v>
      </c>
      <c r="BM63" s="284">
        <v>22282.796636591102</v>
      </c>
      <c r="BN63" s="284">
        <v>15031.797384167799</v>
      </c>
      <c r="BO63" s="284">
        <v>1910.2564703714199</v>
      </c>
      <c r="BP63" s="284">
        <v>1411.46230174415</v>
      </c>
      <c r="BQ63" s="284">
        <v>1486.5451347324199</v>
      </c>
      <c r="BR63" s="284">
        <v>23.849686117385001</v>
      </c>
      <c r="BS63" s="281"/>
      <c r="BT63" s="281"/>
      <c r="BU63" s="281"/>
      <c r="BV63" s="281"/>
      <c r="BW63" s="281"/>
      <c r="BX63" s="281"/>
      <c r="BY63" s="281"/>
      <c r="BZ63" s="281"/>
      <c r="CA63" s="281"/>
      <c r="CB63" s="281"/>
      <c r="CC63" s="281"/>
      <c r="CD63" s="281"/>
      <c r="CE63" s="281"/>
      <c r="CF63" s="281"/>
      <c r="CG63" s="281"/>
      <c r="CH63" s="281"/>
      <c r="CI63" s="281"/>
    </row>
    <row r="64" spans="1:87">
      <c r="A64" s="282">
        <v>2014</v>
      </c>
      <c r="B64" s="283">
        <v>96.234999999999999</v>
      </c>
      <c r="C64" s="283">
        <v>98.9375</v>
      </c>
      <c r="D64" s="283">
        <v>96.655000000000001</v>
      </c>
      <c r="E64" s="283">
        <v>93.112499999999997</v>
      </c>
      <c r="F64" s="283">
        <v>70.13</v>
      </c>
      <c r="G64" s="283">
        <v>72.338333333333395</v>
      </c>
      <c r="H64" s="283">
        <v>4.3694916666666703</v>
      </c>
      <c r="I64" s="283">
        <v>10.0516666666667</v>
      </c>
      <c r="J64" s="283">
        <v>16.035735552489399</v>
      </c>
      <c r="K64" s="283">
        <v>111.70982886732099</v>
      </c>
      <c r="L64" s="283">
        <v>3.0622400000000001</v>
      </c>
      <c r="M64" s="283">
        <v>4.4237904920000002</v>
      </c>
      <c r="N64" s="283">
        <v>2.2164514606666699</v>
      </c>
      <c r="O64" s="283">
        <v>2.7204779190616799</v>
      </c>
      <c r="P64" s="283">
        <v>3.5354067451116502</v>
      </c>
      <c r="Q64" s="283">
        <v>2.5809714565178501</v>
      </c>
      <c r="R64" s="283">
        <v>2.0450555555555598</v>
      </c>
      <c r="S64" s="283">
        <v>1281.1241666666699</v>
      </c>
      <c r="T64" s="283">
        <v>1258.3175000000001</v>
      </c>
      <c r="U64" s="283">
        <v>1680.645</v>
      </c>
      <c r="V64" s="283">
        <v>1394.9849999999999</v>
      </c>
      <c r="W64" s="283">
        <v>837.46916666666596</v>
      </c>
      <c r="X64" s="283">
        <v>1119.69166666667</v>
      </c>
      <c r="Y64" s="283">
        <v>484.85750000000002</v>
      </c>
      <c r="Z64" s="283">
        <v>905.96916666666596</v>
      </c>
      <c r="AA64" s="283">
        <v>522.46749999999997</v>
      </c>
      <c r="AB64" s="283">
        <v>145.90297638888899</v>
      </c>
      <c r="AC64" s="283">
        <v>192.881219533333</v>
      </c>
      <c r="AD64" s="283">
        <v>210.394235333333</v>
      </c>
      <c r="AE64" s="283">
        <v>422.83333333333297</v>
      </c>
      <c r="AF64" s="283">
        <v>382.16666666666703</v>
      </c>
      <c r="AG64" s="283">
        <v>425.14833333333303</v>
      </c>
      <c r="AH64" s="283">
        <v>407.20916666666699</v>
      </c>
      <c r="AI64" s="283">
        <v>245.21163752025001</v>
      </c>
      <c r="AJ64" s="283">
        <v>284.88592139999997</v>
      </c>
      <c r="AK64" s="283">
        <v>1.04257015930535</v>
      </c>
      <c r="AL64" s="283">
        <v>0.92778906572916597</v>
      </c>
      <c r="AM64" s="283">
        <v>0.78355015653208104</v>
      </c>
      <c r="AN64" s="283">
        <v>5.0504537269999998</v>
      </c>
      <c r="AO64" s="283">
        <v>2.3224215231677001</v>
      </c>
      <c r="AP64" s="283">
        <v>6.38958766666667</v>
      </c>
      <c r="AQ64" s="283">
        <v>17.794406611666702</v>
      </c>
      <c r="AR64" s="283">
        <v>0.43401231994202899</v>
      </c>
      <c r="AS64" s="283">
        <v>0.53250758916666696</v>
      </c>
      <c r="AT64" s="283">
        <v>0.37498749016666699</v>
      </c>
      <c r="AU64" s="283">
        <v>4990.7722222222201</v>
      </c>
      <c r="AV64" s="283">
        <v>465.16509057971001</v>
      </c>
      <c r="AW64" s="283">
        <v>282.04117576819698</v>
      </c>
      <c r="AX64" s="283">
        <v>789.45188656266396</v>
      </c>
      <c r="AY64" s="283">
        <v>897.94200000000001</v>
      </c>
      <c r="AZ64" s="283">
        <v>517.32692673098404</v>
      </c>
      <c r="BA64" s="283">
        <v>1.8319473608333301</v>
      </c>
      <c r="BB64" s="283">
        <v>1.7139166666666701</v>
      </c>
      <c r="BC64" s="283">
        <v>1.95149166666667</v>
      </c>
      <c r="BD64" s="283">
        <v>110.458333333333</v>
      </c>
      <c r="BE64" s="283">
        <v>429.58645833333298</v>
      </c>
      <c r="BF64" s="283">
        <v>382</v>
      </c>
      <c r="BG64" s="283">
        <v>308.4375</v>
      </c>
      <c r="BH64" s="283">
        <v>296.625</v>
      </c>
      <c r="BI64" s="283">
        <v>1867.42</v>
      </c>
      <c r="BJ64" s="283">
        <v>96.952462121212093</v>
      </c>
      <c r="BK64" s="283">
        <v>6863.3975</v>
      </c>
      <c r="BL64" s="283">
        <v>2095.4583333333298</v>
      </c>
      <c r="BM64" s="283">
        <v>21898.871666666699</v>
      </c>
      <c r="BN64" s="283">
        <v>16893.375833333299</v>
      </c>
      <c r="BO64" s="283">
        <v>2160.9708333333301</v>
      </c>
      <c r="BP64" s="283">
        <v>1265.5775000000001</v>
      </c>
      <c r="BQ64" s="283">
        <v>1383.57083333333</v>
      </c>
      <c r="BR64" s="283">
        <v>19.0715</v>
      </c>
      <c r="BS64" s="281"/>
      <c r="BT64" s="281"/>
      <c r="BU64" s="281"/>
      <c r="BV64" s="281"/>
      <c r="BW64" s="281"/>
      <c r="BX64" s="281"/>
      <c r="BY64" s="281"/>
      <c r="BZ64" s="281"/>
      <c r="CA64" s="281"/>
      <c r="CB64" s="281"/>
      <c r="CC64" s="281"/>
      <c r="CD64" s="281"/>
      <c r="CE64" s="281"/>
      <c r="CF64" s="281"/>
      <c r="CG64" s="281"/>
      <c r="CH64" s="281"/>
      <c r="CI64" s="281"/>
    </row>
    <row r="65" spans="1:87">
      <c r="A65" s="277">
        <v>2015</v>
      </c>
      <c r="B65" s="285">
        <v>50.752777777777801</v>
      </c>
      <c r="C65" s="285">
        <v>52.37</v>
      </c>
      <c r="D65" s="285">
        <v>51.179166666666703</v>
      </c>
      <c r="E65" s="285">
        <v>48.709166666666697</v>
      </c>
      <c r="F65" s="285">
        <v>58.939166666666701</v>
      </c>
      <c r="G65" s="285">
        <v>56.7083333333333</v>
      </c>
      <c r="H65" s="285">
        <v>2.6137083333333302</v>
      </c>
      <c r="I65" s="285">
        <v>6.8211830783410203</v>
      </c>
      <c r="J65" s="285">
        <v>10.9346874235105</v>
      </c>
      <c r="K65" s="285">
        <v>71.575137250249995</v>
      </c>
      <c r="L65" s="285">
        <v>3.1350449999999999</v>
      </c>
      <c r="M65" s="285">
        <v>3.5260692279999999</v>
      </c>
      <c r="N65" s="285">
        <v>1.9411679100000001</v>
      </c>
      <c r="O65" s="285">
        <v>2.7771495644186799</v>
      </c>
      <c r="P65" s="285">
        <v>2.9750000000000001</v>
      </c>
      <c r="Q65" s="285">
        <v>2.3917681377004798</v>
      </c>
      <c r="R65" s="285">
        <v>2.9646805555555602</v>
      </c>
      <c r="S65" s="285">
        <v>1103.51166666667</v>
      </c>
      <c r="T65" s="285">
        <v>1304.8723550724601</v>
      </c>
      <c r="U65" s="285">
        <v>1554.1849999999999</v>
      </c>
      <c r="V65" s="285">
        <v>1377.9591666666699</v>
      </c>
      <c r="W65" s="285">
        <v>663.39083333333303</v>
      </c>
      <c r="X65" s="285">
        <v>903.34916666666595</v>
      </c>
      <c r="Y65" s="285">
        <v>392.1225</v>
      </c>
      <c r="Z65" s="285">
        <v>755.63250000000005</v>
      </c>
      <c r="AA65" s="285">
        <v>389.45499999999998</v>
      </c>
      <c r="AB65" s="285">
        <v>121.33064930555599</v>
      </c>
      <c r="AC65" s="285">
        <v>169.75022306666699</v>
      </c>
      <c r="AD65" s="285">
        <v>201.63087083333301</v>
      </c>
      <c r="AE65" s="285">
        <v>386</v>
      </c>
      <c r="AF65" s="285">
        <v>372.58333333333297</v>
      </c>
      <c r="AG65" s="285">
        <v>386.03333333333302</v>
      </c>
      <c r="AH65" s="285">
        <v>351.83583333333303</v>
      </c>
      <c r="AI65" s="285">
        <v>206.37664030274999</v>
      </c>
      <c r="AJ65" s="285">
        <v>204.44912861399999</v>
      </c>
      <c r="AK65" s="285">
        <v>0.90339570407105896</v>
      </c>
      <c r="AL65" s="285">
        <v>0.95691416276041597</v>
      </c>
      <c r="AM65" s="285">
        <v>0.67567491782504496</v>
      </c>
      <c r="AN65" s="285">
        <v>4.5591541600000003</v>
      </c>
      <c r="AO65" s="285">
        <v>1.9909400487134501</v>
      </c>
      <c r="AP65" s="285">
        <v>5.2204050208333301</v>
      </c>
      <c r="AQ65" s="285">
        <v>13.2152271533333</v>
      </c>
      <c r="AR65" s="285">
        <v>0.36255507599999998</v>
      </c>
      <c r="AS65" s="285">
        <v>0.54678250366666703</v>
      </c>
      <c r="AT65" s="285">
        <v>0.29626418433333301</v>
      </c>
      <c r="AU65" s="285">
        <v>4908.2951388888896</v>
      </c>
      <c r="AV65" s="285">
        <v>388.57875000000001</v>
      </c>
      <c r="AW65" s="285">
        <v>246.01583311526599</v>
      </c>
      <c r="AX65" s="285">
        <v>732.57646841809799</v>
      </c>
      <c r="AY65" s="285">
        <v>833.25049999999999</v>
      </c>
      <c r="AZ65" s="285">
        <v>451.24834884848002</v>
      </c>
      <c r="BA65" s="285">
        <v>1.5524199166666699</v>
      </c>
      <c r="BB65" s="285">
        <v>1.36581666666667</v>
      </c>
      <c r="BC65" s="285">
        <v>1.5713250000000001</v>
      </c>
      <c r="BD65" s="285">
        <v>120.314583333333</v>
      </c>
      <c r="BE65" s="285">
        <v>416.62395833333301</v>
      </c>
      <c r="BF65" s="285">
        <v>377.6</v>
      </c>
      <c r="BG65" s="285">
        <v>277.9375</v>
      </c>
      <c r="BH65" s="285">
        <v>296.06458333333302</v>
      </c>
      <c r="BI65" s="285">
        <v>1664.6808333333299</v>
      </c>
      <c r="BJ65" s="285">
        <v>55.8541666666667</v>
      </c>
      <c r="BK65" s="285">
        <v>5510.4566666666697</v>
      </c>
      <c r="BL65" s="285">
        <v>1787.8191666666701</v>
      </c>
      <c r="BM65" s="285">
        <v>16066.631666666701</v>
      </c>
      <c r="BN65" s="285">
        <v>11862.635</v>
      </c>
      <c r="BO65" s="285">
        <v>1931.6783333333301</v>
      </c>
      <c r="BP65" s="285">
        <v>1160.66333333333</v>
      </c>
      <c r="BQ65" s="285">
        <v>1053.20333333333</v>
      </c>
      <c r="BR65" s="285">
        <v>15.7206666666667</v>
      </c>
      <c r="BS65" s="281"/>
      <c r="BT65" s="281"/>
      <c r="BU65" s="281"/>
      <c r="BV65" s="281"/>
      <c r="BW65" s="281"/>
      <c r="BX65" s="281"/>
      <c r="BY65" s="281"/>
      <c r="BZ65" s="281"/>
      <c r="CA65" s="281"/>
      <c r="CB65" s="281"/>
      <c r="CC65" s="281"/>
      <c r="CD65" s="281"/>
      <c r="CE65" s="281"/>
      <c r="CF65" s="281"/>
      <c r="CG65" s="281"/>
      <c r="CH65" s="281"/>
      <c r="CI65" s="281"/>
    </row>
    <row r="66" spans="1:87">
      <c r="A66" s="282">
        <v>2016</v>
      </c>
      <c r="B66" s="283">
        <v>42.8119444444444</v>
      </c>
      <c r="C66" s="283">
        <v>44.047499999999999</v>
      </c>
      <c r="D66" s="283">
        <v>41.2008333333333</v>
      </c>
      <c r="E66" s="283">
        <v>43.1875</v>
      </c>
      <c r="F66" s="283">
        <v>66.123333333333306</v>
      </c>
      <c r="G66" s="283">
        <v>63.946666666666701</v>
      </c>
      <c r="H66" s="283">
        <v>2.4922166666666699</v>
      </c>
      <c r="I66" s="283">
        <v>4.5634228440012699</v>
      </c>
      <c r="J66" s="283">
        <v>7.3724439579912797</v>
      </c>
      <c r="K66" s="283">
        <v>56.953089920584397</v>
      </c>
      <c r="L66" s="283">
        <v>2.8907616666666698</v>
      </c>
      <c r="M66" s="283">
        <v>3.6110757008333301</v>
      </c>
      <c r="N66" s="283">
        <v>1.9531279735</v>
      </c>
      <c r="O66" s="283">
        <v>2.6849336296830502</v>
      </c>
      <c r="P66" s="283">
        <v>3.3016666666666699</v>
      </c>
      <c r="Q66" s="283">
        <v>2.33173144460469</v>
      </c>
      <c r="R66" s="283">
        <v>2.42140277777778</v>
      </c>
      <c r="S66" s="283">
        <v>1481.7766666666701</v>
      </c>
      <c r="T66" s="283">
        <v>1392.8619524959699</v>
      </c>
      <c r="U66" s="283">
        <v>1490.63666666667</v>
      </c>
      <c r="V66" s="283">
        <v>1380.63083333333</v>
      </c>
      <c r="W66" s="283">
        <v>735.70333333333394</v>
      </c>
      <c r="X66" s="283">
        <v>1301.3191666666701</v>
      </c>
      <c r="Y66" s="283">
        <v>405.44749999999999</v>
      </c>
      <c r="Z66" s="283">
        <v>814.99416666666605</v>
      </c>
      <c r="AA66" s="283">
        <v>374.66166666666697</v>
      </c>
      <c r="AB66" s="283">
        <v>103.915682291667</v>
      </c>
      <c r="AC66" s="283">
        <v>159.16088719999999</v>
      </c>
      <c r="AD66" s="283">
        <v>155.59105650000001</v>
      </c>
      <c r="AE66" s="283">
        <v>396.16666666666703</v>
      </c>
      <c r="AF66" s="283">
        <v>385.33333333333297</v>
      </c>
      <c r="AG66" s="283">
        <v>380.33499999999998</v>
      </c>
      <c r="AH66" s="283">
        <v>356.09666666666698</v>
      </c>
      <c r="AI66" s="283">
        <v>176.30378359125001</v>
      </c>
      <c r="AJ66" s="283">
        <v>166.63254344999999</v>
      </c>
      <c r="AK66" s="283">
        <v>0.90527510507362496</v>
      </c>
      <c r="AL66" s="283">
        <v>1.0011500927083301</v>
      </c>
      <c r="AM66" s="283">
        <v>0.88967978415183302</v>
      </c>
      <c r="AN66" s="283">
        <v>4.0609100400000004</v>
      </c>
      <c r="AO66" s="283">
        <v>1.85255761515873</v>
      </c>
      <c r="AP66" s="283">
        <v>4.6942285833333299</v>
      </c>
      <c r="AQ66" s="283">
        <v>11.216371686666699</v>
      </c>
      <c r="AR66" s="283">
        <v>0.36146109999999998</v>
      </c>
      <c r="AS66" s="283">
        <v>0.60924673699999998</v>
      </c>
      <c r="AT66" s="283">
        <v>0.39806251283333299</v>
      </c>
      <c r="AU66" s="283">
        <v>4790.4965277777801</v>
      </c>
      <c r="AV66" s="283">
        <v>387.40625</v>
      </c>
      <c r="AW66" s="283">
        <v>274.37688334646299</v>
      </c>
      <c r="AX66" s="283">
        <v>649.60719618937298</v>
      </c>
      <c r="AY66" s="283">
        <v>738.87920833333305</v>
      </c>
      <c r="AZ66" s="283">
        <v>503.268891292349</v>
      </c>
      <c r="BA66" s="283">
        <v>1.6361219893333301</v>
      </c>
      <c r="BB66" s="283">
        <v>1.3811249999999999</v>
      </c>
      <c r="BC66" s="283">
        <v>1.6051833333333301</v>
      </c>
      <c r="BD66" s="283">
        <v>110.45625</v>
      </c>
      <c r="BE66" s="283">
        <v>315.81354166666699</v>
      </c>
      <c r="BF66" s="283">
        <v>290.27083333333297</v>
      </c>
      <c r="BG66" s="283">
        <v>194.129166666667</v>
      </c>
      <c r="BH66" s="283">
        <v>260.33333333333297</v>
      </c>
      <c r="BI66" s="283">
        <v>1604.18166666667</v>
      </c>
      <c r="BJ66" s="283">
        <v>58.4241666666667</v>
      </c>
      <c r="BK66" s="283">
        <v>4867.8975</v>
      </c>
      <c r="BL66" s="283">
        <v>1866.65333333333</v>
      </c>
      <c r="BM66" s="283">
        <v>17933.761666666702</v>
      </c>
      <c r="BN66" s="283">
        <v>9595.1791666666704</v>
      </c>
      <c r="BO66" s="283">
        <v>2089.9749999999999</v>
      </c>
      <c r="BP66" s="283">
        <v>1248.98833333333</v>
      </c>
      <c r="BQ66" s="283">
        <v>987.08666666666704</v>
      </c>
      <c r="BR66" s="283">
        <v>17.146750000000001</v>
      </c>
      <c r="BS66" s="281"/>
      <c r="BT66" s="281"/>
      <c r="BU66" s="281"/>
      <c r="BV66" s="281"/>
      <c r="BW66" s="281"/>
      <c r="BX66" s="281"/>
      <c r="BY66" s="281"/>
      <c r="BZ66" s="281"/>
      <c r="CA66" s="281"/>
      <c r="CB66" s="281"/>
      <c r="CC66" s="281"/>
      <c r="CD66" s="281"/>
      <c r="CE66" s="281"/>
      <c r="CF66" s="281"/>
      <c r="CG66" s="281"/>
      <c r="CH66" s="281"/>
      <c r="CI66" s="281"/>
    </row>
    <row r="67" spans="1:87">
      <c r="A67" s="277">
        <v>2017</v>
      </c>
      <c r="B67" s="285">
        <v>52.805</v>
      </c>
      <c r="C67" s="285">
        <v>54.392499999999998</v>
      </c>
      <c r="D67" s="285">
        <v>53.115833333333299</v>
      </c>
      <c r="E67" s="285">
        <v>50.906666666666702</v>
      </c>
      <c r="F67" s="285">
        <v>88.518333333333302</v>
      </c>
      <c r="G67" s="285">
        <v>85.149166666666702</v>
      </c>
      <c r="H67" s="285">
        <v>2.9610750000000001</v>
      </c>
      <c r="I67" s="285">
        <v>5.7170433039289996</v>
      </c>
      <c r="J67" s="285">
        <v>8.6061241944719598</v>
      </c>
      <c r="K67" s="285">
        <v>68.966702416698595</v>
      </c>
      <c r="L67" s="285">
        <v>2.0294108333333298</v>
      </c>
      <c r="M67" s="285">
        <v>3.3232074443333302</v>
      </c>
      <c r="N67" s="285">
        <v>2.2255271463333299</v>
      </c>
      <c r="O67" s="285">
        <v>3.14847924251821</v>
      </c>
      <c r="P67" s="285">
        <v>4.0516666666666703</v>
      </c>
      <c r="Q67" s="285">
        <v>2.4232155053323998</v>
      </c>
      <c r="R67" s="285">
        <v>2.9705555555555598</v>
      </c>
      <c r="S67" s="285">
        <v>1650.65</v>
      </c>
      <c r="T67" s="285">
        <v>1486.6824999999999</v>
      </c>
      <c r="U67" s="285">
        <v>1366.9666666666701</v>
      </c>
      <c r="V67" s="285">
        <v>1460.7925</v>
      </c>
      <c r="W67" s="285">
        <v>750.81333333333305</v>
      </c>
      <c r="X67" s="285">
        <v>1288.46333333333</v>
      </c>
      <c r="Y67" s="285">
        <v>393.37811183333298</v>
      </c>
      <c r="Z67" s="285">
        <v>850.39666666666699</v>
      </c>
      <c r="AA67" s="285">
        <v>350.24166666666702</v>
      </c>
      <c r="AB67" s="285">
        <v>97.638639236111104</v>
      </c>
      <c r="AC67" s="285">
        <v>154.531538466667</v>
      </c>
      <c r="AD67" s="285">
        <v>163.02246308333301</v>
      </c>
      <c r="AE67" s="285">
        <v>398.91666666666703</v>
      </c>
      <c r="AF67" s="285">
        <v>384.66666666666703</v>
      </c>
      <c r="AG67" s="285">
        <v>379.90083333333303</v>
      </c>
      <c r="AH67" s="285">
        <v>363.24666666666701</v>
      </c>
      <c r="AI67" s="285">
        <v>178.18260991725001</v>
      </c>
      <c r="AJ67" s="285">
        <v>174.19561552499999</v>
      </c>
      <c r="AK67" s="285">
        <v>0.89910525668986496</v>
      </c>
      <c r="AL67" s="285">
        <v>1.07588211775</v>
      </c>
      <c r="AM67" s="285">
        <v>0.81203535563819595</v>
      </c>
      <c r="AN67" s="285">
        <v>4.3872489154999998</v>
      </c>
      <c r="AO67" s="285">
        <v>2.1244773964702501</v>
      </c>
      <c r="AP67" s="285">
        <v>5.4194936250000003</v>
      </c>
      <c r="AQ67" s="285">
        <v>13.318293138333299</v>
      </c>
      <c r="AR67" s="285">
        <v>0.36875427333333299</v>
      </c>
      <c r="AS67" s="285">
        <v>0.61554827583333305</v>
      </c>
      <c r="AT67" s="285">
        <v>0.3531250085</v>
      </c>
      <c r="AU67" s="285">
        <v>4627.3645833333303</v>
      </c>
      <c r="AV67" s="285">
        <v>395.222916666667</v>
      </c>
      <c r="AW67" s="285">
        <v>265.428524718652</v>
      </c>
      <c r="AX67" s="285">
        <v>617.28036487103395</v>
      </c>
      <c r="AY67" s="285">
        <v>702.10987499999999</v>
      </c>
      <c r="AZ67" s="285">
        <v>486.85558973947099</v>
      </c>
      <c r="BA67" s="285">
        <v>1.8429888326666699</v>
      </c>
      <c r="BB67" s="285">
        <v>1.66685833333333</v>
      </c>
      <c r="BC67" s="285">
        <v>1.9954416666666701</v>
      </c>
      <c r="BD67" s="285">
        <v>89.6875</v>
      </c>
      <c r="BE67" s="285">
        <v>323.027083333333</v>
      </c>
      <c r="BF67" s="285">
        <v>283.20416666666699</v>
      </c>
      <c r="BG67" s="285">
        <v>213.875</v>
      </c>
      <c r="BH67" s="285">
        <v>218.229166666667</v>
      </c>
      <c r="BI67" s="285">
        <v>1967.6541666666701</v>
      </c>
      <c r="BJ67" s="285">
        <v>71.760000000000005</v>
      </c>
      <c r="BK67" s="285">
        <v>6169.94</v>
      </c>
      <c r="BL67" s="285">
        <v>2314.665</v>
      </c>
      <c r="BM67" s="285">
        <v>20061.169166666699</v>
      </c>
      <c r="BN67" s="285">
        <v>10409.635</v>
      </c>
      <c r="BO67" s="285">
        <v>2890.86666666667</v>
      </c>
      <c r="BP67" s="285">
        <v>1257.5591666666701</v>
      </c>
      <c r="BQ67" s="285">
        <v>948.45333333333394</v>
      </c>
      <c r="BR67" s="285">
        <v>17.0661666666667</v>
      </c>
      <c r="BS67" s="281"/>
      <c r="BT67" s="281"/>
      <c r="BU67" s="281"/>
      <c r="BV67" s="281"/>
      <c r="BW67" s="281"/>
      <c r="BX67" s="281"/>
      <c r="BY67" s="281"/>
      <c r="BZ67" s="281"/>
      <c r="CA67" s="281"/>
      <c r="CB67" s="281"/>
      <c r="CC67" s="281"/>
      <c r="CD67" s="281"/>
      <c r="CE67" s="281"/>
      <c r="CF67" s="281"/>
      <c r="CG67" s="281"/>
      <c r="CH67" s="281"/>
      <c r="CI67" s="281"/>
    </row>
    <row r="68" spans="1:87">
      <c r="A68" s="282">
        <v>2018</v>
      </c>
      <c r="B68" s="283">
        <v>68.347499999999997</v>
      </c>
      <c r="C68" s="283">
        <v>71.071666666666701</v>
      </c>
      <c r="D68" s="283">
        <v>69.151666666666699</v>
      </c>
      <c r="E68" s="283">
        <v>64.819166666666703</v>
      </c>
      <c r="F68" s="283">
        <v>107.02249999999999</v>
      </c>
      <c r="G68" s="283">
        <v>97.643333333333302</v>
      </c>
      <c r="H68" s="283">
        <v>3.1597249999999999</v>
      </c>
      <c r="I68" s="283">
        <v>7.6816796538683798</v>
      </c>
      <c r="J68" s="283">
        <v>10.669875822784199</v>
      </c>
      <c r="K68" s="283">
        <v>82.116989950697203</v>
      </c>
      <c r="L68" s="283">
        <v>2.2937683333333299</v>
      </c>
      <c r="M68" s="283">
        <v>2.925971664</v>
      </c>
      <c r="N68" s="283">
        <v>1.86926055433333</v>
      </c>
      <c r="O68" s="283">
        <v>2.8474711888870501</v>
      </c>
      <c r="P68" s="283">
        <v>3.605</v>
      </c>
      <c r="Q68" s="283">
        <v>2.3587885666611501</v>
      </c>
      <c r="R68" s="283">
        <v>2.5786250000000002</v>
      </c>
      <c r="S68" s="283">
        <v>996.77</v>
      </c>
      <c r="T68" s="283">
        <v>1319.86916666667</v>
      </c>
      <c r="U68" s="283">
        <v>1525.1025</v>
      </c>
      <c r="V68" s="283">
        <v>1446.0491666666701</v>
      </c>
      <c r="W68" s="283">
        <v>638.65583333333302</v>
      </c>
      <c r="X68" s="283">
        <v>926.47666666666703</v>
      </c>
      <c r="Y68" s="283">
        <v>394.42416666666702</v>
      </c>
      <c r="Z68" s="283">
        <v>789.11749999999995</v>
      </c>
      <c r="AA68" s="283">
        <v>405.22583333333301</v>
      </c>
      <c r="AB68" s="283">
        <v>125.885332986111</v>
      </c>
      <c r="AC68" s="283">
        <v>164.41454680000001</v>
      </c>
      <c r="AD68" s="283">
        <v>168.58912858333301</v>
      </c>
      <c r="AE68" s="283">
        <v>420.66666666666703</v>
      </c>
      <c r="AF68" s="283">
        <v>408.08333333333297</v>
      </c>
      <c r="AG68" s="283">
        <v>401.07</v>
      </c>
      <c r="AH68" s="283">
        <v>406.14416666666699</v>
      </c>
      <c r="AI68" s="283">
        <v>203.89093102724999</v>
      </c>
      <c r="AJ68" s="283">
        <v>209.92883459999999</v>
      </c>
      <c r="AK68" s="283">
        <v>0.947568431926886</v>
      </c>
      <c r="AL68" s="283">
        <v>1.14714875572917</v>
      </c>
      <c r="AM68" s="283">
        <v>0.78985375212504705</v>
      </c>
      <c r="AN68" s="283">
        <v>4.1950427951666702</v>
      </c>
      <c r="AO68" s="283">
        <v>2.2430235618083301</v>
      </c>
      <c r="AP68" s="283">
        <v>5.8740773333333296</v>
      </c>
      <c r="AQ68" s="283">
        <v>12.2371107466667</v>
      </c>
      <c r="AR68" s="283">
        <v>0.38585241066666698</v>
      </c>
      <c r="AS68" s="283">
        <v>0.5592569785</v>
      </c>
      <c r="AT68" s="283">
        <v>0.27561424366666698</v>
      </c>
      <c r="AU68" s="283">
        <v>4865.9569444444396</v>
      </c>
      <c r="AV68" s="283">
        <v>413.54833333333301</v>
      </c>
      <c r="AW68" s="283">
        <v>269.70393820628902</v>
      </c>
      <c r="AX68" s="283">
        <v>639.99219991781104</v>
      </c>
      <c r="AY68" s="283">
        <v>727.94287499999996</v>
      </c>
      <c r="AZ68" s="283">
        <v>494.69765930267999</v>
      </c>
      <c r="BA68" s="283">
        <v>2.0145817560000001</v>
      </c>
      <c r="BB68" s="283">
        <v>1.3678333333333299</v>
      </c>
      <c r="BC68" s="283">
        <v>1.5653250000000001</v>
      </c>
      <c r="BD68" s="283">
        <v>87.9</v>
      </c>
      <c r="BE68" s="283">
        <v>393.42500000000001</v>
      </c>
      <c r="BF68" s="283">
        <v>346.73583333333301</v>
      </c>
      <c r="BG68" s="283">
        <v>249.44958333333301</v>
      </c>
      <c r="BH68" s="283">
        <v>215.5</v>
      </c>
      <c r="BI68" s="283">
        <v>2108.4749999999999</v>
      </c>
      <c r="BJ68" s="283">
        <v>69.751666666666694</v>
      </c>
      <c r="BK68" s="283">
        <v>6529.7983333333304</v>
      </c>
      <c r="BL68" s="283">
        <v>2240.4349999999999</v>
      </c>
      <c r="BM68" s="283">
        <v>20145.205833333301</v>
      </c>
      <c r="BN68" s="283">
        <v>13114.0641666667</v>
      </c>
      <c r="BO68" s="283">
        <v>2922.3791666666698</v>
      </c>
      <c r="BP68" s="283">
        <v>1269.2266666666701</v>
      </c>
      <c r="BQ68" s="283">
        <v>879.54583333333301</v>
      </c>
      <c r="BR68" s="283">
        <v>15.713749999999999</v>
      </c>
      <c r="BS68" s="281"/>
      <c r="BT68" s="281"/>
      <c r="BU68" s="281"/>
      <c r="BV68" s="281"/>
      <c r="BW68" s="281"/>
      <c r="BX68" s="281"/>
      <c r="BY68" s="281"/>
      <c r="BZ68" s="281"/>
      <c r="CA68" s="281"/>
      <c r="CB68" s="281"/>
      <c r="CC68" s="281"/>
      <c r="CD68" s="281"/>
      <c r="CE68" s="281"/>
      <c r="CF68" s="281"/>
      <c r="CG68" s="281"/>
      <c r="CH68" s="281"/>
      <c r="CI68" s="281"/>
    </row>
    <row r="69" spans="1:87">
      <c r="A69" s="277">
        <v>2019</v>
      </c>
      <c r="B69" s="285">
        <v>61.407499999999999</v>
      </c>
      <c r="C69" s="285">
        <v>64.031666666666695</v>
      </c>
      <c r="D69" s="285">
        <v>63.177500000000002</v>
      </c>
      <c r="E69" s="285">
        <v>57.0133333333333</v>
      </c>
      <c r="F69" s="285">
        <v>77.885833333333395</v>
      </c>
      <c r="G69" s="285">
        <v>71.941666666666606</v>
      </c>
      <c r="H69" s="285">
        <v>2.5658833333333302</v>
      </c>
      <c r="I69" s="285">
        <v>4.8023512661927796</v>
      </c>
      <c r="J69" s="285">
        <v>10.5643018990065</v>
      </c>
      <c r="K69" s="285">
        <v>61.145975739909701</v>
      </c>
      <c r="L69" s="285">
        <v>2.3408216666666699</v>
      </c>
      <c r="M69" s="285">
        <v>2.8797665031666702</v>
      </c>
      <c r="N69" s="285">
        <v>1.6217735874999999</v>
      </c>
      <c r="O69" s="285">
        <v>2.5628137831708599</v>
      </c>
      <c r="P69" s="285">
        <v>3.10083333333333</v>
      </c>
      <c r="Q69" s="285">
        <v>2.37639968284592</v>
      </c>
      <c r="R69" s="285">
        <v>2.2112083333333299</v>
      </c>
      <c r="S69" s="285">
        <v>735.65083333333405</v>
      </c>
      <c r="T69" s="285">
        <v>1337.8058333333299</v>
      </c>
      <c r="U69" s="285">
        <v>1447.9891666666699</v>
      </c>
      <c r="V69" s="285">
        <v>1407.3741666666699</v>
      </c>
      <c r="W69" s="285">
        <v>601.36666666666702</v>
      </c>
      <c r="X69" s="285">
        <v>665.39</v>
      </c>
      <c r="Y69" s="285">
        <v>368.946666666667</v>
      </c>
      <c r="Z69" s="285">
        <v>765.44</v>
      </c>
      <c r="AA69" s="285">
        <v>347.02249999999998</v>
      </c>
      <c r="AB69" s="285">
        <v>128.06698819444401</v>
      </c>
      <c r="AC69" s="285">
        <v>170.07008806666701</v>
      </c>
      <c r="AD69" s="285">
        <v>161.506786833333</v>
      </c>
      <c r="AE69" s="285">
        <v>418</v>
      </c>
      <c r="AF69" s="285">
        <v>410.41666666666703</v>
      </c>
      <c r="AG69" s="285">
        <v>393.493333333333</v>
      </c>
      <c r="AH69" s="285">
        <v>351.884166666667</v>
      </c>
      <c r="AI69" s="285">
        <v>211.27579630275</v>
      </c>
      <c r="AJ69" s="285">
        <v>201.692128575</v>
      </c>
      <c r="AK69" s="285">
        <v>0.87572033564205198</v>
      </c>
      <c r="AL69" s="285">
        <v>1.140546378125</v>
      </c>
      <c r="AM69" s="285">
        <v>0.56000614274852401</v>
      </c>
      <c r="AN69" s="285">
        <v>4.7636602227499996</v>
      </c>
      <c r="AO69" s="285">
        <v>1.99839617083333</v>
      </c>
      <c r="AP69" s="284" t="s">
        <v>334</v>
      </c>
      <c r="AQ69" s="285">
        <v>12.601056764999999</v>
      </c>
      <c r="AR69" s="285">
        <v>0.36566828133333301</v>
      </c>
      <c r="AS69" s="285">
        <v>0.57672859200000004</v>
      </c>
      <c r="AT69" s="285">
        <v>0.28002348366666702</v>
      </c>
      <c r="AU69" s="285">
        <v>4579.3583333333299</v>
      </c>
      <c r="AV69" s="285">
        <v>391.915416666667</v>
      </c>
      <c r="AW69" s="285">
        <v>273.103523205378</v>
      </c>
      <c r="AX69" s="285">
        <v>611.81003891919102</v>
      </c>
      <c r="AY69" s="285">
        <v>695.887791666667</v>
      </c>
      <c r="AZ69" s="285">
        <v>500.93326250830802</v>
      </c>
      <c r="BA69" s="285">
        <v>1.71693968416667</v>
      </c>
      <c r="BB69" s="285">
        <v>1.4104416666666699</v>
      </c>
      <c r="BC69" s="285">
        <v>1.64039166666667</v>
      </c>
      <c r="BD69" s="285">
        <v>87.9583333333333</v>
      </c>
      <c r="BE69" s="285">
        <v>306.35500000000002</v>
      </c>
      <c r="BF69" s="285">
        <v>294.54833333333301</v>
      </c>
      <c r="BG69" s="285">
        <v>245.28166666666701</v>
      </c>
      <c r="BH69" s="285">
        <v>255.5</v>
      </c>
      <c r="BI69" s="285">
        <v>1794.48833333333</v>
      </c>
      <c r="BJ69" s="285">
        <v>93.849166666666605</v>
      </c>
      <c r="BK69" s="285">
        <v>6010.1450000000004</v>
      </c>
      <c r="BL69" s="285">
        <v>1996.5074999999999</v>
      </c>
      <c r="BM69" s="285">
        <v>18661.156666666699</v>
      </c>
      <c r="BN69" s="285">
        <v>13913.9083333333</v>
      </c>
      <c r="BO69" s="285">
        <v>2550.41</v>
      </c>
      <c r="BP69" s="285">
        <v>1392.49833333333</v>
      </c>
      <c r="BQ69" s="285">
        <v>863.98916666666605</v>
      </c>
      <c r="BR69" s="285">
        <v>16.217583333333302</v>
      </c>
      <c r="BS69" s="281"/>
      <c r="BT69" s="281"/>
      <c r="BU69" s="281"/>
      <c r="BV69" s="281"/>
      <c r="BW69" s="281"/>
      <c r="BX69" s="281"/>
      <c r="BY69" s="281"/>
      <c r="BZ69" s="281"/>
      <c r="CA69" s="281"/>
      <c r="CB69" s="281"/>
      <c r="CC69" s="281"/>
      <c r="CD69" s="281"/>
      <c r="CE69" s="281"/>
      <c r="CF69" s="281"/>
      <c r="CG69" s="281"/>
      <c r="CH69" s="281"/>
      <c r="CI69" s="281"/>
    </row>
    <row r="70" spans="1:87">
      <c r="A70" s="282">
        <v>2020</v>
      </c>
      <c r="B70" s="286">
        <v>41.257777777777797</v>
      </c>
      <c r="C70" s="286">
        <v>42.3</v>
      </c>
      <c r="D70" s="286">
        <v>42.164999999999999</v>
      </c>
      <c r="E70" s="286">
        <v>39.308333333333302</v>
      </c>
      <c r="F70" s="286">
        <v>60.784999999999997</v>
      </c>
      <c r="G70" s="286">
        <v>65.656666666666695</v>
      </c>
      <c r="H70" s="286">
        <v>2.0143749999999998</v>
      </c>
      <c r="I70" s="286">
        <v>3.2420240393930899</v>
      </c>
      <c r="J70" s="286">
        <v>8.3133475708468403</v>
      </c>
      <c r="K70" s="286">
        <v>45.506043543081702</v>
      </c>
      <c r="L70" s="286">
        <v>2.36986416666667</v>
      </c>
      <c r="M70" s="286">
        <v>3.3236299964999998</v>
      </c>
      <c r="N70" s="286">
        <v>1.51587834016667</v>
      </c>
      <c r="O70" s="286">
        <v>2.6993001630709998</v>
      </c>
      <c r="P70" s="286">
        <v>3.4041666666666699</v>
      </c>
      <c r="Q70" s="286">
        <v>2.6862754892130001</v>
      </c>
      <c r="R70" s="286">
        <v>2.00745833333333</v>
      </c>
      <c r="S70" s="286">
        <v>1010.4037141479899</v>
      </c>
      <c r="T70" s="286">
        <v>1838.6724999999999</v>
      </c>
      <c r="U70" s="286">
        <v>1432.6995934256099</v>
      </c>
      <c r="V70" s="286">
        <v>1697.8119909545801</v>
      </c>
      <c r="W70" s="286">
        <v>751.766157621248</v>
      </c>
      <c r="X70" s="286">
        <v>824.07235042735101</v>
      </c>
      <c r="Y70" s="286">
        <v>406.63984166467299</v>
      </c>
      <c r="Z70" s="286">
        <v>837.75632231404995</v>
      </c>
      <c r="AA70" s="286">
        <v>394.17900168350201</v>
      </c>
      <c r="AB70" s="286">
        <v>97.600364583333103</v>
      </c>
      <c r="AC70" s="286">
        <v>165.466000466667</v>
      </c>
      <c r="AD70" s="286">
        <v>171.57455150000001</v>
      </c>
      <c r="AE70" s="286">
        <v>496.75</v>
      </c>
      <c r="AF70" s="286">
        <v>481.83333333333297</v>
      </c>
      <c r="AG70" s="286">
        <v>474.61666666666702</v>
      </c>
      <c r="AH70" s="286">
        <v>427.96</v>
      </c>
      <c r="AI70" s="286">
        <v>227.73879764624999</v>
      </c>
      <c r="AJ70" s="286">
        <v>231.56548795</v>
      </c>
      <c r="AK70" s="286">
        <v>0.89711781311712102</v>
      </c>
      <c r="AL70" s="286">
        <v>1.2163301906249999</v>
      </c>
      <c r="AM70" s="286">
        <v>0.60298520360965502</v>
      </c>
      <c r="AN70" s="286">
        <v>4.6673091428333304</v>
      </c>
      <c r="AO70" s="286">
        <v>1.6316943774999999</v>
      </c>
      <c r="AP70" s="283" t="s">
        <v>334</v>
      </c>
      <c r="AQ70" s="286">
        <v>12.673074351666701</v>
      </c>
      <c r="AR70" s="286">
        <v>0.37271109200000002</v>
      </c>
      <c r="AS70" s="286">
        <v>0.59465950133333301</v>
      </c>
      <c r="AT70" s="286">
        <v>0.2831283235</v>
      </c>
      <c r="AU70" s="286">
        <v>4336.28125</v>
      </c>
      <c r="AV70" s="286">
        <v>399.46375</v>
      </c>
      <c r="AW70" s="286">
        <v>278.93641829584402</v>
      </c>
      <c r="AX70" s="286">
        <v>615.16810032466503</v>
      </c>
      <c r="AY70" s="286">
        <v>699.70733333333305</v>
      </c>
      <c r="AZ70" s="286">
        <v>511.63210349447297</v>
      </c>
      <c r="BA70" s="286">
        <v>1.5858382815000001</v>
      </c>
      <c r="BB70" s="286">
        <v>1.3305499999999999</v>
      </c>
      <c r="BC70" s="286">
        <v>1.7280249999999999</v>
      </c>
      <c r="BD70" s="286">
        <v>76.051666666666605</v>
      </c>
      <c r="BE70" s="286">
        <v>312.42416666666702</v>
      </c>
      <c r="BF70" s="286">
        <v>265.03750000000002</v>
      </c>
      <c r="BG70" s="286">
        <v>229.10083333333299</v>
      </c>
      <c r="BH70" s="286">
        <v>217.791666666667</v>
      </c>
      <c r="BI70" s="286">
        <v>1703.9866666666701</v>
      </c>
      <c r="BJ70" s="286">
        <v>108.918333333333</v>
      </c>
      <c r="BK70" s="286">
        <v>6173.7708333333303</v>
      </c>
      <c r="BL70" s="286">
        <v>1824.88083333333</v>
      </c>
      <c r="BM70" s="286">
        <v>17124.5991666667</v>
      </c>
      <c r="BN70" s="286">
        <v>13787.256666666701</v>
      </c>
      <c r="BO70" s="286">
        <v>2266.44916666667</v>
      </c>
      <c r="BP70" s="286">
        <v>1770.25416666667</v>
      </c>
      <c r="BQ70" s="286">
        <v>883.39333333333298</v>
      </c>
      <c r="BR70" s="286">
        <v>20.536583333333301</v>
      </c>
      <c r="BS70" s="281"/>
      <c r="BT70" s="281"/>
      <c r="BU70" s="281"/>
      <c r="BV70" s="281"/>
      <c r="BW70" s="281"/>
      <c r="BX70" s="281"/>
      <c r="BY70" s="281"/>
      <c r="BZ70" s="281"/>
      <c r="CA70" s="281"/>
      <c r="CB70" s="281"/>
      <c r="CC70" s="281"/>
      <c r="CD70" s="281"/>
      <c r="CE70" s="281"/>
      <c r="CF70" s="281"/>
      <c r="CG70" s="281"/>
      <c r="CH70" s="281"/>
      <c r="CI70" s="281"/>
    </row>
    <row r="71" spans="1:87">
      <c r="A71" s="277">
        <v>2021</v>
      </c>
      <c r="B71" s="285">
        <v>69.0705555555556</v>
      </c>
      <c r="C71" s="285">
        <v>70.4433333333333</v>
      </c>
      <c r="D71" s="285">
        <v>68.805000000000007</v>
      </c>
      <c r="E71" s="285">
        <v>67.963333333333296</v>
      </c>
      <c r="F71" s="285">
        <v>138.05000000000001</v>
      </c>
      <c r="G71" s="285">
        <v>119.840229281524</v>
      </c>
      <c r="H71" s="285">
        <v>3.85140833333333</v>
      </c>
      <c r="I71" s="285">
        <v>16.1158779483759</v>
      </c>
      <c r="J71" s="285">
        <v>10.761649023844299</v>
      </c>
      <c r="K71" s="285">
        <v>130.674480269464</v>
      </c>
      <c r="L71" s="285">
        <v>2.4265316666666701</v>
      </c>
      <c r="M71" s="285">
        <v>4.5119385483333296</v>
      </c>
      <c r="N71" s="285">
        <v>1.9811817629999999</v>
      </c>
      <c r="O71" s="285">
        <v>2.68890367732015</v>
      </c>
      <c r="P71" s="285">
        <v>3.1258333333333299</v>
      </c>
      <c r="Q71" s="285">
        <v>2.8308743579092299</v>
      </c>
      <c r="R71" s="285">
        <v>2.1117499999999998</v>
      </c>
      <c r="S71" s="285">
        <v>1636.3133333333301</v>
      </c>
      <c r="T71" s="285">
        <v>1555.0350000000001</v>
      </c>
      <c r="U71" s="285">
        <v>1480.88916666667</v>
      </c>
      <c r="V71" s="285">
        <v>2075.0936998510001</v>
      </c>
      <c r="W71" s="285">
        <v>1130.57666666667</v>
      </c>
      <c r="X71" s="285">
        <v>1533.0816666666699</v>
      </c>
      <c r="Y71" s="285">
        <v>583.32249999999999</v>
      </c>
      <c r="Z71" s="285">
        <v>1385.4066666666699</v>
      </c>
      <c r="AA71" s="285">
        <v>480.97500000000002</v>
      </c>
      <c r="AB71" s="284" t="s">
        <v>334</v>
      </c>
      <c r="AC71" s="285">
        <v>259.54567977893299</v>
      </c>
      <c r="AD71" s="284" t="s">
        <v>334</v>
      </c>
      <c r="AE71" s="285">
        <v>458.25</v>
      </c>
      <c r="AF71" s="285">
        <v>448.25</v>
      </c>
      <c r="AG71" s="285">
        <v>436.09</v>
      </c>
      <c r="AH71" s="285">
        <v>446.34750000000003</v>
      </c>
      <c r="AI71" s="285">
        <v>281.66060658518199</v>
      </c>
      <c r="AJ71" s="285">
        <v>315.23750000000001</v>
      </c>
      <c r="AK71" s="285">
        <v>0.92376113588577502</v>
      </c>
      <c r="AL71" s="285">
        <v>1.2054793265624999</v>
      </c>
      <c r="AM71" s="285">
        <v>0.65258965200660901</v>
      </c>
      <c r="AN71" s="285">
        <v>5.3858958459166697</v>
      </c>
      <c r="AO71" s="285">
        <v>2.2559600882500002</v>
      </c>
      <c r="AP71" s="284" t="s">
        <v>334</v>
      </c>
      <c r="AQ71" s="285">
        <v>13.699049384166701</v>
      </c>
      <c r="AR71" s="285">
        <v>0.38647559599999998</v>
      </c>
      <c r="AS71" s="285">
        <v>0.74014604949999996</v>
      </c>
      <c r="AT71" s="285">
        <v>0.38955635399999999</v>
      </c>
      <c r="AU71" s="285">
        <v>4154.7399629094798</v>
      </c>
      <c r="AV71" s="285">
        <v>414.21625</v>
      </c>
      <c r="AW71" s="285">
        <v>271.35082829258999</v>
      </c>
      <c r="AX71" s="285">
        <v>659.341980620463</v>
      </c>
      <c r="AY71" s="285">
        <v>749.95179166666605</v>
      </c>
      <c r="AZ71" s="285">
        <v>497.71842598573397</v>
      </c>
      <c r="BA71" s="285">
        <v>2.23070800333333</v>
      </c>
      <c r="BB71" s="285">
        <v>1.6793083333333301</v>
      </c>
      <c r="BC71" s="285">
        <v>2.0710166666666701</v>
      </c>
      <c r="BD71" s="285">
        <v>123.213333333333</v>
      </c>
      <c r="BE71" s="285">
        <v>600.96333333333303</v>
      </c>
      <c r="BF71" s="285">
        <v>538.18916666666701</v>
      </c>
      <c r="BG71" s="285">
        <v>483.20749999999998</v>
      </c>
      <c r="BH71" s="285">
        <v>210.208333333333</v>
      </c>
      <c r="BI71" s="285">
        <v>2472.8483333333302</v>
      </c>
      <c r="BJ71" s="285">
        <v>161.71</v>
      </c>
      <c r="BK71" s="285">
        <v>9317.0499999999993</v>
      </c>
      <c r="BL71" s="285">
        <v>2200.3649999999998</v>
      </c>
      <c r="BM71" s="285">
        <v>32384.148333333302</v>
      </c>
      <c r="BN71" s="285">
        <v>18464.965833333299</v>
      </c>
      <c r="BO71" s="285">
        <v>3002.5208333333298</v>
      </c>
      <c r="BP71" s="285">
        <v>1799.62916666667</v>
      </c>
      <c r="BQ71" s="285">
        <v>1091.13333333333</v>
      </c>
      <c r="BR71" s="285">
        <v>25.164583333333301</v>
      </c>
      <c r="BS71" s="281"/>
      <c r="BT71" s="281"/>
      <c r="BU71" s="281"/>
      <c r="BV71" s="281"/>
      <c r="BW71" s="281"/>
      <c r="BX71" s="281"/>
      <c r="BY71" s="281"/>
      <c r="BZ71" s="281"/>
      <c r="CA71" s="281"/>
      <c r="CB71" s="281"/>
      <c r="CC71" s="281"/>
      <c r="CD71" s="281"/>
      <c r="CE71" s="281"/>
      <c r="CF71" s="281"/>
      <c r="CG71" s="281"/>
      <c r="CH71" s="281"/>
      <c r="CI71" s="281"/>
    </row>
    <row r="72" spans="1:87">
      <c r="A72" s="282">
        <v>2022</v>
      </c>
      <c r="B72" s="283">
        <v>97.10138888889</v>
      </c>
      <c r="C72" s="283">
        <v>99.824166666669996</v>
      </c>
      <c r="D72" s="283">
        <v>97.049166666670004</v>
      </c>
      <c r="E72" s="283">
        <v>94.43083333333</v>
      </c>
      <c r="F72" s="283">
        <v>344.89333333333002</v>
      </c>
      <c r="G72" s="283">
        <v>240.55697679836999</v>
      </c>
      <c r="H72" s="283">
        <v>6.3683166666700002</v>
      </c>
      <c r="I72" s="283">
        <v>40.340157142199999</v>
      </c>
      <c r="J72" s="283">
        <v>18.42692483862</v>
      </c>
      <c r="K72" s="283">
        <v>281.59297040430999</v>
      </c>
      <c r="L72" s="283">
        <v>2.39297916667</v>
      </c>
      <c r="M72" s="283">
        <v>5.6304341334999997</v>
      </c>
      <c r="N72" s="283">
        <v>2.2851070018300002</v>
      </c>
      <c r="O72" s="283">
        <v>3.0507822288900002</v>
      </c>
      <c r="P72" s="283">
        <v>3.8733333333300002</v>
      </c>
      <c r="Q72" s="283">
        <v>2.83498835311</v>
      </c>
      <c r="R72" s="283">
        <v>2.4477777777799998</v>
      </c>
      <c r="S72" s="283">
        <v>1634.6375</v>
      </c>
      <c r="T72" s="283">
        <v>1568.1241666666699</v>
      </c>
      <c r="U72" s="283">
        <v>1595.5691666666701</v>
      </c>
      <c r="V72" s="283">
        <v>2202.5524999999998</v>
      </c>
      <c r="W72" s="283">
        <v>1275.99166666667</v>
      </c>
      <c r="X72" s="283">
        <v>1616.7266666666701</v>
      </c>
      <c r="Y72" s="283">
        <v>675.39499999999998</v>
      </c>
      <c r="Z72" s="283">
        <v>1666.7974999999999</v>
      </c>
      <c r="AA72" s="283">
        <v>547.85749999999996</v>
      </c>
      <c r="AB72" s="283" t="s">
        <v>334</v>
      </c>
      <c r="AC72" s="283">
        <v>318.80665693332998</v>
      </c>
      <c r="AD72" s="283" t="s">
        <v>334</v>
      </c>
      <c r="AE72" s="283">
        <v>436.75</v>
      </c>
      <c r="AF72" s="283">
        <v>429.66666666666998</v>
      </c>
      <c r="AG72" s="283">
        <v>417.73250000000002</v>
      </c>
      <c r="AH72" s="283">
        <v>404.52833333333001</v>
      </c>
      <c r="AI72" s="283">
        <v>381.91843016614291</v>
      </c>
      <c r="AJ72" s="283">
        <v>429.97166666666999</v>
      </c>
      <c r="AK72" s="283">
        <v>0.94367792340000001</v>
      </c>
      <c r="AL72" s="283">
        <v>1.48892226771</v>
      </c>
      <c r="AM72" s="283">
        <v>0.91928464289</v>
      </c>
      <c r="AN72" s="283">
        <v>5.6216432112500003</v>
      </c>
      <c r="AO72" s="283">
        <v>1.6831575000000001</v>
      </c>
      <c r="AP72" s="283">
        <v>8.2651431541699996</v>
      </c>
      <c r="AQ72" s="283">
        <v>13.5143206</v>
      </c>
      <c r="AR72" s="283">
        <v>0.34423505999999998</v>
      </c>
      <c r="AS72" s="283">
        <v>0.78772909783</v>
      </c>
      <c r="AT72" s="283">
        <v>0.40783632816999998</v>
      </c>
      <c r="AU72" s="283">
        <v>4269.8645262853897</v>
      </c>
      <c r="AV72" s="283">
        <v>368.94375000000002</v>
      </c>
      <c r="AW72" s="283">
        <v>227.99021647473</v>
      </c>
      <c r="AX72" s="283">
        <v>593.01527668902997</v>
      </c>
      <c r="AY72" s="283">
        <v>674.51016666666999</v>
      </c>
      <c r="AZ72" s="283">
        <v>418.18531529078001</v>
      </c>
      <c r="BA72" s="283">
        <v>2.8648669463299998</v>
      </c>
      <c r="BB72" s="283">
        <v>1.54308333333</v>
      </c>
      <c r="BC72" s="283">
        <v>1.81019166667</v>
      </c>
      <c r="BD72" s="283">
        <v>266.15666666666999</v>
      </c>
      <c r="BE72" s="283">
        <v>772.15833333333001</v>
      </c>
      <c r="BF72" s="283">
        <v>716.05333333332999</v>
      </c>
      <c r="BG72" s="283">
        <v>700.01499999999999</v>
      </c>
      <c r="BH72" s="283">
        <v>863.41833333333</v>
      </c>
      <c r="BI72" s="283">
        <v>2705.0191666666701</v>
      </c>
      <c r="BJ72" s="283">
        <v>121.30083333333</v>
      </c>
      <c r="BK72" s="283">
        <v>8822.3658333333296</v>
      </c>
      <c r="BL72" s="283">
        <v>2150.5974999999999</v>
      </c>
      <c r="BM72" s="283">
        <v>31335.404999999999</v>
      </c>
      <c r="BN72" s="283">
        <v>25833.724999999999</v>
      </c>
      <c r="BO72" s="283">
        <v>3481.3783333333299</v>
      </c>
      <c r="BP72" s="283">
        <v>1800.6025</v>
      </c>
      <c r="BQ72" s="283">
        <v>961.71583333333001</v>
      </c>
      <c r="BR72" s="283">
        <v>21.794416666669999</v>
      </c>
      <c r="BS72" s="281"/>
      <c r="BT72" s="281"/>
      <c r="BU72" s="281"/>
      <c r="BV72" s="281"/>
      <c r="BW72" s="281"/>
      <c r="BX72" s="281"/>
      <c r="BY72" s="281"/>
      <c r="BZ72" s="281"/>
      <c r="CA72" s="281"/>
      <c r="CB72" s="281"/>
      <c r="CC72" s="281"/>
      <c r="CD72" s="281"/>
      <c r="CE72" s="281"/>
      <c r="CF72" s="281"/>
      <c r="CG72" s="281"/>
      <c r="CH72" s="281"/>
      <c r="CI72" s="281"/>
    </row>
    <row r="73" spans="1:87">
      <c r="A73" s="277">
        <v>2023</v>
      </c>
      <c r="B73" s="284">
        <v>80.755694444439996</v>
      </c>
      <c r="C73" s="284">
        <v>82.616249999999994</v>
      </c>
      <c r="D73" s="284">
        <v>81.981666666669994</v>
      </c>
      <c r="E73" s="284">
        <v>77.669166666669994</v>
      </c>
      <c r="F73" s="284">
        <v>172.77916666666999</v>
      </c>
      <c r="G73" s="284">
        <v>119.10575833333</v>
      </c>
      <c r="H73" s="284">
        <v>2.5378083333300001</v>
      </c>
      <c r="I73" s="284">
        <v>13.113403246200001</v>
      </c>
      <c r="J73" s="284">
        <v>14.387107996679999</v>
      </c>
      <c r="K73" s="284">
        <v>102.90549072048999</v>
      </c>
      <c r="L73" s="284">
        <v>3.2806666666700002</v>
      </c>
      <c r="M73" s="284">
        <v>4.5400474533299997</v>
      </c>
      <c r="N73" s="284">
        <v>2.6268231018299999</v>
      </c>
      <c r="O73" s="284">
        <v>2.7403908273600002</v>
      </c>
      <c r="P73" s="284">
        <v>3.5550874549000002</v>
      </c>
      <c r="Q73" s="284">
        <v>2.4348766938400002</v>
      </c>
      <c r="R73" s="284">
        <v>2.2312083333300001</v>
      </c>
      <c r="S73" s="284">
        <v>1075.1849999999999</v>
      </c>
      <c r="T73" s="284">
        <v>1891.85916666667</v>
      </c>
      <c r="U73" s="284">
        <v>1814.8924999999999</v>
      </c>
      <c r="V73" s="284">
        <v>2034.655</v>
      </c>
      <c r="W73" s="284">
        <v>886.45333333332997</v>
      </c>
      <c r="X73" s="284">
        <v>990.49416666667003</v>
      </c>
      <c r="Y73" s="284">
        <v>597.89833333333002</v>
      </c>
      <c r="Z73" s="284">
        <v>1118.50166666667</v>
      </c>
      <c r="AA73" s="284">
        <v>541.42416666666998</v>
      </c>
      <c r="AB73" s="284" t="s">
        <v>334</v>
      </c>
      <c r="AC73" s="284">
        <v>252.65528515369999</v>
      </c>
      <c r="AD73" s="284" t="s">
        <v>334</v>
      </c>
      <c r="AE73" s="284">
        <v>553.66666666667004</v>
      </c>
      <c r="AF73" s="284">
        <v>532.91666666667004</v>
      </c>
      <c r="AG73" s="284">
        <v>536.17083333333005</v>
      </c>
      <c r="AH73" s="284">
        <v>523.6825</v>
      </c>
      <c r="AI73" s="284">
        <v>257.7418135486364</v>
      </c>
      <c r="AJ73" s="284">
        <v>340.43</v>
      </c>
      <c r="AK73" s="284">
        <v>1.0899981405800001</v>
      </c>
      <c r="AL73" s="284">
        <v>1.59656972865</v>
      </c>
      <c r="AM73" s="284">
        <v>1.5741268385</v>
      </c>
      <c r="AN73" s="284">
        <v>4.9029524011100003</v>
      </c>
      <c r="AO73" s="284">
        <v>1.53327891667</v>
      </c>
      <c r="AP73" s="284">
        <v>6.1229447958299996</v>
      </c>
      <c r="AQ73" s="284">
        <v>10.186887633999998</v>
      </c>
      <c r="AR73" s="284">
        <v>0.35326172267</v>
      </c>
      <c r="AS73" s="284">
        <v>0.89492874533</v>
      </c>
      <c r="AT73" s="284">
        <v>0.51646897866999997</v>
      </c>
      <c r="AU73" s="284">
        <v>5015.6909722222199</v>
      </c>
      <c r="AV73" s="284">
        <v>378.61833333332999</v>
      </c>
      <c r="AW73" s="284">
        <v>212.37619363272</v>
      </c>
      <c r="AX73" s="284">
        <v>595.85026313122</v>
      </c>
      <c r="AY73" s="284">
        <v>677.73474999999996</v>
      </c>
      <c r="AZ73" s="284">
        <v>389.54568695012</v>
      </c>
      <c r="BA73" s="284">
        <v>2.0949768986700001</v>
      </c>
      <c r="BB73" s="284">
        <v>1.3827083333300001</v>
      </c>
      <c r="BC73" s="284">
        <v>1.5767166666700001</v>
      </c>
      <c r="BD73" s="284">
        <v>321.65909090909093</v>
      </c>
      <c r="BE73" s="284">
        <v>550.04833333332999</v>
      </c>
      <c r="BF73" s="284">
        <v>480.22083333333001</v>
      </c>
      <c r="BG73" s="284">
        <v>358.00166666667002</v>
      </c>
      <c r="BH73" s="284">
        <v>383.22083333333001</v>
      </c>
      <c r="BI73" s="284">
        <v>2255.7391666666699</v>
      </c>
      <c r="BJ73" s="284">
        <v>120.57416666667</v>
      </c>
      <c r="BK73" s="284">
        <v>8490.2908333333307</v>
      </c>
      <c r="BL73" s="284">
        <v>2135.7975000000001</v>
      </c>
      <c r="BM73" s="284">
        <v>25938.113333333298</v>
      </c>
      <c r="BN73" s="284">
        <v>21521.115000000002</v>
      </c>
      <c r="BO73" s="284">
        <v>2652.6041666666702</v>
      </c>
      <c r="BP73" s="284">
        <v>1942.6658333333301</v>
      </c>
      <c r="BQ73" s="284">
        <v>966.35500000000002</v>
      </c>
      <c r="BR73" s="284">
        <v>23.398583333329999</v>
      </c>
      <c r="BS73" s="281"/>
      <c r="BT73" s="281"/>
      <c r="BU73" s="281"/>
      <c r="BV73" s="281"/>
      <c r="BW73" s="281"/>
      <c r="BX73" s="281"/>
      <c r="BY73" s="281"/>
      <c r="BZ73" s="281"/>
      <c r="CA73" s="281"/>
      <c r="CB73" s="281"/>
      <c r="CC73" s="281"/>
      <c r="CD73" s="281"/>
      <c r="CE73" s="281"/>
      <c r="CF73" s="281"/>
      <c r="CG73" s="281"/>
      <c r="CH73" s="281"/>
      <c r="CI73" s="281"/>
    </row>
    <row r="74" spans="1:87">
      <c r="A74" s="282">
        <v>2024</v>
      </c>
      <c r="B74" s="283">
        <v>78.733722222219996</v>
      </c>
      <c r="C74" s="283">
        <v>80.698666666669993</v>
      </c>
      <c r="D74" s="283">
        <v>79.658333333330006</v>
      </c>
      <c r="E74" s="283">
        <v>75.844166666670006</v>
      </c>
      <c r="F74" s="283">
        <v>136.14666666667</v>
      </c>
      <c r="G74" s="283">
        <v>105.77441666667001</v>
      </c>
      <c r="H74" s="283">
        <v>2.1911083333299999</v>
      </c>
      <c r="I74" s="283">
        <v>10.96230953259</v>
      </c>
      <c r="J74" s="283">
        <v>12.84421395663</v>
      </c>
      <c r="K74" s="283">
        <v>87.423841596309998</v>
      </c>
      <c r="L74" s="283">
        <v>7.3296458333299999</v>
      </c>
      <c r="M74" s="283">
        <v>5.6221484366699999</v>
      </c>
      <c r="N74" s="283">
        <v>4.4142922541700003</v>
      </c>
      <c r="O74" s="283">
        <v>3.0402931033999998</v>
      </c>
      <c r="P74" s="283">
        <v>4.1260720752199997</v>
      </c>
      <c r="Q74" s="283">
        <v>2.8105531204899998</v>
      </c>
      <c r="R74" s="283">
        <v>2.18293055556</v>
      </c>
      <c r="S74" s="283">
        <v>1518.65886928852</v>
      </c>
      <c r="T74" s="283">
        <v>1764.84452745253</v>
      </c>
      <c r="U74" s="283">
        <v>1699.0836421492399</v>
      </c>
      <c r="V74" s="283">
        <v>1795.51536531489</v>
      </c>
      <c r="W74" s="283">
        <v>963.36482583332997</v>
      </c>
      <c r="X74" s="283">
        <v>1411.7308129554201</v>
      </c>
      <c r="Y74" s="283">
        <v>462.49482641928</v>
      </c>
      <c r="Z74" s="283">
        <v>1021.95429800124</v>
      </c>
      <c r="AA74" s="283">
        <v>442.29171173206998</v>
      </c>
      <c r="AB74" s="283" t="s">
        <v>334</v>
      </c>
      <c r="AC74" s="283">
        <v>190.60477617365001</v>
      </c>
      <c r="AD74" s="283" t="s">
        <v>334</v>
      </c>
      <c r="AE74" s="283">
        <v>588.41666666667004</v>
      </c>
      <c r="AF74" s="283">
        <v>559.08333333332996</v>
      </c>
      <c r="AG74" s="283">
        <v>572.69749999999999</v>
      </c>
      <c r="AH74" s="283">
        <v>557.47</v>
      </c>
      <c r="AI74" s="283">
        <v>230.87885044500001</v>
      </c>
      <c r="AJ74" s="283">
        <v>268.67333333332999</v>
      </c>
      <c r="AK74" s="283">
        <v>1.0664279585400001</v>
      </c>
      <c r="AL74" s="283">
        <v>1.23326672448</v>
      </c>
      <c r="AM74" s="283">
        <v>2.2598478363000001</v>
      </c>
      <c r="AN74" s="283">
        <v>5.9312988625000003</v>
      </c>
      <c r="AO74" s="283">
        <v>1.46280241667</v>
      </c>
      <c r="AP74" s="283">
        <v>5.3460799249999997</v>
      </c>
      <c r="AQ74" s="283" t="s">
        <v>334</v>
      </c>
      <c r="AR74" s="283">
        <v>0.35331887067000001</v>
      </c>
      <c r="AS74" s="283">
        <v>0.84308343166999999</v>
      </c>
      <c r="AT74" s="283">
        <v>0.44860342633</v>
      </c>
      <c r="AU74" s="283">
        <v>5899.3506944444398</v>
      </c>
      <c r="AV74" s="283">
        <v>378.67958333333002</v>
      </c>
      <c r="AW74" s="283">
        <v>196.74955604096999</v>
      </c>
      <c r="AX74" s="283">
        <v>612.38502208493003</v>
      </c>
      <c r="AY74" s="283">
        <v>696.54179166666995</v>
      </c>
      <c r="AZ74" s="283">
        <v>360.88292032228998</v>
      </c>
      <c r="BA74" s="283">
        <v>1.91083601317</v>
      </c>
      <c r="BB74" s="283">
        <v>1.7536833333299999</v>
      </c>
      <c r="BC74" s="283">
        <v>2.2765083333299998</v>
      </c>
      <c r="BD74" s="283">
        <v>152.5</v>
      </c>
      <c r="BE74" s="283">
        <v>563.66499999999996</v>
      </c>
      <c r="BF74" s="283">
        <v>474.56166666667002</v>
      </c>
      <c r="BG74" s="283">
        <v>338.26916666667</v>
      </c>
      <c r="BH74" s="283">
        <v>295.10583333333</v>
      </c>
      <c r="BI74" s="283">
        <v>2419.0166666666701</v>
      </c>
      <c r="BJ74" s="283">
        <v>109.39749999999999</v>
      </c>
      <c r="BK74" s="283">
        <v>9142.14</v>
      </c>
      <c r="BL74" s="283">
        <v>2069.4466666666699</v>
      </c>
      <c r="BM74" s="283">
        <v>30066.269166666701</v>
      </c>
      <c r="BN74" s="283">
        <v>16813.962500000001</v>
      </c>
      <c r="BO74" s="283">
        <v>2775.8425000000002</v>
      </c>
      <c r="BP74" s="283">
        <v>2387.7024999999999</v>
      </c>
      <c r="BQ74" s="283">
        <v>955.16833333333</v>
      </c>
      <c r="BR74" s="283">
        <v>28.269166666669999</v>
      </c>
      <c r="BS74" s="281"/>
      <c r="BT74" s="281"/>
      <c r="BU74" s="281"/>
      <c r="BV74" s="281"/>
      <c r="BW74" s="281"/>
      <c r="BX74" s="281"/>
      <c r="BY74" s="281"/>
      <c r="BZ74" s="281"/>
      <c r="CA74" s="281"/>
      <c r="CB74" s="281"/>
      <c r="CC74" s="281"/>
      <c r="CD74" s="281"/>
      <c r="CE74" s="281"/>
      <c r="CF74" s="281"/>
      <c r="CG74" s="281"/>
      <c r="CH74" s="281"/>
      <c r="CI74" s="281"/>
    </row>
    <row r="75" spans="1:87">
      <c r="A75" s="277"/>
      <c r="B75" s="277"/>
      <c r="C75" s="277"/>
      <c r="D75" s="277"/>
      <c r="E75" s="277"/>
      <c r="F75" s="277"/>
      <c r="G75" s="277"/>
      <c r="H75" s="277"/>
      <c r="I75" s="277"/>
      <c r="J75" s="277"/>
      <c r="K75" s="277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  <c r="AA75" s="277"/>
      <c r="AB75" s="277"/>
      <c r="AC75" s="277"/>
      <c r="AD75" s="277"/>
      <c r="AE75" s="277"/>
      <c r="AF75" s="277"/>
      <c r="AG75" s="277"/>
      <c r="AH75" s="277"/>
      <c r="AI75" s="277"/>
      <c r="AJ75" s="277"/>
      <c r="AK75" s="277"/>
      <c r="AL75" s="277"/>
      <c r="AM75" s="277"/>
      <c r="AN75" s="277"/>
      <c r="AO75" s="277"/>
      <c r="AP75" s="277"/>
      <c r="AQ75" s="277"/>
      <c r="AR75" s="277"/>
      <c r="AS75" s="277"/>
      <c r="AT75" s="277"/>
      <c r="AU75" s="277"/>
      <c r="AV75" s="277"/>
      <c r="AW75" s="277"/>
      <c r="AX75" s="277"/>
      <c r="AY75" s="277"/>
      <c r="AZ75" s="277"/>
      <c r="BA75" s="277"/>
      <c r="BB75" s="277"/>
      <c r="BC75" s="277"/>
      <c r="BD75" s="277"/>
      <c r="BE75" s="277"/>
      <c r="BF75" s="277"/>
      <c r="BG75" s="277"/>
      <c r="BH75" s="277"/>
      <c r="BI75" s="277"/>
      <c r="BJ75" s="277"/>
      <c r="BK75" s="277"/>
      <c r="BL75" s="277"/>
      <c r="BM75" s="277"/>
      <c r="BN75" s="277"/>
      <c r="BO75" s="277"/>
      <c r="BP75" s="277"/>
      <c r="BQ75" s="277"/>
      <c r="BR75" s="277"/>
      <c r="BS75" s="281"/>
      <c r="BT75" s="281"/>
      <c r="BU75" s="281"/>
      <c r="BV75" s="281"/>
      <c r="BW75" s="281"/>
      <c r="BX75" s="281"/>
      <c r="BY75" s="281"/>
      <c r="BZ75" s="281"/>
      <c r="CA75" s="281"/>
      <c r="CB75" s="281"/>
      <c r="CC75" s="281"/>
      <c r="CD75" s="281"/>
      <c r="CE75" s="281"/>
      <c r="CF75" s="281"/>
      <c r="CG75" s="281"/>
      <c r="CH75" s="281"/>
      <c r="CI75" s="281"/>
    </row>
    <row r="76" spans="1:87">
      <c r="A76" s="277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7"/>
      <c r="P76" s="277"/>
      <c r="Q76" s="277"/>
      <c r="R76" s="277"/>
      <c r="S76" s="277"/>
      <c r="T76" s="277"/>
      <c r="U76" s="277"/>
      <c r="V76" s="277"/>
      <c r="W76" s="277"/>
      <c r="X76" s="277"/>
      <c r="Y76" s="277"/>
      <c r="Z76" s="277"/>
      <c r="AA76" s="277"/>
      <c r="AB76" s="277"/>
      <c r="AC76" s="277"/>
      <c r="AD76" s="277"/>
      <c r="AE76" s="277"/>
      <c r="AF76" s="277"/>
      <c r="AG76" s="277"/>
      <c r="AH76" s="277"/>
      <c r="AI76" s="277"/>
      <c r="AJ76" s="277"/>
      <c r="AK76" s="277"/>
      <c r="AL76" s="277"/>
      <c r="AM76" s="277"/>
      <c r="AN76" s="277"/>
      <c r="AO76" s="277"/>
      <c r="AP76" s="277"/>
      <c r="AQ76" s="277"/>
      <c r="AR76" s="277"/>
      <c r="AS76" s="277"/>
      <c r="AT76" s="277"/>
      <c r="AU76" s="277"/>
      <c r="AV76" s="277"/>
      <c r="AW76" s="277"/>
      <c r="AX76" s="277"/>
      <c r="AY76" s="277"/>
      <c r="AZ76" s="277"/>
      <c r="BA76" s="277"/>
      <c r="BB76" s="277"/>
      <c r="BC76" s="277"/>
      <c r="BD76" s="277"/>
      <c r="BE76" s="277"/>
      <c r="BF76" s="277"/>
      <c r="BG76" s="277"/>
      <c r="BH76" s="277"/>
      <c r="BI76" s="277"/>
      <c r="BJ76" s="277"/>
      <c r="BK76" s="277"/>
      <c r="BL76" s="277"/>
      <c r="BM76" s="277"/>
      <c r="BN76" s="277"/>
      <c r="BO76" s="277"/>
      <c r="BP76" s="277"/>
      <c r="BQ76" s="277"/>
      <c r="BR76" s="277"/>
      <c r="BS76" s="281"/>
      <c r="BT76" s="281"/>
      <c r="BU76" s="281"/>
      <c r="BV76" s="281"/>
      <c r="BW76" s="281"/>
      <c r="BX76" s="281"/>
      <c r="BY76" s="281"/>
      <c r="BZ76" s="281"/>
      <c r="CA76" s="281"/>
      <c r="CB76" s="281"/>
      <c r="CC76" s="281"/>
      <c r="CD76" s="281"/>
      <c r="CE76" s="281"/>
      <c r="CF76" s="281"/>
      <c r="CG76" s="281"/>
      <c r="CH76" s="281"/>
      <c r="CI76" s="281"/>
    </row>
    <row r="77" spans="1:87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  <c r="AG77" s="277"/>
      <c r="AH77" s="277"/>
      <c r="AI77" s="277"/>
      <c r="AJ77" s="277"/>
      <c r="AK77" s="277"/>
      <c r="AL77" s="277"/>
      <c r="AM77" s="277"/>
      <c r="AN77" s="277"/>
      <c r="AO77" s="277"/>
      <c r="AP77" s="277"/>
      <c r="AQ77" s="277"/>
      <c r="AR77" s="277"/>
      <c r="AS77" s="277"/>
      <c r="AT77" s="277"/>
      <c r="AU77" s="277"/>
      <c r="AV77" s="277"/>
      <c r="AW77" s="277"/>
      <c r="AX77" s="277"/>
      <c r="AY77" s="277"/>
      <c r="AZ77" s="277"/>
      <c r="BA77" s="277"/>
      <c r="BB77" s="277"/>
      <c r="BC77" s="277"/>
      <c r="BD77" s="277"/>
      <c r="BE77" s="277"/>
      <c r="BF77" s="277"/>
      <c r="BG77" s="277"/>
      <c r="BH77" s="277"/>
      <c r="BI77" s="277"/>
      <c r="BJ77" s="277"/>
      <c r="BK77" s="277"/>
      <c r="BL77" s="277"/>
      <c r="BM77" s="277"/>
      <c r="BN77" s="277"/>
      <c r="BO77" s="277"/>
      <c r="BP77" s="277"/>
      <c r="BQ77" s="277"/>
      <c r="BR77" s="277"/>
      <c r="BS77" s="281"/>
      <c r="BT77" s="281"/>
      <c r="BU77" s="281"/>
      <c r="BV77" s="281"/>
      <c r="BW77" s="281"/>
      <c r="BX77" s="281"/>
      <c r="BY77" s="281"/>
      <c r="BZ77" s="281"/>
      <c r="CA77" s="281"/>
      <c r="CB77" s="281"/>
      <c r="CC77" s="281"/>
      <c r="CD77" s="281"/>
      <c r="CE77" s="281"/>
      <c r="CF77" s="281"/>
      <c r="CG77" s="281"/>
      <c r="CH77" s="281"/>
      <c r="CI77" s="281"/>
    </row>
    <row r="78" spans="1:87">
      <c r="A78" s="277"/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77"/>
      <c r="AB78" s="277"/>
      <c r="AC78" s="277"/>
      <c r="AD78" s="277"/>
      <c r="AE78" s="277"/>
      <c r="AF78" s="277"/>
      <c r="AG78" s="277"/>
      <c r="AH78" s="277"/>
      <c r="AI78" s="277"/>
      <c r="AJ78" s="277"/>
      <c r="AK78" s="277"/>
      <c r="AL78" s="277"/>
      <c r="AM78" s="277"/>
      <c r="AN78" s="277"/>
      <c r="AO78" s="277"/>
      <c r="AP78" s="277"/>
      <c r="AQ78" s="277"/>
      <c r="AR78" s="277"/>
      <c r="AS78" s="277"/>
      <c r="AT78" s="277"/>
      <c r="AU78" s="277"/>
      <c r="AV78" s="277"/>
      <c r="AW78" s="277"/>
      <c r="AX78" s="277"/>
      <c r="AY78" s="277"/>
      <c r="AZ78" s="277"/>
      <c r="BA78" s="277"/>
      <c r="BB78" s="277"/>
      <c r="BC78" s="277"/>
      <c r="BD78" s="277"/>
      <c r="BE78" s="277"/>
      <c r="BF78" s="277"/>
      <c r="BG78" s="277"/>
      <c r="BH78" s="277"/>
      <c r="BI78" s="277"/>
      <c r="BJ78" s="277"/>
      <c r="BK78" s="277"/>
      <c r="BL78" s="277"/>
      <c r="BM78" s="277"/>
      <c r="BN78" s="277"/>
      <c r="BO78" s="277"/>
      <c r="BP78" s="277"/>
      <c r="BQ78" s="277"/>
      <c r="BR78" s="277"/>
      <c r="BS78" s="281"/>
      <c r="BT78" s="281"/>
      <c r="BU78" s="281"/>
      <c r="BV78" s="281"/>
      <c r="BW78" s="281"/>
      <c r="BX78" s="281"/>
      <c r="BY78" s="281"/>
      <c r="BZ78" s="281"/>
      <c r="CA78" s="281"/>
      <c r="CB78" s="281"/>
      <c r="CC78" s="281"/>
      <c r="CD78" s="281"/>
      <c r="CE78" s="281"/>
      <c r="CF78" s="281"/>
      <c r="CG78" s="281"/>
      <c r="CH78" s="281"/>
      <c r="CI78" s="281"/>
    </row>
    <row r="79" spans="1:87">
      <c r="A79" s="277"/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77"/>
      <c r="AB79" s="277"/>
      <c r="AC79" s="277"/>
      <c r="AD79" s="277"/>
      <c r="AE79" s="277"/>
      <c r="AF79" s="277"/>
      <c r="AG79" s="277"/>
      <c r="AH79" s="277"/>
      <c r="AI79" s="277"/>
      <c r="AJ79" s="277"/>
      <c r="AK79" s="277"/>
      <c r="AL79" s="277"/>
      <c r="AM79" s="277"/>
      <c r="AN79" s="277"/>
      <c r="AO79" s="277"/>
      <c r="AP79" s="277"/>
      <c r="AQ79" s="277"/>
      <c r="AR79" s="277"/>
      <c r="AS79" s="277"/>
      <c r="AT79" s="277"/>
      <c r="AU79" s="277"/>
      <c r="AV79" s="277"/>
      <c r="AW79" s="277"/>
      <c r="AX79" s="277"/>
      <c r="AY79" s="277"/>
      <c r="AZ79" s="277"/>
      <c r="BA79" s="277"/>
      <c r="BB79" s="277"/>
      <c r="BC79" s="277"/>
      <c r="BD79" s="277"/>
      <c r="BE79" s="277"/>
      <c r="BF79" s="277"/>
      <c r="BG79" s="277"/>
      <c r="BH79" s="277"/>
      <c r="BI79" s="277"/>
      <c r="BJ79" s="277"/>
      <c r="BK79" s="277"/>
      <c r="BL79" s="277"/>
      <c r="BM79" s="277"/>
      <c r="BN79" s="277"/>
      <c r="BO79" s="277"/>
      <c r="BP79" s="277"/>
      <c r="BQ79" s="277"/>
      <c r="BR79" s="277"/>
      <c r="BS79" s="281"/>
      <c r="BT79" s="281"/>
      <c r="BU79" s="281"/>
      <c r="BV79" s="281"/>
      <c r="BW79" s="281"/>
      <c r="BX79" s="281"/>
      <c r="BY79" s="281"/>
      <c r="BZ79" s="281"/>
      <c r="CA79" s="281"/>
      <c r="CB79" s="281"/>
      <c r="CC79" s="281"/>
      <c r="CD79" s="281"/>
      <c r="CE79" s="281"/>
      <c r="CF79" s="281"/>
      <c r="CG79" s="281"/>
      <c r="CH79" s="281"/>
      <c r="CI79" s="281"/>
    </row>
    <row r="80" spans="1:87">
      <c r="A80" s="277"/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  <c r="AG80" s="277"/>
      <c r="AH80" s="277"/>
      <c r="AI80" s="277"/>
      <c r="AJ80" s="277"/>
      <c r="AK80" s="277"/>
      <c r="AL80" s="277"/>
      <c r="AM80" s="277"/>
      <c r="AN80" s="277"/>
      <c r="AO80" s="277"/>
      <c r="AP80" s="277"/>
      <c r="AQ80" s="277"/>
      <c r="AR80" s="277"/>
      <c r="AS80" s="277"/>
      <c r="AT80" s="277"/>
      <c r="AU80" s="277"/>
      <c r="AV80" s="277"/>
      <c r="AW80" s="277"/>
      <c r="AX80" s="277"/>
      <c r="AY80" s="277"/>
      <c r="AZ80" s="277"/>
      <c r="BA80" s="277"/>
      <c r="BB80" s="277"/>
      <c r="BC80" s="277"/>
      <c r="BD80" s="277"/>
      <c r="BE80" s="277"/>
      <c r="BF80" s="277"/>
      <c r="BG80" s="277"/>
      <c r="BH80" s="277"/>
      <c r="BI80" s="277"/>
      <c r="BJ80" s="277"/>
      <c r="BK80" s="277"/>
      <c r="BL80" s="277"/>
      <c r="BM80" s="277"/>
      <c r="BN80" s="277"/>
      <c r="BO80" s="277"/>
      <c r="BP80" s="277"/>
      <c r="BQ80" s="277"/>
      <c r="BR80" s="277"/>
      <c r="BS80" s="281"/>
      <c r="BT80" s="281"/>
      <c r="BU80" s="281"/>
      <c r="BV80" s="281"/>
      <c r="BW80" s="281"/>
      <c r="BX80" s="281"/>
      <c r="BY80" s="281"/>
      <c r="BZ80" s="281"/>
      <c r="CA80" s="281"/>
      <c r="CB80" s="281"/>
      <c r="CC80" s="281"/>
      <c r="CD80" s="281"/>
      <c r="CE80" s="281"/>
      <c r="CF80" s="281"/>
      <c r="CG80" s="281"/>
      <c r="CH80" s="281"/>
      <c r="CI80" s="281"/>
    </row>
    <row r="81" spans="1:87">
      <c r="A81" s="277"/>
      <c r="B81" s="277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  <c r="AF81" s="277"/>
      <c r="AG81" s="277"/>
      <c r="AH81" s="277"/>
      <c r="AI81" s="277"/>
      <c r="AJ81" s="277"/>
      <c r="AK81" s="277"/>
      <c r="AL81" s="277"/>
      <c r="AM81" s="277"/>
      <c r="AN81" s="277"/>
      <c r="AO81" s="277"/>
      <c r="AP81" s="277"/>
      <c r="AQ81" s="277"/>
      <c r="AR81" s="277"/>
      <c r="AS81" s="277"/>
      <c r="AT81" s="277"/>
      <c r="AU81" s="277"/>
      <c r="AV81" s="277"/>
      <c r="AW81" s="277"/>
      <c r="AX81" s="277"/>
      <c r="AY81" s="277"/>
      <c r="AZ81" s="277"/>
      <c r="BA81" s="277"/>
      <c r="BB81" s="277"/>
      <c r="BC81" s="277"/>
      <c r="BD81" s="277"/>
      <c r="BE81" s="277"/>
      <c r="BF81" s="277"/>
      <c r="BG81" s="277"/>
      <c r="BH81" s="277"/>
      <c r="BI81" s="277"/>
      <c r="BJ81" s="277"/>
      <c r="BK81" s="277"/>
      <c r="BL81" s="277"/>
      <c r="BM81" s="277"/>
      <c r="BN81" s="277"/>
      <c r="BO81" s="277"/>
      <c r="BP81" s="277"/>
      <c r="BQ81" s="277"/>
      <c r="BR81" s="277"/>
      <c r="BS81" s="281"/>
      <c r="BT81" s="281"/>
      <c r="BU81" s="281"/>
      <c r="BV81" s="281"/>
      <c r="BW81" s="281"/>
      <c r="BX81" s="281"/>
      <c r="BY81" s="281"/>
      <c r="BZ81" s="281"/>
      <c r="CA81" s="281"/>
      <c r="CB81" s="281"/>
      <c r="CC81" s="281"/>
      <c r="CD81" s="281"/>
      <c r="CE81" s="281"/>
      <c r="CF81" s="281"/>
      <c r="CG81" s="281"/>
      <c r="CH81" s="281"/>
      <c r="CI81" s="281"/>
    </row>
    <row r="82" spans="1:87">
      <c r="A82" s="277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  <c r="AC82" s="277"/>
      <c r="AD82" s="277"/>
      <c r="AE82" s="277"/>
      <c r="AF82" s="277"/>
      <c r="AG82" s="277"/>
      <c r="AH82" s="277"/>
      <c r="AI82" s="277"/>
      <c r="AJ82" s="277"/>
      <c r="AK82" s="277"/>
      <c r="AL82" s="277"/>
      <c r="AM82" s="277"/>
      <c r="AN82" s="277"/>
      <c r="AO82" s="277"/>
      <c r="AP82" s="277"/>
      <c r="AQ82" s="277"/>
      <c r="AR82" s="277"/>
      <c r="AS82" s="277"/>
      <c r="AT82" s="277"/>
      <c r="AU82" s="277"/>
      <c r="AV82" s="277"/>
      <c r="AW82" s="277"/>
      <c r="AX82" s="277"/>
      <c r="AY82" s="277"/>
      <c r="AZ82" s="277"/>
      <c r="BA82" s="277"/>
      <c r="BB82" s="277"/>
      <c r="BC82" s="277"/>
      <c r="BD82" s="277"/>
      <c r="BE82" s="277"/>
      <c r="BF82" s="277"/>
      <c r="BG82" s="277"/>
      <c r="BH82" s="277"/>
      <c r="BI82" s="277"/>
      <c r="BJ82" s="277"/>
      <c r="BK82" s="277"/>
      <c r="BL82" s="277"/>
      <c r="BM82" s="277"/>
      <c r="BN82" s="277"/>
      <c r="BO82" s="277"/>
      <c r="BP82" s="277"/>
      <c r="BQ82" s="277"/>
      <c r="BR82" s="277"/>
      <c r="BS82" s="281"/>
      <c r="BT82" s="281"/>
      <c r="BU82" s="281"/>
      <c r="BV82" s="281"/>
      <c r="BW82" s="281"/>
      <c r="BX82" s="281"/>
      <c r="BY82" s="281"/>
      <c r="BZ82" s="281"/>
      <c r="CA82" s="281"/>
      <c r="CB82" s="281"/>
      <c r="CC82" s="281"/>
      <c r="CD82" s="281"/>
      <c r="CE82" s="281"/>
      <c r="CF82" s="281"/>
      <c r="CG82" s="281"/>
      <c r="CH82" s="281"/>
      <c r="CI82" s="281"/>
    </row>
    <row r="83" spans="1:87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W83" s="277"/>
      <c r="X83" s="277"/>
      <c r="Y83" s="277"/>
      <c r="Z83" s="277"/>
      <c r="AA83" s="277"/>
      <c r="AB83" s="277"/>
      <c r="AC83" s="277"/>
      <c r="AD83" s="277"/>
      <c r="AE83" s="277"/>
      <c r="AF83" s="277"/>
      <c r="AG83" s="277"/>
      <c r="AH83" s="277"/>
      <c r="AI83" s="277"/>
      <c r="AJ83" s="277"/>
      <c r="AK83" s="277"/>
      <c r="AL83" s="277"/>
      <c r="AM83" s="277"/>
      <c r="AN83" s="277"/>
      <c r="AO83" s="277"/>
      <c r="AP83" s="277"/>
      <c r="AQ83" s="277"/>
      <c r="AR83" s="277"/>
      <c r="AS83" s="277"/>
      <c r="AT83" s="277"/>
      <c r="AU83" s="277"/>
      <c r="AV83" s="277"/>
      <c r="AW83" s="277"/>
      <c r="AX83" s="277"/>
      <c r="AY83" s="277"/>
      <c r="AZ83" s="277"/>
      <c r="BA83" s="277"/>
      <c r="BB83" s="277"/>
      <c r="BC83" s="277"/>
      <c r="BD83" s="277"/>
      <c r="BE83" s="277"/>
      <c r="BF83" s="277"/>
      <c r="BG83" s="277"/>
      <c r="BH83" s="277"/>
      <c r="BI83" s="277"/>
      <c r="BJ83" s="277"/>
      <c r="BK83" s="277"/>
      <c r="BL83" s="277"/>
      <c r="BM83" s="277"/>
      <c r="BN83" s="277"/>
      <c r="BO83" s="277"/>
      <c r="BP83" s="277"/>
      <c r="BQ83" s="277"/>
      <c r="BR83" s="277"/>
      <c r="BS83" s="281"/>
      <c r="BT83" s="281"/>
      <c r="BU83" s="281"/>
      <c r="BV83" s="281"/>
      <c r="BW83" s="281"/>
      <c r="BX83" s="281"/>
      <c r="BY83" s="281"/>
      <c r="BZ83" s="281"/>
      <c r="CA83" s="281"/>
      <c r="CB83" s="281"/>
      <c r="CC83" s="281"/>
      <c r="CD83" s="281"/>
      <c r="CE83" s="281"/>
      <c r="CF83" s="281"/>
      <c r="CG83" s="281"/>
      <c r="CH83" s="281"/>
      <c r="CI83" s="281"/>
    </row>
    <row r="84" spans="1:87">
      <c r="A84" s="277"/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77"/>
      <c r="AB84" s="277"/>
      <c r="AC84" s="277"/>
      <c r="AD84" s="277"/>
      <c r="AE84" s="277"/>
      <c r="AF84" s="277"/>
      <c r="AG84" s="277"/>
      <c r="AH84" s="277"/>
      <c r="AI84" s="277"/>
      <c r="AJ84" s="277"/>
      <c r="AK84" s="277"/>
      <c r="AL84" s="277"/>
      <c r="AM84" s="277"/>
      <c r="AN84" s="277"/>
      <c r="AO84" s="277"/>
      <c r="AP84" s="277"/>
      <c r="AQ84" s="277"/>
      <c r="AR84" s="277"/>
      <c r="AS84" s="277"/>
      <c r="AT84" s="277"/>
      <c r="AU84" s="277"/>
      <c r="AV84" s="277"/>
      <c r="AW84" s="277"/>
      <c r="AX84" s="277"/>
      <c r="AY84" s="277"/>
      <c r="AZ84" s="277"/>
      <c r="BA84" s="277"/>
      <c r="BB84" s="277"/>
      <c r="BC84" s="277"/>
      <c r="BD84" s="277"/>
      <c r="BE84" s="277"/>
      <c r="BF84" s="277"/>
      <c r="BG84" s="277"/>
      <c r="BH84" s="277"/>
      <c r="BI84" s="277"/>
      <c r="BJ84" s="277"/>
      <c r="BK84" s="277"/>
      <c r="BL84" s="277"/>
      <c r="BM84" s="277"/>
      <c r="BN84" s="277"/>
      <c r="BO84" s="277"/>
      <c r="BP84" s="277"/>
      <c r="BQ84" s="277"/>
      <c r="BR84" s="277"/>
      <c r="BS84" s="281"/>
      <c r="BT84" s="281"/>
      <c r="BU84" s="281"/>
      <c r="BV84" s="281"/>
      <c r="BW84" s="281"/>
      <c r="BX84" s="281"/>
      <c r="BY84" s="281"/>
      <c r="BZ84" s="281"/>
      <c r="CA84" s="281"/>
      <c r="CB84" s="281"/>
      <c r="CC84" s="281"/>
      <c r="CD84" s="281"/>
      <c r="CE84" s="281"/>
      <c r="CF84" s="281"/>
      <c r="CG84" s="281"/>
      <c r="CH84" s="281"/>
      <c r="CI84" s="281"/>
    </row>
    <row r="85" spans="1:87">
      <c r="A85" s="277"/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77"/>
      <c r="AB85" s="277"/>
      <c r="AC85" s="277"/>
      <c r="AD85" s="277"/>
      <c r="AE85" s="277"/>
      <c r="AF85" s="277"/>
      <c r="AG85" s="277"/>
      <c r="AH85" s="277"/>
      <c r="AI85" s="277"/>
      <c r="AJ85" s="277"/>
      <c r="AK85" s="277"/>
      <c r="AL85" s="277"/>
      <c r="AM85" s="277"/>
      <c r="AN85" s="277"/>
      <c r="AO85" s="277"/>
      <c r="AP85" s="277"/>
      <c r="AQ85" s="277"/>
      <c r="AR85" s="277"/>
      <c r="AS85" s="277"/>
      <c r="AT85" s="277"/>
      <c r="AU85" s="277"/>
      <c r="AV85" s="277"/>
      <c r="AW85" s="277"/>
      <c r="AX85" s="277"/>
      <c r="AY85" s="277"/>
      <c r="AZ85" s="277"/>
      <c r="BA85" s="277"/>
      <c r="BB85" s="277"/>
      <c r="BC85" s="277"/>
      <c r="BD85" s="277"/>
      <c r="BE85" s="277"/>
      <c r="BF85" s="277"/>
      <c r="BG85" s="277"/>
      <c r="BH85" s="277"/>
      <c r="BI85" s="277"/>
      <c r="BJ85" s="277"/>
      <c r="BK85" s="277"/>
      <c r="BL85" s="277"/>
      <c r="BM85" s="277"/>
      <c r="BN85" s="277"/>
      <c r="BO85" s="277"/>
      <c r="BP85" s="277"/>
      <c r="BQ85" s="277"/>
      <c r="BR85" s="277"/>
      <c r="BS85" s="281"/>
      <c r="BT85" s="281"/>
      <c r="BU85" s="281"/>
      <c r="BV85" s="281"/>
      <c r="BW85" s="281"/>
      <c r="BX85" s="281"/>
      <c r="BY85" s="281"/>
      <c r="BZ85" s="281"/>
      <c r="CA85" s="281"/>
      <c r="CB85" s="281"/>
      <c r="CC85" s="281"/>
      <c r="CD85" s="281"/>
      <c r="CE85" s="281"/>
      <c r="CF85" s="281"/>
      <c r="CG85" s="281"/>
      <c r="CH85" s="281"/>
      <c r="CI85" s="281"/>
    </row>
    <row r="86" spans="1:87">
      <c r="A86" s="277"/>
      <c r="B86" s="277"/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  <c r="AG86" s="277"/>
      <c r="AH86" s="277"/>
      <c r="AI86" s="277"/>
      <c r="AJ86" s="277"/>
      <c r="AK86" s="277"/>
      <c r="AL86" s="277"/>
      <c r="AM86" s="277"/>
      <c r="AN86" s="277"/>
      <c r="AO86" s="277"/>
      <c r="AP86" s="277"/>
      <c r="AQ86" s="277"/>
      <c r="AR86" s="277"/>
      <c r="AS86" s="277"/>
      <c r="AT86" s="277"/>
      <c r="AU86" s="277"/>
      <c r="AV86" s="277"/>
      <c r="AW86" s="277"/>
      <c r="AX86" s="277"/>
      <c r="AY86" s="277"/>
      <c r="AZ86" s="277"/>
      <c r="BA86" s="277"/>
      <c r="BB86" s="277"/>
      <c r="BC86" s="277"/>
      <c r="BD86" s="277"/>
      <c r="BE86" s="277"/>
      <c r="BF86" s="277"/>
      <c r="BG86" s="277"/>
      <c r="BH86" s="277"/>
      <c r="BI86" s="277"/>
      <c r="BJ86" s="277"/>
      <c r="BK86" s="277"/>
      <c r="BL86" s="277"/>
      <c r="BM86" s="277"/>
      <c r="BN86" s="277"/>
      <c r="BO86" s="277"/>
      <c r="BP86" s="277"/>
      <c r="BQ86" s="277"/>
      <c r="BR86" s="277"/>
      <c r="BS86" s="281"/>
      <c r="BT86" s="281"/>
      <c r="BU86" s="281"/>
      <c r="BV86" s="281"/>
      <c r="BW86" s="281"/>
      <c r="BX86" s="281"/>
      <c r="BY86" s="281"/>
      <c r="BZ86" s="281"/>
      <c r="CA86" s="281"/>
      <c r="CB86" s="281"/>
      <c r="CC86" s="281"/>
      <c r="CD86" s="281"/>
      <c r="CE86" s="281"/>
      <c r="CF86" s="281"/>
      <c r="CG86" s="281"/>
      <c r="CH86" s="281"/>
      <c r="CI86" s="281"/>
    </row>
    <row r="87" spans="1:87">
      <c r="A87" s="277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277"/>
      <c r="AA87" s="277"/>
      <c r="AB87" s="277"/>
      <c r="AC87" s="277"/>
      <c r="AD87" s="277"/>
      <c r="AE87" s="277"/>
      <c r="AF87" s="277"/>
      <c r="AG87" s="277"/>
      <c r="AH87" s="277"/>
      <c r="AI87" s="277"/>
      <c r="AJ87" s="277"/>
      <c r="AK87" s="277"/>
      <c r="AL87" s="277"/>
      <c r="AM87" s="277"/>
      <c r="AN87" s="277"/>
      <c r="AO87" s="277"/>
      <c r="AP87" s="277"/>
      <c r="AQ87" s="277"/>
      <c r="AR87" s="277"/>
      <c r="AS87" s="277"/>
      <c r="AT87" s="277"/>
      <c r="AU87" s="277"/>
      <c r="AV87" s="277"/>
      <c r="AW87" s="277"/>
      <c r="AX87" s="277"/>
      <c r="AY87" s="277"/>
      <c r="AZ87" s="277"/>
      <c r="BA87" s="277"/>
      <c r="BB87" s="277"/>
      <c r="BC87" s="277"/>
      <c r="BD87" s="277"/>
      <c r="BE87" s="277"/>
      <c r="BF87" s="277"/>
      <c r="BG87" s="277"/>
      <c r="BH87" s="277"/>
      <c r="BI87" s="277"/>
      <c r="BJ87" s="277"/>
      <c r="BK87" s="277"/>
      <c r="BL87" s="277"/>
      <c r="BM87" s="277"/>
      <c r="BN87" s="277"/>
      <c r="BO87" s="277"/>
      <c r="BP87" s="277"/>
      <c r="BQ87" s="277"/>
      <c r="BR87" s="277"/>
      <c r="BS87" s="281"/>
      <c r="BT87" s="281"/>
      <c r="BU87" s="281"/>
      <c r="BV87" s="281"/>
      <c r="BW87" s="281"/>
      <c r="BX87" s="281"/>
      <c r="BY87" s="281"/>
      <c r="BZ87" s="281"/>
      <c r="CA87" s="281"/>
      <c r="CB87" s="281"/>
      <c r="CC87" s="281"/>
      <c r="CD87" s="281"/>
      <c r="CE87" s="281"/>
      <c r="CF87" s="281"/>
      <c r="CG87" s="281"/>
      <c r="CH87" s="281"/>
      <c r="CI87" s="281"/>
    </row>
    <row r="88" spans="1:87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77"/>
      <c r="P88" s="277"/>
      <c r="Q88" s="277"/>
      <c r="R88" s="277"/>
      <c r="S88" s="277"/>
      <c r="T88" s="277"/>
      <c r="U88" s="277"/>
      <c r="V88" s="277"/>
      <c r="W88" s="277"/>
      <c r="X88" s="277"/>
      <c r="Y88" s="277"/>
      <c r="Z88" s="277"/>
      <c r="AA88" s="277"/>
      <c r="AB88" s="277"/>
      <c r="AC88" s="277"/>
      <c r="AD88" s="277"/>
      <c r="AE88" s="277"/>
      <c r="AF88" s="277"/>
      <c r="AG88" s="277"/>
      <c r="AH88" s="277"/>
      <c r="AI88" s="277"/>
      <c r="AJ88" s="277"/>
      <c r="AK88" s="277"/>
      <c r="AL88" s="277"/>
      <c r="AM88" s="277"/>
      <c r="AN88" s="277"/>
      <c r="AO88" s="277"/>
      <c r="AP88" s="277"/>
      <c r="AQ88" s="277"/>
      <c r="AR88" s="277"/>
      <c r="AS88" s="277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7"/>
      <c r="BH88" s="277"/>
      <c r="BI88" s="277"/>
      <c r="BJ88" s="277"/>
      <c r="BK88" s="277"/>
      <c r="BL88" s="277"/>
      <c r="BM88" s="277"/>
      <c r="BN88" s="277"/>
      <c r="BO88" s="277"/>
      <c r="BP88" s="277"/>
      <c r="BQ88" s="277"/>
      <c r="BR88" s="277"/>
      <c r="BS88" s="281"/>
      <c r="BT88" s="281"/>
      <c r="BU88" s="281"/>
      <c r="BV88" s="281"/>
      <c r="BW88" s="281"/>
      <c r="BX88" s="281"/>
      <c r="BY88" s="281"/>
      <c r="BZ88" s="281"/>
      <c r="CA88" s="281"/>
      <c r="CB88" s="281"/>
      <c r="CC88" s="281"/>
      <c r="CD88" s="281"/>
      <c r="CE88" s="281"/>
      <c r="CF88" s="281"/>
      <c r="CG88" s="281"/>
      <c r="CH88" s="281"/>
      <c r="CI88" s="281"/>
    </row>
    <row r="89" spans="1:87">
      <c r="A89" s="277"/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77"/>
      <c r="AB89" s="277"/>
      <c r="AC89" s="277"/>
      <c r="AD89" s="277"/>
      <c r="AE89" s="277"/>
      <c r="AF89" s="277"/>
      <c r="AG89" s="277"/>
      <c r="AH89" s="277"/>
      <c r="AI89" s="277"/>
      <c r="AJ89" s="277"/>
      <c r="AK89" s="277"/>
      <c r="AL89" s="277"/>
      <c r="AM89" s="277"/>
      <c r="AN89" s="277"/>
      <c r="AO89" s="277"/>
      <c r="AP89" s="277"/>
      <c r="AQ89" s="277"/>
      <c r="AR89" s="277"/>
      <c r="AS89" s="277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7"/>
      <c r="BH89" s="277"/>
      <c r="BI89" s="277"/>
      <c r="BJ89" s="277"/>
      <c r="BK89" s="277"/>
      <c r="BL89" s="277"/>
      <c r="BM89" s="277"/>
      <c r="BN89" s="277"/>
      <c r="BO89" s="277"/>
      <c r="BP89" s="277"/>
      <c r="BQ89" s="277"/>
      <c r="BR89" s="277"/>
      <c r="BS89" s="281"/>
      <c r="BT89" s="281"/>
      <c r="BU89" s="281"/>
      <c r="BV89" s="281"/>
      <c r="BW89" s="281"/>
      <c r="BX89" s="281"/>
      <c r="BY89" s="281"/>
      <c r="BZ89" s="281"/>
      <c r="CA89" s="281"/>
      <c r="CB89" s="281"/>
      <c r="CC89" s="281"/>
      <c r="CD89" s="281"/>
      <c r="CE89" s="281"/>
      <c r="CF89" s="281"/>
      <c r="CG89" s="281"/>
      <c r="CH89" s="281"/>
      <c r="CI89" s="281"/>
    </row>
    <row r="90" spans="1:87">
      <c r="A90" s="277"/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77"/>
      <c r="AB90" s="277"/>
      <c r="AC90" s="277"/>
      <c r="AD90" s="277"/>
      <c r="AE90" s="277"/>
      <c r="AF90" s="277"/>
      <c r="AG90" s="277"/>
      <c r="AH90" s="277"/>
      <c r="AI90" s="277"/>
      <c r="AJ90" s="277"/>
      <c r="AK90" s="277"/>
      <c r="AL90" s="277"/>
      <c r="AM90" s="277"/>
      <c r="AN90" s="277"/>
      <c r="AO90" s="277"/>
      <c r="AP90" s="277"/>
      <c r="AQ90" s="277"/>
      <c r="AR90" s="277"/>
      <c r="AS90" s="277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7"/>
      <c r="BH90" s="277"/>
      <c r="BI90" s="277"/>
      <c r="BJ90" s="277"/>
      <c r="BK90" s="277"/>
      <c r="BL90" s="277"/>
      <c r="BM90" s="277"/>
      <c r="BN90" s="277"/>
      <c r="BO90" s="277"/>
      <c r="BP90" s="277"/>
      <c r="BQ90" s="277"/>
      <c r="BR90" s="277"/>
      <c r="BS90" s="281"/>
      <c r="BT90" s="281"/>
      <c r="BU90" s="281"/>
      <c r="BV90" s="281"/>
      <c r="BW90" s="281"/>
      <c r="BX90" s="281"/>
      <c r="BY90" s="281"/>
      <c r="BZ90" s="281"/>
      <c r="CA90" s="281"/>
      <c r="CB90" s="281"/>
      <c r="CC90" s="281"/>
      <c r="CD90" s="281"/>
      <c r="CE90" s="281"/>
      <c r="CF90" s="281"/>
      <c r="CG90" s="281"/>
      <c r="CH90" s="281"/>
      <c r="CI90" s="281"/>
    </row>
    <row r="91" spans="1:87">
      <c r="A91" s="277"/>
      <c r="B91" s="277"/>
      <c r="C91" s="277"/>
      <c r="D91" s="277"/>
      <c r="E91" s="277"/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  <c r="AA91" s="277"/>
      <c r="AB91" s="277"/>
      <c r="AC91" s="277"/>
      <c r="AD91" s="277"/>
      <c r="AE91" s="277"/>
      <c r="AF91" s="277"/>
      <c r="AG91" s="277"/>
      <c r="AH91" s="277"/>
      <c r="AI91" s="277"/>
      <c r="AJ91" s="277"/>
      <c r="AK91" s="277"/>
      <c r="AL91" s="277"/>
      <c r="AM91" s="277"/>
      <c r="AN91" s="277"/>
      <c r="AO91" s="277"/>
      <c r="AP91" s="277"/>
      <c r="AQ91" s="277"/>
      <c r="AR91" s="277"/>
      <c r="AS91" s="277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7"/>
      <c r="BH91" s="277"/>
      <c r="BI91" s="277"/>
      <c r="BJ91" s="277"/>
      <c r="BK91" s="277"/>
      <c r="BL91" s="277"/>
      <c r="BM91" s="277"/>
      <c r="BN91" s="277"/>
      <c r="BO91" s="277"/>
      <c r="BP91" s="277"/>
      <c r="BQ91" s="277"/>
      <c r="BR91" s="277"/>
      <c r="BS91" s="281"/>
      <c r="BT91" s="281"/>
      <c r="BU91" s="281"/>
      <c r="BV91" s="281"/>
      <c r="BW91" s="281"/>
      <c r="BX91" s="281"/>
      <c r="BY91" s="281"/>
      <c r="BZ91" s="281"/>
      <c r="CA91" s="281"/>
      <c r="CB91" s="281"/>
      <c r="CC91" s="281"/>
      <c r="CD91" s="281"/>
      <c r="CE91" s="281"/>
      <c r="CF91" s="281"/>
      <c r="CG91" s="281"/>
      <c r="CH91" s="281"/>
      <c r="CI91" s="281"/>
    </row>
    <row r="92" spans="1:87">
      <c r="A92" s="277"/>
      <c r="B92" s="277"/>
      <c r="C92" s="277"/>
      <c r="D92" s="277"/>
      <c r="E92" s="277"/>
      <c r="F92" s="277"/>
      <c r="G92" s="277"/>
      <c r="H92" s="277"/>
      <c r="I92" s="277"/>
      <c r="J92" s="277"/>
      <c r="K92" s="277"/>
      <c r="L92" s="277"/>
      <c r="M92" s="277"/>
      <c r="N92" s="277"/>
      <c r="O92" s="277"/>
      <c r="P92" s="277"/>
      <c r="Q92" s="277"/>
      <c r="R92" s="277"/>
      <c r="S92" s="277"/>
      <c r="T92" s="277"/>
      <c r="U92" s="277"/>
      <c r="V92" s="277"/>
      <c r="W92" s="277"/>
      <c r="X92" s="277"/>
      <c r="Y92" s="277"/>
      <c r="Z92" s="277"/>
      <c r="AA92" s="277"/>
      <c r="AB92" s="277"/>
      <c r="AC92" s="277"/>
      <c r="AD92" s="277"/>
      <c r="AE92" s="277"/>
      <c r="AF92" s="277"/>
      <c r="AG92" s="277"/>
      <c r="AH92" s="277"/>
      <c r="AI92" s="277"/>
      <c r="AJ92" s="277"/>
      <c r="AK92" s="277"/>
      <c r="AL92" s="277"/>
      <c r="AM92" s="277"/>
      <c r="AN92" s="277"/>
      <c r="AO92" s="277"/>
      <c r="AP92" s="277"/>
      <c r="AQ92" s="277"/>
      <c r="AR92" s="277"/>
      <c r="AS92" s="277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7"/>
      <c r="BH92" s="277"/>
      <c r="BI92" s="277"/>
      <c r="BJ92" s="277"/>
      <c r="BK92" s="277"/>
      <c r="BL92" s="277"/>
      <c r="BM92" s="277"/>
      <c r="BN92" s="277"/>
      <c r="BO92" s="277"/>
      <c r="BP92" s="277"/>
      <c r="BQ92" s="277"/>
      <c r="BR92" s="277"/>
      <c r="BS92" s="281"/>
      <c r="BT92" s="281"/>
      <c r="BU92" s="281"/>
      <c r="BV92" s="281"/>
      <c r="BW92" s="281"/>
      <c r="BX92" s="281"/>
      <c r="BY92" s="281"/>
      <c r="BZ92" s="281"/>
      <c r="CA92" s="281"/>
      <c r="CB92" s="281"/>
      <c r="CC92" s="281"/>
      <c r="CD92" s="281"/>
      <c r="CE92" s="281"/>
      <c r="CF92" s="281"/>
      <c r="CG92" s="281"/>
      <c r="CH92" s="281"/>
      <c r="CI92" s="281"/>
    </row>
    <row r="93" spans="1:87">
      <c r="A93" s="277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  <c r="Z93" s="277"/>
      <c r="AA93" s="277"/>
      <c r="AB93" s="277"/>
      <c r="AC93" s="277"/>
      <c r="AD93" s="277"/>
      <c r="AE93" s="277"/>
      <c r="AF93" s="277"/>
      <c r="AG93" s="277"/>
      <c r="AH93" s="277"/>
      <c r="AI93" s="277"/>
      <c r="AJ93" s="277"/>
      <c r="AK93" s="277"/>
      <c r="AL93" s="277"/>
      <c r="AM93" s="277"/>
      <c r="AN93" s="277"/>
      <c r="AO93" s="277"/>
      <c r="AP93" s="277"/>
      <c r="AQ93" s="277"/>
      <c r="AR93" s="277"/>
      <c r="AS93" s="277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7"/>
      <c r="BH93" s="277"/>
      <c r="BI93" s="277"/>
      <c r="BJ93" s="277"/>
      <c r="BK93" s="277"/>
      <c r="BL93" s="277"/>
      <c r="BM93" s="277"/>
      <c r="BN93" s="277"/>
      <c r="BO93" s="277"/>
      <c r="BP93" s="277"/>
      <c r="BQ93" s="277"/>
      <c r="BR93" s="277"/>
      <c r="BS93" s="281"/>
      <c r="BT93" s="281"/>
      <c r="BU93" s="281"/>
      <c r="BV93" s="281"/>
      <c r="BW93" s="281"/>
      <c r="BX93" s="281"/>
      <c r="BY93" s="281"/>
      <c r="BZ93" s="281"/>
      <c r="CA93" s="281"/>
      <c r="CB93" s="281"/>
      <c r="CC93" s="281"/>
      <c r="CD93" s="281"/>
      <c r="CE93" s="281"/>
      <c r="CF93" s="281"/>
      <c r="CG93" s="281"/>
      <c r="CH93" s="281"/>
      <c r="CI93" s="281"/>
    </row>
    <row r="94" spans="1:87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  <c r="AA94" s="277"/>
      <c r="AB94" s="277"/>
      <c r="AC94" s="277"/>
      <c r="AD94" s="277"/>
      <c r="AE94" s="277"/>
      <c r="AF94" s="277"/>
      <c r="AG94" s="277"/>
      <c r="AH94" s="277"/>
      <c r="AI94" s="277"/>
      <c r="AJ94" s="277"/>
      <c r="AK94" s="277"/>
      <c r="AL94" s="277"/>
      <c r="AM94" s="277"/>
      <c r="AN94" s="277"/>
      <c r="AO94" s="277"/>
      <c r="AP94" s="277"/>
      <c r="AQ94" s="277"/>
      <c r="AR94" s="277"/>
      <c r="AS94" s="277"/>
      <c r="AT94" s="277"/>
      <c r="AU94" s="277"/>
      <c r="AV94" s="277"/>
      <c r="AW94" s="277"/>
      <c r="AX94" s="277"/>
      <c r="AY94" s="277"/>
      <c r="AZ94" s="277"/>
      <c r="BA94" s="277"/>
      <c r="BB94" s="277"/>
      <c r="BC94" s="277"/>
      <c r="BD94" s="277"/>
      <c r="BE94" s="277"/>
      <c r="BF94" s="277"/>
      <c r="BG94" s="277"/>
      <c r="BH94" s="277"/>
      <c r="BI94" s="277"/>
      <c r="BJ94" s="277"/>
      <c r="BK94" s="277"/>
      <c r="BL94" s="277"/>
      <c r="BM94" s="277"/>
      <c r="BN94" s="277"/>
      <c r="BO94" s="277"/>
      <c r="BP94" s="277"/>
      <c r="BQ94" s="277"/>
      <c r="BR94" s="277"/>
      <c r="BS94" s="281"/>
      <c r="BT94" s="281"/>
      <c r="BU94" s="281"/>
      <c r="BV94" s="281"/>
      <c r="BW94" s="281"/>
      <c r="BX94" s="281"/>
      <c r="BY94" s="281"/>
      <c r="BZ94" s="281"/>
      <c r="CA94" s="281"/>
      <c r="CB94" s="281"/>
      <c r="CC94" s="281"/>
      <c r="CD94" s="281"/>
      <c r="CE94" s="281"/>
      <c r="CF94" s="281"/>
      <c r="CG94" s="281"/>
      <c r="CH94" s="281"/>
      <c r="CI94" s="281"/>
    </row>
    <row r="95" spans="1:87">
      <c r="A95" s="277"/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77"/>
      <c r="AB95" s="277"/>
      <c r="AC95" s="277"/>
      <c r="AD95" s="277"/>
      <c r="AE95" s="277"/>
      <c r="AF95" s="277"/>
      <c r="AG95" s="277"/>
      <c r="AH95" s="277"/>
      <c r="AI95" s="277"/>
      <c r="AJ95" s="277"/>
      <c r="AK95" s="277"/>
      <c r="AL95" s="277"/>
      <c r="AM95" s="277"/>
      <c r="AN95" s="277"/>
      <c r="AO95" s="277"/>
      <c r="AP95" s="277"/>
      <c r="AQ95" s="277"/>
      <c r="AR95" s="277"/>
      <c r="AS95" s="277"/>
      <c r="AT95" s="277"/>
      <c r="AU95" s="277"/>
      <c r="AV95" s="277"/>
      <c r="AW95" s="277"/>
      <c r="AX95" s="277"/>
      <c r="AY95" s="277"/>
      <c r="AZ95" s="277"/>
      <c r="BA95" s="277"/>
      <c r="BB95" s="277"/>
      <c r="BC95" s="277"/>
      <c r="BD95" s="277"/>
      <c r="BE95" s="277"/>
      <c r="BF95" s="277"/>
      <c r="BG95" s="277"/>
      <c r="BH95" s="277"/>
      <c r="BI95" s="277"/>
      <c r="BJ95" s="277"/>
      <c r="BK95" s="277"/>
      <c r="BL95" s="277"/>
      <c r="BM95" s="277"/>
      <c r="BN95" s="277"/>
      <c r="BO95" s="277"/>
      <c r="BP95" s="277"/>
      <c r="BQ95" s="277"/>
      <c r="BR95" s="277"/>
      <c r="BS95" s="281"/>
      <c r="BT95" s="281"/>
      <c r="BU95" s="281"/>
      <c r="BV95" s="281"/>
      <c r="BW95" s="281"/>
      <c r="BX95" s="281"/>
      <c r="BY95" s="281"/>
      <c r="BZ95" s="281"/>
      <c r="CA95" s="281"/>
      <c r="CB95" s="281"/>
      <c r="CC95" s="281"/>
      <c r="CD95" s="281"/>
      <c r="CE95" s="281"/>
      <c r="CF95" s="281"/>
      <c r="CG95" s="281"/>
      <c r="CH95" s="281"/>
      <c r="CI95" s="281"/>
    </row>
    <row r="96" spans="1:87">
      <c r="A96" s="277"/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77"/>
      <c r="AB96" s="277"/>
      <c r="AC96" s="277"/>
      <c r="AD96" s="277"/>
      <c r="AE96" s="277"/>
      <c r="AF96" s="277"/>
      <c r="AG96" s="277"/>
      <c r="AH96" s="277"/>
      <c r="AI96" s="277"/>
      <c r="AJ96" s="277"/>
      <c r="AK96" s="277"/>
      <c r="AL96" s="277"/>
      <c r="AM96" s="277"/>
      <c r="AN96" s="277"/>
      <c r="AO96" s="277"/>
      <c r="AP96" s="277"/>
      <c r="AQ96" s="277"/>
      <c r="AR96" s="277"/>
      <c r="AS96" s="277"/>
      <c r="AT96" s="277"/>
      <c r="AU96" s="277"/>
      <c r="AV96" s="277"/>
      <c r="AW96" s="277"/>
      <c r="AX96" s="277"/>
      <c r="AY96" s="277"/>
      <c r="AZ96" s="277"/>
      <c r="BA96" s="277"/>
      <c r="BB96" s="277"/>
      <c r="BC96" s="277"/>
      <c r="BD96" s="277"/>
      <c r="BE96" s="277"/>
      <c r="BF96" s="277"/>
      <c r="BG96" s="277"/>
      <c r="BH96" s="277"/>
      <c r="BI96" s="277"/>
      <c r="BJ96" s="277"/>
      <c r="BK96" s="277"/>
      <c r="BL96" s="277"/>
      <c r="BM96" s="277"/>
      <c r="BN96" s="277"/>
      <c r="BO96" s="277"/>
      <c r="BP96" s="277"/>
      <c r="BQ96" s="277"/>
      <c r="BR96" s="277"/>
      <c r="BS96" s="281"/>
      <c r="BT96" s="281"/>
      <c r="BU96" s="281"/>
      <c r="BV96" s="281"/>
      <c r="BW96" s="281"/>
      <c r="BX96" s="281"/>
      <c r="BY96" s="281"/>
      <c r="BZ96" s="281"/>
      <c r="CA96" s="281"/>
      <c r="CB96" s="281"/>
      <c r="CC96" s="281"/>
      <c r="CD96" s="281"/>
      <c r="CE96" s="281"/>
      <c r="CF96" s="281"/>
      <c r="CG96" s="281"/>
      <c r="CH96" s="281"/>
      <c r="CI96" s="281"/>
    </row>
    <row r="97" spans="1:87">
      <c r="A97" s="277"/>
      <c r="B97" s="277"/>
      <c r="C97" s="277"/>
      <c r="D97" s="277"/>
      <c r="E97" s="277"/>
      <c r="F97" s="277"/>
      <c r="G97" s="277"/>
      <c r="H97" s="277"/>
      <c r="I97" s="277"/>
      <c r="J97" s="277"/>
      <c r="K97" s="277"/>
      <c r="L97" s="277"/>
      <c r="M97" s="277"/>
      <c r="N97" s="277"/>
      <c r="O97" s="277"/>
      <c r="P97" s="277"/>
      <c r="Q97" s="277"/>
      <c r="R97" s="277"/>
      <c r="S97" s="277"/>
      <c r="T97" s="277"/>
      <c r="U97" s="277"/>
      <c r="V97" s="277"/>
      <c r="W97" s="277"/>
      <c r="X97" s="277"/>
      <c r="Y97" s="277"/>
      <c r="Z97" s="277"/>
      <c r="AA97" s="277"/>
      <c r="AB97" s="277"/>
      <c r="AC97" s="277"/>
      <c r="AD97" s="277"/>
      <c r="AE97" s="277"/>
      <c r="AF97" s="277"/>
      <c r="AG97" s="277"/>
      <c r="AH97" s="277"/>
      <c r="AI97" s="277"/>
      <c r="AJ97" s="277"/>
      <c r="AK97" s="277"/>
      <c r="AL97" s="277"/>
      <c r="AM97" s="277"/>
      <c r="AN97" s="277"/>
      <c r="AO97" s="277"/>
      <c r="AP97" s="277"/>
      <c r="AQ97" s="277"/>
      <c r="AR97" s="277"/>
      <c r="AS97" s="277"/>
      <c r="AT97" s="277"/>
      <c r="AU97" s="277"/>
      <c r="AV97" s="277"/>
      <c r="AW97" s="277"/>
      <c r="AX97" s="277"/>
      <c r="AY97" s="277"/>
      <c r="AZ97" s="277"/>
      <c r="BA97" s="277"/>
      <c r="BB97" s="277"/>
      <c r="BC97" s="277"/>
      <c r="BD97" s="277"/>
      <c r="BE97" s="277"/>
      <c r="BF97" s="277"/>
      <c r="BG97" s="277"/>
      <c r="BH97" s="277"/>
      <c r="BI97" s="277"/>
      <c r="BJ97" s="277"/>
      <c r="BK97" s="277"/>
      <c r="BL97" s="277"/>
      <c r="BM97" s="277"/>
      <c r="BN97" s="277"/>
      <c r="BO97" s="277"/>
      <c r="BP97" s="277"/>
      <c r="BQ97" s="277"/>
      <c r="BR97" s="277"/>
      <c r="BS97" s="281"/>
      <c r="BT97" s="281"/>
      <c r="BU97" s="281"/>
      <c r="BV97" s="281"/>
      <c r="BW97" s="281"/>
      <c r="BX97" s="281"/>
      <c r="BY97" s="281"/>
      <c r="BZ97" s="281"/>
      <c r="CA97" s="281"/>
      <c r="CB97" s="281"/>
      <c r="CC97" s="281"/>
      <c r="CD97" s="281"/>
      <c r="CE97" s="281"/>
      <c r="CF97" s="281"/>
      <c r="CG97" s="281"/>
      <c r="CH97" s="281"/>
      <c r="CI97" s="281"/>
    </row>
    <row r="98" spans="1:87">
      <c r="A98" s="277"/>
      <c r="B98" s="277"/>
      <c r="C98" s="277"/>
      <c r="D98" s="277"/>
      <c r="E98" s="277"/>
      <c r="F98" s="277"/>
      <c r="G98" s="277"/>
      <c r="H98" s="277"/>
      <c r="I98" s="277"/>
      <c r="J98" s="277"/>
      <c r="K98" s="277"/>
      <c r="L98" s="277"/>
      <c r="M98" s="27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  <c r="AF98" s="277"/>
      <c r="AG98" s="277"/>
      <c r="AH98" s="277"/>
      <c r="AI98" s="277"/>
      <c r="AJ98" s="277"/>
      <c r="AK98" s="277"/>
      <c r="AL98" s="277"/>
      <c r="AM98" s="277"/>
      <c r="AN98" s="277"/>
      <c r="AO98" s="277"/>
      <c r="AP98" s="277"/>
      <c r="AQ98" s="277"/>
      <c r="AR98" s="277"/>
      <c r="AS98" s="277"/>
      <c r="AT98" s="277"/>
      <c r="AU98" s="277"/>
      <c r="AV98" s="277"/>
      <c r="AW98" s="277"/>
      <c r="AX98" s="277"/>
      <c r="AY98" s="277"/>
      <c r="AZ98" s="277"/>
      <c r="BA98" s="277"/>
      <c r="BB98" s="277"/>
      <c r="BC98" s="277"/>
      <c r="BD98" s="277"/>
      <c r="BE98" s="277"/>
      <c r="BF98" s="277"/>
      <c r="BG98" s="277"/>
      <c r="BH98" s="277"/>
      <c r="BI98" s="277"/>
      <c r="BJ98" s="277"/>
      <c r="BK98" s="277"/>
      <c r="BL98" s="277"/>
      <c r="BM98" s="277"/>
      <c r="BN98" s="277"/>
      <c r="BO98" s="277"/>
      <c r="BP98" s="277"/>
      <c r="BQ98" s="277"/>
      <c r="BR98" s="277"/>
      <c r="BS98" s="281"/>
      <c r="BT98" s="281"/>
      <c r="BU98" s="281"/>
      <c r="BV98" s="281"/>
      <c r="BW98" s="281"/>
      <c r="BX98" s="281"/>
      <c r="BY98" s="281"/>
      <c r="BZ98" s="281"/>
      <c r="CA98" s="281"/>
      <c r="CB98" s="281"/>
      <c r="CC98" s="281"/>
      <c r="CD98" s="281"/>
      <c r="CE98" s="281"/>
      <c r="CF98" s="281"/>
      <c r="CG98" s="281"/>
      <c r="CH98" s="281"/>
      <c r="CI98" s="281"/>
    </row>
    <row r="99" spans="1:87">
      <c r="A99" s="277"/>
      <c r="B99" s="277"/>
      <c r="C99" s="277"/>
      <c r="D99" s="277"/>
      <c r="E99" s="277"/>
      <c r="F99" s="277"/>
      <c r="G99" s="277"/>
      <c r="H99" s="277"/>
      <c r="I99" s="277"/>
      <c r="J99" s="277"/>
      <c r="K99" s="277"/>
      <c r="L99" s="277"/>
      <c r="M99" s="277"/>
      <c r="N99" s="277"/>
      <c r="O99" s="277"/>
      <c r="P99" s="277"/>
      <c r="Q99" s="277"/>
      <c r="R99" s="277"/>
      <c r="S99" s="277"/>
      <c r="T99" s="277"/>
      <c r="U99" s="277"/>
      <c r="V99" s="277"/>
      <c r="W99" s="277"/>
      <c r="X99" s="277"/>
      <c r="Y99" s="277"/>
      <c r="Z99" s="277"/>
      <c r="AA99" s="277"/>
      <c r="AB99" s="277"/>
      <c r="AC99" s="277"/>
      <c r="AD99" s="277"/>
      <c r="AE99" s="277"/>
      <c r="AF99" s="277"/>
      <c r="AG99" s="277"/>
      <c r="AH99" s="277"/>
      <c r="AI99" s="277"/>
      <c r="AJ99" s="277"/>
      <c r="AK99" s="277"/>
      <c r="AL99" s="277"/>
      <c r="AM99" s="277"/>
      <c r="AN99" s="277"/>
      <c r="AO99" s="277"/>
      <c r="AP99" s="277"/>
      <c r="AQ99" s="277"/>
      <c r="AR99" s="277"/>
      <c r="AS99" s="277"/>
      <c r="AT99" s="277"/>
      <c r="AU99" s="277"/>
      <c r="AV99" s="277"/>
      <c r="AW99" s="277"/>
      <c r="AX99" s="277"/>
      <c r="AY99" s="277"/>
      <c r="AZ99" s="277"/>
      <c r="BA99" s="277"/>
      <c r="BB99" s="277"/>
      <c r="BC99" s="277"/>
      <c r="BD99" s="277"/>
      <c r="BE99" s="277"/>
      <c r="BF99" s="277"/>
      <c r="BG99" s="277"/>
      <c r="BH99" s="277"/>
      <c r="BI99" s="277"/>
      <c r="BJ99" s="277"/>
      <c r="BK99" s="277"/>
      <c r="BL99" s="277"/>
      <c r="BM99" s="277"/>
      <c r="BN99" s="277"/>
      <c r="BO99" s="277"/>
      <c r="BP99" s="277"/>
      <c r="BQ99" s="277"/>
      <c r="BR99" s="277"/>
      <c r="BS99" s="281"/>
      <c r="BT99" s="281"/>
      <c r="BU99" s="281"/>
      <c r="BV99" s="281"/>
      <c r="BW99" s="281"/>
      <c r="BX99" s="281"/>
      <c r="BY99" s="281"/>
      <c r="BZ99" s="281"/>
      <c r="CA99" s="281"/>
      <c r="CB99" s="281"/>
      <c r="CC99" s="281"/>
      <c r="CD99" s="281"/>
      <c r="CE99" s="281"/>
      <c r="CF99" s="281"/>
      <c r="CG99" s="281"/>
      <c r="CH99" s="281"/>
      <c r="CI99" s="281"/>
    </row>
    <row r="100" spans="1:87">
      <c r="A100" s="277"/>
      <c r="B100" s="277"/>
      <c r="C100" s="277"/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  <c r="AF100" s="277"/>
      <c r="AG100" s="277"/>
      <c r="AH100" s="277"/>
      <c r="AI100" s="277"/>
      <c r="AJ100" s="277"/>
      <c r="AK100" s="277"/>
      <c r="AL100" s="277"/>
      <c r="AM100" s="277"/>
      <c r="AN100" s="277"/>
      <c r="AO100" s="277"/>
      <c r="AP100" s="277"/>
      <c r="AQ100" s="277"/>
      <c r="AR100" s="277"/>
      <c r="AS100" s="277"/>
      <c r="AT100" s="277"/>
      <c r="AU100" s="277"/>
      <c r="AV100" s="277"/>
      <c r="AW100" s="277"/>
      <c r="AX100" s="277"/>
      <c r="AY100" s="277"/>
      <c r="AZ100" s="277"/>
      <c r="BA100" s="277"/>
      <c r="BB100" s="277"/>
      <c r="BC100" s="277"/>
      <c r="BD100" s="277"/>
      <c r="BE100" s="277"/>
      <c r="BF100" s="277"/>
      <c r="BG100" s="277"/>
      <c r="BH100" s="277"/>
      <c r="BI100" s="277"/>
      <c r="BJ100" s="277"/>
      <c r="BK100" s="277"/>
      <c r="BL100" s="277"/>
      <c r="BM100" s="277"/>
      <c r="BN100" s="277"/>
      <c r="BO100" s="277"/>
      <c r="BP100" s="277"/>
      <c r="BQ100" s="277"/>
      <c r="BR100" s="277"/>
      <c r="BS100" s="281"/>
      <c r="BT100" s="281"/>
      <c r="BU100" s="281"/>
      <c r="BV100" s="281"/>
      <c r="BW100" s="281"/>
      <c r="BX100" s="281"/>
      <c r="BY100" s="281"/>
      <c r="BZ100" s="281"/>
      <c r="CA100" s="281"/>
      <c r="CB100" s="281"/>
      <c r="CC100" s="281"/>
      <c r="CD100" s="281"/>
      <c r="CE100" s="281"/>
      <c r="CF100" s="281"/>
      <c r="CG100" s="281"/>
      <c r="CH100" s="281"/>
      <c r="CI100" s="281"/>
    </row>
    <row r="101" spans="1:87">
      <c r="A101" s="277"/>
      <c r="B101" s="277"/>
      <c r="C101" s="277"/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  <c r="AA101" s="277"/>
      <c r="AB101" s="277"/>
      <c r="AC101" s="277"/>
      <c r="AD101" s="277"/>
      <c r="AE101" s="277"/>
      <c r="AF101" s="277"/>
      <c r="AG101" s="277"/>
      <c r="AH101" s="277"/>
      <c r="AI101" s="277"/>
      <c r="AJ101" s="277"/>
      <c r="AK101" s="277"/>
      <c r="AL101" s="277"/>
      <c r="AM101" s="277"/>
      <c r="AN101" s="277"/>
      <c r="AO101" s="277"/>
      <c r="AP101" s="277"/>
      <c r="AQ101" s="277"/>
      <c r="AR101" s="277"/>
      <c r="AS101" s="277"/>
      <c r="AT101" s="277"/>
      <c r="AU101" s="277"/>
      <c r="AV101" s="277"/>
      <c r="AW101" s="277"/>
      <c r="AX101" s="277"/>
      <c r="AY101" s="277"/>
      <c r="AZ101" s="277"/>
      <c r="BA101" s="277"/>
      <c r="BB101" s="277"/>
      <c r="BC101" s="277"/>
      <c r="BD101" s="277"/>
      <c r="BE101" s="277"/>
      <c r="BF101" s="277"/>
      <c r="BG101" s="277"/>
      <c r="BH101" s="277"/>
      <c r="BI101" s="277"/>
      <c r="BJ101" s="277"/>
      <c r="BK101" s="277"/>
      <c r="BL101" s="277"/>
      <c r="BM101" s="277"/>
      <c r="BN101" s="277"/>
      <c r="BO101" s="277"/>
      <c r="BP101" s="277"/>
      <c r="BQ101" s="277"/>
      <c r="BR101" s="277"/>
      <c r="BS101" s="281"/>
      <c r="BT101" s="281"/>
      <c r="BU101" s="281"/>
      <c r="BV101" s="281"/>
      <c r="BW101" s="281"/>
      <c r="BX101" s="281"/>
      <c r="BY101" s="281"/>
      <c r="BZ101" s="281"/>
      <c r="CA101" s="281"/>
      <c r="CB101" s="281"/>
      <c r="CC101" s="281"/>
      <c r="CD101" s="281"/>
      <c r="CE101" s="281"/>
      <c r="CF101" s="281"/>
      <c r="CG101" s="281"/>
      <c r="CH101" s="281"/>
      <c r="CI101" s="281"/>
    </row>
    <row r="102" spans="1:87">
      <c r="A102" s="277"/>
      <c r="B102" s="277"/>
      <c r="C102" s="277"/>
      <c r="D102" s="277"/>
      <c r="E102" s="277"/>
      <c r="F102" s="277"/>
      <c r="G102" s="277"/>
      <c r="H102" s="277"/>
      <c r="I102" s="277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  <c r="AA102" s="277"/>
      <c r="AB102" s="277"/>
      <c r="AC102" s="277"/>
      <c r="AD102" s="277"/>
      <c r="AE102" s="277"/>
      <c r="AF102" s="277"/>
      <c r="AG102" s="277"/>
      <c r="AH102" s="277"/>
      <c r="AI102" s="277"/>
      <c r="AJ102" s="277"/>
      <c r="AK102" s="277"/>
      <c r="AL102" s="277"/>
      <c r="AM102" s="277"/>
      <c r="AN102" s="277"/>
      <c r="AO102" s="277"/>
      <c r="AP102" s="277"/>
      <c r="AQ102" s="277"/>
      <c r="AR102" s="277"/>
      <c r="AS102" s="277"/>
      <c r="AT102" s="277"/>
      <c r="AU102" s="277"/>
      <c r="AV102" s="277"/>
      <c r="AW102" s="277"/>
      <c r="AX102" s="277"/>
      <c r="AY102" s="277"/>
      <c r="AZ102" s="277"/>
      <c r="BA102" s="277"/>
      <c r="BB102" s="277"/>
      <c r="BC102" s="277"/>
      <c r="BD102" s="277"/>
      <c r="BE102" s="277"/>
      <c r="BF102" s="277"/>
      <c r="BG102" s="277"/>
      <c r="BH102" s="277"/>
      <c r="BI102" s="277"/>
      <c r="BJ102" s="277"/>
      <c r="BK102" s="277"/>
      <c r="BL102" s="277"/>
      <c r="BM102" s="277"/>
      <c r="BN102" s="277"/>
      <c r="BO102" s="277"/>
      <c r="BP102" s="277"/>
      <c r="BQ102" s="277"/>
      <c r="BR102" s="277"/>
      <c r="BS102" s="281"/>
      <c r="BT102" s="281"/>
      <c r="BU102" s="281"/>
      <c r="BV102" s="281"/>
      <c r="BW102" s="281"/>
      <c r="BX102" s="281"/>
      <c r="BY102" s="281"/>
      <c r="BZ102" s="281"/>
      <c r="CA102" s="281"/>
      <c r="CB102" s="281"/>
      <c r="CC102" s="281"/>
      <c r="CD102" s="281"/>
      <c r="CE102" s="281"/>
      <c r="CF102" s="281"/>
      <c r="CG102" s="281"/>
      <c r="CH102" s="281"/>
      <c r="CI102" s="281"/>
    </row>
    <row r="103" spans="1:87">
      <c r="A103" s="277"/>
      <c r="B103" s="277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  <c r="W103" s="277"/>
      <c r="X103" s="277"/>
      <c r="Y103" s="277"/>
      <c r="Z103" s="277"/>
      <c r="AA103" s="277"/>
      <c r="AB103" s="277"/>
      <c r="AC103" s="277"/>
      <c r="AD103" s="277"/>
      <c r="AE103" s="277"/>
      <c r="AF103" s="277"/>
      <c r="AG103" s="277"/>
      <c r="AH103" s="277"/>
      <c r="AI103" s="277"/>
      <c r="AJ103" s="277"/>
      <c r="AK103" s="277"/>
      <c r="AL103" s="277"/>
      <c r="AM103" s="277"/>
      <c r="AN103" s="277"/>
      <c r="AO103" s="277"/>
      <c r="AP103" s="277"/>
      <c r="AQ103" s="277"/>
      <c r="AR103" s="277"/>
      <c r="AS103" s="277"/>
      <c r="AT103" s="277"/>
      <c r="AU103" s="277"/>
      <c r="AV103" s="277"/>
      <c r="AW103" s="277"/>
      <c r="AX103" s="277"/>
      <c r="AY103" s="277"/>
      <c r="AZ103" s="277"/>
      <c r="BA103" s="277"/>
      <c r="BB103" s="277"/>
      <c r="BC103" s="277"/>
      <c r="BD103" s="277"/>
      <c r="BE103" s="277"/>
      <c r="BF103" s="277"/>
      <c r="BG103" s="277"/>
      <c r="BH103" s="277"/>
      <c r="BI103" s="277"/>
      <c r="BJ103" s="277"/>
      <c r="BK103" s="277"/>
      <c r="BL103" s="277"/>
      <c r="BM103" s="277"/>
      <c r="BN103" s="277"/>
      <c r="BO103" s="277"/>
      <c r="BP103" s="277"/>
      <c r="BQ103" s="277"/>
      <c r="BR103" s="277"/>
      <c r="BS103" s="281"/>
      <c r="BT103" s="281"/>
      <c r="BU103" s="281"/>
      <c r="BV103" s="281"/>
      <c r="BW103" s="281"/>
      <c r="BX103" s="281"/>
      <c r="BY103" s="281"/>
      <c r="BZ103" s="281"/>
      <c r="CA103" s="281"/>
      <c r="CB103" s="281"/>
      <c r="CC103" s="281"/>
      <c r="CD103" s="281"/>
      <c r="CE103" s="281"/>
      <c r="CF103" s="281"/>
      <c r="CG103" s="281"/>
      <c r="CH103" s="281"/>
      <c r="CI103" s="281"/>
    </row>
    <row r="104" spans="1:87">
      <c r="A104" s="277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77"/>
      <c r="P104" s="277"/>
      <c r="Q104" s="277"/>
      <c r="R104" s="277"/>
      <c r="S104" s="277"/>
      <c r="T104" s="277"/>
      <c r="U104" s="277"/>
      <c r="V104" s="277"/>
      <c r="W104" s="277"/>
      <c r="X104" s="277"/>
      <c r="Y104" s="277"/>
      <c r="Z104" s="277"/>
      <c r="AA104" s="277"/>
      <c r="AB104" s="277"/>
      <c r="AC104" s="277"/>
      <c r="AD104" s="277"/>
      <c r="AE104" s="277"/>
      <c r="AF104" s="277"/>
      <c r="AG104" s="277"/>
      <c r="AH104" s="277"/>
      <c r="AI104" s="277"/>
      <c r="AJ104" s="277"/>
      <c r="AK104" s="277"/>
      <c r="AL104" s="277"/>
      <c r="AM104" s="277"/>
      <c r="AN104" s="277"/>
      <c r="AO104" s="277"/>
      <c r="AP104" s="277"/>
      <c r="AQ104" s="277"/>
      <c r="AR104" s="277"/>
      <c r="AS104" s="277"/>
      <c r="AT104" s="277"/>
      <c r="AU104" s="277"/>
      <c r="AV104" s="277"/>
      <c r="AW104" s="277"/>
      <c r="AX104" s="277"/>
      <c r="AY104" s="277"/>
      <c r="AZ104" s="277"/>
      <c r="BA104" s="277"/>
      <c r="BB104" s="277"/>
      <c r="BC104" s="277"/>
      <c r="BD104" s="277"/>
      <c r="BE104" s="277"/>
      <c r="BF104" s="277"/>
      <c r="BG104" s="277"/>
      <c r="BH104" s="277"/>
      <c r="BI104" s="277"/>
      <c r="BJ104" s="277"/>
      <c r="BK104" s="277"/>
      <c r="BL104" s="277"/>
      <c r="BM104" s="277"/>
      <c r="BN104" s="277"/>
      <c r="BO104" s="277"/>
      <c r="BP104" s="277"/>
      <c r="BQ104" s="277"/>
      <c r="BR104" s="277"/>
      <c r="BS104" s="281"/>
      <c r="BT104" s="281"/>
      <c r="BU104" s="281"/>
      <c r="BV104" s="281"/>
      <c r="BW104" s="281"/>
      <c r="BX104" s="281"/>
      <c r="BY104" s="281"/>
      <c r="BZ104" s="281"/>
      <c r="CA104" s="281"/>
      <c r="CB104" s="281"/>
      <c r="CC104" s="281"/>
      <c r="CD104" s="281"/>
      <c r="CE104" s="281"/>
      <c r="CF104" s="281"/>
      <c r="CG104" s="281"/>
      <c r="CH104" s="281"/>
      <c r="CI104" s="281"/>
    </row>
    <row r="105" spans="1:87">
      <c r="A105" s="277"/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77"/>
      <c r="AB105" s="277"/>
      <c r="AC105" s="277"/>
      <c r="AD105" s="277"/>
      <c r="AE105" s="277"/>
      <c r="AF105" s="277"/>
      <c r="AG105" s="277"/>
      <c r="AH105" s="277"/>
      <c r="AI105" s="277"/>
      <c r="AJ105" s="277"/>
      <c r="AK105" s="277"/>
      <c r="AL105" s="277"/>
      <c r="AM105" s="277"/>
      <c r="AN105" s="277"/>
      <c r="AO105" s="277"/>
      <c r="AP105" s="277"/>
      <c r="AQ105" s="277"/>
      <c r="AR105" s="277"/>
      <c r="AS105" s="277"/>
      <c r="AT105" s="277"/>
      <c r="AU105" s="277"/>
      <c r="AV105" s="277"/>
      <c r="AW105" s="277"/>
      <c r="AX105" s="277"/>
      <c r="AY105" s="277"/>
      <c r="AZ105" s="277"/>
      <c r="BA105" s="277"/>
      <c r="BB105" s="277"/>
      <c r="BC105" s="277"/>
      <c r="BD105" s="277"/>
      <c r="BE105" s="277"/>
      <c r="BF105" s="277"/>
      <c r="BG105" s="277"/>
      <c r="BH105" s="277"/>
      <c r="BI105" s="277"/>
      <c r="BJ105" s="277"/>
      <c r="BK105" s="277"/>
      <c r="BL105" s="277"/>
      <c r="BM105" s="277"/>
      <c r="BN105" s="277"/>
      <c r="BO105" s="277"/>
      <c r="BP105" s="277"/>
      <c r="BQ105" s="277"/>
      <c r="BR105" s="277"/>
      <c r="BS105" s="281"/>
      <c r="BT105" s="281"/>
      <c r="BU105" s="281"/>
      <c r="BV105" s="281"/>
      <c r="BW105" s="281"/>
      <c r="BX105" s="281"/>
      <c r="BY105" s="281"/>
      <c r="BZ105" s="281"/>
      <c r="CA105" s="281"/>
      <c r="CB105" s="281"/>
      <c r="CC105" s="281"/>
      <c r="CD105" s="281"/>
      <c r="CE105" s="281"/>
      <c r="CF105" s="281"/>
      <c r="CG105" s="281"/>
      <c r="CH105" s="281"/>
      <c r="CI105" s="281"/>
    </row>
    <row r="106" spans="1:87">
      <c r="A106" s="277"/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  <c r="AG106" s="277"/>
      <c r="AH106" s="277"/>
      <c r="AI106" s="277"/>
      <c r="AJ106" s="277"/>
      <c r="AK106" s="277"/>
      <c r="AL106" s="277"/>
      <c r="AM106" s="277"/>
      <c r="AN106" s="277"/>
      <c r="AO106" s="277"/>
      <c r="AP106" s="277"/>
      <c r="AQ106" s="277"/>
      <c r="AR106" s="277"/>
      <c r="AS106" s="277"/>
      <c r="AT106" s="277"/>
      <c r="AU106" s="277"/>
      <c r="AV106" s="277"/>
      <c r="AW106" s="277"/>
      <c r="AX106" s="277"/>
      <c r="AY106" s="277"/>
      <c r="AZ106" s="277"/>
      <c r="BA106" s="277"/>
      <c r="BB106" s="277"/>
      <c r="BC106" s="277"/>
      <c r="BD106" s="277"/>
      <c r="BE106" s="277"/>
      <c r="BF106" s="277"/>
      <c r="BG106" s="277"/>
      <c r="BH106" s="277"/>
      <c r="BI106" s="277"/>
      <c r="BJ106" s="277"/>
      <c r="BK106" s="277"/>
      <c r="BL106" s="277"/>
      <c r="BM106" s="277"/>
      <c r="BN106" s="277"/>
      <c r="BO106" s="277"/>
      <c r="BP106" s="277"/>
      <c r="BQ106" s="277"/>
      <c r="BR106" s="277"/>
      <c r="BS106" s="281"/>
      <c r="BT106" s="281"/>
      <c r="BU106" s="281"/>
      <c r="BV106" s="281"/>
      <c r="BW106" s="281"/>
      <c r="BX106" s="281"/>
      <c r="BY106" s="281"/>
      <c r="BZ106" s="281"/>
      <c r="CA106" s="281"/>
      <c r="CB106" s="281"/>
      <c r="CC106" s="281"/>
      <c r="CD106" s="281"/>
      <c r="CE106" s="281"/>
      <c r="CF106" s="281"/>
      <c r="CG106" s="281"/>
      <c r="CH106" s="281"/>
      <c r="CI106" s="281"/>
    </row>
    <row r="107" spans="1:87">
      <c r="A107" s="277"/>
      <c r="B107" s="277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  <c r="AA107" s="277"/>
      <c r="AB107" s="277"/>
      <c r="AC107" s="277"/>
      <c r="AD107" s="277"/>
      <c r="AE107" s="277"/>
      <c r="AF107" s="277"/>
      <c r="AG107" s="277"/>
      <c r="AH107" s="277"/>
      <c r="AI107" s="277"/>
      <c r="AJ107" s="277"/>
      <c r="AK107" s="277"/>
      <c r="AL107" s="277"/>
      <c r="AM107" s="277"/>
      <c r="AN107" s="277"/>
      <c r="AO107" s="277"/>
      <c r="AP107" s="277"/>
      <c r="AQ107" s="277"/>
      <c r="AR107" s="277"/>
      <c r="AS107" s="277"/>
      <c r="AT107" s="277"/>
      <c r="AU107" s="277"/>
      <c r="AV107" s="277"/>
      <c r="AW107" s="277"/>
      <c r="AX107" s="277"/>
      <c r="AY107" s="277"/>
      <c r="AZ107" s="277"/>
      <c r="BA107" s="277"/>
      <c r="BB107" s="277"/>
      <c r="BC107" s="277"/>
      <c r="BD107" s="277"/>
      <c r="BE107" s="277"/>
      <c r="BF107" s="277"/>
      <c r="BG107" s="277"/>
      <c r="BH107" s="277"/>
      <c r="BI107" s="277"/>
      <c r="BJ107" s="277"/>
      <c r="BK107" s="277"/>
      <c r="BL107" s="277"/>
      <c r="BM107" s="277"/>
      <c r="BN107" s="277"/>
      <c r="BO107" s="277"/>
      <c r="BP107" s="277"/>
      <c r="BQ107" s="277"/>
      <c r="BR107" s="277"/>
      <c r="BS107" s="281"/>
      <c r="BT107" s="281"/>
      <c r="BU107" s="281"/>
      <c r="BV107" s="281"/>
      <c r="BW107" s="281"/>
      <c r="BX107" s="281"/>
      <c r="BY107" s="281"/>
      <c r="BZ107" s="281"/>
      <c r="CA107" s="281"/>
      <c r="CB107" s="281"/>
      <c r="CC107" s="281"/>
      <c r="CD107" s="281"/>
      <c r="CE107" s="281"/>
      <c r="CF107" s="281"/>
      <c r="CG107" s="281"/>
      <c r="CH107" s="281"/>
      <c r="CI107" s="281"/>
    </row>
    <row r="108" spans="1:87">
      <c r="A108" s="277"/>
      <c r="B108" s="277"/>
      <c r="C108" s="277"/>
      <c r="D108" s="277"/>
      <c r="E108" s="277"/>
      <c r="F108" s="277"/>
      <c r="G108" s="277"/>
      <c r="H108" s="277"/>
      <c r="I108" s="277"/>
      <c r="J108" s="277"/>
      <c r="K108" s="277"/>
      <c r="L108" s="277"/>
      <c r="M108" s="277"/>
      <c r="N108" s="277"/>
      <c r="O108" s="277"/>
      <c r="P108" s="277"/>
      <c r="Q108" s="277"/>
      <c r="R108" s="277"/>
      <c r="S108" s="277"/>
      <c r="T108" s="277"/>
      <c r="U108" s="277"/>
      <c r="V108" s="277"/>
      <c r="W108" s="277"/>
      <c r="X108" s="277"/>
      <c r="Y108" s="277"/>
      <c r="Z108" s="277"/>
      <c r="AA108" s="277"/>
      <c r="AB108" s="277"/>
      <c r="AC108" s="277"/>
      <c r="AD108" s="277"/>
      <c r="AE108" s="277"/>
      <c r="AF108" s="277"/>
      <c r="AG108" s="277"/>
      <c r="AH108" s="277"/>
      <c r="AI108" s="277"/>
      <c r="AJ108" s="277"/>
      <c r="AK108" s="277"/>
      <c r="AL108" s="277"/>
      <c r="AM108" s="277"/>
      <c r="AN108" s="277"/>
      <c r="AO108" s="277"/>
      <c r="AP108" s="277"/>
      <c r="AQ108" s="277"/>
      <c r="AR108" s="277"/>
      <c r="AS108" s="277"/>
      <c r="AT108" s="277"/>
      <c r="AU108" s="277"/>
      <c r="AV108" s="277"/>
      <c r="AW108" s="277"/>
      <c r="AX108" s="277"/>
      <c r="AY108" s="277"/>
      <c r="AZ108" s="277"/>
      <c r="BA108" s="277"/>
      <c r="BB108" s="277"/>
      <c r="BC108" s="277"/>
      <c r="BD108" s="277"/>
      <c r="BE108" s="277"/>
      <c r="BF108" s="277"/>
      <c r="BG108" s="277"/>
      <c r="BH108" s="277"/>
      <c r="BI108" s="277"/>
      <c r="BJ108" s="277"/>
      <c r="BK108" s="277"/>
      <c r="BL108" s="277"/>
      <c r="BM108" s="277"/>
      <c r="BN108" s="277"/>
      <c r="BO108" s="277"/>
      <c r="BP108" s="277"/>
      <c r="BQ108" s="277"/>
      <c r="BR108" s="277"/>
      <c r="BS108" s="281"/>
      <c r="BT108" s="281"/>
      <c r="BU108" s="281"/>
      <c r="BV108" s="281"/>
      <c r="BW108" s="281"/>
      <c r="BX108" s="281"/>
      <c r="BY108" s="281"/>
      <c r="BZ108" s="281"/>
      <c r="CA108" s="281"/>
      <c r="CB108" s="281"/>
      <c r="CC108" s="281"/>
      <c r="CD108" s="281"/>
      <c r="CE108" s="281"/>
      <c r="CF108" s="281"/>
      <c r="CG108" s="281"/>
      <c r="CH108" s="281"/>
      <c r="CI108" s="281"/>
    </row>
    <row r="109" spans="1:87">
      <c r="A109" s="277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  <c r="Z109" s="277"/>
      <c r="AA109" s="277"/>
      <c r="AB109" s="277"/>
      <c r="AC109" s="277"/>
      <c r="AD109" s="277"/>
      <c r="AE109" s="277"/>
      <c r="AF109" s="277"/>
      <c r="AG109" s="277"/>
      <c r="AH109" s="277"/>
      <c r="AI109" s="277"/>
      <c r="AJ109" s="277"/>
      <c r="AK109" s="277"/>
      <c r="AL109" s="277"/>
      <c r="AM109" s="277"/>
      <c r="AN109" s="277"/>
      <c r="AO109" s="277"/>
      <c r="AP109" s="277"/>
      <c r="AQ109" s="277"/>
      <c r="AR109" s="277"/>
      <c r="AS109" s="277"/>
      <c r="AT109" s="277"/>
      <c r="AU109" s="277"/>
      <c r="AV109" s="277"/>
      <c r="AW109" s="277"/>
      <c r="AX109" s="277"/>
      <c r="AY109" s="277"/>
      <c r="AZ109" s="277"/>
      <c r="BA109" s="277"/>
      <c r="BB109" s="277"/>
      <c r="BC109" s="277"/>
      <c r="BD109" s="277"/>
      <c r="BE109" s="277"/>
      <c r="BF109" s="277"/>
      <c r="BG109" s="277"/>
      <c r="BH109" s="277"/>
      <c r="BI109" s="277"/>
      <c r="BJ109" s="277"/>
      <c r="BK109" s="277"/>
      <c r="BL109" s="277"/>
      <c r="BM109" s="277"/>
      <c r="BN109" s="277"/>
      <c r="BO109" s="277"/>
      <c r="BP109" s="277"/>
      <c r="BQ109" s="277"/>
      <c r="BR109" s="277"/>
      <c r="BS109" s="281"/>
      <c r="BT109" s="281"/>
      <c r="BU109" s="281"/>
      <c r="BV109" s="281"/>
      <c r="BW109" s="281"/>
      <c r="BX109" s="281"/>
      <c r="BY109" s="281"/>
      <c r="BZ109" s="281"/>
      <c r="CA109" s="281"/>
      <c r="CB109" s="281"/>
      <c r="CC109" s="281"/>
      <c r="CD109" s="281"/>
      <c r="CE109" s="281"/>
      <c r="CF109" s="281"/>
      <c r="CG109" s="281"/>
      <c r="CH109" s="281"/>
      <c r="CI109" s="281"/>
    </row>
    <row r="110" spans="1:87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277"/>
      <c r="AA110" s="277"/>
      <c r="AB110" s="277"/>
      <c r="AC110" s="277"/>
      <c r="AD110" s="277"/>
      <c r="AE110" s="277"/>
      <c r="AF110" s="277"/>
      <c r="AG110" s="277"/>
      <c r="AH110" s="277"/>
      <c r="AI110" s="277"/>
      <c r="AJ110" s="277"/>
      <c r="AK110" s="277"/>
      <c r="AL110" s="277"/>
      <c r="AM110" s="277"/>
      <c r="AN110" s="277"/>
      <c r="AO110" s="277"/>
      <c r="AP110" s="277"/>
      <c r="AQ110" s="277"/>
      <c r="AR110" s="277"/>
      <c r="AS110" s="277"/>
      <c r="AT110" s="277"/>
      <c r="AU110" s="277"/>
      <c r="AV110" s="277"/>
      <c r="AW110" s="277"/>
      <c r="AX110" s="277"/>
      <c r="AY110" s="277"/>
      <c r="AZ110" s="277"/>
      <c r="BA110" s="277"/>
      <c r="BB110" s="277"/>
      <c r="BC110" s="277"/>
      <c r="BD110" s="277"/>
      <c r="BE110" s="277"/>
      <c r="BF110" s="277"/>
      <c r="BG110" s="277"/>
      <c r="BH110" s="277"/>
      <c r="BI110" s="277"/>
      <c r="BJ110" s="277"/>
      <c r="BK110" s="277"/>
      <c r="BL110" s="277"/>
      <c r="BM110" s="277"/>
      <c r="BN110" s="277"/>
      <c r="BO110" s="277"/>
      <c r="BP110" s="277"/>
      <c r="BQ110" s="277"/>
      <c r="BR110" s="277"/>
      <c r="BS110" s="281"/>
      <c r="BT110" s="281"/>
      <c r="BU110" s="281"/>
      <c r="BV110" s="281"/>
      <c r="BW110" s="281"/>
      <c r="BX110" s="281"/>
      <c r="BY110" s="281"/>
      <c r="BZ110" s="281"/>
      <c r="CA110" s="281"/>
      <c r="CB110" s="281"/>
      <c r="CC110" s="281"/>
      <c r="CD110" s="281"/>
      <c r="CE110" s="281"/>
      <c r="CF110" s="281"/>
      <c r="CG110" s="281"/>
      <c r="CH110" s="281"/>
      <c r="CI110" s="281"/>
    </row>
    <row r="111" spans="1:87">
      <c r="A111" s="277"/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77"/>
      <c r="AB111" s="277"/>
      <c r="AC111" s="277"/>
      <c r="AD111" s="277"/>
      <c r="AE111" s="277"/>
      <c r="AF111" s="277"/>
      <c r="AG111" s="277"/>
      <c r="AH111" s="277"/>
      <c r="AI111" s="277"/>
      <c r="AJ111" s="277"/>
      <c r="AK111" s="277"/>
      <c r="AL111" s="277"/>
      <c r="AM111" s="277"/>
      <c r="AN111" s="277"/>
      <c r="AO111" s="277"/>
      <c r="AP111" s="277"/>
      <c r="AQ111" s="277"/>
      <c r="AR111" s="277"/>
      <c r="AS111" s="277"/>
      <c r="AT111" s="277"/>
      <c r="AU111" s="277"/>
      <c r="AV111" s="277"/>
      <c r="AW111" s="277"/>
      <c r="AX111" s="277"/>
      <c r="AY111" s="277"/>
      <c r="AZ111" s="277"/>
      <c r="BA111" s="277"/>
      <c r="BB111" s="277"/>
      <c r="BC111" s="277"/>
      <c r="BD111" s="277"/>
      <c r="BE111" s="277"/>
      <c r="BF111" s="277"/>
      <c r="BG111" s="277"/>
      <c r="BH111" s="277"/>
      <c r="BI111" s="277"/>
      <c r="BJ111" s="277"/>
      <c r="BK111" s="277"/>
      <c r="BL111" s="277"/>
      <c r="BM111" s="277"/>
      <c r="BN111" s="277"/>
      <c r="BO111" s="277"/>
      <c r="BP111" s="277"/>
      <c r="BQ111" s="277"/>
      <c r="BR111" s="277"/>
      <c r="BS111" s="281"/>
      <c r="BT111" s="281"/>
      <c r="BU111" s="281"/>
      <c r="BV111" s="281"/>
      <c r="BW111" s="281"/>
      <c r="BX111" s="281"/>
      <c r="BY111" s="281"/>
      <c r="BZ111" s="281"/>
      <c r="CA111" s="281"/>
      <c r="CB111" s="281"/>
      <c r="CC111" s="281"/>
      <c r="CD111" s="281"/>
      <c r="CE111" s="281"/>
      <c r="CF111" s="281"/>
      <c r="CG111" s="281"/>
      <c r="CH111" s="281"/>
      <c r="CI111" s="281"/>
    </row>
    <row r="112" spans="1:87">
      <c r="A112" s="277"/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77"/>
      <c r="AB112" s="277"/>
      <c r="AC112" s="277"/>
      <c r="AD112" s="277"/>
      <c r="AE112" s="277"/>
      <c r="AF112" s="277"/>
      <c r="AG112" s="277"/>
      <c r="AH112" s="277"/>
      <c r="AI112" s="277"/>
      <c r="AJ112" s="277"/>
      <c r="AK112" s="277"/>
      <c r="AL112" s="277"/>
      <c r="AM112" s="277"/>
      <c r="AN112" s="277"/>
      <c r="AO112" s="277"/>
      <c r="AP112" s="277"/>
      <c r="AQ112" s="277"/>
      <c r="AR112" s="277"/>
      <c r="AS112" s="277"/>
      <c r="AT112" s="277"/>
      <c r="AU112" s="277"/>
      <c r="AV112" s="277"/>
      <c r="AW112" s="277"/>
      <c r="AX112" s="277"/>
      <c r="AY112" s="277"/>
      <c r="AZ112" s="277"/>
      <c r="BA112" s="277"/>
      <c r="BB112" s="277"/>
      <c r="BC112" s="277"/>
      <c r="BD112" s="277"/>
      <c r="BE112" s="277"/>
      <c r="BF112" s="277"/>
      <c r="BG112" s="277"/>
      <c r="BH112" s="277"/>
      <c r="BI112" s="277"/>
      <c r="BJ112" s="277"/>
      <c r="BK112" s="277"/>
      <c r="BL112" s="277"/>
      <c r="BM112" s="277"/>
      <c r="BN112" s="277"/>
      <c r="BO112" s="277"/>
      <c r="BP112" s="277"/>
      <c r="BQ112" s="277"/>
      <c r="BR112" s="277"/>
      <c r="BS112" s="281"/>
      <c r="BT112" s="281"/>
      <c r="BU112" s="281"/>
      <c r="BV112" s="281"/>
      <c r="BW112" s="281"/>
      <c r="BX112" s="281"/>
      <c r="BY112" s="281"/>
      <c r="BZ112" s="281"/>
      <c r="CA112" s="281"/>
      <c r="CB112" s="281"/>
      <c r="CC112" s="281"/>
      <c r="CD112" s="281"/>
      <c r="CE112" s="281"/>
      <c r="CF112" s="281"/>
      <c r="CG112" s="281"/>
      <c r="CH112" s="281"/>
      <c r="CI112" s="281"/>
    </row>
    <row r="113" spans="1:87">
      <c r="A113" s="277"/>
      <c r="B113" s="277"/>
      <c r="C113" s="277"/>
      <c r="D113" s="277"/>
      <c r="E113" s="277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  <c r="AA113" s="277"/>
      <c r="AB113" s="277"/>
      <c r="AC113" s="277"/>
      <c r="AD113" s="277"/>
      <c r="AE113" s="277"/>
      <c r="AF113" s="277"/>
      <c r="AG113" s="277"/>
      <c r="AH113" s="277"/>
      <c r="AI113" s="277"/>
      <c r="AJ113" s="277"/>
      <c r="AK113" s="277"/>
      <c r="AL113" s="277"/>
      <c r="AM113" s="277"/>
      <c r="AN113" s="277"/>
      <c r="AO113" s="277"/>
      <c r="AP113" s="277"/>
      <c r="AQ113" s="277"/>
      <c r="AR113" s="277"/>
      <c r="AS113" s="277"/>
      <c r="AT113" s="277"/>
      <c r="AU113" s="277"/>
      <c r="AV113" s="277"/>
      <c r="AW113" s="277"/>
      <c r="AX113" s="277"/>
      <c r="AY113" s="277"/>
      <c r="AZ113" s="277"/>
      <c r="BA113" s="277"/>
      <c r="BB113" s="277"/>
      <c r="BC113" s="277"/>
      <c r="BD113" s="277"/>
      <c r="BE113" s="277"/>
      <c r="BF113" s="277"/>
      <c r="BG113" s="277"/>
      <c r="BH113" s="277"/>
      <c r="BI113" s="277"/>
      <c r="BJ113" s="277"/>
      <c r="BK113" s="277"/>
      <c r="BL113" s="277"/>
      <c r="BM113" s="277"/>
      <c r="BN113" s="277"/>
      <c r="BO113" s="277"/>
      <c r="BP113" s="277"/>
      <c r="BQ113" s="277"/>
      <c r="BR113" s="277"/>
      <c r="BS113" s="281"/>
      <c r="BT113" s="281"/>
      <c r="BU113" s="281"/>
      <c r="BV113" s="281"/>
      <c r="BW113" s="281"/>
      <c r="BX113" s="281"/>
      <c r="BY113" s="281"/>
      <c r="BZ113" s="281"/>
      <c r="CA113" s="281"/>
      <c r="CB113" s="281"/>
      <c r="CC113" s="281"/>
      <c r="CD113" s="281"/>
      <c r="CE113" s="281"/>
      <c r="CF113" s="281"/>
      <c r="CG113" s="281"/>
      <c r="CH113" s="281"/>
      <c r="CI113" s="281"/>
    </row>
    <row r="114" spans="1:87">
      <c r="A114" s="277"/>
      <c r="B114" s="277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77"/>
      <c r="P114" s="277"/>
      <c r="Q114" s="277"/>
      <c r="R114" s="277"/>
      <c r="S114" s="277"/>
      <c r="T114" s="277"/>
      <c r="U114" s="277"/>
      <c r="V114" s="277"/>
      <c r="W114" s="277"/>
      <c r="X114" s="277"/>
      <c r="Y114" s="277"/>
      <c r="Z114" s="277"/>
      <c r="AA114" s="277"/>
      <c r="AB114" s="277"/>
      <c r="AC114" s="277"/>
      <c r="AD114" s="277"/>
      <c r="AE114" s="277"/>
      <c r="AF114" s="277"/>
      <c r="AG114" s="277"/>
      <c r="AH114" s="277"/>
      <c r="AI114" s="277"/>
      <c r="AJ114" s="277"/>
      <c r="AK114" s="277"/>
      <c r="AL114" s="277"/>
      <c r="AM114" s="277"/>
      <c r="AN114" s="277"/>
      <c r="AO114" s="277"/>
      <c r="AP114" s="277"/>
      <c r="AQ114" s="277"/>
      <c r="AR114" s="277"/>
      <c r="AS114" s="277"/>
      <c r="AT114" s="277"/>
      <c r="AU114" s="277"/>
      <c r="AV114" s="277"/>
      <c r="AW114" s="277"/>
      <c r="AX114" s="277"/>
      <c r="AY114" s="277"/>
      <c r="AZ114" s="277"/>
      <c r="BA114" s="277"/>
      <c r="BB114" s="277"/>
      <c r="BC114" s="277"/>
      <c r="BD114" s="277"/>
      <c r="BE114" s="277"/>
      <c r="BF114" s="277"/>
      <c r="BG114" s="277"/>
      <c r="BH114" s="277"/>
      <c r="BI114" s="277"/>
      <c r="BJ114" s="277"/>
      <c r="BK114" s="277"/>
      <c r="BL114" s="277"/>
      <c r="BM114" s="277"/>
      <c r="BN114" s="277"/>
      <c r="BO114" s="277"/>
      <c r="BP114" s="277"/>
      <c r="BQ114" s="277"/>
      <c r="BR114" s="277"/>
      <c r="BS114" s="281"/>
      <c r="BT114" s="281"/>
      <c r="BU114" s="281"/>
      <c r="BV114" s="281"/>
      <c r="BW114" s="281"/>
      <c r="BX114" s="281"/>
      <c r="BY114" s="281"/>
      <c r="BZ114" s="281"/>
      <c r="CA114" s="281"/>
      <c r="CB114" s="281"/>
      <c r="CC114" s="281"/>
      <c r="CD114" s="281"/>
      <c r="CE114" s="281"/>
      <c r="CF114" s="281"/>
      <c r="CG114" s="281"/>
      <c r="CH114" s="281"/>
      <c r="CI114" s="281"/>
    </row>
    <row r="115" spans="1:87">
      <c r="A115" s="277"/>
      <c r="B115" s="277"/>
      <c r="C115" s="277"/>
      <c r="D115" s="277"/>
      <c r="E115" s="277"/>
      <c r="F115" s="277"/>
      <c r="G115" s="277"/>
      <c r="H115" s="277"/>
      <c r="I115" s="277"/>
      <c r="J115" s="277"/>
      <c r="K115" s="277"/>
      <c r="L115" s="277"/>
      <c r="M115" s="277"/>
      <c r="N115" s="277"/>
      <c r="O115" s="277"/>
      <c r="P115" s="277"/>
      <c r="Q115" s="277"/>
      <c r="R115" s="277"/>
      <c r="S115" s="277"/>
      <c r="T115" s="277"/>
      <c r="U115" s="277"/>
      <c r="V115" s="277"/>
      <c r="W115" s="277"/>
      <c r="X115" s="277"/>
      <c r="Y115" s="277"/>
      <c r="Z115" s="277"/>
      <c r="AA115" s="277"/>
      <c r="AB115" s="277"/>
      <c r="AC115" s="277"/>
      <c r="AD115" s="277"/>
      <c r="AE115" s="277"/>
      <c r="AF115" s="277"/>
      <c r="AG115" s="277"/>
      <c r="AH115" s="277"/>
      <c r="AI115" s="277"/>
      <c r="AJ115" s="277"/>
      <c r="AK115" s="277"/>
      <c r="AL115" s="277"/>
      <c r="AM115" s="277"/>
      <c r="AN115" s="277"/>
      <c r="AO115" s="277"/>
      <c r="AP115" s="277"/>
      <c r="AQ115" s="277"/>
      <c r="AR115" s="277"/>
      <c r="AS115" s="277"/>
      <c r="AT115" s="277"/>
      <c r="AU115" s="277"/>
      <c r="AV115" s="277"/>
      <c r="AW115" s="277"/>
      <c r="AX115" s="277"/>
      <c r="AY115" s="277"/>
      <c r="AZ115" s="277"/>
      <c r="BA115" s="277"/>
      <c r="BB115" s="277"/>
      <c r="BC115" s="277"/>
      <c r="BD115" s="277"/>
      <c r="BE115" s="277"/>
      <c r="BF115" s="277"/>
      <c r="BG115" s="277"/>
      <c r="BH115" s="277"/>
      <c r="BI115" s="277"/>
      <c r="BJ115" s="277"/>
      <c r="BK115" s="277"/>
      <c r="BL115" s="277"/>
      <c r="BM115" s="277"/>
      <c r="BN115" s="277"/>
      <c r="BO115" s="277"/>
      <c r="BP115" s="277"/>
      <c r="BQ115" s="277"/>
      <c r="BR115" s="277"/>
      <c r="BS115" s="281"/>
      <c r="BT115" s="281"/>
      <c r="BU115" s="281"/>
      <c r="BV115" s="281"/>
      <c r="BW115" s="281"/>
      <c r="BX115" s="281"/>
      <c r="BY115" s="281"/>
      <c r="BZ115" s="281"/>
      <c r="CA115" s="281"/>
      <c r="CB115" s="281"/>
      <c r="CC115" s="281"/>
      <c r="CD115" s="281"/>
      <c r="CE115" s="281"/>
      <c r="CF115" s="281"/>
      <c r="CG115" s="281"/>
      <c r="CH115" s="281"/>
      <c r="CI115" s="281"/>
    </row>
    <row r="116" spans="1:87">
      <c r="A116" s="277"/>
      <c r="B116" s="277"/>
      <c r="C116" s="277"/>
      <c r="D116" s="277"/>
      <c r="E116" s="277"/>
      <c r="F116" s="277"/>
      <c r="G116" s="277"/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  <c r="AA116" s="277"/>
      <c r="AB116" s="277"/>
      <c r="AC116" s="277"/>
      <c r="AD116" s="277"/>
      <c r="AE116" s="277"/>
      <c r="AF116" s="277"/>
      <c r="AG116" s="277"/>
      <c r="AH116" s="277"/>
      <c r="AI116" s="277"/>
      <c r="AJ116" s="277"/>
      <c r="AK116" s="277"/>
      <c r="AL116" s="277"/>
      <c r="AM116" s="277"/>
      <c r="AN116" s="277"/>
      <c r="AO116" s="277"/>
      <c r="AP116" s="277"/>
      <c r="AQ116" s="277"/>
      <c r="AR116" s="277"/>
      <c r="AS116" s="277"/>
      <c r="AT116" s="277"/>
      <c r="AU116" s="277"/>
      <c r="AV116" s="277"/>
      <c r="AW116" s="277"/>
      <c r="AX116" s="277"/>
      <c r="AY116" s="277"/>
      <c r="AZ116" s="277"/>
      <c r="BA116" s="277"/>
      <c r="BB116" s="277"/>
      <c r="BC116" s="277"/>
      <c r="BD116" s="277"/>
      <c r="BE116" s="277"/>
      <c r="BF116" s="277"/>
      <c r="BG116" s="277"/>
      <c r="BH116" s="277"/>
      <c r="BI116" s="277"/>
      <c r="BJ116" s="277"/>
      <c r="BK116" s="277"/>
      <c r="BL116" s="277"/>
      <c r="BM116" s="277"/>
      <c r="BN116" s="277"/>
      <c r="BO116" s="277"/>
      <c r="BP116" s="277"/>
      <c r="BQ116" s="277"/>
      <c r="BR116" s="277"/>
      <c r="BS116" s="281"/>
      <c r="BT116" s="281"/>
      <c r="BU116" s="281"/>
      <c r="BV116" s="281"/>
      <c r="BW116" s="281"/>
      <c r="BX116" s="281"/>
      <c r="BY116" s="281"/>
      <c r="BZ116" s="281"/>
      <c r="CA116" s="281"/>
      <c r="CB116" s="281"/>
      <c r="CC116" s="281"/>
      <c r="CD116" s="281"/>
      <c r="CE116" s="281"/>
      <c r="CF116" s="281"/>
      <c r="CG116" s="281"/>
      <c r="CH116" s="281"/>
      <c r="CI116" s="281"/>
    </row>
    <row r="117" spans="1:87">
      <c r="A117" s="277"/>
      <c r="B117" s="277"/>
      <c r="C117" s="277"/>
      <c r="D117" s="277"/>
      <c r="E117" s="277"/>
      <c r="F117" s="277"/>
      <c r="G117" s="277"/>
      <c r="H117" s="277"/>
      <c r="I117" s="277"/>
      <c r="J117" s="277"/>
      <c r="K117" s="277"/>
      <c r="L117" s="277"/>
      <c r="M117" s="277"/>
      <c r="N117" s="277"/>
      <c r="O117" s="277"/>
      <c r="P117" s="277"/>
      <c r="Q117" s="277"/>
      <c r="R117" s="277"/>
      <c r="S117" s="277"/>
      <c r="T117" s="277"/>
      <c r="U117" s="277"/>
      <c r="V117" s="277"/>
      <c r="W117" s="277"/>
      <c r="X117" s="277"/>
      <c r="Y117" s="277"/>
      <c r="Z117" s="277"/>
      <c r="AA117" s="277"/>
      <c r="AB117" s="277"/>
      <c r="AC117" s="277"/>
      <c r="AD117" s="277"/>
      <c r="AE117" s="277"/>
      <c r="AF117" s="277"/>
      <c r="AG117" s="277"/>
      <c r="AH117" s="277"/>
      <c r="AI117" s="277"/>
      <c r="AJ117" s="277"/>
      <c r="AK117" s="277"/>
      <c r="AL117" s="277"/>
      <c r="AM117" s="277"/>
      <c r="AN117" s="277"/>
      <c r="AO117" s="277"/>
      <c r="AP117" s="277"/>
      <c r="AQ117" s="277"/>
      <c r="AR117" s="277"/>
      <c r="AS117" s="277"/>
      <c r="AT117" s="277"/>
      <c r="AU117" s="277"/>
      <c r="AV117" s="277"/>
      <c r="AW117" s="277"/>
      <c r="AX117" s="277"/>
      <c r="AY117" s="277"/>
      <c r="AZ117" s="277"/>
      <c r="BA117" s="277"/>
      <c r="BB117" s="277"/>
      <c r="BC117" s="277"/>
      <c r="BD117" s="277"/>
      <c r="BE117" s="277"/>
      <c r="BF117" s="277"/>
      <c r="BG117" s="277"/>
      <c r="BH117" s="277"/>
      <c r="BI117" s="277"/>
      <c r="BJ117" s="277"/>
      <c r="BK117" s="277"/>
      <c r="BL117" s="277"/>
      <c r="BM117" s="277"/>
      <c r="BN117" s="277"/>
      <c r="BO117" s="277"/>
      <c r="BP117" s="277"/>
      <c r="BQ117" s="277"/>
      <c r="BR117" s="277"/>
      <c r="BS117" s="281"/>
      <c r="BT117" s="281"/>
      <c r="BU117" s="281"/>
      <c r="BV117" s="281"/>
      <c r="BW117" s="281"/>
      <c r="BX117" s="281"/>
      <c r="BY117" s="281"/>
      <c r="BZ117" s="281"/>
      <c r="CA117" s="281"/>
      <c r="CB117" s="281"/>
      <c r="CC117" s="281"/>
      <c r="CD117" s="281"/>
      <c r="CE117" s="281"/>
      <c r="CF117" s="281"/>
      <c r="CG117" s="281"/>
      <c r="CH117" s="281"/>
      <c r="CI117" s="281"/>
    </row>
    <row r="118" spans="1:87">
      <c r="A118" s="277"/>
      <c r="B118" s="277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  <c r="M118" s="277"/>
      <c r="N118" s="277"/>
      <c r="O118" s="277"/>
      <c r="P118" s="277"/>
      <c r="Q118" s="277"/>
      <c r="R118" s="277"/>
      <c r="S118" s="277"/>
      <c r="T118" s="277"/>
      <c r="U118" s="277"/>
      <c r="V118" s="277"/>
      <c r="W118" s="277"/>
      <c r="X118" s="277"/>
      <c r="Y118" s="277"/>
      <c r="Z118" s="277"/>
      <c r="AA118" s="277"/>
      <c r="AB118" s="277"/>
      <c r="AC118" s="277"/>
      <c r="AD118" s="277"/>
      <c r="AE118" s="277"/>
      <c r="AF118" s="277"/>
      <c r="AG118" s="277"/>
      <c r="AH118" s="277"/>
      <c r="AI118" s="277"/>
      <c r="AJ118" s="277"/>
      <c r="AK118" s="277"/>
      <c r="AL118" s="277"/>
      <c r="AM118" s="277"/>
      <c r="AN118" s="277"/>
      <c r="AO118" s="277"/>
      <c r="AP118" s="277"/>
      <c r="AQ118" s="277"/>
      <c r="AR118" s="277"/>
      <c r="AS118" s="277"/>
      <c r="AT118" s="277"/>
      <c r="AU118" s="277"/>
      <c r="AV118" s="277"/>
      <c r="AW118" s="277"/>
      <c r="AX118" s="277"/>
      <c r="AY118" s="277"/>
      <c r="AZ118" s="277"/>
      <c r="BA118" s="277"/>
      <c r="BB118" s="277"/>
      <c r="BC118" s="277"/>
      <c r="BD118" s="277"/>
      <c r="BE118" s="277"/>
      <c r="BF118" s="277"/>
      <c r="BG118" s="277"/>
      <c r="BH118" s="277"/>
      <c r="BI118" s="277"/>
      <c r="BJ118" s="277"/>
      <c r="BK118" s="277"/>
      <c r="BL118" s="277"/>
      <c r="BM118" s="277"/>
      <c r="BN118" s="277"/>
      <c r="BO118" s="277"/>
      <c r="BP118" s="277"/>
      <c r="BQ118" s="277"/>
      <c r="BR118" s="277"/>
      <c r="BS118" s="281"/>
      <c r="BT118" s="281"/>
      <c r="BU118" s="281"/>
      <c r="BV118" s="281"/>
      <c r="BW118" s="281"/>
      <c r="BX118" s="281"/>
      <c r="BY118" s="281"/>
      <c r="BZ118" s="281"/>
      <c r="CA118" s="281"/>
      <c r="CB118" s="281"/>
      <c r="CC118" s="281"/>
      <c r="CD118" s="281"/>
      <c r="CE118" s="281"/>
      <c r="CF118" s="281"/>
      <c r="CG118" s="281"/>
      <c r="CH118" s="281"/>
      <c r="CI118" s="281"/>
    </row>
    <row r="119" spans="1:87">
      <c r="A119" s="277"/>
      <c r="B119" s="277"/>
      <c r="C119" s="277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77"/>
      <c r="O119" s="277"/>
      <c r="P119" s="277"/>
      <c r="Q119" s="277"/>
      <c r="R119" s="277"/>
      <c r="S119" s="277"/>
      <c r="T119" s="277"/>
      <c r="U119" s="277"/>
      <c r="V119" s="277"/>
      <c r="W119" s="277"/>
      <c r="X119" s="277"/>
      <c r="Y119" s="277"/>
      <c r="Z119" s="277"/>
      <c r="AA119" s="277"/>
      <c r="AB119" s="277"/>
      <c r="AC119" s="277"/>
      <c r="AD119" s="277"/>
      <c r="AE119" s="277"/>
      <c r="AF119" s="277"/>
      <c r="AG119" s="277"/>
      <c r="AH119" s="277"/>
      <c r="AI119" s="277"/>
      <c r="AJ119" s="277"/>
      <c r="AK119" s="277"/>
      <c r="AL119" s="277"/>
      <c r="AM119" s="277"/>
      <c r="AN119" s="277"/>
      <c r="AO119" s="277"/>
      <c r="AP119" s="277"/>
      <c r="AQ119" s="277"/>
      <c r="AR119" s="277"/>
      <c r="AS119" s="277"/>
      <c r="AT119" s="277"/>
      <c r="AU119" s="277"/>
      <c r="AV119" s="277"/>
      <c r="AW119" s="277"/>
      <c r="AX119" s="277"/>
      <c r="AY119" s="277"/>
      <c r="AZ119" s="277"/>
      <c r="BA119" s="277"/>
      <c r="BB119" s="277"/>
      <c r="BC119" s="277"/>
      <c r="BD119" s="277"/>
      <c r="BE119" s="277"/>
      <c r="BF119" s="277"/>
      <c r="BG119" s="277"/>
      <c r="BH119" s="277"/>
      <c r="BI119" s="277"/>
      <c r="BJ119" s="277"/>
      <c r="BK119" s="277"/>
      <c r="BL119" s="277"/>
      <c r="BM119" s="277"/>
      <c r="BN119" s="277"/>
      <c r="BO119" s="277"/>
      <c r="BP119" s="277"/>
      <c r="BQ119" s="277"/>
      <c r="BR119" s="277"/>
      <c r="BS119" s="281"/>
      <c r="BT119" s="281"/>
      <c r="BU119" s="281"/>
      <c r="BV119" s="281"/>
      <c r="BW119" s="281"/>
      <c r="BX119" s="281"/>
      <c r="BY119" s="281"/>
      <c r="BZ119" s="281"/>
      <c r="CA119" s="281"/>
      <c r="CB119" s="281"/>
      <c r="CC119" s="281"/>
      <c r="CD119" s="281"/>
      <c r="CE119" s="281"/>
      <c r="CF119" s="281"/>
      <c r="CG119" s="281"/>
      <c r="CH119" s="281"/>
      <c r="CI119" s="281"/>
    </row>
    <row r="120" spans="1:87">
      <c r="A120" s="277"/>
      <c r="B120" s="277"/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  <c r="Z120" s="277"/>
      <c r="AA120" s="277"/>
      <c r="AB120" s="277"/>
      <c r="AC120" s="277"/>
      <c r="AD120" s="277"/>
      <c r="AE120" s="277"/>
      <c r="AF120" s="277"/>
      <c r="AG120" s="277"/>
      <c r="AH120" s="277"/>
      <c r="AI120" s="277"/>
      <c r="AJ120" s="277"/>
      <c r="AK120" s="277"/>
      <c r="AL120" s="277"/>
      <c r="AM120" s="277"/>
      <c r="AN120" s="277"/>
      <c r="AO120" s="277"/>
      <c r="AP120" s="277"/>
      <c r="AQ120" s="277"/>
      <c r="AR120" s="277"/>
      <c r="AS120" s="277"/>
      <c r="AT120" s="277"/>
      <c r="AU120" s="277"/>
      <c r="AV120" s="277"/>
      <c r="AW120" s="277"/>
      <c r="AX120" s="277"/>
      <c r="AY120" s="277"/>
      <c r="AZ120" s="277"/>
      <c r="BA120" s="277"/>
      <c r="BB120" s="277"/>
      <c r="BC120" s="277"/>
      <c r="BD120" s="277"/>
      <c r="BE120" s="277"/>
      <c r="BF120" s="277"/>
      <c r="BG120" s="277"/>
      <c r="BH120" s="277"/>
      <c r="BI120" s="277"/>
      <c r="BJ120" s="277"/>
      <c r="BK120" s="277"/>
      <c r="BL120" s="277"/>
      <c r="BM120" s="277"/>
      <c r="BN120" s="277"/>
      <c r="BO120" s="277"/>
      <c r="BP120" s="277"/>
      <c r="BQ120" s="277"/>
      <c r="BR120" s="277"/>
      <c r="BS120" s="281"/>
      <c r="BT120" s="281"/>
      <c r="BU120" s="281"/>
      <c r="BV120" s="281"/>
      <c r="BW120" s="281"/>
      <c r="BX120" s="281"/>
      <c r="BY120" s="281"/>
      <c r="BZ120" s="281"/>
      <c r="CA120" s="281"/>
      <c r="CB120" s="281"/>
      <c r="CC120" s="281"/>
      <c r="CD120" s="281"/>
      <c r="CE120" s="281"/>
      <c r="CF120" s="281"/>
      <c r="CG120" s="281"/>
      <c r="CH120" s="281"/>
      <c r="CI120" s="281"/>
    </row>
    <row r="121" spans="1:87">
      <c r="A121" s="277"/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  <c r="AA121" s="277"/>
      <c r="AB121" s="277"/>
      <c r="AC121" s="277"/>
      <c r="AD121" s="277"/>
      <c r="AE121" s="277"/>
      <c r="AF121" s="277"/>
      <c r="AG121" s="277"/>
      <c r="AH121" s="277"/>
      <c r="AI121" s="277"/>
      <c r="AJ121" s="277"/>
      <c r="AK121" s="277"/>
      <c r="AL121" s="277"/>
      <c r="AM121" s="277"/>
      <c r="AN121" s="277"/>
      <c r="AO121" s="277"/>
      <c r="AP121" s="277"/>
      <c r="AQ121" s="277"/>
      <c r="AR121" s="277"/>
      <c r="AS121" s="277"/>
      <c r="AT121" s="277"/>
      <c r="AU121" s="277"/>
      <c r="AV121" s="277"/>
      <c r="AW121" s="277"/>
      <c r="AX121" s="277"/>
      <c r="AY121" s="277"/>
      <c r="AZ121" s="277"/>
      <c r="BA121" s="277"/>
      <c r="BB121" s="277"/>
      <c r="BC121" s="277"/>
      <c r="BD121" s="277"/>
      <c r="BE121" s="277"/>
      <c r="BF121" s="277"/>
      <c r="BG121" s="277"/>
      <c r="BH121" s="277"/>
      <c r="BI121" s="277"/>
      <c r="BJ121" s="277"/>
      <c r="BK121" s="277"/>
      <c r="BL121" s="277"/>
      <c r="BM121" s="277"/>
      <c r="BN121" s="277"/>
      <c r="BO121" s="277"/>
      <c r="BP121" s="277"/>
      <c r="BQ121" s="277"/>
      <c r="BR121" s="277"/>
      <c r="BS121" s="281"/>
      <c r="BT121" s="281"/>
      <c r="BU121" s="281"/>
      <c r="BV121" s="281"/>
      <c r="BW121" s="281"/>
      <c r="BX121" s="281"/>
      <c r="BY121" s="281"/>
      <c r="BZ121" s="281"/>
      <c r="CA121" s="281"/>
      <c r="CB121" s="281"/>
      <c r="CC121" s="281"/>
      <c r="CD121" s="281"/>
      <c r="CE121" s="281"/>
      <c r="CF121" s="281"/>
      <c r="CG121" s="281"/>
      <c r="CH121" s="281"/>
      <c r="CI121" s="281"/>
    </row>
    <row r="122" spans="1:87">
      <c r="A122" s="277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  <c r="W122" s="277"/>
      <c r="X122" s="277"/>
      <c r="Y122" s="277"/>
      <c r="Z122" s="277"/>
      <c r="AA122" s="277"/>
      <c r="AB122" s="277"/>
      <c r="AC122" s="277"/>
      <c r="AD122" s="277"/>
      <c r="AE122" s="277"/>
      <c r="AF122" s="277"/>
      <c r="AG122" s="277"/>
      <c r="AH122" s="277"/>
      <c r="AI122" s="277"/>
      <c r="AJ122" s="277"/>
      <c r="AK122" s="277"/>
      <c r="AL122" s="277"/>
      <c r="AM122" s="277"/>
      <c r="AN122" s="277"/>
      <c r="AO122" s="277"/>
      <c r="AP122" s="277"/>
      <c r="AQ122" s="277"/>
      <c r="AR122" s="277"/>
      <c r="AS122" s="277"/>
      <c r="AT122" s="277"/>
      <c r="AU122" s="277"/>
      <c r="AV122" s="277"/>
      <c r="AW122" s="277"/>
      <c r="AX122" s="277"/>
      <c r="AY122" s="277"/>
      <c r="AZ122" s="277"/>
      <c r="BA122" s="277"/>
      <c r="BB122" s="277"/>
      <c r="BC122" s="277"/>
      <c r="BD122" s="277"/>
      <c r="BE122" s="277"/>
      <c r="BF122" s="277"/>
      <c r="BG122" s="277"/>
      <c r="BH122" s="277"/>
      <c r="BI122" s="277"/>
      <c r="BJ122" s="277"/>
      <c r="BK122" s="277"/>
      <c r="BL122" s="277"/>
      <c r="BM122" s="277"/>
      <c r="BN122" s="277"/>
      <c r="BO122" s="277"/>
      <c r="BP122" s="277"/>
      <c r="BQ122" s="277"/>
      <c r="BR122" s="277"/>
      <c r="BS122" s="281"/>
      <c r="BT122" s="281"/>
      <c r="BU122" s="281"/>
      <c r="BV122" s="281"/>
      <c r="BW122" s="281"/>
      <c r="BX122" s="281"/>
      <c r="BY122" s="281"/>
      <c r="BZ122" s="281"/>
      <c r="CA122" s="281"/>
      <c r="CB122" s="281"/>
      <c r="CC122" s="281"/>
      <c r="CD122" s="281"/>
      <c r="CE122" s="281"/>
      <c r="CF122" s="281"/>
      <c r="CG122" s="281"/>
      <c r="CH122" s="281"/>
      <c r="CI122" s="281"/>
    </row>
    <row r="123" spans="1:87">
      <c r="A123" s="277"/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  <c r="Z123" s="277"/>
      <c r="AA123" s="277"/>
      <c r="AB123" s="277"/>
      <c r="AC123" s="277"/>
      <c r="AD123" s="277"/>
      <c r="AE123" s="277"/>
      <c r="AF123" s="277"/>
      <c r="AG123" s="277"/>
      <c r="AH123" s="277"/>
      <c r="AI123" s="277"/>
      <c r="AJ123" s="277"/>
      <c r="AK123" s="277"/>
      <c r="AL123" s="277"/>
      <c r="AM123" s="277"/>
      <c r="AN123" s="277"/>
      <c r="AO123" s="277"/>
      <c r="AP123" s="277"/>
      <c r="AQ123" s="277"/>
      <c r="AR123" s="277"/>
      <c r="AS123" s="277"/>
      <c r="AT123" s="277"/>
      <c r="AU123" s="277"/>
      <c r="AV123" s="277"/>
      <c r="AW123" s="277"/>
      <c r="AX123" s="277"/>
      <c r="AY123" s="277"/>
      <c r="AZ123" s="277"/>
      <c r="BA123" s="277"/>
      <c r="BB123" s="277"/>
      <c r="BC123" s="277"/>
      <c r="BD123" s="277"/>
      <c r="BE123" s="277"/>
      <c r="BF123" s="277"/>
      <c r="BG123" s="277"/>
      <c r="BH123" s="277"/>
      <c r="BI123" s="277"/>
      <c r="BJ123" s="277"/>
      <c r="BK123" s="277"/>
      <c r="BL123" s="277"/>
      <c r="BM123" s="277"/>
      <c r="BN123" s="277"/>
      <c r="BO123" s="277"/>
      <c r="BP123" s="277"/>
      <c r="BQ123" s="277"/>
      <c r="BR123" s="277"/>
      <c r="BS123" s="281"/>
      <c r="BT123" s="281"/>
      <c r="BU123" s="281"/>
      <c r="BV123" s="281"/>
      <c r="BW123" s="281"/>
      <c r="BX123" s="281"/>
      <c r="BY123" s="281"/>
      <c r="BZ123" s="281"/>
      <c r="CA123" s="281"/>
      <c r="CB123" s="281"/>
      <c r="CC123" s="281"/>
      <c r="CD123" s="281"/>
      <c r="CE123" s="281"/>
      <c r="CF123" s="281"/>
      <c r="CG123" s="281"/>
      <c r="CH123" s="281"/>
      <c r="CI123" s="281"/>
    </row>
    <row r="124" spans="1:87">
      <c r="A124" s="277"/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  <c r="AA124" s="277"/>
      <c r="AB124" s="277"/>
      <c r="AC124" s="277"/>
      <c r="AD124" s="277"/>
      <c r="AE124" s="277"/>
      <c r="AF124" s="277"/>
      <c r="AG124" s="277"/>
      <c r="AH124" s="277"/>
      <c r="AI124" s="277"/>
      <c r="AJ124" s="277"/>
      <c r="AK124" s="277"/>
      <c r="AL124" s="277"/>
      <c r="AM124" s="277"/>
      <c r="AN124" s="277"/>
      <c r="AO124" s="277"/>
      <c r="AP124" s="277"/>
      <c r="AQ124" s="277"/>
      <c r="AR124" s="277"/>
      <c r="AS124" s="277"/>
      <c r="AT124" s="277"/>
      <c r="AU124" s="277"/>
      <c r="AV124" s="277"/>
      <c r="AW124" s="277"/>
      <c r="AX124" s="277"/>
      <c r="AY124" s="277"/>
      <c r="AZ124" s="277"/>
      <c r="BA124" s="277"/>
      <c r="BB124" s="277"/>
      <c r="BC124" s="277"/>
      <c r="BD124" s="277"/>
      <c r="BE124" s="277"/>
      <c r="BF124" s="277"/>
      <c r="BG124" s="277"/>
      <c r="BH124" s="277"/>
      <c r="BI124" s="277"/>
      <c r="BJ124" s="277"/>
      <c r="BK124" s="277"/>
      <c r="BL124" s="277"/>
      <c r="BM124" s="277"/>
      <c r="BN124" s="277"/>
      <c r="BO124" s="277"/>
      <c r="BP124" s="277"/>
      <c r="BQ124" s="277"/>
      <c r="BR124" s="277"/>
      <c r="BS124" s="281"/>
      <c r="BT124" s="281"/>
      <c r="BU124" s="281"/>
      <c r="BV124" s="281"/>
      <c r="BW124" s="281"/>
      <c r="BX124" s="281"/>
      <c r="BY124" s="281"/>
      <c r="BZ124" s="281"/>
      <c r="CA124" s="281"/>
      <c r="CB124" s="281"/>
      <c r="CC124" s="281"/>
      <c r="CD124" s="281"/>
      <c r="CE124" s="281"/>
      <c r="CF124" s="281"/>
      <c r="CG124" s="281"/>
      <c r="CH124" s="281"/>
      <c r="CI124" s="281"/>
    </row>
    <row r="125" spans="1:87">
      <c r="A125" s="277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277"/>
      <c r="P125" s="277"/>
      <c r="Q125" s="277"/>
      <c r="R125" s="277"/>
      <c r="S125" s="277"/>
      <c r="T125" s="277"/>
      <c r="U125" s="277"/>
      <c r="V125" s="277"/>
      <c r="W125" s="277"/>
      <c r="X125" s="277"/>
      <c r="Y125" s="277"/>
      <c r="Z125" s="277"/>
      <c r="AA125" s="277"/>
      <c r="AB125" s="277"/>
      <c r="AC125" s="277"/>
      <c r="AD125" s="277"/>
      <c r="AE125" s="277"/>
      <c r="AF125" s="277"/>
      <c r="AG125" s="277"/>
      <c r="AH125" s="277"/>
      <c r="AI125" s="277"/>
      <c r="AJ125" s="277"/>
      <c r="AK125" s="277"/>
      <c r="AL125" s="277"/>
      <c r="AM125" s="277"/>
      <c r="AN125" s="277"/>
      <c r="AO125" s="277"/>
      <c r="AP125" s="277"/>
      <c r="AQ125" s="277"/>
      <c r="AR125" s="277"/>
      <c r="AS125" s="277"/>
      <c r="AT125" s="277"/>
      <c r="AU125" s="277"/>
      <c r="AV125" s="277"/>
      <c r="AW125" s="277"/>
      <c r="AX125" s="277"/>
      <c r="AY125" s="277"/>
      <c r="AZ125" s="277"/>
      <c r="BA125" s="277"/>
      <c r="BB125" s="277"/>
      <c r="BC125" s="277"/>
      <c r="BD125" s="277"/>
      <c r="BE125" s="277"/>
      <c r="BF125" s="277"/>
      <c r="BG125" s="277"/>
      <c r="BH125" s="277"/>
      <c r="BI125" s="277"/>
      <c r="BJ125" s="277"/>
      <c r="BK125" s="277"/>
      <c r="BL125" s="277"/>
      <c r="BM125" s="277"/>
      <c r="BN125" s="277"/>
      <c r="BO125" s="277"/>
      <c r="BP125" s="277"/>
      <c r="BQ125" s="277"/>
      <c r="BR125" s="277"/>
      <c r="BS125" s="281"/>
      <c r="BT125" s="281"/>
      <c r="BU125" s="281"/>
      <c r="BV125" s="281"/>
      <c r="BW125" s="281"/>
      <c r="BX125" s="281"/>
      <c r="BY125" s="281"/>
      <c r="BZ125" s="281"/>
      <c r="CA125" s="281"/>
      <c r="CB125" s="281"/>
      <c r="CC125" s="281"/>
      <c r="CD125" s="281"/>
      <c r="CE125" s="281"/>
      <c r="CF125" s="281"/>
      <c r="CG125" s="281"/>
      <c r="CH125" s="281"/>
      <c r="CI125" s="281"/>
    </row>
    <row r="126" spans="1:87">
      <c r="A126" s="277"/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  <c r="AA126" s="277"/>
      <c r="AB126" s="277"/>
      <c r="AC126" s="277"/>
      <c r="AD126" s="277"/>
      <c r="AE126" s="277"/>
      <c r="AF126" s="277"/>
      <c r="AG126" s="277"/>
      <c r="AH126" s="277"/>
      <c r="AI126" s="277"/>
      <c r="AJ126" s="277"/>
      <c r="AK126" s="277"/>
      <c r="AL126" s="277"/>
      <c r="AM126" s="277"/>
      <c r="AN126" s="277"/>
      <c r="AO126" s="277"/>
      <c r="AP126" s="277"/>
      <c r="AQ126" s="277"/>
      <c r="AR126" s="277"/>
      <c r="AS126" s="277"/>
      <c r="AT126" s="277"/>
      <c r="AU126" s="277"/>
      <c r="AV126" s="277"/>
      <c r="AW126" s="277"/>
      <c r="AX126" s="277"/>
      <c r="AY126" s="277"/>
      <c r="AZ126" s="277"/>
      <c r="BA126" s="277"/>
      <c r="BB126" s="277"/>
      <c r="BC126" s="277"/>
      <c r="BD126" s="277"/>
      <c r="BE126" s="277"/>
      <c r="BF126" s="277"/>
      <c r="BG126" s="277"/>
      <c r="BH126" s="277"/>
      <c r="BI126" s="277"/>
      <c r="BJ126" s="277"/>
      <c r="BK126" s="277"/>
      <c r="BL126" s="277"/>
      <c r="BM126" s="277"/>
      <c r="BN126" s="277"/>
      <c r="BO126" s="277"/>
      <c r="BP126" s="277"/>
      <c r="BQ126" s="277"/>
      <c r="BR126" s="277"/>
      <c r="BS126" s="281"/>
      <c r="BT126" s="281"/>
      <c r="BU126" s="281"/>
      <c r="BV126" s="281"/>
      <c r="BW126" s="281"/>
      <c r="BX126" s="281"/>
      <c r="BY126" s="281"/>
      <c r="BZ126" s="281"/>
      <c r="CA126" s="281"/>
      <c r="CB126" s="281"/>
      <c r="CC126" s="281"/>
      <c r="CD126" s="281"/>
      <c r="CE126" s="281"/>
      <c r="CF126" s="281"/>
      <c r="CG126" s="281"/>
      <c r="CH126" s="281"/>
      <c r="CI126" s="281"/>
    </row>
    <row r="127" spans="1:87">
      <c r="A127" s="277"/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77"/>
      <c r="AB127" s="277"/>
      <c r="AC127" s="277"/>
      <c r="AD127" s="277"/>
      <c r="AE127" s="277"/>
      <c r="AF127" s="277"/>
      <c r="AG127" s="277"/>
      <c r="AH127" s="277"/>
      <c r="AI127" s="277"/>
      <c r="AJ127" s="277"/>
      <c r="AK127" s="277"/>
      <c r="AL127" s="277"/>
      <c r="AM127" s="277"/>
      <c r="AN127" s="277"/>
      <c r="AO127" s="277"/>
      <c r="AP127" s="277"/>
      <c r="AQ127" s="277"/>
      <c r="AR127" s="277"/>
      <c r="AS127" s="277"/>
      <c r="AT127" s="277"/>
      <c r="AU127" s="277"/>
      <c r="AV127" s="277"/>
      <c r="AW127" s="277"/>
      <c r="AX127" s="277"/>
      <c r="AY127" s="277"/>
      <c r="AZ127" s="277"/>
      <c r="BA127" s="277"/>
      <c r="BB127" s="277"/>
      <c r="BC127" s="277"/>
      <c r="BD127" s="277"/>
      <c r="BE127" s="277"/>
      <c r="BF127" s="277"/>
      <c r="BG127" s="277"/>
      <c r="BH127" s="277"/>
      <c r="BI127" s="277"/>
      <c r="BJ127" s="277"/>
      <c r="BK127" s="277"/>
      <c r="BL127" s="277"/>
      <c r="BM127" s="277"/>
      <c r="BN127" s="277"/>
      <c r="BO127" s="277"/>
      <c r="BP127" s="277"/>
      <c r="BQ127" s="277"/>
      <c r="BR127" s="277"/>
      <c r="BS127" s="281"/>
      <c r="BT127" s="281"/>
      <c r="BU127" s="281"/>
      <c r="BV127" s="281"/>
      <c r="BW127" s="281"/>
      <c r="BX127" s="281"/>
      <c r="BY127" s="281"/>
      <c r="BZ127" s="281"/>
      <c r="CA127" s="281"/>
      <c r="CB127" s="281"/>
      <c r="CC127" s="281"/>
      <c r="CD127" s="281"/>
      <c r="CE127" s="281"/>
      <c r="CF127" s="281"/>
      <c r="CG127" s="281"/>
      <c r="CH127" s="281"/>
      <c r="CI127" s="281"/>
    </row>
    <row r="128" spans="1:87">
      <c r="A128" s="277"/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7"/>
      <c r="P128" s="277"/>
      <c r="Q128" s="277"/>
      <c r="R128" s="277"/>
      <c r="S128" s="277"/>
      <c r="T128" s="277"/>
      <c r="U128" s="277"/>
      <c r="V128" s="277"/>
      <c r="W128" s="277"/>
      <c r="X128" s="277"/>
      <c r="Y128" s="277"/>
      <c r="Z128" s="277"/>
      <c r="AA128" s="277"/>
      <c r="AB128" s="277"/>
      <c r="AC128" s="277"/>
      <c r="AD128" s="277"/>
      <c r="AE128" s="277"/>
      <c r="AF128" s="277"/>
      <c r="AG128" s="277"/>
      <c r="AH128" s="277"/>
      <c r="AI128" s="277"/>
      <c r="AJ128" s="277"/>
      <c r="AK128" s="277"/>
      <c r="AL128" s="277"/>
      <c r="AM128" s="277"/>
      <c r="AN128" s="277"/>
      <c r="AO128" s="277"/>
      <c r="AP128" s="277"/>
      <c r="AQ128" s="277"/>
      <c r="AR128" s="277"/>
      <c r="AS128" s="277"/>
      <c r="AT128" s="277"/>
      <c r="AU128" s="277"/>
      <c r="AV128" s="277"/>
      <c r="AW128" s="277"/>
      <c r="AX128" s="277"/>
      <c r="AY128" s="277"/>
      <c r="AZ128" s="277"/>
      <c r="BA128" s="277"/>
      <c r="BB128" s="277"/>
      <c r="BC128" s="277"/>
      <c r="BD128" s="277"/>
      <c r="BE128" s="277"/>
      <c r="BF128" s="277"/>
      <c r="BG128" s="277"/>
      <c r="BH128" s="277"/>
      <c r="BI128" s="277"/>
      <c r="BJ128" s="277"/>
      <c r="BK128" s="277"/>
      <c r="BL128" s="277"/>
      <c r="BM128" s="277"/>
      <c r="BN128" s="277"/>
      <c r="BO128" s="277"/>
      <c r="BP128" s="277"/>
      <c r="BQ128" s="277"/>
      <c r="BR128" s="277"/>
      <c r="BS128" s="281"/>
      <c r="BT128" s="281"/>
      <c r="BU128" s="281"/>
      <c r="BV128" s="281"/>
      <c r="BW128" s="281"/>
      <c r="BX128" s="281"/>
      <c r="BY128" s="281"/>
      <c r="BZ128" s="281"/>
      <c r="CA128" s="281"/>
      <c r="CB128" s="281"/>
      <c r="CC128" s="281"/>
      <c r="CD128" s="281"/>
      <c r="CE128" s="281"/>
      <c r="CF128" s="281"/>
      <c r="CG128" s="281"/>
      <c r="CH128" s="281"/>
      <c r="CI128" s="281"/>
    </row>
    <row r="129" spans="1:87">
      <c r="A129" s="277"/>
      <c r="B129" s="277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  <c r="Z129" s="277"/>
      <c r="AA129" s="277"/>
      <c r="AB129" s="277"/>
      <c r="AC129" s="277"/>
      <c r="AD129" s="277"/>
      <c r="AE129" s="277"/>
      <c r="AF129" s="277"/>
      <c r="AG129" s="277"/>
      <c r="AH129" s="277"/>
      <c r="AI129" s="277"/>
      <c r="AJ129" s="277"/>
      <c r="AK129" s="277"/>
      <c r="AL129" s="277"/>
      <c r="AM129" s="277"/>
      <c r="AN129" s="277"/>
      <c r="AO129" s="277"/>
      <c r="AP129" s="277"/>
      <c r="AQ129" s="277"/>
      <c r="AR129" s="277"/>
      <c r="AS129" s="277"/>
      <c r="AT129" s="277"/>
      <c r="AU129" s="277"/>
      <c r="AV129" s="277"/>
      <c r="AW129" s="277"/>
      <c r="AX129" s="277"/>
      <c r="AY129" s="277"/>
      <c r="AZ129" s="277"/>
      <c r="BA129" s="277"/>
      <c r="BB129" s="277"/>
      <c r="BC129" s="277"/>
      <c r="BD129" s="277"/>
      <c r="BE129" s="277"/>
      <c r="BF129" s="277"/>
      <c r="BG129" s="277"/>
      <c r="BH129" s="277"/>
      <c r="BI129" s="277"/>
      <c r="BJ129" s="277"/>
      <c r="BK129" s="277"/>
      <c r="BL129" s="277"/>
      <c r="BM129" s="277"/>
      <c r="BN129" s="277"/>
      <c r="BO129" s="277"/>
      <c r="BP129" s="277"/>
      <c r="BQ129" s="277"/>
      <c r="BR129" s="277"/>
      <c r="BS129" s="281"/>
      <c r="BT129" s="281"/>
      <c r="BU129" s="281"/>
      <c r="BV129" s="281"/>
      <c r="BW129" s="281"/>
      <c r="BX129" s="281"/>
      <c r="BY129" s="281"/>
      <c r="BZ129" s="281"/>
      <c r="CA129" s="281"/>
      <c r="CB129" s="281"/>
      <c r="CC129" s="281"/>
      <c r="CD129" s="281"/>
      <c r="CE129" s="281"/>
      <c r="CF129" s="281"/>
      <c r="CG129" s="281"/>
      <c r="CH129" s="281"/>
      <c r="CI129" s="281"/>
    </row>
    <row r="130" spans="1:87">
      <c r="A130" s="277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77"/>
      <c r="P130" s="277"/>
      <c r="Q130" s="277"/>
      <c r="R130" s="277"/>
      <c r="S130" s="277"/>
      <c r="T130" s="277"/>
      <c r="U130" s="277"/>
      <c r="V130" s="277"/>
      <c r="W130" s="277"/>
      <c r="X130" s="277"/>
      <c r="Y130" s="277"/>
      <c r="Z130" s="277"/>
      <c r="AA130" s="277"/>
      <c r="AB130" s="277"/>
      <c r="AC130" s="277"/>
      <c r="AD130" s="277"/>
      <c r="AE130" s="277"/>
      <c r="AF130" s="277"/>
      <c r="AG130" s="277"/>
      <c r="AH130" s="277"/>
      <c r="AI130" s="277"/>
      <c r="AJ130" s="277"/>
      <c r="AK130" s="277"/>
      <c r="AL130" s="277"/>
      <c r="AM130" s="277"/>
      <c r="AN130" s="277"/>
      <c r="AO130" s="277"/>
      <c r="AP130" s="277"/>
      <c r="AQ130" s="277"/>
      <c r="AR130" s="277"/>
      <c r="AS130" s="277"/>
      <c r="AT130" s="277"/>
      <c r="AU130" s="277"/>
      <c r="AV130" s="277"/>
      <c r="AW130" s="277"/>
      <c r="AX130" s="277"/>
      <c r="AY130" s="277"/>
      <c r="AZ130" s="277"/>
      <c r="BA130" s="277"/>
      <c r="BB130" s="277"/>
      <c r="BC130" s="277"/>
      <c r="BD130" s="277"/>
      <c r="BE130" s="277"/>
      <c r="BF130" s="277"/>
      <c r="BG130" s="277"/>
      <c r="BH130" s="277"/>
      <c r="BI130" s="277"/>
      <c r="BJ130" s="277"/>
      <c r="BK130" s="277"/>
      <c r="BL130" s="277"/>
      <c r="BM130" s="277"/>
      <c r="BN130" s="277"/>
      <c r="BO130" s="277"/>
      <c r="BP130" s="277"/>
      <c r="BQ130" s="277"/>
      <c r="BR130" s="277"/>
      <c r="BS130" s="281"/>
      <c r="BT130" s="281"/>
      <c r="BU130" s="281"/>
      <c r="BV130" s="281"/>
      <c r="BW130" s="281"/>
      <c r="BX130" s="281"/>
      <c r="BY130" s="281"/>
      <c r="BZ130" s="281"/>
      <c r="CA130" s="281"/>
      <c r="CB130" s="281"/>
      <c r="CC130" s="281"/>
      <c r="CD130" s="281"/>
      <c r="CE130" s="281"/>
      <c r="CF130" s="281"/>
      <c r="CG130" s="281"/>
      <c r="CH130" s="281"/>
      <c r="CI130" s="281"/>
    </row>
    <row r="131" spans="1:87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  <c r="AA131" s="277"/>
      <c r="AB131" s="277"/>
      <c r="AC131" s="277"/>
      <c r="AD131" s="277"/>
      <c r="AE131" s="277"/>
      <c r="AF131" s="277"/>
      <c r="AG131" s="277"/>
      <c r="AH131" s="277"/>
      <c r="AI131" s="277"/>
      <c r="AJ131" s="277"/>
      <c r="AK131" s="277"/>
      <c r="AL131" s="277"/>
      <c r="AM131" s="277"/>
      <c r="AN131" s="277"/>
      <c r="AO131" s="277"/>
      <c r="AP131" s="277"/>
      <c r="AQ131" s="277"/>
      <c r="AR131" s="277"/>
      <c r="AS131" s="277"/>
      <c r="AT131" s="277"/>
      <c r="AU131" s="277"/>
      <c r="AV131" s="277"/>
      <c r="AW131" s="277"/>
      <c r="AX131" s="277"/>
      <c r="AY131" s="277"/>
      <c r="AZ131" s="277"/>
      <c r="BA131" s="277"/>
      <c r="BB131" s="277"/>
      <c r="BC131" s="277"/>
      <c r="BD131" s="277"/>
      <c r="BE131" s="277"/>
      <c r="BF131" s="277"/>
      <c r="BG131" s="277"/>
      <c r="BH131" s="277"/>
      <c r="BI131" s="277"/>
      <c r="BJ131" s="277"/>
      <c r="BK131" s="277"/>
      <c r="BL131" s="277"/>
      <c r="BM131" s="277"/>
      <c r="BN131" s="277"/>
      <c r="BO131" s="277"/>
      <c r="BP131" s="277"/>
      <c r="BQ131" s="277"/>
      <c r="BR131" s="277"/>
      <c r="BS131" s="281"/>
      <c r="BT131" s="281"/>
      <c r="BU131" s="281"/>
      <c r="BV131" s="281"/>
      <c r="BW131" s="281"/>
      <c r="BX131" s="281"/>
      <c r="BY131" s="281"/>
      <c r="BZ131" s="281"/>
      <c r="CA131" s="281"/>
      <c r="CB131" s="281"/>
      <c r="CC131" s="281"/>
      <c r="CD131" s="281"/>
      <c r="CE131" s="281"/>
      <c r="CF131" s="281"/>
      <c r="CG131" s="281"/>
      <c r="CH131" s="281"/>
      <c r="CI131" s="281"/>
    </row>
    <row r="132" spans="1:87">
      <c r="A132" s="277"/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77"/>
      <c r="AB132" s="277"/>
      <c r="AC132" s="277"/>
      <c r="AD132" s="277"/>
      <c r="AE132" s="277"/>
      <c r="AF132" s="277"/>
      <c r="AG132" s="277"/>
      <c r="AH132" s="277"/>
      <c r="AI132" s="277"/>
      <c r="AJ132" s="277"/>
      <c r="AK132" s="277"/>
      <c r="AL132" s="277"/>
      <c r="AM132" s="277"/>
      <c r="AN132" s="277"/>
      <c r="AO132" s="277"/>
      <c r="AP132" s="277"/>
      <c r="AQ132" s="277"/>
      <c r="AR132" s="277"/>
      <c r="AS132" s="277"/>
      <c r="AT132" s="277"/>
      <c r="AU132" s="277"/>
      <c r="AV132" s="277"/>
      <c r="AW132" s="277"/>
      <c r="AX132" s="277"/>
      <c r="AY132" s="277"/>
      <c r="AZ132" s="277"/>
      <c r="BA132" s="277"/>
      <c r="BB132" s="277"/>
      <c r="BC132" s="277"/>
      <c r="BD132" s="277"/>
      <c r="BE132" s="277"/>
      <c r="BF132" s="277"/>
      <c r="BG132" s="277"/>
      <c r="BH132" s="277"/>
      <c r="BI132" s="277"/>
      <c r="BJ132" s="277"/>
      <c r="BK132" s="277"/>
      <c r="BL132" s="277"/>
      <c r="BM132" s="277"/>
      <c r="BN132" s="277"/>
      <c r="BO132" s="277"/>
      <c r="BP132" s="277"/>
      <c r="BQ132" s="277"/>
      <c r="BR132" s="277"/>
      <c r="BS132" s="281"/>
      <c r="BT132" s="281"/>
      <c r="BU132" s="281"/>
      <c r="BV132" s="281"/>
      <c r="BW132" s="281"/>
      <c r="BX132" s="281"/>
      <c r="BY132" s="281"/>
      <c r="BZ132" s="281"/>
      <c r="CA132" s="281"/>
      <c r="CB132" s="281"/>
      <c r="CC132" s="281"/>
      <c r="CD132" s="281"/>
      <c r="CE132" s="281"/>
      <c r="CF132" s="281"/>
      <c r="CG132" s="281"/>
      <c r="CH132" s="281"/>
      <c r="CI132" s="281"/>
    </row>
    <row r="133" spans="1:87">
      <c r="A133" s="277"/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77"/>
      <c r="AB133" s="277"/>
      <c r="AC133" s="277"/>
      <c r="AD133" s="277"/>
      <c r="AE133" s="277"/>
      <c r="AF133" s="277"/>
      <c r="AG133" s="277"/>
      <c r="AH133" s="277"/>
      <c r="AI133" s="277"/>
      <c r="AJ133" s="277"/>
      <c r="AK133" s="277"/>
      <c r="AL133" s="277"/>
      <c r="AM133" s="277"/>
      <c r="AN133" s="277"/>
      <c r="AO133" s="277"/>
      <c r="AP133" s="277"/>
      <c r="AQ133" s="277"/>
      <c r="AR133" s="277"/>
      <c r="AS133" s="277"/>
      <c r="AT133" s="277"/>
      <c r="AU133" s="277"/>
      <c r="AV133" s="277"/>
      <c r="AW133" s="277"/>
      <c r="AX133" s="277"/>
      <c r="AY133" s="277"/>
      <c r="AZ133" s="277"/>
      <c r="BA133" s="277"/>
      <c r="BB133" s="277"/>
      <c r="BC133" s="277"/>
      <c r="BD133" s="277"/>
      <c r="BE133" s="277"/>
      <c r="BF133" s="277"/>
      <c r="BG133" s="277"/>
      <c r="BH133" s="277"/>
      <c r="BI133" s="277"/>
      <c r="BJ133" s="277"/>
      <c r="BK133" s="277"/>
      <c r="BL133" s="277"/>
      <c r="BM133" s="277"/>
      <c r="BN133" s="277"/>
      <c r="BO133" s="277"/>
      <c r="BP133" s="277"/>
      <c r="BQ133" s="277"/>
      <c r="BR133" s="277"/>
      <c r="BS133" s="281"/>
      <c r="BT133" s="281"/>
      <c r="BU133" s="281"/>
      <c r="BV133" s="281"/>
      <c r="BW133" s="281"/>
      <c r="BX133" s="281"/>
      <c r="BY133" s="281"/>
      <c r="BZ133" s="281"/>
      <c r="CA133" s="281"/>
      <c r="CB133" s="281"/>
      <c r="CC133" s="281"/>
      <c r="CD133" s="281"/>
      <c r="CE133" s="281"/>
      <c r="CF133" s="281"/>
      <c r="CG133" s="281"/>
      <c r="CH133" s="281"/>
      <c r="CI133" s="281"/>
    </row>
    <row r="134" spans="1:87">
      <c r="A134" s="277"/>
      <c r="B134" s="277"/>
      <c r="C134" s="277"/>
      <c r="D134" s="277"/>
      <c r="E134" s="277"/>
      <c r="F134" s="277"/>
      <c r="G134" s="277"/>
      <c r="H134" s="277"/>
      <c r="I134" s="277"/>
      <c r="J134" s="277"/>
      <c r="K134" s="277"/>
      <c r="L134" s="277"/>
      <c r="M134" s="277"/>
      <c r="N134" s="277"/>
      <c r="O134" s="277"/>
      <c r="P134" s="277"/>
      <c r="Q134" s="277"/>
      <c r="R134" s="277"/>
      <c r="S134" s="277"/>
      <c r="T134" s="277"/>
      <c r="U134" s="277"/>
      <c r="V134" s="277"/>
      <c r="W134" s="277"/>
      <c r="X134" s="277"/>
      <c r="Y134" s="277"/>
      <c r="Z134" s="277"/>
      <c r="AA134" s="277"/>
      <c r="AB134" s="277"/>
      <c r="AC134" s="277"/>
      <c r="AD134" s="277"/>
      <c r="AE134" s="277"/>
      <c r="AF134" s="277"/>
      <c r="AG134" s="277"/>
      <c r="AH134" s="277"/>
      <c r="AI134" s="277"/>
      <c r="AJ134" s="277"/>
      <c r="AK134" s="277"/>
      <c r="AL134" s="277"/>
      <c r="AM134" s="277"/>
      <c r="AN134" s="277"/>
      <c r="AO134" s="277"/>
      <c r="AP134" s="277"/>
      <c r="AQ134" s="277"/>
      <c r="AR134" s="277"/>
      <c r="AS134" s="277"/>
      <c r="AT134" s="277"/>
      <c r="AU134" s="277"/>
      <c r="AV134" s="277"/>
      <c r="AW134" s="277"/>
      <c r="AX134" s="277"/>
      <c r="AY134" s="277"/>
      <c r="AZ134" s="277"/>
      <c r="BA134" s="277"/>
      <c r="BB134" s="277"/>
      <c r="BC134" s="277"/>
      <c r="BD134" s="277"/>
      <c r="BE134" s="277"/>
      <c r="BF134" s="277"/>
      <c r="BG134" s="277"/>
      <c r="BH134" s="277"/>
      <c r="BI134" s="277"/>
      <c r="BJ134" s="277"/>
      <c r="BK134" s="277"/>
      <c r="BL134" s="277"/>
      <c r="BM134" s="277"/>
      <c r="BN134" s="277"/>
      <c r="BO134" s="277"/>
      <c r="BP134" s="277"/>
      <c r="BQ134" s="277"/>
      <c r="BR134" s="277"/>
      <c r="BS134" s="281"/>
      <c r="BT134" s="281"/>
      <c r="BU134" s="281"/>
      <c r="BV134" s="281"/>
      <c r="BW134" s="281"/>
      <c r="BX134" s="281"/>
      <c r="BY134" s="281"/>
      <c r="BZ134" s="281"/>
      <c r="CA134" s="281"/>
      <c r="CB134" s="281"/>
      <c r="CC134" s="281"/>
      <c r="CD134" s="281"/>
      <c r="CE134" s="281"/>
      <c r="CF134" s="281"/>
      <c r="CG134" s="281"/>
      <c r="CH134" s="281"/>
      <c r="CI134" s="281"/>
    </row>
    <row r="135" spans="1:87">
      <c r="A135" s="277"/>
      <c r="B135" s="277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77"/>
      <c r="O135" s="277"/>
      <c r="P135" s="277"/>
      <c r="Q135" s="277"/>
      <c r="R135" s="277"/>
      <c r="S135" s="277"/>
      <c r="T135" s="277"/>
      <c r="U135" s="277"/>
      <c r="V135" s="277"/>
      <c r="W135" s="277"/>
      <c r="X135" s="277"/>
      <c r="Y135" s="277"/>
      <c r="Z135" s="277"/>
      <c r="AA135" s="277"/>
      <c r="AB135" s="277"/>
      <c r="AC135" s="277"/>
      <c r="AD135" s="277"/>
      <c r="AE135" s="277"/>
      <c r="AF135" s="277"/>
      <c r="AG135" s="277"/>
      <c r="AH135" s="277"/>
      <c r="AI135" s="277"/>
      <c r="AJ135" s="277"/>
      <c r="AK135" s="277"/>
      <c r="AL135" s="277"/>
      <c r="AM135" s="277"/>
      <c r="AN135" s="277"/>
      <c r="AO135" s="277"/>
      <c r="AP135" s="277"/>
      <c r="AQ135" s="277"/>
      <c r="AR135" s="277"/>
      <c r="AS135" s="277"/>
      <c r="AT135" s="277"/>
      <c r="AU135" s="277"/>
      <c r="AV135" s="277"/>
      <c r="AW135" s="277"/>
      <c r="AX135" s="277"/>
      <c r="AY135" s="277"/>
      <c r="AZ135" s="277"/>
      <c r="BA135" s="277"/>
      <c r="BB135" s="277"/>
      <c r="BC135" s="277"/>
      <c r="BD135" s="277"/>
      <c r="BE135" s="277"/>
      <c r="BF135" s="277"/>
      <c r="BG135" s="277"/>
      <c r="BH135" s="277"/>
      <c r="BI135" s="277"/>
      <c r="BJ135" s="277"/>
      <c r="BK135" s="277"/>
      <c r="BL135" s="277"/>
      <c r="BM135" s="277"/>
      <c r="BN135" s="277"/>
      <c r="BO135" s="277"/>
      <c r="BP135" s="277"/>
      <c r="BQ135" s="277"/>
      <c r="BR135" s="277"/>
      <c r="BS135" s="281"/>
      <c r="BT135" s="281"/>
      <c r="BU135" s="281"/>
      <c r="BV135" s="281"/>
      <c r="BW135" s="281"/>
      <c r="BX135" s="281"/>
      <c r="BY135" s="281"/>
      <c r="BZ135" s="281"/>
      <c r="CA135" s="281"/>
      <c r="CB135" s="281"/>
      <c r="CC135" s="281"/>
      <c r="CD135" s="281"/>
      <c r="CE135" s="281"/>
      <c r="CF135" s="281"/>
      <c r="CG135" s="281"/>
      <c r="CH135" s="281"/>
      <c r="CI135" s="281"/>
    </row>
    <row r="136" spans="1:87">
      <c r="A136" s="277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77"/>
      <c r="P136" s="277"/>
      <c r="Q136" s="277"/>
      <c r="R136" s="277"/>
      <c r="S136" s="277"/>
      <c r="T136" s="277"/>
      <c r="U136" s="277"/>
      <c r="V136" s="277"/>
      <c r="W136" s="277"/>
      <c r="X136" s="277"/>
      <c r="Y136" s="277"/>
      <c r="Z136" s="277"/>
      <c r="AA136" s="277"/>
      <c r="AB136" s="277"/>
      <c r="AC136" s="277"/>
      <c r="AD136" s="277"/>
      <c r="AE136" s="277"/>
      <c r="AF136" s="277"/>
      <c r="AG136" s="277"/>
      <c r="AH136" s="277"/>
      <c r="AI136" s="277"/>
      <c r="AJ136" s="277"/>
      <c r="AK136" s="277"/>
      <c r="AL136" s="277"/>
      <c r="AM136" s="277"/>
      <c r="AN136" s="277"/>
      <c r="AO136" s="277"/>
      <c r="AP136" s="277"/>
      <c r="AQ136" s="277"/>
      <c r="AR136" s="277"/>
      <c r="AS136" s="277"/>
      <c r="AT136" s="277"/>
      <c r="AU136" s="277"/>
      <c r="AV136" s="277"/>
      <c r="AW136" s="277"/>
      <c r="AX136" s="277"/>
      <c r="AY136" s="277"/>
      <c r="AZ136" s="277"/>
      <c r="BA136" s="277"/>
      <c r="BB136" s="277"/>
      <c r="BC136" s="277"/>
      <c r="BD136" s="277"/>
      <c r="BE136" s="277"/>
      <c r="BF136" s="277"/>
      <c r="BG136" s="277"/>
      <c r="BH136" s="277"/>
      <c r="BI136" s="277"/>
      <c r="BJ136" s="277"/>
      <c r="BK136" s="277"/>
      <c r="BL136" s="277"/>
      <c r="BM136" s="277"/>
      <c r="BN136" s="277"/>
      <c r="BO136" s="277"/>
      <c r="BP136" s="277"/>
      <c r="BQ136" s="277"/>
      <c r="BR136" s="277"/>
      <c r="BS136" s="281"/>
      <c r="BT136" s="281"/>
      <c r="BU136" s="281"/>
      <c r="BV136" s="281"/>
      <c r="BW136" s="281"/>
      <c r="BX136" s="281"/>
      <c r="BY136" s="281"/>
      <c r="BZ136" s="281"/>
      <c r="CA136" s="281"/>
      <c r="CB136" s="281"/>
      <c r="CC136" s="281"/>
      <c r="CD136" s="281"/>
      <c r="CE136" s="281"/>
      <c r="CF136" s="281"/>
      <c r="CG136" s="281"/>
      <c r="CH136" s="281"/>
      <c r="CI136" s="281"/>
    </row>
    <row r="137" spans="1:87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  <c r="Z137" s="277"/>
      <c r="AA137" s="277"/>
      <c r="AB137" s="277"/>
      <c r="AC137" s="277"/>
      <c r="AD137" s="277"/>
      <c r="AE137" s="277"/>
      <c r="AF137" s="277"/>
      <c r="AG137" s="277"/>
      <c r="AH137" s="277"/>
      <c r="AI137" s="277"/>
      <c r="AJ137" s="277"/>
      <c r="AK137" s="277"/>
      <c r="AL137" s="277"/>
      <c r="AM137" s="277"/>
      <c r="AN137" s="277"/>
      <c r="AO137" s="277"/>
      <c r="AP137" s="277"/>
      <c r="AQ137" s="277"/>
      <c r="AR137" s="277"/>
      <c r="AS137" s="277"/>
      <c r="AT137" s="277"/>
      <c r="AU137" s="277"/>
      <c r="AV137" s="277"/>
      <c r="AW137" s="277"/>
      <c r="AX137" s="277"/>
      <c r="AY137" s="277"/>
      <c r="AZ137" s="277"/>
      <c r="BA137" s="277"/>
      <c r="BB137" s="277"/>
      <c r="BC137" s="277"/>
      <c r="BD137" s="277"/>
      <c r="BE137" s="277"/>
      <c r="BF137" s="277"/>
      <c r="BG137" s="277"/>
      <c r="BH137" s="277"/>
      <c r="BI137" s="277"/>
      <c r="BJ137" s="277"/>
      <c r="BK137" s="277"/>
      <c r="BL137" s="277"/>
      <c r="BM137" s="277"/>
      <c r="BN137" s="277"/>
      <c r="BO137" s="277"/>
      <c r="BP137" s="277"/>
      <c r="BQ137" s="277"/>
      <c r="BR137" s="277"/>
      <c r="BS137" s="281"/>
      <c r="BT137" s="281"/>
      <c r="BU137" s="281"/>
      <c r="BV137" s="281"/>
      <c r="BW137" s="281"/>
      <c r="BX137" s="281"/>
      <c r="BY137" s="281"/>
      <c r="BZ137" s="281"/>
      <c r="CA137" s="281"/>
      <c r="CB137" s="281"/>
      <c r="CC137" s="281"/>
      <c r="CD137" s="281"/>
      <c r="CE137" s="281"/>
      <c r="CF137" s="281"/>
      <c r="CG137" s="281"/>
      <c r="CH137" s="281"/>
      <c r="CI137" s="281"/>
    </row>
    <row r="138" spans="1:87">
      <c r="A138" s="277"/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77"/>
      <c r="AB138" s="277"/>
      <c r="AC138" s="277"/>
      <c r="AD138" s="277"/>
      <c r="AE138" s="277"/>
      <c r="AF138" s="277"/>
      <c r="AG138" s="277"/>
      <c r="AH138" s="277"/>
      <c r="AI138" s="277"/>
      <c r="AJ138" s="277"/>
      <c r="AK138" s="277"/>
      <c r="AL138" s="277"/>
      <c r="AM138" s="277"/>
      <c r="AN138" s="277"/>
      <c r="AO138" s="277"/>
      <c r="AP138" s="277"/>
      <c r="AQ138" s="277"/>
      <c r="AR138" s="277"/>
      <c r="AS138" s="277"/>
      <c r="AT138" s="277"/>
      <c r="AU138" s="277"/>
      <c r="AV138" s="277"/>
      <c r="AW138" s="277"/>
      <c r="AX138" s="277"/>
      <c r="AY138" s="277"/>
      <c r="AZ138" s="277"/>
      <c r="BA138" s="277"/>
      <c r="BB138" s="277"/>
      <c r="BC138" s="277"/>
      <c r="BD138" s="277"/>
      <c r="BE138" s="277"/>
      <c r="BF138" s="277"/>
      <c r="BG138" s="277"/>
      <c r="BH138" s="277"/>
      <c r="BI138" s="277"/>
      <c r="BJ138" s="277"/>
      <c r="BK138" s="277"/>
      <c r="BL138" s="277"/>
      <c r="BM138" s="277"/>
      <c r="BN138" s="277"/>
      <c r="BO138" s="277"/>
      <c r="BP138" s="277"/>
      <c r="BQ138" s="277"/>
      <c r="BR138" s="277"/>
      <c r="BS138" s="281"/>
      <c r="BT138" s="281"/>
      <c r="BU138" s="281"/>
      <c r="BV138" s="281"/>
      <c r="BW138" s="281"/>
      <c r="BX138" s="281"/>
      <c r="BY138" s="281"/>
      <c r="BZ138" s="281"/>
      <c r="CA138" s="281"/>
      <c r="CB138" s="281"/>
      <c r="CC138" s="281"/>
      <c r="CD138" s="281"/>
      <c r="CE138" s="281"/>
      <c r="CF138" s="281"/>
      <c r="CG138" s="281"/>
      <c r="CH138" s="281"/>
      <c r="CI138" s="281"/>
    </row>
    <row r="139" spans="1:87">
      <c r="A139" s="277"/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77"/>
      <c r="AB139" s="277"/>
      <c r="AC139" s="277"/>
      <c r="AD139" s="277"/>
      <c r="AE139" s="277"/>
      <c r="AF139" s="277"/>
      <c r="AG139" s="277"/>
      <c r="AH139" s="277"/>
      <c r="AI139" s="277"/>
      <c r="AJ139" s="277"/>
      <c r="AK139" s="277"/>
      <c r="AL139" s="277"/>
      <c r="AM139" s="277"/>
      <c r="AN139" s="277"/>
      <c r="AO139" s="277"/>
      <c r="AP139" s="277"/>
      <c r="AQ139" s="277"/>
      <c r="AR139" s="277"/>
      <c r="AS139" s="277"/>
      <c r="AT139" s="277"/>
      <c r="AU139" s="277"/>
      <c r="AV139" s="277"/>
      <c r="AW139" s="277"/>
      <c r="AX139" s="277"/>
      <c r="AY139" s="277"/>
      <c r="AZ139" s="277"/>
      <c r="BA139" s="277"/>
      <c r="BB139" s="277"/>
      <c r="BC139" s="277"/>
      <c r="BD139" s="277"/>
      <c r="BE139" s="277"/>
      <c r="BF139" s="277"/>
      <c r="BG139" s="277"/>
      <c r="BH139" s="277"/>
      <c r="BI139" s="277"/>
      <c r="BJ139" s="277"/>
      <c r="BK139" s="277"/>
      <c r="BL139" s="277"/>
      <c r="BM139" s="277"/>
      <c r="BN139" s="277"/>
      <c r="BO139" s="277"/>
      <c r="BP139" s="277"/>
      <c r="BQ139" s="277"/>
      <c r="BR139" s="277"/>
      <c r="BS139" s="281"/>
      <c r="BT139" s="281"/>
      <c r="BU139" s="281"/>
      <c r="BV139" s="281"/>
      <c r="BW139" s="281"/>
      <c r="BX139" s="281"/>
      <c r="BY139" s="281"/>
      <c r="BZ139" s="281"/>
      <c r="CA139" s="281"/>
      <c r="CB139" s="281"/>
      <c r="CC139" s="281"/>
      <c r="CD139" s="281"/>
      <c r="CE139" s="281"/>
      <c r="CF139" s="281"/>
      <c r="CG139" s="281"/>
      <c r="CH139" s="281"/>
      <c r="CI139" s="281"/>
    </row>
    <row r="140" spans="1:87">
      <c r="A140" s="277"/>
      <c r="B140" s="277"/>
      <c r="C140" s="277"/>
      <c r="D140" s="277"/>
      <c r="E140" s="277"/>
      <c r="F140" s="277"/>
      <c r="G140" s="277"/>
      <c r="H140" s="277"/>
      <c r="I140" s="277"/>
      <c r="J140" s="277"/>
      <c r="K140" s="277"/>
      <c r="L140" s="277"/>
      <c r="M140" s="277"/>
      <c r="N140" s="277"/>
      <c r="O140" s="277"/>
      <c r="P140" s="277"/>
      <c r="Q140" s="277"/>
      <c r="R140" s="277"/>
      <c r="S140" s="277"/>
      <c r="T140" s="277"/>
      <c r="U140" s="277"/>
      <c r="V140" s="277"/>
      <c r="W140" s="277"/>
      <c r="X140" s="277"/>
      <c r="Y140" s="277"/>
      <c r="Z140" s="277"/>
      <c r="AA140" s="277"/>
      <c r="AB140" s="277"/>
      <c r="AC140" s="277"/>
      <c r="AD140" s="277"/>
      <c r="AE140" s="277"/>
      <c r="AF140" s="277"/>
      <c r="AG140" s="277"/>
      <c r="AH140" s="277"/>
      <c r="AI140" s="277"/>
      <c r="AJ140" s="277"/>
      <c r="AK140" s="277"/>
      <c r="AL140" s="277"/>
      <c r="AM140" s="277"/>
      <c r="AN140" s="277"/>
      <c r="AO140" s="277"/>
      <c r="AP140" s="277"/>
      <c r="AQ140" s="277"/>
      <c r="AR140" s="277"/>
      <c r="AS140" s="277"/>
      <c r="AT140" s="277"/>
      <c r="AU140" s="277"/>
      <c r="AV140" s="277"/>
      <c r="AW140" s="277"/>
      <c r="AX140" s="277"/>
      <c r="AY140" s="277"/>
      <c r="AZ140" s="277"/>
      <c r="BA140" s="277"/>
      <c r="BB140" s="277"/>
      <c r="BC140" s="277"/>
      <c r="BD140" s="277"/>
      <c r="BE140" s="277"/>
      <c r="BF140" s="277"/>
      <c r="BG140" s="277"/>
      <c r="BH140" s="277"/>
      <c r="BI140" s="277"/>
      <c r="BJ140" s="277"/>
      <c r="BK140" s="277"/>
      <c r="BL140" s="277"/>
      <c r="BM140" s="277"/>
      <c r="BN140" s="277"/>
      <c r="BO140" s="277"/>
      <c r="BP140" s="277"/>
      <c r="BQ140" s="277"/>
      <c r="BR140" s="277"/>
      <c r="BS140" s="281"/>
      <c r="BT140" s="281"/>
      <c r="BU140" s="281"/>
      <c r="BV140" s="281"/>
      <c r="BW140" s="281"/>
      <c r="BX140" s="281"/>
      <c r="BY140" s="281"/>
      <c r="BZ140" s="281"/>
      <c r="CA140" s="281"/>
      <c r="CB140" s="281"/>
      <c r="CC140" s="281"/>
      <c r="CD140" s="281"/>
      <c r="CE140" s="281"/>
      <c r="CF140" s="281"/>
      <c r="CG140" s="281"/>
      <c r="CH140" s="281"/>
      <c r="CI140" s="281"/>
    </row>
    <row r="141" spans="1:87">
      <c r="A141" s="277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277"/>
      <c r="P141" s="277"/>
      <c r="Q141" s="277"/>
      <c r="R141" s="277"/>
      <c r="S141" s="277"/>
      <c r="T141" s="277"/>
      <c r="U141" s="277"/>
      <c r="V141" s="277"/>
      <c r="W141" s="277"/>
      <c r="X141" s="277"/>
      <c r="Y141" s="277"/>
      <c r="Z141" s="277"/>
      <c r="AA141" s="277"/>
      <c r="AB141" s="277"/>
      <c r="AC141" s="277"/>
      <c r="AD141" s="277"/>
      <c r="AE141" s="277"/>
      <c r="AF141" s="277"/>
      <c r="AG141" s="277"/>
      <c r="AH141" s="277"/>
      <c r="AI141" s="277"/>
      <c r="AJ141" s="277"/>
      <c r="AK141" s="277"/>
      <c r="AL141" s="277"/>
      <c r="AM141" s="277"/>
      <c r="AN141" s="277"/>
      <c r="AO141" s="277"/>
      <c r="AP141" s="277"/>
      <c r="AQ141" s="277"/>
      <c r="AR141" s="277"/>
      <c r="AS141" s="277"/>
      <c r="AT141" s="277"/>
      <c r="AU141" s="277"/>
      <c r="AV141" s="277"/>
      <c r="AW141" s="277"/>
      <c r="AX141" s="277"/>
      <c r="AY141" s="277"/>
      <c r="AZ141" s="277"/>
      <c r="BA141" s="277"/>
      <c r="BB141" s="277"/>
      <c r="BC141" s="277"/>
      <c r="BD141" s="277"/>
      <c r="BE141" s="277"/>
      <c r="BF141" s="277"/>
      <c r="BG141" s="277"/>
      <c r="BH141" s="277"/>
      <c r="BI141" s="277"/>
      <c r="BJ141" s="277"/>
      <c r="BK141" s="277"/>
      <c r="BL141" s="277"/>
      <c r="BM141" s="277"/>
      <c r="BN141" s="277"/>
      <c r="BO141" s="277"/>
      <c r="BP141" s="277"/>
      <c r="BQ141" s="277"/>
      <c r="BR141" s="277"/>
      <c r="BS141" s="281"/>
      <c r="BT141" s="281"/>
      <c r="BU141" s="281"/>
      <c r="BV141" s="281"/>
      <c r="BW141" s="281"/>
      <c r="BX141" s="281"/>
      <c r="BY141" s="281"/>
      <c r="BZ141" s="281"/>
      <c r="CA141" s="281"/>
      <c r="CB141" s="281"/>
      <c r="CC141" s="281"/>
      <c r="CD141" s="281"/>
      <c r="CE141" s="281"/>
      <c r="CF141" s="281"/>
      <c r="CG141" s="281"/>
      <c r="CH141" s="281"/>
      <c r="CI141" s="281"/>
    </row>
    <row r="142" spans="1:87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77"/>
      <c r="P142" s="277"/>
      <c r="Q142" s="277"/>
      <c r="R142" s="277"/>
      <c r="S142" s="277"/>
      <c r="T142" s="277"/>
      <c r="U142" s="277"/>
      <c r="V142" s="277"/>
      <c r="W142" s="277"/>
      <c r="X142" s="277"/>
      <c r="Y142" s="277"/>
      <c r="Z142" s="277"/>
      <c r="AA142" s="277"/>
      <c r="AB142" s="277"/>
      <c r="AC142" s="277"/>
      <c r="AD142" s="277"/>
      <c r="AE142" s="277"/>
      <c r="AF142" s="277"/>
      <c r="AG142" s="277"/>
      <c r="AH142" s="277"/>
      <c r="AI142" s="277"/>
      <c r="AJ142" s="277"/>
      <c r="AK142" s="277"/>
      <c r="AL142" s="277"/>
      <c r="AM142" s="277"/>
      <c r="AN142" s="277"/>
      <c r="AO142" s="277"/>
      <c r="AP142" s="277"/>
      <c r="AQ142" s="277"/>
      <c r="AR142" s="277"/>
      <c r="AS142" s="277"/>
      <c r="AT142" s="277"/>
      <c r="AU142" s="277"/>
      <c r="AV142" s="277"/>
      <c r="AW142" s="277"/>
      <c r="AX142" s="277"/>
      <c r="AY142" s="277"/>
      <c r="AZ142" s="277"/>
      <c r="BA142" s="277"/>
      <c r="BB142" s="277"/>
      <c r="BC142" s="277"/>
      <c r="BD142" s="277"/>
      <c r="BE142" s="277"/>
      <c r="BF142" s="277"/>
      <c r="BG142" s="277"/>
      <c r="BH142" s="277"/>
      <c r="BI142" s="277"/>
      <c r="BJ142" s="277"/>
      <c r="BK142" s="277"/>
      <c r="BL142" s="277"/>
      <c r="BM142" s="277"/>
      <c r="BN142" s="277"/>
      <c r="BO142" s="277"/>
      <c r="BP142" s="277"/>
      <c r="BQ142" s="277"/>
      <c r="BR142" s="277"/>
      <c r="BS142" s="281"/>
      <c r="BT142" s="281"/>
      <c r="BU142" s="281"/>
      <c r="BV142" s="281"/>
      <c r="BW142" s="281"/>
      <c r="BX142" s="281"/>
      <c r="BY142" s="281"/>
      <c r="BZ142" s="281"/>
      <c r="CA142" s="281"/>
      <c r="CB142" s="281"/>
      <c r="CC142" s="281"/>
      <c r="CD142" s="281"/>
      <c r="CE142" s="281"/>
      <c r="CF142" s="281"/>
      <c r="CG142" s="281"/>
      <c r="CH142" s="281"/>
      <c r="CI142" s="281"/>
    </row>
    <row r="143" spans="1:87">
      <c r="A143" s="277"/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77"/>
      <c r="AB143" s="277"/>
      <c r="AC143" s="277"/>
      <c r="AD143" s="277"/>
      <c r="AE143" s="277"/>
      <c r="AF143" s="277"/>
      <c r="AG143" s="277"/>
      <c r="AH143" s="277"/>
      <c r="AI143" s="277"/>
      <c r="AJ143" s="277"/>
      <c r="AK143" s="277"/>
      <c r="AL143" s="277"/>
      <c r="AM143" s="277"/>
      <c r="AN143" s="277"/>
      <c r="AO143" s="277"/>
      <c r="AP143" s="277"/>
      <c r="AQ143" s="277"/>
      <c r="AR143" s="277"/>
      <c r="AS143" s="277"/>
      <c r="AT143" s="277"/>
      <c r="AU143" s="277"/>
      <c r="AV143" s="277"/>
      <c r="AW143" s="277"/>
      <c r="AX143" s="277"/>
      <c r="AY143" s="277"/>
      <c r="AZ143" s="277"/>
      <c r="BA143" s="277"/>
      <c r="BB143" s="277"/>
      <c r="BC143" s="277"/>
      <c r="BD143" s="277"/>
      <c r="BE143" s="277"/>
      <c r="BF143" s="277"/>
      <c r="BG143" s="277"/>
      <c r="BH143" s="277"/>
      <c r="BI143" s="277"/>
      <c r="BJ143" s="277"/>
      <c r="BK143" s="277"/>
      <c r="BL143" s="277"/>
      <c r="BM143" s="277"/>
      <c r="BN143" s="277"/>
      <c r="BO143" s="277"/>
      <c r="BP143" s="277"/>
      <c r="BQ143" s="277"/>
      <c r="BR143" s="277"/>
      <c r="BS143" s="281"/>
      <c r="BT143" s="281"/>
      <c r="BU143" s="281"/>
      <c r="BV143" s="281"/>
      <c r="BW143" s="281"/>
      <c r="BX143" s="281"/>
      <c r="BY143" s="281"/>
      <c r="BZ143" s="281"/>
      <c r="CA143" s="281"/>
      <c r="CB143" s="281"/>
      <c r="CC143" s="281"/>
      <c r="CD143" s="281"/>
      <c r="CE143" s="281"/>
      <c r="CF143" s="281"/>
      <c r="CG143" s="281"/>
      <c r="CH143" s="281"/>
      <c r="CI143" s="281"/>
    </row>
    <row r="144" spans="1:87">
      <c r="A144" s="277"/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77"/>
      <c r="AB144" s="277"/>
      <c r="AC144" s="277"/>
      <c r="AD144" s="277"/>
      <c r="AE144" s="277"/>
      <c r="AF144" s="277"/>
      <c r="AG144" s="277"/>
      <c r="AH144" s="277"/>
      <c r="AI144" s="277"/>
      <c r="AJ144" s="277"/>
      <c r="AK144" s="277"/>
      <c r="AL144" s="277"/>
      <c r="AM144" s="277"/>
      <c r="AN144" s="277"/>
      <c r="AO144" s="277"/>
      <c r="AP144" s="277"/>
      <c r="AQ144" s="277"/>
      <c r="AR144" s="277"/>
      <c r="AS144" s="277"/>
      <c r="AT144" s="277"/>
      <c r="AU144" s="277"/>
      <c r="AV144" s="277"/>
      <c r="AW144" s="277"/>
      <c r="AX144" s="277"/>
      <c r="AY144" s="277"/>
      <c r="AZ144" s="277"/>
      <c r="BA144" s="277"/>
      <c r="BB144" s="277"/>
      <c r="BC144" s="277"/>
      <c r="BD144" s="277"/>
      <c r="BE144" s="277"/>
      <c r="BF144" s="277"/>
      <c r="BG144" s="277"/>
      <c r="BH144" s="277"/>
      <c r="BI144" s="277"/>
      <c r="BJ144" s="277"/>
      <c r="BK144" s="277"/>
      <c r="BL144" s="277"/>
      <c r="BM144" s="277"/>
      <c r="BN144" s="277"/>
      <c r="BO144" s="277"/>
      <c r="BP144" s="277"/>
      <c r="BQ144" s="277"/>
      <c r="BR144" s="277"/>
      <c r="BS144" s="281"/>
      <c r="BT144" s="281"/>
      <c r="BU144" s="281"/>
      <c r="BV144" s="281"/>
      <c r="BW144" s="281"/>
      <c r="BX144" s="281"/>
      <c r="BY144" s="281"/>
      <c r="BZ144" s="281"/>
      <c r="CA144" s="281"/>
      <c r="CB144" s="281"/>
      <c r="CC144" s="281"/>
      <c r="CD144" s="281"/>
      <c r="CE144" s="281"/>
      <c r="CF144" s="281"/>
      <c r="CG144" s="281"/>
      <c r="CH144" s="281"/>
      <c r="CI144" s="281"/>
    </row>
    <row r="145" spans="1:87">
      <c r="A145" s="277"/>
      <c r="B145" s="277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  <c r="AA145" s="277"/>
      <c r="AB145" s="277"/>
      <c r="AC145" s="277"/>
      <c r="AD145" s="277"/>
      <c r="AE145" s="277"/>
      <c r="AF145" s="277"/>
      <c r="AG145" s="277"/>
      <c r="AH145" s="277"/>
      <c r="AI145" s="277"/>
      <c r="AJ145" s="277"/>
      <c r="AK145" s="277"/>
      <c r="AL145" s="277"/>
      <c r="AM145" s="277"/>
      <c r="AN145" s="277"/>
      <c r="AO145" s="277"/>
      <c r="AP145" s="277"/>
      <c r="AQ145" s="277"/>
      <c r="AR145" s="277"/>
      <c r="AS145" s="277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7"/>
      <c r="BH145" s="277"/>
      <c r="BI145" s="277"/>
      <c r="BJ145" s="277"/>
      <c r="BK145" s="277"/>
      <c r="BL145" s="277"/>
      <c r="BM145" s="277"/>
      <c r="BN145" s="277"/>
      <c r="BO145" s="277"/>
      <c r="BP145" s="277"/>
      <c r="BQ145" s="277"/>
      <c r="BR145" s="277"/>
      <c r="BS145" s="281"/>
      <c r="BT145" s="281"/>
      <c r="BU145" s="281"/>
      <c r="BV145" s="281"/>
      <c r="BW145" s="281"/>
      <c r="BX145" s="281"/>
      <c r="BY145" s="281"/>
      <c r="BZ145" s="281"/>
      <c r="CA145" s="281"/>
      <c r="CB145" s="281"/>
      <c r="CC145" s="281"/>
      <c r="CD145" s="281"/>
      <c r="CE145" s="281"/>
      <c r="CF145" s="281"/>
      <c r="CG145" s="281"/>
      <c r="CH145" s="281"/>
      <c r="CI145" s="281"/>
    </row>
    <row r="146" spans="1:87">
      <c r="A146" s="277"/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77"/>
      <c r="P146" s="277"/>
      <c r="Q146" s="277"/>
      <c r="R146" s="277"/>
      <c r="S146" s="277"/>
      <c r="T146" s="277"/>
      <c r="U146" s="277"/>
      <c r="V146" s="277"/>
      <c r="W146" s="277"/>
      <c r="X146" s="277"/>
      <c r="Y146" s="277"/>
      <c r="Z146" s="277"/>
      <c r="AA146" s="277"/>
      <c r="AB146" s="277"/>
      <c r="AC146" s="277"/>
      <c r="AD146" s="277"/>
      <c r="AE146" s="277"/>
      <c r="AF146" s="277"/>
      <c r="AG146" s="277"/>
      <c r="AH146" s="277"/>
      <c r="AI146" s="277"/>
      <c r="AJ146" s="277"/>
      <c r="AK146" s="277"/>
      <c r="AL146" s="277"/>
      <c r="AM146" s="277"/>
      <c r="AN146" s="277"/>
      <c r="AO146" s="277"/>
      <c r="AP146" s="277"/>
      <c r="AQ146" s="277"/>
      <c r="AR146" s="277"/>
      <c r="AS146" s="277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7"/>
      <c r="BH146" s="277"/>
      <c r="BI146" s="277"/>
      <c r="BJ146" s="277"/>
      <c r="BK146" s="277"/>
      <c r="BL146" s="277"/>
      <c r="BM146" s="277"/>
      <c r="BN146" s="277"/>
      <c r="BO146" s="277"/>
      <c r="BP146" s="277"/>
      <c r="BQ146" s="277"/>
      <c r="BR146" s="277"/>
      <c r="BS146" s="281"/>
      <c r="BT146" s="281"/>
      <c r="BU146" s="281"/>
      <c r="BV146" s="281"/>
      <c r="BW146" s="281"/>
      <c r="BX146" s="281"/>
      <c r="BY146" s="281"/>
      <c r="BZ146" s="281"/>
      <c r="CA146" s="281"/>
      <c r="CB146" s="281"/>
      <c r="CC146" s="281"/>
      <c r="CD146" s="281"/>
      <c r="CE146" s="281"/>
      <c r="CF146" s="281"/>
      <c r="CG146" s="281"/>
      <c r="CH146" s="281"/>
      <c r="CI146" s="281"/>
    </row>
    <row r="147" spans="1:87">
      <c r="A147" s="277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277"/>
      <c r="P147" s="277"/>
      <c r="Q147" s="277"/>
      <c r="R147" s="277"/>
      <c r="S147" s="277"/>
      <c r="T147" s="277"/>
      <c r="U147" s="277"/>
      <c r="V147" s="277"/>
      <c r="W147" s="277"/>
      <c r="X147" s="277"/>
      <c r="Y147" s="277"/>
      <c r="Z147" s="277"/>
      <c r="AA147" s="277"/>
      <c r="AB147" s="277"/>
      <c r="AC147" s="277"/>
      <c r="AD147" s="277"/>
      <c r="AE147" s="277"/>
      <c r="AF147" s="277"/>
      <c r="AG147" s="277"/>
      <c r="AH147" s="277"/>
      <c r="AI147" s="277"/>
      <c r="AJ147" s="277"/>
      <c r="AK147" s="277"/>
      <c r="AL147" s="277"/>
      <c r="AM147" s="277"/>
      <c r="AN147" s="277"/>
      <c r="AO147" s="277"/>
      <c r="AP147" s="277"/>
      <c r="AQ147" s="277"/>
      <c r="AR147" s="277"/>
      <c r="AS147" s="277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7"/>
      <c r="BH147" s="277"/>
      <c r="BI147" s="277"/>
      <c r="BJ147" s="277"/>
      <c r="BK147" s="277"/>
      <c r="BL147" s="277"/>
      <c r="BM147" s="277"/>
      <c r="BN147" s="277"/>
      <c r="BO147" s="277"/>
      <c r="BP147" s="277"/>
      <c r="BQ147" s="277"/>
      <c r="BR147" s="277"/>
      <c r="BS147" s="281"/>
      <c r="BT147" s="281"/>
      <c r="BU147" s="281"/>
      <c r="BV147" s="281"/>
      <c r="BW147" s="281"/>
      <c r="BX147" s="281"/>
      <c r="BY147" s="281"/>
      <c r="BZ147" s="281"/>
      <c r="CA147" s="281"/>
      <c r="CB147" s="281"/>
      <c r="CC147" s="281"/>
      <c r="CD147" s="281"/>
      <c r="CE147" s="281"/>
      <c r="CF147" s="281"/>
      <c r="CG147" s="281"/>
      <c r="CH147" s="281"/>
      <c r="CI147" s="281"/>
    </row>
    <row r="148" spans="1:87">
      <c r="A148" s="277"/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  <c r="AA148" s="277"/>
      <c r="AB148" s="277"/>
      <c r="AC148" s="277"/>
      <c r="AD148" s="277"/>
      <c r="AE148" s="277"/>
      <c r="AF148" s="277"/>
      <c r="AG148" s="277"/>
      <c r="AH148" s="277"/>
      <c r="AI148" s="277"/>
      <c r="AJ148" s="277"/>
      <c r="AK148" s="277"/>
      <c r="AL148" s="277"/>
      <c r="AM148" s="277"/>
      <c r="AN148" s="277"/>
      <c r="AO148" s="277"/>
      <c r="AP148" s="277"/>
      <c r="AQ148" s="277"/>
      <c r="AR148" s="277"/>
      <c r="AS148" s="277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7"/>
      <c r="BH148" s="277"/>
      <c r="BI148" s="277"/>
      <c r="BJ148" s="277"/>
      <c r="BK148" s="277"/>
      <c r="BL148" s="277"/>
      <c r="BM148" s="277"/>
      <c r="BN148" s="277"/>
      <c r="BO148" s="277"/>
      <c r="BP148" s="277"/>
      <c r="BQ148" s="277"/>
      <c r="BR148" s="277"/>
      <c r="BS148" s="281"/>
      <c r="BT148" s="281"/>
      <c r="BU148" s="281"/>
      <c r="BV148" s="281"/>
      <c r="BW148" s="281"/>
      <c r="BX148" s="281"/>
      <c r="BY148" s="281"/>
      <c r="BZ148" s="281"/>
      <c r="CA148" s="281"/>
      <c r="CB148" s="281"/>
      <c r="CC148" s="281"/>
      <c r="CD148" s="281"/>
      <c r="CE148" s="281"/>
      <c r="CF148" s="281"/>
      <c r="CG148" s="281"/>
      <c r="CH148" s="281"/>
      <c r="CI148" s="281"/>
    </row>
    <row r="149" spans="1:87">
      <c r="A149" s="277"/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77"/>
      <c r="AB149" s="277"/>
      <c r="AC149" s="277"/>
      <c r="AD149" s="277"/>
      <c r="AE149" s="277"/>
      <c r="AF149" s="277"/>
      <c r="AG149" s="277"/>
      <c r="AH149" s="277"/>
      <c r="AI149" s="277"/>
      <c r="AJ149" s="277"/>
      <c r="AK149" s="277"/>
      <c r="AL149" s="277"/>
      <c r="AM149" s="277"/>
      <c r="AN149" s="277"/>
      <c r="AO149" s="277"/>
      <c r="AP149" s="277"/>
      <c r="AQ149" s="277"/>
      <c r="AR149" s="277"/>
      <c r="AS149" s="277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7"/>
      <c r="BH149" s="277"/>
      <c r="BI149" s="277"/>
      <c r="BJ149" s="277"/>
      <c r="BK149" s="277"/>
      <c r="BL149" s="277"/>
      <c r="BM149" s="277"/>
      <c r="BN149" s="277"/>
      <c r="BO149" s="277"/>
      <c r="BP149" s="277"/>
      <c r="BQ149" s="277"/>
      <c r="BR149" s="277"/>
      <c r="BS149" s="281"/>
      <c r="BT149" s="281"/>
      <c r="BU149" s="281"/>
      <c r="BV149" s="281"/>
      <c r="BW149" s="281"/>
      <c r="BX149" s="281"/>
      <c r="BY149" s="281"/>
      <c r="BZ149" s="281"/>
      <c r="CA149" s="281"/>
      <c r="CB149" s="281"/>
      <c r="CC149" s="281"/>
      <c r="CD149" s="281"/>
      <c r="CE149" s="281"/>
      <c r="CF149" s="281"/>
      <c r="CG149" s="281"/>
      <c r="CH149" s="281"/>
      <c r="CI149" s="281"/>
    </row>
    <row r="150" spans="1:87">
      <c r="A150" s="277"/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  <c r="AA150" s="277"/>
      <c r="AB150" s="277"/>
      <c r="AC150" s="277"/>
      <c r="AD150" s="277"/>
      <c r="AE150" s="277"/>
      <c r="AF150" s="277"/>
      <c r="AG150" s="277"/>
      <c r="AH150" s="277"/>
      <c r="AI150" s="277"/>
      <c r="AJ150" s="277"/>
      <c r="AK150" s="277"/>
      <c r="AL150" s="277"/>
      <c r="AM150" s="277"/>
      <c r="AN150" s="277"/>
      <c r="AO150" s="277"/>
      <c r="AP150" s="277"/>
      <c r="AQ150" s="277"/>
      <c r="AR150" s="277"/>
      <c r="AS150" s="277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7"/>
      <c r="BH150" s="277"/>
      <c r="BI150" s="277"/>
      <c r="BJ150" s="277"/>
      <c r="BK150" s="277"/>
      <c r="BL150" s="277"/>
      <c r="BM150" s="277"/>
      <c r="BN150" s="277"/>
      <c r="BO150" s="277"/>
      <c r="BP150" s="277"/>
      <c r="BQ150" s="277"/>
      <c r="BR150" s="277"/>
      <c r="BS150" s="281"/>
      <c r="BT150" s="281"/>
      <c r="BU150" s="281"/>
      <c r="BV150" s="281"/>
      <c r="BW150" s="281"/>
      <c r="BX150" s="281"/>
      <c r="BY150" s="281"/>
      <c r="BZ150" s="281"/>
      <c r="CA150" s="281"/>
      <c r="CB150" s="281"/>
      <c r="CC150" s="281"/>
      <c r="CD150" s="281"/>
      <c r="CE150" s="281"/>
      <c r="CF150" s="281"/>
      <c r="CG150" s="281"/>
      <c r="CH150" s="281"/>
      <c r="CI150" s="281"/>
    </row>
    <row r="151" spans="1:87">
      <c r="A151" s="277"/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  <c r="AA151" s="277"/>
      <c r="AB151" s="277"/>
      <c r="AC151" s="277"/>
      <c r="AD151" s="277"/>
      <c r="AE151" s="277"/>
      <c r="AF151" s="277"/>
      <c r="AG151" s="277"/>
      <c r="AH151" s="277"/>
      <c r="AI151" s="277"/>
      <c r="AJ151" s="277"/>
      <c r="AK151" s="277"/>
      <c r="AL151" s="277"/>
      <c r="AM151" s="277"/>
      <c r="AN151" s="277"/>
      <c r="AO151" s="277"/>
      <c r="AP151" s="277"/>
      <c r="AQ151" s="277"/>
      <c r="AR151" s="277"/>
      <c r="AS151" s="277"/>
      <c r="AT151" s="277"/>
      <c r="AU151" s="277"/>
      <c r="AV151" s="277"/>
      <c r="AW151" s="277"/>
      <c r="AX151" s="277"/>
      <c r="AY151" s="277"/>
      <c r="AZ151" s="277"/>
      <c r="BA151" s="277"/>
      <c r="BB151" s="277"/>
      <c r="BC151" s="277"/>
      <c r="BD151" s="277"/>
      <c r="BE151" s="277"/>
      <c r="BF151" s="277"/>
      <c r="BG151" s="277"/>
      <c r="BH151" s="277"/>
      <c r="BI151" s="277"/>
      <c r="BJ151" s="277"/>
      <c r="BK151" s="277"/>
      <c r="BL151" s="277"/>
      <c r="BM151" s="277"/>
      <c r="BN151" s="277"/>
      <c r="BO151" s="277"/>
      <c r="BP151" s="277"/>
      <c r="BQ151" s="277"/>
      <c r="BR151" s="277"/>
      <c r="BS151" s="281"/>
      <c r="BT151" s="281"/>
      <c r="BU151" s="281"/>
      <c r="BV151" s="281"/>
      <c r="BW151" s="281"/>
      <c r="BX151" s="281"/>
      <c r="BY151" s="281"/>
      <c r="BZ151" s="281"/>
      <c r="CA151" s="281"/>
      <c r="CB151" s="281"/>
      <c r="CC151" s="281"/>
      <c r="CD151" s="281"/>
      <c r="CE151" s="281"/>
      <c r="CF151" s="281"/>
      <c r="CG151" s="281"/>
      <c r="CH151" s="281"/>
      <c r="CI151" s="281"/>
    </row>
    <row r="152" spans="1:87">
      <c r="A152" s="277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77"/>
      <c r="P152" s="277"/>
      <c r="Q152" s="277"/>
      <c r="R152" s="277"/>
      <c r="S152" s="277"/>
      <c r="T152" s="277"/>
      <c r="U152" s="277"/>
      <c r="V152" s="277"/>
      <c r="W152" s="277"/>
      <c r="X152" s="277"/>
      <c r="Y152" s="277"/>
      <c r="Z152" s="277"/>
      <c r="AA152" s="277"/>
      <c r="AB152" s="277"/>
      <c r="AC152" s="277"/>
      <c r="AD152" s="277"/>
      <c r="AE152" s="277"/>
      <c r="AF152" s="277"/>
      <c r="AG152" s="277"/>
      <c r="AH152" s="277"/>
      <c r="AI152" s="277"/>
      <c r="AJ152" s="277"/>
      <c r="AK152" s="277"/>
      <c r="AL152" s="277"/>
      <c r="AM152" s="277"/>
      <c r="AN152" s="277"/>
      <c r="AO152" s="277"/>
      <c r="AP152" s="277"/>
      <c r="AQ152" s="277"/>
      <c r="AR152" s="277"/>
      <c r="AS152" s="277"/>
      <c r="AT152" s="277"/>
      <c r="AU152" s="277"/>
      <c r="AV152" s="277"/>
      <c r="AW152" s="277"/>
      <c r="AX152" s="277"/>
      <c r="AY152" s="277"/>
      <c r="AZ152" s="277"/>
      <c r="BA152" s="277"/>
      <c r="BB152" s="277"/>
      <c r="BC152" s="277"/>
      <c r="BD152" s="277"/>
      <c r="BE152" s="277"/>
      <c r="BF152" s="277"/>
      <c r="BG152" s="277"/>
      <c r="BH152" s="277"/>
      <c r="BI152" s="277"/>
      <c r="BJ152" s="277"/>
      <c r="BK152" s="277"/>
      <c r="BL152" s="277"/>
      <c r="BM152" s="277"/>
      <c r="BN152" s="277"/>
      <c r="BO152" s="277"/>
      <c r="BP152" s="277"/>
      <c r="BQ152" s="277"/>
      <c r="BR152" s="277"/>
      <c r="BS152" s="281"/>
      <c r="BT152" s="281"/>
      <c r="BU152" s="281"/>
      <c r="BV152" s="281"/>
      <c r="BW152" s="281"/>
      <c r="BX152" s="281"/>
      <c r="BY152" s="281"/>
      <c r="BZ152" s="281"/>
      <c r="CA152" s="281"/>
      <c r="CB152" s="281"/>
      <c r="CC152" s="281"/>
      <c r="CD152" s="281"/>
      <c r="CE152" s="281"/>
      <c r="CF152" s="281"/>
      <c r="CG152" s="281"/>
      <c r="CH152" s="281"/>
      <c r="CI152" s="281"/>
    </row>
    <row r="153" spans="1:87">
      <c r="A153" s="277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  <c r="AA153" s="277"/>
      <c r="AB153" s="277"/>
      <c r="AC153" s="277"/>
      <c r="AD153" s="277"/>
      <c r="AE153" s="277"/>
      <c r="AF153" s="277"/>
      <c r="AG153" s="277"/>
      <c r="AH153" s="277"/>
      <c r="AI153" s="277"/>
      <c r="AJ153" s="277"/>
      <c r="AK153" s="277"/>
      <c r="AL153" s="277"/>
      <c r="AM153" s="277"/>
      <c r="AN153" s="277"/>
      <c r="AO153" s="277"/>
      <c r="AP153" s="277"/>
      <c r="AQ153" s="277"/>
      <c r="AR153" s="277"/>
      <c r="AS153" s="277"/>
      <c r="AT153" s="277"/>
      <c r="AU153" s="277"/>
      <c r="AV153" s="277"/>
      <c r="AW153" s="277"/>
      <c r="AX153" s="277"/>
      <c r="AY153" s="277"/>
      <c r="AZ153" s="277"/>
      <c r="BA153" s="277"/>
      <c r="BB153" s="277"/>
      <c r="BC153" s="277"/>
      <c r="BD153" s="277"/>
      <c r="BE153" s="277"/>
      <c r="BF153" s="277"/>
      <c r="BG153" s="277"/>
      <c r="BH153" s="277"/>
      <c r="BI153" s="277"/>
      <c r="BJ153" s="277"/>
      <c r="BK153" s="277"/>
      <c r="BL153" s="277"/>
      <c r="BM153" s="277"/>
      <c r="BN153" s="277"/>
      <c r="BO153" s="277"/>
      <c r="BP153" s="277"/>
      <c r="BQ153" s="277"/>
      <c r="BR153" s="277"/>
      <c r="BS153" s="281"/>
      <c r="BT153" s="281"/>
      <c r="BU153" s="281"/>
      <c r="BV153" s="281"/>
      <c r="BW153" s="281"/>
      <c r="BX153" s="281"/>
      <c r="BY153" s="281"/>
      <c r="BZ153" s="281"/>
      <c r="CA153" s="281"/>
      <c r="CB153" s="281"/>
      <c r="CC153" s="281"/>
      <c r="CD153" s="281"/>
      <c r="CE153" s="281"/>
      <c r="CF153" s="281"/>
      <c r="CG153" s="281"/>
      <c r="CH153" s="281"/>
      <c r="CI153" s="281"/>
    </row>
    <row r="154" spans="1:87">
      <c r="A154" s="277"/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77"/>
      <c r="AB154" s="277"/>
      <c r="AC154" s="277"/>
      <c r="AD154" s="277"/>
      <c r="AE154" s="277"/>
      <c r="AF154" s="277"/>
      <c r="AG154" s="277"/>
      <c r="AH154" s="277"/>
      <c r="AI154" s="277"/>
      <c r="AJ154" s="277"/>
      <c r="AK154" s="277"/>
      <c r="AL154" s="277"/>
      <c r="AM154" s="277"/>
      <c r="AN154" s="277"/>
      <c r="AO154" s="277"/>
      <c r="AP154" s="277"/>
      <c r="AQ154" s="277"/>
      <c r="AR154" s="277"/>
      <c r="AS154" s="277"/>
      <c r="AT154" s="277"/>
      <c r="AU154" s="277"/>
      <c r="AV154" s="277"/>
      <c r="AW154" s="277"/>
      <c r="AX154" s="277"/>
      <c r="AY154" s="277"/>
      <c r="AZ154" s="277"/>
      <c r="BA154" s="277"/>
      <c r="BB154" s="277"/>
      <c r="BC154" s="277"/>
      <c r="BD154" s="277"/>
      <c r="BE154" s="277"/>
      <c r="BF154" s="277"/>
      <c r="BG154" s="277"/>
      <c r="BH154" s="277"/>
      <c r="BI154" s="277"/>
      <c r="BJ154" s="277"/>
      <c r="BK154" s="277"/>
      <c r="BL154" s="277"/>
      <c r="BM154" s="277"/>
      <c r="BN154" s="277"/>
      <c r="BO154" s="277"/>
      <c r="BP154" s="277"/>
      <c r="BQ154" s="277"/>
      <c r="BR154" s="277"/>
      <c r="BS154" s="281"/>
      <c r="BT154" s="281"/>
      <c r="BU154" s="281"/>
      <c r="BV154" s="281"/>
      <c r="BW154" s="281"/>
      <c r="BX154" s="281"/>
      <c r="BY154" s="281"/>
      <c r="BZ154" s="281"/>
      <c r="CA154" s="281"/>
      <c r="CB154" s="281"/>
      <c r="CC154" s="281"/>
      <c r="CD154" s="281"/>
      <c r="CE154" s="281"/>
      <c r="CF154" s="281"/>
      <c r="CG154" s="281"/>
      <c r="CH154" s="281"/>
      <c r="CI154" s="281"/>
    </row>
    <row r="155" spans="1:87">
      <c r="A155" s="277"/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  <c r="AA155" s="277"/>
      <c r="AB155" s="277"/>
      <c r="AC155" s="277"/>
      <c r="AD155" s="277"/>
      <c r="AE155" s="277"/>
      <c r="AF155" s="277"/>
      <c r="AG155" s="277"/>
      <c r="AH155" s="277"/>
      <c r="AI155" s="277"/>
      <c r="AJ155" s="277"/>
      <c r="AK155" s="277"/>
      <c r="AL155" s="277"/>
      <c r="AM155" s="277"/>
      <c r="AN155" s="277"/>
      <c r="AO155" s="277"/>
      <c r="AP155" s="277"/>
      <c r="AQ155" s="277"/>
      <c r="AR155" s="277"/>
      <c r="AS155" s="277"/>
      <c r="AT155" s="277"/>
      <c r="AU155" s="277"/>
      <c r="AV155" s="277"/>
      <c r="AW155" s="277"/>
      <c r="AX155" s="277"/>
      <c r="AY155" s="277"/>
      <c r="AZ155" s="277"/>
      <c r="BA155" s="277"/>
      <c r="BB155" s="277"/>
      <c r="BC155" s="277"/>
      <c r="BD155" s="277"/>
      <c r="BE155" s="277"/>
      <c r="BF155" s="277"/>
      <c r="BG155" s="277"/>
      <c r="BH155" s="277"/>
      <c r="BI155" s="277"/>
      <c r="BJ155" s="277"/>
      <c r="BK155" s="277"/>
      <c r="BL155" s="277"/>
      <c r="BM155" s="277"/>
      <c r="BN155" s="277"/>
      <c r="BO155" s="277"/>
      <c r="BP155" s="277"/>
      <c r="BQ155" s="277"/>
      <c r="BR155" s="277"/>
      <c r="BS155" s="281"/>
      <c r="BT155" s="281"/>
      <c r="BU155" s="281"/>
      <c r="BV155" s="281"/>
      <c r="BW155" s="281"/>
      <c r="BX155" s="281"/>
      <c r="BY155" s="281"/>
      <c r="BZ155" s="281"/>
      <c r="CA155" s="281"/>
      <c r="CB155" s="281"/>
      <c r="CC155" s="281"/>
      <c r="CD155" s="281"/>
      <c r="CE155" s="281"/>
      <c r="CF155" s="281"/>
      <c r="CG155" s="281"/>
      <c r="CH155" s="281"/>
      <c r="CI155" s="281"/>
    </row>
    <row r="156" spans="1:87">
      <c r="A156" s="277"/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  <c r="AA156" s="277"/>
      <c r="AB156" s="277"/>
      <c r="AC156" s="277"/>
      <c r="AD156" s="277"/>
      <c r="AE156" s="277"/>
      <c r="AF156" s="277"/>
      <c r="AG156" s="277"/>
      <c r="AH156" s="277"/>
      <c r="AI156" s="277"/>
      <c r="AJ156" s="277"/>
      <c r="AK156" s="277"/>
      <c r="AL156" s="277"/>
      <c r="AM156" s="277"/>
      <c r="AN156" s="277"/>
      <c r="AO156" s="277"/>
      <c r="AP156" s="277"/>
      <c r="AQ156" s="277"/>
      <c r="AR156" s="277"/>
      <c r="AS156" s="277"/>
      <c r="AT156" s="277"/>
      <c r="AU156" s="277"/>
      <c r="AV156" s="277"/>
      <c r="AW156" s="277"/>
      <c r="AX156" s="277"/>
      <c r="AY156" s="277"/>
      <c r="AZ156" s="277"/>
      <c r="BA156" s="277"/>
      <c r="BB156" s="277"/>
      <c r="BC156" s="277"/>
      <c r="BD156" s="277"/>
      <c r="BE156" s="277"/>
      <c r="BF156" s="277"/>
      <c r="BG156" s="277"/>
      <c r="BH156" s="277"/>
      <c r="BI156" s="277"/>
      <c r="BJ156" s="277"/>
      <c r="BK156" s="277"/>
      <c r="BL156" s="277"/>
      <c r="BM156" s="277"/>
      <c r="BN156" s="277"/>
      <c r="BO156" s="277"/>
      <c r="BP156" s="277"/>
      <c r="BQ156" s="277"/>
      <c r="BR156" s="277"/>
      <c r="BS156" s="281"/>
      <c r="BT156" s="281"/>
      <c r="BU156" s="281"/>
      <c r="BV156" s="281"/>
      <c r="BW156" s="281"/>
      <c r="BX156" s="281"/>
      <c r="BY156" s="281"/>
      <c r="BZ156" s="281"/>
      <c r="CA156" s="281"/>
      <c r="CB156" s="281"/>
      <c r="CC156" s="281"/>
      <c r="CD156" s="281"/>
      <c r="CE156" s="281"/>
      <c r="CF156" s="281"/>
      <c r="CG156" s="281"/>
      <c r="CH156" s="281"/>
      <c r="CI156" s="281"/>
    </row>
    <row r="157" spans="1:87">
      <c r="A157" s="277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77"/>
      <c r="P157" s="277"/>
      <c r="Q157" s="277"/>
      <c r="R157" s="277"/>
      <c r="S157" s="277"/>
      <c r="T157" s="277"/>
      <c r="U157" s="277"/>
      <c r="V157" s="277"/>
      <c r="W157" s="277"/>
      <c r="X157" s="277"/>
      <c r="Y157" s="277"/>
      <c r="Z157" s="277"/>
      <c r="AA157" s="277"/>
      <c r="AB157" s="277"/>
      <c r="AC157" s="277"/>
      <c r="AD157" s="277"/>
      <c r="AE157" s="277"/>
      <c r="AF157" s="277"/>
      <c r="AG157" s="277"/>
      <c r="AH157" s="277"/>
      <c r="AI157" s="277"/>
      <c r="AJ157" s="277"/>
      <c r="AK157" s="277"/>
      <c r="AL157" s="277"/>
      <c r="AM157" s="277"/>
      <c r="AN157" s="277"/>
      <c r="AO157" s="277"/>
      <c r="AP157" s="277"/>
      <c r="AQ157" s="277"/>
      <c r="AR157" s="277"/>
      <c r="AS157" s="277"/>
      <c r="AT157" s="277"/>
      <c r="AU157" s="277"/>
      <c r="AV157" s="277"/>
      <c r="AW157" s="277"/>
      <c r="AX157" s="277"/>
      <c r="AY157" s="277"/>
      <c r="AZ157" s="277"/>
      <c r="BA157" s="277"/>
      <c r="BB157" s="277"/>
      <c r="BC157" s="277"/>
      <c r="BD157" s="277"/>
      <c r="BE157" s="277"/>
      <c r="BF157" s="277"/>
      <c r="BG157" s="277"/>
      <c r="BH157" s="277"/>
      <c r="BI157" s="277"/>
      <c r="BJ157" s="277"/>
      <c r="BK157" s="277"/>
      <c r="BL157" s="277"/>
      <c r="BM157" s="277"/>
      <c r="BN157" s="277"/>
      <c r="BO157" s="277"/>
      <c r="BP157" s="277"/>
      <c r="BQ157" s="277"/>
      <c r="BR157" s="277"/>
      <c r="BS157" s="281"/>
      <c r="BT157" s="281"/>
      <c r="BU157" s="281"/>
      <c r="BV157" s="281"/>
      <c r="BW157" s="281"/>
      <c r="BX157" s="281"/>
      <c r="BY157" s="281"/>
      <c r="BZ157" s="281"/>
      <c r="CA157" s="281"/>
      <c r="CB157" s="281"/>
      <c r="CC157" s="281"/>
      <c r="CD157" s="281"/>
      <c r="CE157" s="281"/>
      <c r="CF157" s="281"/>
      <c r="CG157" s="281"/>
      <c r="CH157" s="281"/>
      <c r="CI157" s="281"/>
    </row>
    <row r="158" spans="1:87">
      <c r="A158" s="277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277"/>
      <c r="P158" s="277"/>
      <c r="Q158" s="277"/>
      <c r="R158" s="277"/>
      <c r="S158" s="277"/>
      <c r="T158" s="277"/>
      <c r="U158" s="277"/>
      <c r="V158" s="277"/>
      <c r="W158" s="277"/>
      <c r="X158" s="277"/>
      <c r="Y158" s="277"/>
      <c r="Z158" s="277"/>
      <c r="AA158" s="277"/>
      <c r="AB158" s="277"/>
      <c r="AC158" s="277"/>
      <c r="AD158" s="277"/>
      <c r="AE158" s="277"/>
      <c r="AF158" s="277"/>
      <c r="AG158" s="277"/>
      <c r="AH158" s="277"/>
      <c r="AI158" s="277"/>
      <c r="AJ158" s="277"/>
      <c r="AK158" s="277"/>
      <c r="AL158" s="277"/>
      <c r="AM158" s="277"/>
      <c r="AN158" s="277"/>
      <c r="AO158" s="277"/>
      <c r="AP158" s="277"/>
      <c r="AQ158" s="277"/>
      <c r="AR158" s="277"/>
      <c r="AS158" s="277"/>
      <c r="AT158" s="277"/>
      <c r="AU158" s="277"/>
      <c r="AV158" s="277"/>
      <c r="AW158" s="277"/>
      <c r="AX158" s="277"/>
      <c r="AY158" s="277"/>
      <c r="AZ158" s="277"/>
      <c r="BA158" s="277"/>
      <c r="BB158" s="277"/>
      <c r="BC158" s="277"/>
      <c r="BD158" s="277"/>
      <c r="BE158" s="277"/>
      <c r="BF158" s="277"/>
      <c r="BG158" s="277"/>
      <c r="BH158" s="277"/>
      <c r="BI158" s="277"/>
      <c r="BJ158" s="277"/>
      <c r="BK158" s="277"/>
      <c r="BL158" s="277"/>
      <c r="BM158" s="277"/>
      <c r="BN158" s="277"/>
      <c r="BO158" s="277"/>
      <c r="BP158" s="277"/>
      <c r="BQ158" s="277"/>
      <c r="BR158" s="277"/>
      <c r="BS158" s="281"/>
      <c r="BT158" s="281"/>
      <c r="BU158" s="281"/>
      <c r="BV158" s="281"/>
      <c r="BW158" s="281"/>
      <c r="BX158" s="281"/>
      <c r="BY158" s="281"/>
      <c r="BZ158" s="281"/>
      <c r="CA158" s="281"/>
      <c r="CB158" s="281"/>
      <c r="CC158" s="281"/>
      <c r="CD158" s="281"/>
      <c r="CE158" s="281"/>
      <c r="CF158" s="281"/>
      <c r="CG158" s="281"/>
      <c r="CH158" s="281"/>
      <c r="CI158" s="281"/>
    </row>
    <row r="159" spans="1:87">
      <c r="A159" s="277"/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77"/>
      <c r="AB159" s="277"/>
      <c r="AC159" s="277"/>
      <c r="AD159" s="277"/>
      <c r="AE159" s="277"/>
      <c r="AF159" s="277"/>
      <c r="AG159" s="277"/>
      <c r="AH159" s="277"/>
      <c r="AI159" s="277"/>
      <c r="AJ159" s="277"/>
      <c r="AK159" s="277"/>
      <c r="AL159" s="277"/>
      <c r="AM159" s="277"/>
      <c r="AN159" s="277"/>
      <c r="AO159" s="277"/>
      <c r="AP159" s="277"/>
      <c r="AQ159" s="277"/>
      <c r="AR159" s="277"/>
      <c r="AS159" s="277"/>
      <c r="AT159" s="277"/>
      <c r="AU159" s="277"/>
      <c r="AV159" s="277"/>
      <c r="AW159" s="277"/>
      <c r="AX159" s="277"/>
      <c r="AY159" s="277"/>
      <c r="AZ159" s="277"/>
      <c r="BA159" s="277"/>
      <c r="BB159" s="277"/>
      <c r="BC159" s="277"/>
      <c r="BD159" s="277"/>
      <c r="BE159" s="277"/>
      <c r="BF159" s="277"/>
      <c r="BG159" s="277"/>
      <c r="BH159" s="277"/>
      <c r="BI159" s="277"/>
      <c r="BJ159" s="277"/>
      <c r="BK159" s="277"/>
      <c r="BL159" s="277"/>
      <c r="BM159" s="277"/>
      <c r="BN159" s="277"/>
      <c r="BO159" s="277"/>
      <c r="BP159" s="277"/>
      <c r="BQ159" s="277"/>
      <c r="BR159" s="277"/>
      <c r="BS159" s="281"/>
      <c r="BT159" s="281"/>
      <c r="BU159" s="281"/>
      <c r="BV159" s="281"/>
      <c r="BW159" s="281"/>
      <c r="BX159" s="281"/>
      <c r="BY159" s="281"/>
      <c r="BZ159" s="281"/>
      <c r="CA159" s="281"/>
      <c r="CB159" s="281"/>
      <c r="CC159" s="281"/>
      <c r="CD159" s="281"/>
      <c r="CE159" s="281"/>
      <c r="CF159" s="281"/>
      <c r="CG159" s="281"/>
      <c r="CH159" s="281"/>
      <c r="CI159" s="281"/>
    </row>
    <row r="160" spans="1:87">
      <c r="A160" s="277"/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77"/>
      <c r="AB160" s="277"/>
      <c r="AC160" s="277"/>
      <c r="AD160" s="277"/>
      <c r="AE160" s="277"/>
      <c r="AF160" s="277"/>
      <c r="AG160" s="277"/>
      <c r="AH160" s="277"/>
      <c r="AI160" s="277"/>
      <c r="AJ160" s="277"/>
      <c r="AK160" s="277"/>
      <c r="AL160" s="277"/>
      <c r="AM160" s="277"/>
      <c r="AN160" s="277"/>
      <c r="AO160" s="277"/>
      <c r="AP160" s="277"/>
      <c r="AQ160" s="277"/>
      <c r="AR160" s="277"/>
      <c r="AS160" s="277"/>
      <c r="AT160" s="277"/>
      <c r="AU160" s="277"/>
      <c r="AV160" s="277"/>
      <c r="AW160" s="277"/>
      <c r="AX160" s="277"/>
      <c r="AY160" s="277"/>
      <c r="AZ160" s="277"/>
      <c r="BA160" s="277"/>
      <c r="BB160" s="277"/>
      <c r="BC160" s="277"/>
      <c r="BD160" s="277"/>
      <c r="BE160" s="277"/>
      <c r="BF160" s="277"/>
      <c r="BG160" s="277"/>
      <c r="BH160" s="277"/>
      <c r="BI160" s="277"/>
      <c r="BJ160" s="277"/>
      <c r="BK160" s="277"/>
      <c r="BL160" s="277"/>
      <c r="BM160" s="277"/>
      <c r="BN160" s="277"/>
      <c r="BO160" s="277"/>
      <c r="BP160" s="277"/>
      <c r="BQ160" s="277"/>
      <c r="BR160" s="277"/>
      <c r="BS160" s="281"/>
      <c r="BT160" s="281"/>
      <c r="BU160" s="281"/>
      <c r="BV160" s="281"/>
      <c r="BW160" s="281"/>
      <c r="BX160" s="281"/>
      <c r="BY160" s="281"/>
      <c r="BZ160" s="281"/>
      <c r="CA160" s="281"/>
      <c r="CB160" s="281"/>
      <c r="CC160" s="281"/>
      <c r="CD160" s="281"/>
      <c r="CE160" s="281"/>
      <c r="CF160" s="281"/>
      <c r="CG160" s="281"/>
      <c r="CH160" s="281"/>
      <c r="CI160" s="281"/>
    </row>
    <row r="161" spans="1:87">
      <c r="A161" s="277"/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  <c r="AA161" s="277"/>
      <c r="AB161" s="277"/>
      <c r="AC161" s="277"/>
      <c r="AD161" s="277"/>
      <c r="AE161" s="277"/>
      <c r="AF161" s="277"/>
      <c r="AG161" s="277"/>
      <c r="AH161" s="277"/>
      <c r="AI161" s="277"/>
      <c r="AJ161" s="277"/>
      <c r="AK161" s="277"/>
      <c r="AL161" s="277"/>
      <c r="AM161" s="277"/>
      <c r="AN161" s="277"/>
      <c r="AO161" s="277"/>
      <c r="AP161" s="277"/>
      <c r="AQ161" s="277"/>
      <c r="AR161" s="277"/>
      <c r="AS161" s="277"/>
      <c r="AT161" s="277"/>
      <c r="AU161" s="277"/>
      <c r="AV161" s="277"/>
      <c r="AW161" s="277"/>
      <c r="AX161" s="277"/>
      <c r="AY161" s="277"/>
      <c r="AZ161" s="277"/>
      <c r="BA161" s="277"/>
      <c r="BB161" s="277"/>
      <c r="BC161" s="277"/>
      <c r="BD161" s="277"/>
      <c r="BE161" s="277"/>
      <c r="BF161" s="277"/>
      <c r="BG161" s="277"/>
      <c r="BH161" s="277"/>
      <c r="BI161" s="277"/>
      <c r="BJ161" s="277"/>
      <c r="BK161" s="277"/>
      <c r="BL161" s="277"/>
      <c r="BM161" s="277"/>
      <c r="BN161" s="277"/>
      <c r="BO161" s="277"/>
      <c r="BP161" s="277"/>
      <c r="BQ161" s="277"/>
      <c r="BR161" s="277"/>
      <c r="BS161" s="281"/>
      <c r="BT161" s="281"/>
      <c r="BU161" s="281"/>
      <c r="BV161" s="281"/>
      <c r="BW161" s="281"/>
      <c r="BX161" s="281"/>
      <c r="BY161" s="281"/>
      <c r="BZ161" s="281"/>
      <c r="CA161" s="281"/>
      <c r="CB161" s="281"/>
      <c r="CC161" s="281"/>
      <c r="CD161" s="281"/>
      <c r="CE161" s="281"/>
      <c r="CF161" s="281"/>
      <c r="CG161" s="281"/>
      <c r="CH161" s="281"/>
      <c r="CI161" s="281"/>
    </row>
    <row r="162" spans="1:87">
      <c r="A162" s="277"/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277"/>
      <c r="P162" s="277"/>
      <c r="Q162" s="277"/>
      <c r="R162" s="277"/>
      <c r="S162" s="277"/>
      <c r="T162" s="277"/>
      <c r="U162" s="277"/>
      <c r="V162" s="277"/>
      <c r="W162" s="277"/>
      <c r="X162" s="277"/>
      <c r="Y162" s="277"/>
      <c r="Z162" s="277"/>
      <c r="AA162" s="277"/>
      <c r="AB162" s="277"/>
      <c r="AC162" s="277"/>
      <c r="AD162" s="277"/>
      <c r="AE162" s="277"/>
      <c r="AF162" s="277"/>
      <c r="AG162" s="277"/>
      <c r="AH162" s="277"/>
      <c r="AI162" s="277"/>
      <c r="AJ162" s="277"/>
      <c r="AK162" s="277"/>
      <c r="AL162" s="277"/>
      <c r="AM162" s="277"/>
      <c r="AN162" s="277"/>
      <c r="AO162" s="277"/>
      <c r="AP162" s="277"/>
      <c r="AQ162" s="277"/>
      <c r="AR162" s="277"/>
      <c r="AS162" s="277"/>
      <c r="AT162" s="277"/>
      <c r="AU162" s="277"/>
      <c r="AV162" s="277"/>
      <c r="AW162" s="277"/>
      <c r="AX162" s="277"/>
      <c r="AY162" s="277"/>
      <c r="AZ162" s="277"/>
      <c r="BA162" s="277"/>
      <c r="BB162" s="277"/>
      <c r="BC162" s="277"/>
      <c r="BD162" s="277"/>
      <c r="BE162" s="277"/>
      <c r="BF162" s="277"/>
      <c r="BG162" s="277"/>
      <c r="BH162" s="277"/>
      <c r="BI162" s="277"/>
      <c r="BJ162" s="277"/>
      <c r="BK162" s="277"/>
      <c r="BL162" s="277"/>
      <c r="BM162" s="277"/>
      <c r="BN162" s="277"/>
      <c r="BO162" s="277"/>
      <c r="BP162" s="277"/>
      <c r="BQ162" s="277"/>
      <c r="BR162" s="277"/>
      <c r="BS162" s="281"/>
      <c r="BT162" s="281"/>
      <c r="BU162" s="281"/>
      <c r="BV162" s="281"/>
      <c r="BW162" s="281"/>
      <c r="BX162" s="281"/>
      <c r="BY162" s="281"/>
      <c r="BZ162" s="281"/>
      <c r="CA162" s="281"/>
      <c r="CB162" s="281"/>
      <c r="CC162" s="281"/>
      <c r="CD162" s="281"/>
      <c r="CE162" s="281"/>
      <c r="CF162" s="281"/>
      <c r="CG162" s="281"/>
      <c r="CH162" s="281"/>
      <c r="CI162" s="281"/>
    </row>
    <row r="163" spans="1:87">
      <c r="A163" s="277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77"/>
      <c r="P163" s="277"/>
      <c r="Q163" s="277"/>
      <c r="R163" s="277"/>
      <c r="S163" s="277"/>
      <c r="T163" s="277"/>
      <c r="U163" s="277"/>
      <c r="V163" s="277"/>
      <c r="W163" s="277"/>
      <c r="X163" s="277"/>
      <c r="Y163" s="277"/>
      <c r="Z163" s="277"/>
      <c r="AA163" s="277"/>
      <c r="AB163" s="277"/>
      <c r="AC163" s="277"/>
      <c r="AD163" s="277"/>
      <c r="AE163" s="277"/>
      <c r="AF163" s="277"/>
      <c r="AG163" s="277"/>
      <c r="AH163" s="277"/>
      <c r="AI163" s="277"/>
      <c r="AJ163" s="277"/>
      <c r="AK163" s="277"/>
      <c r="AL163" s="277"/>
      <c r="AM163" s="277"/>
      <c r="AN163" s="277"/>
      <c r="AO163" s="277"/>
      <c r="AP163" s="277"/>
      <c r="AQ163" s="277"/>
      <c r="AR163" s="277"/>
      <c r="AS163" s="277"/>
      <c r="AT163" s="277"/>
      <c r="AU163" s="277"/>
      <c r="AV163" s="277"/>
      <c r="AW163" s="277"/>
      <c r="AX163" s="277"/>
      <c r="AY163" s="277"/>
      <c r="AZ163" s="277"/>
      <c r="BA163" s="277"/>
      <c r="BB163" s="277"/>
      <c r="BC163" s="277"/>
      <c r="BD163" s="277"/>
      <c r="BE163" s="277"/>
      <c r="BF163" s="277"/>
      <c r="BG163" s="277"/>
      <c r="BH163" s="277"/>
      <c r="BI163" s="277"/>
      <c r="BJ163" s="277"/>
      <c r="BK163" s="277"/>
      <c r="BL163" s="277"/>
      <c r="BM163" s="277"/>
      <c r="BN163" s="277"/>
      <c r="BO163" s="277"/>
      <c r="BP163" s="277"/>
      <c r="BQ163" s="277"/>
      <c r="BR163" s="277"/>
      <c r="BS163" s="281"/>
      <c r="BT163" s="281"/>
      <c r="BU163" s="281"/>
      <c r="BV163" s="281"/>
      <c r="BW163" s="281"/>
      <c r="BX163" s="281"/>
      <c r="BY163" s="281"/>
      <c r="BZ163" s="281"/>
      <c r="CA163" s="281"/>
      <c r="CB163" s="281"/>
      <c r="CC163" s="281"/>
      <c r="CD163" s="281"/>
      <c r="CE163" s="281"/>
      <c r="CF163" s="281"/>
      <c r="CG163" s="281"/>
      <c r="CH163" s="281"/>
      <c r="CI163" s="281"/>
    </row>
    <row r="164" spans="1:87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  <c r="W164" s="277"/>
      <c r="X164" s="277"/>
      <c r="Y164" s="277"/>
      <c r="Z164" s="277"/>
      <c r="AA164" s="277"/>
      <c r="AB164" s="277"/>
      <c r="AC164" s="277"/>
      <c r="AD164" s="277"/>
      <c r="AE164" s="277"/>
      <c r="AF164" s="277"/>
      <c r="AG164" s="277"/>
      <c r="AH164" s="277"/>
      <c r="AI164" s="277"/>
      <c r="AJ164" s="277"/>
      <c r="AK164" s="277"/>
      <c r="AL164" s="277"/>
      <c r="AM164" s="277"/>
      <c r="AN164" s="277"/>
      <c r="AO164" s="277"/>
      <c r="AP164" s="277"/>
      <c r="AQ164" s="277"/>
      <c r="AR164" s="277"/>
      <c r="AS164" s="277"/>
      <c r="AT164" s="277"/>
      <c r="AU164" s="277"/>
      <c r="AV164" s="277"/>
      <c r="AW164" s="277"/>
      <c r="AX164" s="277"/>
      <c r="AY164" s="277"/>
      <c r="AZ164" s="277"/>
      <c r="BA164" s="277"/>
      <c r="BB164" s="277"/>
      <c r="BC164" s="277"/>
      <c r="BD164" s="277"/>
      <c r="BE164" s="277"/>
      <c r="BF164" s="277"/>
      <c r="BG164" s="277"/>
      <c r="BH164" s="277"/>
      <c r="BI164" s="277"/>
      <c r="BJ164" s="277"/>
      <c r="BK164" s="277"/>
      <c r="BL164" s="277"/>
      <c r="BM164" s="277"/>
      <c r="BN164" s="277"/>
      <c r="BO164" s="277"/>
      <c r="BP164" s="277"/>
      <c r="BQ164" s="277"/>
      <c r="BR164" s="277"/>
      <c r="BS164" s="281"/>
      <c r="BT164" s="281"/>
      <c r="BU164" s="281"/>
      <c r="BV164" s="281"/>
      <c r="BW164" s="281"/>
      <c r="BX164" s="281"/>
      <c r="BY164" s="281"/>
      <c r="BZ164" s="281"/>
      <c r="CA164" s="281"/>
      <c r="CB164" s="281"/>
      <c r="CC164" s="281"/>
      <c r="CD164" s="281"/>
      <c r="CE164" s="281"/>
      <c r="CF164" s="281"/>
      <c r="CG164" s="281"/>
      <c r="CH164" s="281"/>
      <c r="CI164" s="281"/>
    </row>
    <row r="165" spans="1:87">
      <c r="A165" s="277"/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  <c r="AA165" s="277"/>
      <c r="AB165" s="277"/>
      <c r="AC165" s="277"/>
      <c r="AD165" s="277"/>
      <c r="AE165" s="277"/>
      <c r="AF165" s="277"/>
      <c r="AG165" s="277"/>
      <c r="AH165" s="277"/>
      <c r="AI165" s="277"/>
      <c r="AJ165" s="277"/>
      <c r="AK165" s="277"/>
      <c r="AL165" s="277"/>
      <c r="AM165" s="277"/>
      <c r="AN165" s="277"/>
      <c r="AO165" s="277"/>
      <c r="AP165" s="277"/>
      <c r="AQ165" s="277"/>
      <c r="AR165" s="277"/>
      <c r="AS165" s="277"/>
      <c r="AT165" s="277"/>
      <c r="AU165" s="277"/>
      <c r="AV165" s="277"/>
      <c r="AW165" s="277"/>
      <c r="AX165" s="277"/>
      <c r="AY165" s="277"/>
      <c r="AZ165" s="277"/>
      <c r="BA165" s="277"/>
      <c r="BB165" s="277"/>
      <c r="BC165" s="277"/>
      <c r="BD165" s="277"/>
      <c r="BE165" s="277"/>
      <c r="BF165" s="277"/>
      <c r="BG165" s="277"/>
      <c r="BH165" s="277"/>
      <c r="BI165" s="277"/>
      <c r="BJ165" s="277"/>
      <c r="BK165" s="277"/>
      <c r="BL165" s="277"/>
      <c r="BM165" s="277"/>
      <c r="BN165" s="277"/>
      <c r="BO165" s="277"/>
      <c r="BP165" s="277"/>
      <c r="BQ165" s="277"/>
      <c r="BR165" s="277"/>
      <c r="BS165" s="281"/>
      <c r="BT165" s="281"/>
      <c r="BU165" s="281"/>
      <c r="BV165" s="281"/>
      <c r="BW165" s="281"/>
      <c r="BX165" s="281"/>
      <c r="BY165" s="281"/>
      <c r="BZ165" s="281"/>
      <c r="CA165" s="281"/>
      <c r="CB165" s="281"/>
      <c r="CC165" s="281"/>
      <c r="CD165" s="281"/>
      <c r="CE165" s="281"/>
      <c r="CF165" s="281"/>
      <c r="CG165" s="281"/>
      <c r="CH165" s="281"/>
      <c r="CI165" s="281"/>
    </row>
    <row r="166" spans="1:87">
      <c r="A166" s="277"/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77"/>
      <c r="AB166" s="277"/>
      <c r="AC166" s="277"/>
      <c r="AD166" s="277"/>
      <c r="AE166" s="277"/>
      <c r="AF166" s="277"/>
      <c r="AG166" s="277"/>
      <c r="AH166" s="277"/>
      <c r="AI166" s="277"/>
      <c r="AJ166" s="277"/>
      <c r="AK166" s="277"/>
      <c r="AL166" s="277"/>
      <c r="AM166" s="277"/>
      <c r="AN166" s="277"/>
      <c r="AO166" s="277"/>
      <c r="AP166" s="277"/>
      <c r="AQ166" s="277"/>
      <c r="AR166" s="277"/>
      <c r="AS166" s="277"/>
      <c r="AT166" s="277"/>
      <c r="AU166" s="277"/>
      <c r="AV166" s="277"/>
      <c r="AW166" s="277"/>
      <c r="AX166" s="277"/>
      <c r="AY166" s="277"/>
      <c r="AZ166" s="277"/>
      <c r="BA166" s="277"/>
      <c r="BB166" s="277"/>
      <c r="BC166" s="277"/>
      <c r="BD166" s="277"/>
      <c r="BE166" s="277"/>
      <c r="BF166" s="277"/>
      <c r="BG166" s="277"/>
      <c r="BH166" s="277"/>
      <c r="BI166" s="277"/>
      <c r="BJ166" s="277"/>
      <c r="BK166" s="277"/>
      <c r="BL166" s="277"/>
      <c r="BM166" s="277"/>
      <c r="BN166" s="277"/>
      <c r="BO166" s="277"/>
      <c r="BP166" s="277"/>
      <c r="BQ166" s="277"/>
      <c r="BR166" s="277"/>
      <c r="BS166" s="281"/>
      <c r="BT166" s="281"/>
      <c r="BU166" s="281"/>
      <c r="BV166" s="281"/>
      <c r="BW166" s="281"/>
      <c r="BX166" s="281"/>
      <c r="BY166" s="281"/>
      <c r="BZ166" s="281"/>
      <c r="CA166" s="281"/>
      <c r="CB166" s="281"/>
      <c r="CC166" s="281"/>
      <c r="CD166" s="281"/>
      <c r="CE166" s="281"/>
      <c r="CF166" s="281"/>
      <c r="CG166" s="281"/>
      <c r="CH166" s="281"/>
      <c r="CI166" s="281"/>
    </row>
    <row r="167" spans="1:87">
      <c r="A167" s="277"/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77"/>
      <c r="AB167" s="277"/>
      <c r="AC167" s="277"/>
      <c r="AD167" s="277"/>
      <c r="AE167" s="277"/>
      <c r="AF167" s="277"/>
      <c r="AG167" s="277"/>
      <c r="AH167" s="277"/>
      <c r="AI167" s="277"/>
      <c r="AJ167" s="277"/>
      <c r="AK167" s="277"/>
      <c r="AL167" s="277"/>
      <c r="AM167" s="277"/>
      <c r="AN167" s="277"/>
      <c r="AO167" s="277"/>
      <c r="AP167" s="277"/>
      <c r="AQ167" s="277"/>
      <c r="AR167" s="277"/>
      <c r="AS167" s="277"/>
      <c r="AT167" s="277"/>
      <c r="AU167" s="277"/>
      <c r="AV167" s="277"/>
      <c r="AW167" s="277"/>
      <c r="AX167" s="277"/>
      <c r="AY167" s="277"/>
      <c r="AZ167" s="277"/>
      <c r="BA167" s="277"/>
      <c r="BB167" s="277"/>
      <c r="BC167" s="277"/>
      <c r="BD167" s="277"/>
      <c r="BE167" s="277"/>
      <c r="BF167" s="277"/>
      <c r="BG167" s="277"/>
      <c r="BH167" s="277"/>
      <c r="BI167" s="277"/>
      <c r="BJ167" s="277"/>
      <c r="BK167" s="277"/>
      <c r="BL167" s="277"/>
      <c r="BM167" s="277"/>
      <c r="BN167" s="277"/>
      <c r="BO167" s="277"/>
      <c r="BP167" s="277"/>
      <c r="BQ167" s="277"/>
      <c r="BR167" s="277"/>
      <c r="BS167" s="281"/>
      <c r="BT167" s="281"/>
      <c r="BU167" s="281"/>
      <c r="BV167" s="281"/>
      <c r="BW167" s="281"/>
      <c r="BX167" s="281"/>
      <c r="BY167" s="281"/>
      <c r="BZ167" s="281"/>
      <c r="CA167" s="281"/>
      <c r="CB167" s="281"/>
      <c r="CC167" s="281"/>
      <c r="CD167" s="281"/>
      <c r="CE167" s="281"/>
      <c r="CF167" s="281"/>
      <c r="CG167" s="281"/>
      <c r="CH167" s="281"/>
      <c r="CI167" s="281"/>
    </row>
    <row r="168" spans="1:87">
      <c r="A168" s="277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277"/>
      <c r="P168" s="277"/>
      <c r="Q168" s="277"/>
      <c r="R168" s="277"/>
      <c r="S168" s="277"/>
      <c r="T168" s="277"/>
      <c r="U168" s="277"/>
      <c r="V168" s="277"/>
      <c r="W168" s="277"/>
      <c r="X168" s="277"/>
      <c r="Y168" s="277"/>
      <c r="Z168" s="277"/>
      <c r="AA168" s="277"/>
      <c r="AB168" s="277"/>
      <c r="AC168" s="277"/>
      <c r="AD168" s="277"/>
      <c r="AE168" s="277"/>
      <c r="AF168" s="277"/>
      <c r="AG168" s="277"/>
      <c r="AH168" s="277"/>
      <c r="AI168" s="277"/>
      <c r="AJ168" s="277"/>
      <c r="AK168" s="277"/>
      <c r="AL168" s="277"/>
      <c r="AM168" s="277"/>
      <c r="AN168" s="277"/>
      <c r="AO168" s="277"/>
      <c r="AP168" s="277"/>
      <c r="AQ168" s="277"/>
      <c r="AR168" s="277"/>
      <c r="AS168" s="277"/>
      <c r="AT168" s="277"/>
      <c r="AU168" s="277"/>
      <c r="AV168" s="277"/>
      <c r="AW168" s="277"/>
      <c r="AX168" s="277"/>
      <c r="AY168" s="277"/>
      <c r="AZ168" s="277"/>
      <c r="BA168" s="277"/>
      <c r="BB168" s="277"/>
      <c r="BC168" s="277"/>
      <c r="BD168" s="277"/>
      <c r="BE168" s="277"/>
      <c r="BF168" s="277"/>
      <c r="BG168" s="277"/>
      <c r="BH168" s="277"/>
      <c r="BI168" s="277"/>
      <c r="BJ168" s="277"/>
      <c r="BK168" s="277"/>
      <c r="BL168" s="277"/>
      <c r="BM168" s="277"/>
      <c r="BN168" s="277"/>
      <c r="BO168" s="277"/>
      <c r="BP168" s="277"/>
      <c r="BQ168" s="277"/>
      <c r="BR168" s="277"/>
      <c r="BS168" s="281"/>
      <c r="BT168" s="281"/>
      <c r="BU168" s="281"/>
      <c r="BV168" s="281"/>
      <c r="BW168" s="281"/>
      <c r="BX168" s="281"/>
      <c r="BY168" s="281"/>
      <c r="BZ168" s="281"/>
      <c r="CA168" s="281"/>
      <c r="CB168" s="281"/>
      <c r="CC168" s="281"/>
      <c r="CD168" s="281"/>
      <c r="CE168" s="281"/>
      <c r="CF168" s="281"/>
      <c r="CG168" s="281"/>
      <c r="CH168" s="281"/>
      <c r="CI168" s="281"/>
    </row>
    <row r="169" spans="1:87">
      <c r="A169" s="277"/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77"/>
      <c r="P169" s="277"/>
      <c r="Q169" s="277"/>
      <c r="R169" s="277"/>
      <c r="S169" s="277"/>
      <c r="T169" s="277"/>
      <c r="U169" s="277"/>
      <c r="V169" s="277"/>
      <c r="W169" s="277"/>
      <c r="X169" s="277"/>
      <c r="Y169" s="277"/>
      <c r="Z169" s="277"/>
      <c r="AA169" s="277"/>
      <c r="AB169" s="277"/>
      <c r="AC169" s="277"/>
      <c r="AD169" s="277"/>
      <c r="AE169" s="277"/>
      <c r="AF169" s="277"/>
      <c r="AG169" s="277"/>
      <c r="AH169" s="277"/>
      <c r="AI169" s="277"/>
      <c r="AJ169" s="277"/>
      <c r="AK169" s="277"/>
      <c r="AL169" s="277"/>
      <c r="AM169" s="277"/>
      <c r="AN169" s="277"/>
      <c r="AO169" s="277"/>
      <c r="AP169" s="277"/>
      <c r="AQ169" s="277"/>
      <c r="AR169" s="277"/>
      <c r="AS169" s="277"/>
      <c r="AT169" s="277"/>
      <c r="AU169" s="277"/>
      <c r="AV169" s="277"/>
      <c r="AW169" s="277"/>
      <c r="AX169" s="277"/>
      <c r="AY169" s="277"/>
      <c r="AZ169" s="277"/>
      <c r="BA169" s="277"/>
      <c r="BB169" s="277"/>
      <c r="BC169" s="277"/>
      <c r="BD169" s="277"/>
      <c r="BE169" s="277"/>
      <c r="BF169" s="277"/>
      <c r="BG169" s="277"/>
      <c r="BH169" s="277"/>
      <c r="BI169" s="277"/>
      <c r="BJ169" s="277"/>
      <c r="BK169" s="277"/>
      <c r="BL169" s="277"/>
      <c r="BM169" s="277"/>
      <c r="BN169" s="277"/>
      <c r="BO169" s="277"/>
      <c r="BP169" s="277"/>
      <c r="BQ169" s="277"/>
      <c r="BR169" s="277"/>
      <c r="BS169" s="281"/>
      <c r="BT169" s="281"/>
      <c r="BU169" s="281"/>
      <c r="BV169" s="281"/>
      <c r="BW169" s="281"/>
      <c r="BX169" s="281"/>
      <c r="BY169" s="281"/>
      <c r="BZ169" s="281"/>
      <c r="CA169" s="281"/>
      <c r="CB169" s="281"/>
      <c r="CC169" s="281"/>
      <c r="CD169" s="281"/>
      <c r="CE169" s="281"/>
      <c r="CF169" s="281"/>
      <c r="CG169" s="281"/>
      <c r="CH169" s="281"/>
      <c r="CI169" s="281"/>
    </row>
    <row r="170" spans="1:87">
      <c r="A170" s="277"/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  <c r="Z170" s="277"/>
      <c r="AA170" s="277"/>
      <c r="AB170" s="277"/>
      <c r="AC170" s="277"/>
      <c r="AD170" s="277"/>
      <c r="AE170" s="277"/>
      <c r="AF170" s="277"/>
      <c r="AG170" s="277"/>
      <c r="AH170" s="277"/>
      <c r="AI170" s="277"/>
      <c r="AJ170" s="277"/>
      <c r="AK170" s="277"/>
      <c r="AL170" s="277"/>
      <c r="AM170" s="277"/>
      <c r="AN170" s="277"/>
      <c r="AO170" s="277"/>
      <c r="AP170" s="277"/>
      <c r="AQ170" s="277"/>
      <c r="AR170" s="277"/>
      <c r="AS170" s="277"/>
      <c r="AT170" s="277"/>
      <c r="AU170" s="277"/>
      <c r="AV170" s="277"/>
      <c r="AW170" s="277"/>
      <c r="AX170" s="277"/>
      <c r="AY170" s="277"/>
      <c r="AZ170" s="277"/>
      <c r="BA170" s="277"/>
      <c r="BB170" s="277"/>
      <c r="BC170" s="277"/>
      <c r="BD170" s="277"/>
      <c r="BE170" s="277"/>
      <c r="BF170" s="277"/>
      <c r="BG170" s="277"/>
      <c r="BH170" s="277"/>
      <c r="BI170" s="277"/>
      <c r="BJ170" s="277"/>
      <c r="BK170" s="277"/>
      <c r="BL170" s="277"/>
      <c r="BM170" s="277"/>
      <c r="BN170" s="277"/>
      <c r="BO170" s="277"/>
      <c r="BP170" s="277"/>
      <c r="BQ170" s="277"/>
      <c r="BR170" s="277"/>
      <c r="BS170" s="281"/>
      <c r="BT170" s="281"/>
      <c r="BU170" s="281"/>
      <c r="BV170" s="281"/>
      <c r="BW170" s="281"/>
      <c r="BX170" s="281"/>
      <c r="BY170" s="281"/>
      <c r="BZ170" s="281"/>
      <c r="CA170" s="281"/>
      <c r="CB170" s="281"/>
      <c r="CC170" s="281"/>
      <c r="CD170" s="281"/>
      <c r="CE170" s="281"/>
      <c r="CF170" s="281"/>
      <c r="CG170" s="281"/>
      <c r="CH170" s="281"/>
      <c r="CI170" s="281"/>
    </row>
    <row r="171" spans="1:87">
      <c r="A171" s="277"/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  <c r="AA171" s="277"/>
      <c r="AB171" s="277"/>
      <c r="AC171" s="277"/>
      <c r="AD171" s="277"/>
      <c r="AE171" s="277"/>
      <c r="AF171" s="277"/>
      <c r="AG171" s="277"/>
      <c r="AH171" s="277"/>
      <c r="AI171" s="277"/>
      <c r="AJ171" s="277"/>
      <c r="AK171" s="277"/>
      <c r="AL171" s="277"/>
      <c r="AM171" s="277"/>
      <c r="AN171" s="277"/>
      <c r="AO171" s="277"/>
      <c r="AP171" s="277"/>
      <c r="AQ171" s="277"/>
      <c r="AR171" s="277"/>
      <c r="AS171" s="277"/>
      <c r="AT171" s="277"/>
      <c r="AU171" s="277"/>
      <c r="AV171" s="277"/>
      <c r="AW171" s="277"/>
      <c r="AX171" s="277"/>
      <c r="AY171" s="277"/>
      <c r="AZ171" s="277"/>
      <c r="BA171" s="277"/>
      <c r="BB171" s="277"/>
      <c r="BC171" s="277"/>
      <c r="BD171" s="277"/>
      <c r="BE171" s="277"/>
      <c r="BF171" s="277"/>
      <c r="BG171" s="277"/>
      <c r="BH171" s="277"/>
      <c r="BI171" s="277"/>
      <c r="BJ171" s="277"/>
      <c r="BK171" s="277"/>
      <c r="BL171" s="277"/>
      <c r="BM171" s="277"/>
      <c r="BN171" s="277"/>
      <c r="BO171" s="277"/>
      <c r="BP171" s="277"/>
      <c r="BQ171" s="277"/>
      <c r="BR171" s="277"/>
      <c r="BS171" s="281"/>
      <c r="BT171" s="281"/>
      <c r="BU171" s="281"/>
      <c r="BV171" s="281"/>
      <c r="BW171" s="281"/>
      <c r="BX171" s="281"/>
      <c r="BY171" s="281"/>
      <c r="BZ171" s="281"/>
      <c r="CA171" s="281"/>
      <c r="CB171" s="281"/>
      <c r="CC171" s="281"/>
      <c r="CD171" s="281"/>
      <c r="CE171" s="281"/>
      <c r="CF171" s="281"/>
      <c r="CG171" s="281"/>
      <c r="CH171" s="281"/>
      <c r="CI171" s="281"/>
    </row>
    <row r="172" spans="1:87">
      <c r="A172" s="277"/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  <c r="AA172" s="277"/>
      <c r="AB172" s="277"/>
      <c r="AC172" s="277"/>
      <c r="AD172" s="277"/>
      <c r="AE172" s="277"/>
      <c r="AF172" s="277"/>
      <c r="AG172" s="277"/>
      <c r="AH172" s="277"/>
      <c r="AI172" s="277"/>
      <c r="AJ172" s="277"/>
      <c r="AK172" s="277"/>
      <c r="AL172" s="277"/>
      <c r="AM172" s="277"/>
      <c r="AN172" s="277"/>
      <c r="AO172" s="277"/>
      <c r="AP172" s="277"/>
      <c r="AQ172" s="277"/>
      <c r="AR172" s="277"/>
      <c r="AS172" s="277"/>
      <c r="AT172" s="277"/>
      <c r="AU172" s="277"/>
      <c r="AV172" s="277"/>
      <c r="AW172" s="277"/>
      <c r="AX172" s="277"/>
      <c r="AY172" s="277"/>
      <c r="AZ172" s="277"/>
      <c r="BA172" s="277"/>
      <c r="BB172" s="277"/>
      <c r="BC172" s="277"/>
      <c r="BD172" s="277"/>
      <c r="BE172" s="277"/>
      <c r="BF172" s="277"/>
      <c r="BG172" s="277"/>
      <c r="BH172" s="277"/>
      <c r="BI172" s="277"/>
      <c r="BJ172" s="277"/>
      <c r="BK172" s="277"/>
      <c r="BL172" s="277"/>
      <c r="BM172" s="277"/>
      <c r="BN172" s="277"/>
      <c r="BO172" s="277"/>
      <c r="BP172" s="277"/>
      <c r="BQ172" s="277"/>
      <c r="BR172" s="277"/>
      <c r="BS172" s="281"/>
      <c r="BT172" s="281"/>
      <c r="BU172" s="281"/>
      <c r="BV172" s="281"/>
      <c r="BW172" s="281"/>
      <c r="BX172" s="281"/>
      <c r="BY172" s="281"/>
      <c r="BZ172" s="281"/>
      <c r="CA172" s="281"/>
      <c r="CB172" s="281"/>
      <c r="CC172" s="281"/>
      <c r="CD172" s="281"/>
      <c r="CE172" s="281"/>
      <c r="CF172" s="281"/>
      <c r="CG172" s="281"/>
      <c r="CH172" s="281"/>
      <c r="CI172" s="281"/>
    </row>
    <row r="173" spans="1:87">
      <c r="A173" s="277"/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77"/>
      <c r="AB173" s="277"/>
      <c r="AC173" s="277"/>
      <c r="AD173" s="277"/>
      <c r="AE173" s="277"/>
      <c r="AF173" s="277"/>
      <c r="AG173" s="277"/>
      <c r="AH173" s="277"/>
      <c r="AI173" s="277"/>
      <c r="AJ173" s="277"/>
      <c r="AK173" s="277"/>
      <c r="AL173" s="277"/>
      <c r="AM173" s="277"/>
      <c r="AN173" s="277"/>
      <c r="AO173" s="277"/>
      <c r="AP173" s="277"/>
      <c r="AQ173" s="277"/>
      <c r="AR173" s="277"/>
      <c r="AS173" s="277"/>
      <c r="AT173" s="277"/>
      <c r="AU173" s="277"/>
      <c r="AV173" s="277"/>
      <c r="AW173" s="277"/>
      <c r="AX173" s="277"/>
      <c r="AY173" s="277"/>
      <c r="AZ173" s="277"/>
      <c r="BA173" s="277"/>
      <c r="BB173" s="277"/>
      <c r="BC173" s="277"/>
      <c r="BD173" s="277"/>
      <c r="BE173" s="277"/>
      <c r="BF173" s="277"/>
      <c r="BG173" s="277"/>
      <c r="BH173" s="277"/>
      <c r="BI173" s="277"/>
      <c r="BJ173" s="277"/>
      <c r="BK173" s="277"/>
      <c r="BL173" s="277"/>
      <c r="BM173" s="277"/>
      <c r="BN173" s="277"/>
      <c r="BO173" s="277"/>
      <c r="BP173" s="277"/>
      <c r="BQ173" s="277"/>
      <c r="BR173" s="277"/>
      <c r="BS173" s="281"/>
      <c r="BT173" s="281"/>
      <c r="BU173" s="281"/>
      <c r="BV173" s="281"/>
      <c r="BW173" s="281"/>
      <c r="BX173" s="281"/>
      <c r="BY173" s="281"/>
      <c r="BZ173" s="281"/>
      <c r="CA173" s="281"/>
      <c r="CB173" s="281"/>
      <c r="CC173" s="281"/>
      <c r="CD173" s="281"/>
      <c r="CE173" s="281"/>
      <c r="CF173" s="281"/>
      <c r="CG173" s="281"/>
      <c r="CH173" s="281"/>
      <c r="CI173" s="281"/>
    </row>
    <row r="174" spans="1:87">
      <c r="A174" s="277"/>
      <c r="B174" s="277"/>
      <c r="C174" s="277"/>
      <c r="D174" s="277"/>
      <c r="E174" s="277"/>
      <c r="F174" s="277"/>
      <c r="G174" s="277"/>
      <c r="H174" s="277"/>
      <c r="I174" s="277"/>
      <c r="J174" s="277"/>
      <c r="K174" s="277"/>
      <c r="L174" s="277"/>
      <c r="M174" s="277"/>
      <c r="N174" s="277"/>
      <c r="O174" s="277"/>
      <c r="P174" s="277"/>
      <c r="Q174" s="277"/>
      <c r="R174" s="277"/>
      <c r="S174" s="277"/>
      <c r="T174" s="277"/>
      <c r="U174" s="277"/>
      <c r="V174" s="277"/>
      <c r="W174" s="277"/>
      <c r="X174" s="277"/>
      <c r="Y174" s="277"/>
      <c r="Z174" s="277"/>
      <c r="AA174" s="277"/>
      <c r="AB174" s="277"/>
      <c r="AC174" s="277"/>
      <c r="AD174" s="277"/>
      <c r="AE174" s="277"/>
      <c r="AF174" s="277"/>
      <c r="AG174" s="277"/>
      <c r="AH174" s="277"/>
      <c r="AI174" s="277"/>
      <c r="AJ174" s="277"/>
      <c r="AK174" s="277"/>
      <c r="AL174" s="277"/>
      <c r="AM174" s="277"/>
      <c r="AN174" s="277"/>
      <c r="AO174" s="277"/>
      <c r="AP174" s="277"/>
      <c r="AQ174" s="277"/>
      <c r="AR174" s="277"/>
      <c r="AS174" s="277"/>
      <c r="AT174" s="277"/>
      <c r="AU174" s="277"/>
      <c r="AV174" s="277"/>
      <c r="AW174" s="277"/>
      <c r="AX174" s="277"/>
      <c r="AY174" s="277"/>
      <c r="AZ174" s="277"/>
      <c r="BA174" s="277"/>
      <c r="BB174" s="277"/>
      <c r="BC174" s="277"/>
      <c r="BD174" s="277"/>
      <c r="BE174" s="277"/>
      <c r="BF174" s="277"/>
      <c r="BG174" s="277"/>
      <c r="BH174" s="277"/>
      <c r="BI174" s="277"/>
      <c r="BJ174" s="277"/>
      <c r="BK174" s="277"/>
      <c r="BL174" s="277"/>
      <c r="BM174" s="277"/>
      <c r="BN174" s="277"/>
      <c r="BO174" s="277"/>
      <c r="BP174" s="277"/>
      <c r="BQ174" s="277"/>
      <c r="BR174" s="277"/>
      <c r="BS174" s="281"/>
      <c r="BT174" s="281"/>
      <c r="BU174" s="281"/>
      <c r="BV174" s="281"/>
      <c r="BW174" s="281"/>
      <c r="BX174" s="281"/>
      <c r="BY174" s="281"/>
      <c r="BZ174" s="281"/>
      <c r="CA174" s="281"/>
      <c r="CB174" s="281"/>
      <c r="CC174" s="281"/>
      <c r="CD174" s="281"/>
      <c r="CE174" s="281"/>
      <c r="CF174" s="281"/>
      <c r="CG174" s="281"/>
      <c r="CH174" s="281"/>
      <c r="CI174" s="281"/>
    </row>
    <row r="175" spans="1:87">
      <c r="A175" s="277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77"/>
      <c r="P175" s="277"/>
      <c r="Q175" s="277"/>
      <c r="R175" s="277"/>
      <c r="S175" s="277"/>
      <c r="T175" s="277"/>
      <c r="U175" s="277"/>
      <c r="V175" s="277"/>
      <c r="W175" s="277"/>
      <c r="X175" s="277"/>
      <c r="Y175" s="277"/>
      <c r="Z175" s="277"/>
      <c r="AA175" s="277"/>
      <c r="AB175" s="277"/>
      <c r="AC175" s="277"/>
      <c r="AD175" s="277"/>
      <c r="AE175" s="277"/>
      <c r="AF175" s="277"/>
      <c r="AG175" s="277"/>
      <c r="AH175" s="277"/>
      <c r="AI175" s="277"/>
      <c r="AJ175" s="277"/>
      <c r="AK175" s="277"/>
      <c r="AL175" s="277"/>
      <c r="AM175" s="277"/>
      <c r="AN175" s="277"/>
      <c r="AO175" s="277"/>
      <c r="AP175" s="277"/>
      <c r="AQ175" s="277"/>
      <c r="AR175" s="277"/>
      <c r="AS175" s="277"/>
      <c r="AT175" s="277"/>
      <c r="AU175" s="277"/>
      <c r="AV175" s="277"/>
      <c r="AW175" s="277"/>
      <c r="AX175" s="277"/>
      <c r="AY175" s="277"/>
      <c r="AZ175" s="277"/>
      <c r="BA175" s="277"/>
      <c r="BB175" s="277"/>
      <c r="BC175" s="277"/>
      <c r="BD175" s="277"/>
      <c r="BE175" s="277"/>
      <c r="BF175" s="277"/>
      <c r="BG175" s="277"/>
      <c r="BH175" s="277"/>
      <c r="BI175" s="277"/>
      <c r="BJ175" s="277"/>
      <c r="BK175" s="277"/>
      <c r="BL175" s="277"/>
      <c r="BM175" s="277"/>
      <c r="BN175" s="277"/>
      <c r="BO175" s="277"/>
      <c r="BP175" s="277"/>
      <c r="BQ175" s="277"/>
      <c r="BR175" s="277"/>
      <c r="BS175" s="281"/>
      <c r="BT175" s="281"/>
      <c r="BU175" s="281"/>
      <c r="BV175" s="281"/>
      <c r="BW175" s="281"/>
      <c r="BX175" s="281"/>
      <c r="BY175" s="281"/>
      <c r="BZ175" s="281"/>
      <c r="CA175" s="281"/>
      <c r="CB175" s="281"/>
      <c r="CC175" s="281"/>
      <c r="CD175" s="281"/>
      <c r="CE175" s="281"/>
      <c r="CF175" s="281"/>
      <c r="CG175" s="281"/>
      <c r="CH175" s="281"/>
      <c r="CI175" s="281"/>
    </row>
    <row r="176" spans="1:87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77"/>
      <c r="P176" s="277"/>
      <c r="Q176" s="277"/>
      <c r="R176" s="277"/>
      <c r="S176" s="277"/>
      <c r="T176" s="277"/>
      <c r="U176" s="277"/>
      <c r="V176" s="277"/>
      <c r="W176" s="277"/>
      <c r="X176" s="277"/>
      <c r="Y176" s="277"/>
      <c r="Z176" s="277"/>
      <c r="AA176" s="277"/>
      <c r="AB176" s="277"/>
      <c r="AC176" s="277"/>
      <c r="AD176" s="277"/>
      <c r="AE176" s="277"/>
      <c r="AF176" s="277"/>
      <c r="AG176" s="277"/>
      <c r="AH176" s="277"/>
      <c r="AI176" s="277"/>
      <c r="AJ176" s="277"/>
      <c r="AK176" s="277"/>
      <c r="AL176" s="277"/>
      <c r="AM176" s="277"/>
      <c r="AN176" s="277"/>
      <c r="AO176" s="277"/>
      <c r="AP176" s="277"/>
      <c r="AQ176" s="277"/>
      <c r="AR176" s="277"/>
      <c r="AS176" s="277"/>
      <c r="AT176" s="277"/>
      <c r="AU176" s="277"/>
      <c r="AV176" s="277"/>
      <c r="AW176" s="277"/>
      <c r="AX176" s="277"/>
      <c r="AY176" s="277"/>
      <c r="AZ176" s="277"/>
      <c r="BA176" s="277"/>
      <c r="BB176" s="277"/>
      <c r="BC176" s="277"/>
      <c r="BD176" s="277"/>
      <c r="BE176" s="277"/>
      <c r="BF176" s="277"/>
      <c r="BG176" s="277"/>
      <c r="BH176" s="277"/>
      <c r="BI176" s="277"/>
      <c r="BJ176" s="277"/>
      <c r="BK176" s="277"/>
      <c r="BL176" s="277"/>
      <c r="BM176" s="277"/>
      <c r="BN176" s="277"/>
      <c r="BO176" s="277"/>
      <c r="BP176" s="277"/>
      <c r="BQ176" s="277"/>
      <c r="BR176" s="277"/>
      <c r="BS176" s="281"/>
      <c r="BT176" s="281"/>
      <c r="BU176" s="281"/>
      <c r="BV176" s="281"/>
      <c r="BW176" s="281"/>
      <c r="BX176" s="281"/>
      <c r="BY176" s="281"/>
      <c r="BZ176" s="281"/>
      <c r="CA176" s="281"/>
      <c r="CB176" s="281"/>
      <c r="CC176" s="281"/>
      <c r="CD176" s="281"/>
      <c r="CE176" s="281"/>
      <c r="CF176" s="281"/>
      <c r="CG176" s="281"/>
      <c r="CH176" s="281"/>
      <c r="CI176" s="281"/>
    </row>
    <row r="177" spans="1:87">
      <c r="A177" s="277"/>
      <c r="B177" s="277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  <c r="AA177" s="277"/>
      <c r="AB177" s="277"/>
      <c r="AC177" s="277"/>
      <c r="AD177" s="277"/>
      <c r="AE177" s="277"/>
      <c r="AF177" s="277"/>
      <c r="AG177" s="277"/>
      <c r="AH177" s="277"/>
      <c r="AI177" s="277"/>
      <c r="AJ177" s="277"/>
      <c r="AK177" s="277"/>
      <c r="AL177" s="277"/>
      <c r="AM177" s="277"/>
      <c r="AN177" s="277"/>
      <c r="AO177" s="277"/>
      <c r="AP177" s="277"/>
      <c r="AQ177" s="277"/>
      <c r="AR177" s="277"/>
      <c r="AS177" s="277"/>
      <c r="AT177" s="277"/>
      <c r="AU177" s="277"/>
      <c r="AV177" s="277"/>
      <c r="AW177" s="277"/>
      <c r="AX177" s="277"/>
      <c r="AY177" s="277"/>
      <c r="AZ177" s="277"/>
      <c r="BA177" s="277"/>
      <c r="BB177" s="277"/>
      <c r="BC177" s="277"/>
      <c r="BD177" s="277"/>
      <c r="BE177" s="277"/>
      <c r="BF177" s="277"/>
      <c r="BG177" s="277"/>
      <c r="BH177" s="277"/>
      <c r="BI177" s="277"/>
      <c r="BJ177" s="277"/>
      <c r="BK177" s="277"/>
      <c r="BL177" s="277"/>
      <c r="BM177" s="277"/>
      <c r="BN177" s="277"/>
      <c r="BO177" s="277"/>
      <c r="BP177" s="277"/>
      <c r="BQ177" s="277"/>
      <c r="BR177" s="277"/>
      <c r="BS177" s="281"/>
      <c r="BT177" s="281"/>
      <c r="BU177" s="281"/>
      <c r="BV177" s="281"/>
      <c r="BW177" s="281"/>
      <c r="BX177" s="281"/>
      <c r="BY177" s="281"/>
      <c r="BZ177" s="281"/>
      <c r="CA177" s="281"/>
      <c r="CB177" s="281"/>
      <c r="CC177" s="281"/>
      <c r="CD177" s="281"/>
      <c r="CE177" s="281"/>
      <c r="CF177" s="281"/>
      <c r="CG177" s="281"/>
      <c r="CH177" s="281"/>
      <c r="CI177" s="281"/>
    </row>
    <row r="178" spans="1:87">
      <c r="A178" s="277"/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7"/>
      <c r="AH178" s="277"/>
      <c r="AI178" s="277"/>
      <c r="AJ178" s="277"/>
      <c r="AK178" s="277"/>
      <c r="AL178" s="277"/>
      <c r="AM178" s="277"/>
      <c r="AN178" s="277"/>
      <c r="AO178" s="277"/>
      <c r="AP178" s="277"/>
      <c r="AQ178" s="277"/>
      <c r="AR178" s="277"/>
      <c r="AS178" s="277"/>
      <c r="AT178" s="277"/>
      <c r="AU178" s="277"/>
      <c r="AV178" s="277"/>
      <c r="AW178" s="277"/>
      <c r="AX178" s="277"/>
      <c r="AY178" s="277"/>
      <c r="AZ178" s="277"/>
      <c r="BA178" s="277"/>
      <c r="BB178" s="277"/>
      <c r="BC178" s="277"/>
      <c r="BD178" s="277"/>
      <c r="BE178" s="277"/>
      <c r="BF178" s="277"/>
      <c r="BG178" s="277"/>
      <c r="BH178" s="277"/>
      <c r="BI178" s="277"/>
      <c r="BJ178" s="277"/>
      <c r="BK178" s="277"/>
      <c r="BL178" s="277"/>
      <c r="BM178" s="277"/>
      <c r="BN178" s="277"/>
      <c r="BO178" s="277"/>
      <c r="BP178" s="277"/>
      <c r="BQ178" s="277"/>
      <c r="BR178" s="277"/>
      <c r="BS178" s="281"/>
      <c r="BT178" s="281"/>
      <c r="BU178" s="281"/>
      <c r="BV178" s="281"/>
      <c r="BW178" s="281"/>
      <c r="BX178" s="281"/>
      <c r="BY178" s="281"/>
      <c r="BZ178" s="281"/>
      <c r="CA178" s="281"/>
      <c r="CB178" s="281"/>
      <c r="CC178" s="281"/>
      <c r="CD178" s="281"/>
      <c r="CE178" s="281"/>
      <c r="CF178" s="281"/>
      <c r="CG178" s="281"/>
      <c r="CH178" s="281"/>
      <c r="CI178" s="281"/>
    </row>
    <row r="179" spans="1:87" ht="16.8">
      <c r="A179" s="287"/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87"/>
      <c r="AB179" s="287"/>
      <c r="AC179" s="287"/>
      <c r="AD179" s="287"/>
      <c r="AE179" s="287"/>
      <c r="AF179" s="287"/>
      <c r="AG179" s="287"/>
      <c r="AH179" s="287"/>
      <c r="AI179" s="287"/>
      <c r="AJ179" s="287"/>
      <c r="AK179" s="287"/>
      <c r="AL179" s="287"/>
      <c r="AM179" s="287"/>
      <c r="AN179" s="287"/>
      <c r="AO179" s="287"/>
      <c r="AP179" s="287"/>
      <c r="AQ179" s="287"/>
      <c r="AR179" s="287"/>
      <c r="AS179" s="287"/>
      <c r="AT179" s="287"/>
      <c r="AU179" s="287"/>
      <c r="AV179" s="287"/>
      <c r="AW179" s="287"/>
      <c r="AX179" s="287"/>
      <c r="AY179" s="287"/>
      <c r="AZ179" s="287"/>
      <c r="BA179" s="287"/>
      <c r="BB179" s="287"/>
      <c r="BC179" s="287"/>
      <c r="BD179" s="287"/>
      <c r="BE179" s="287"/>
      <c r="BF179" s="287"/>
      <c r="BG179" s="287"/>
      <c r="BH179" s="287"/>
      <c r="BI179" s="287"/>
      <c r="BJ179" s="287"/>
      <c r="BK179" s="287"/>
      <c r="BL179" s="287"/>
      <c r="BM179" s="287"/>
      <c r="BN179" s="287"/>
      <c r="BO179" s="287"/>
      <c r="BP179" s="287"/>
      <c r="BQ179" s="287"/>
      <c r="BR179" s="287"/>
    </row>
    <row r="180" spans="1:87" ht="16.8">
      <c r="A180" s="287"/>
      <c r="B180" s="287"/>
      <c r="C180" s="287"/>
      <c r="D180" s="287"/>
      <c r="E180" s="287"/>
      <c r="F180" s="287"/>
      <c r="G180" s="287"/>
      <c r="H180" s="287"/>
      <c r="I180" s="287"/>
      <c r="J180" s="287"/>
      <c r="K180" s="287"/>
      <c r="L180" s="287"/>
      <c r="M180" s="287"/>
      <c r="N180" s="287"/>
      <c r="O180" s="287"/>
      <c r="P180" s="287"/>
      <c r="Q180" s="287"/>
      <c r="R180" s="287"/>
      <c r="S180" s="287"/>
      <c r="T180" s="287"/>
      <c r="U180" s="287"/>
      <c r="V180" s="287"/>
      <c r="W180" s="287"/>
      <c r="X180" s="287"/>
      <c r="Y180" s="287"/>
      <c r="Z180" s="287"/>
      <c r="AA180" s="287"/>
      <c r="AB180" s="287"/>
      <c r="AC180" s="287"/>
      <c r="AD180" s="287"/>
      <c r="AE180" s="287"/>
      <c r="AF180" s="287"/>
      <c r="AG180" s="287"/>
      <c r="AH180" s="287"/>
      <c r="AI180" s="287"/>
      <c r="AJ180" s="287"/>
      <c r="AK180" s="287"/>
      <c r="AL180" s="287"/>
      <c r="AM180" s="287"/>
      <c r="AN180" s="287"/>
      <c r="AO180" s="287"/>
      <c r="AP180" s="287"/>
      <c r="AQ180" s="287"/>
      <c r="AR180" s="287"/>
      <c r="AS180" s="287"/>
      <c r="AT180" s="287"/>
      <c r="AU180" s="287"/>
      <c r="AV180" s="287"/>
      <c r="AW180" s="287"/>
      <c r="AX180" s="287"/>
      <c r="AY180" s="287"/>
      <c r="AZ180" s="287"/>
      <c r="BA180" s="287"/>
      <c r="BB180" s="287"/>
      <c r="BC180" s="287"/>
      <c r="BD180" s="287"/>
      <c r="BE180" s="287"/>
      <c r="BF180" s="287"/>
      <c r="BG180" s="287"/>
      <c r="BH180" s="287"/>
      <c r="BI180" s="287"/>
      <c r="BJ180" s="287"/>
      <c r="BK180" s="287"/>
      <c r="BL180" s="287"/>
      <c r="BM180" s="287"/>
      <c r="BN180" s="287"/>
      <c r="BO180" s="287"/>
      <c r="BP180" s="287"/>
      <c r="BQ180" s="287"/>
      <c r="BR180" s="287"/>
    </row>
    <row r="181" spans="1:87" ht="16.8">
      <c r="A181" s="287"/>
      <c r="B181" s="287"/>
      <c r="C181" s="287"/>
      <c r="D181" s="287"/>
      <c r="E181" s="287"/>
      <c r="F181" s="287"/>
      <c r="G181" s="287"/>
      <c r="H181" s="287"/>
      <c r="I181" s="287"/>
      <c r="J181" s="287"/>
      <c r="K181" s="287"/>
      <c r="L181" s="287"/>
      <c r="M181" s="287"/>
      <c r="N181" s="287"/>
      <c r="O181" s="287"/>
      <c r="P181" s="287"/>
      <c r="Q181" s="287"/>
      <c r="R181" s="287"/>
      <c r="S181" s="287"/>
      <c r="T181" s="287"/>
      <c r="U181" s="287"/>
      <c r="V181" s="287"/>
      <c r="W181" s="287"/>
      <c r="X181" s="287"/>
      <c r="Y181" s="287"/>
      <c r="Z181" s="287"/>
      <c r="AA181" s="287"/>
      <c r="AB181" s="287"/>
      <c r="AC181" s="287"/>
      <c r="AD181" s="287"/>
      <c r="AE181" s="287"/>
      <c r="AF181" s="287"/>
      <c r="AG181" s="287"/>
      <c r="AH181" s="287"/>
      <c r="AI181" s="287"/>
      <c r="AJ181" s="287"/>
      <c r="AK181" s="287"/>
      <c r="AL181" s="287"/>
      <c r="AM181" s="287"/>
      <c r="AN181" s="287"/>
      <c r="AO181" s="287"/>
      <c r="AP181" s="287"/>
      <c r="AQ181" s="287"/>
      <c r="AR181" s="287"/>
      <c r="AS181" s="287"/>
      <c r="AT181" s="287"/>
      <c r="AU181" s="287"/>
      <c r="AV181" s="287"/>
      <c r="AW181" s="287"/>
      <c r="AX181" s="287"/>
      <c r="AY181" s="287"/>
      <c r="AZ181" s="287"/>
      <c r="BA181" s="287"/>
      <c r="BB181" s="287"/>
      <c r="BC181" s="287"/>
      <c r="BD181" s="287"/>
      <c r="BE181" s="287"/>
      <c r="BF181" s="287"/>
      <c r="BG181" s="287"/>
      <c r="BH181" s="287"/>
      <c r="BI181" s="287"/>
      <c r="BJ181" s="287"/>
      <c r="BK181" s="287"/>
      <c r="BL181" s="287"/>
      <c r="BM181" s="287"/>
      <c r="BN181" s="287"/>
      <c r="BO181" s="287"/>
      <c r="BP181" s="287"/>
      <c r="BQ181" s="287"/>
      <c r="BR181" s="287"/>
    </row>
    <row r="182" spans="1:87" ht="16.8">
      <c r="A182" s="287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7"/>
      <c r="P182" s="287"/>
      <c r="Q182" s="287"/>
      <c r="R182" s="287"/>
      <c r="S182" s="287"/>
      <c r="T182" s="287"/>
      <c r="U182" s="287"/>
      <c r="V182" s="287"/>
      <c r="W182" s="287"/>
      <c r="X182" s="287"/>
      <c r="Y182" s="287"/>
      <c r="Z182" s="287"/>
      <c r="AA182" s="287"/>
      <c r="AB182" s="287"/>
      <c r="AC182" s="287"/>
      <c r="AD182" s="287"/>
      <c r="AE182" s="287"/>
      <c r="AF182" s="287"/>
      <c r="AG182" s="287"/>
      <c r="AH182" s="287"/>
      <c r="AI182" s="287"/>
      <c r="AJ182" s="287"/>
      <c r="AK182" s="287"/>
      <c r="AL182" s="287"/>
      <c r="AM182" s="287"/>
      <c r="AN182" s="287"/>
      <c r="AO182" s="287"/>
      <c r="AP182" s="287"/>
      <c r="AQ182" s="287"/>
      <c r="AR182" s="287"/>
      <c r="AS182" s="287"/>
      <c r="AT182" s="287"/>
      <c r="AU182" s="287"/>
      <c r="AV182" s="287"/>
      <c r="AW182" s="287"/>
      <c r="AX182" s="287"/>
      <c r="AY182" s="287"/>
      <c r="AZ182" s="287"/>
      <c r="BA182" s="287"/>
      <c r="BB182" s="287"/>
      <c r="BC182" s="287"/>
      <c r="BD182" s="287"/>
      <c r="BE182" s="287"/>
      <c r="BF182" s="287"/>
      <c r="BG182" s="287"/>
      <c r="BH182" s="287"/>
      <c r="BI182" s="287"/>
      <c r="BJ182" s="287"/>
      <c r="BK182" s="287"/>
      <c r="BL182" s="287"/>
      <c r="BM182" s="287"/>
      <c r="BN182" s="287"/>
      <c r="BO182" s="287"/>
      <c r="BP182" s="287"/>
      <c r="BQ182" s="287"/>
      <c r="BR182" s="287"/>
    </row>
    <row r="183" spans="1:87" ht="16.8">
      <c r="A183" s="287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7"/>
      <c r="P183" s="287"/>
      <c r="Q183" s="287"/>
      <c r="R183" s="287"/>
      <c r="S183" s="287"/>
      <c r="T183" s="287"/>
      <c r="U183" s="287"/>
      <c r="V183" s="287"/>
      <c r="W183" s="287"/>
      <c r="X183" s="287"/>
      <c r="Y183" s="287"/>
      <c r="Z183" s="287"/>
      <c r="AA183" s="287"/>
      <c r="AB183" s="287"/>
      <c r="AC183" s="287"/>
      <c r="AD183" s="287"/>
      <c r="AE183" s="287"/>
      <c r="AF183" s="287"/>
      <c r="AG183" s="287"/>
      <c r="AH183" s="287"/>
      <c r="AI183" s="287"/>
      <c r="AJ183" s="287"/>
      <c r="AK183" s="287"/>
      <c r="AL183" s="287"/>
      <c r="AM183" s="287"/>
      <c r="AN183" s="287"/>
      <c r="AO183" s="287"/>
      <c r="AP183" s="287"/>
      <c r="AQ183" s="287"/>
      <c r="AR183" s="287"/>
      <c r="AS183" s="287"/>
      <c r="AT183" s="287"/>
      <c r="AU183" s="287"/>
      <c r="AV183" s="287"/>
      <c r="AW183" s="287"/>
      <c r="AX183" s="287"/>
      <c r="AY183" s="287"/>
      <c r="AZ183" s="287"/>
      <c r="BA183" s="287"/>
      <c r="BB183" s="287"/>
      <c r="BC183" s="287"/>
      <c r="BD183" s="287"/>
      <c r="BE183" s="287"/>
      <c r="BF183" s="287"/>
      <c r="BG183" s="287"/>
      <c r="BH183" s="287"/>
      <c r="BI183" s="287"/>
      <c r="BJ183" s="287"/>
      <c r="BK183" s="287"/>
      <c r="BL183" s="287"/>
      <c r="BM183" s="287"/>
      <c r="BN183" s="287"/>
      <c r="BO183" s="287"/>
      <c r="BP183" s="287"/>
      <c r="BQ183" s="287"/>
      <c r="BR183" s="287"/>
    </row>
    <row r="184" spans="1:87" ht="16.8">
      <c r="A184" s="287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  <c r="Q184" s="287"/>
      <c r="R184" s="287"/>
      <c r="S184" s="287"/>
      <c r="T184" s="287"/>
      <c r="U184" s="287"/>
      <c r="V184" s="287"/>
      <c r="W184" s="287"/>
      <c r="X184" s="287"/>
      <c r="Y184" s="287"/>
      <c r="Z184" s="287"/>
      <c r="AA184" s="287"/>
      <c r="AB184" s="287"/>
      <c r="AC184" s="287"/>
      <c r="AD184" s="287"/>
      <c r="AE184" s="287"/>
      <c r="AF184" s="287"/>
      <c r="AG184" s="287"/>
      <c r="AH184" s="287"/>
      <c r="AI184" s="287"/>
      <c r="AJ184" s="287"/>
      <c r="AK184" s="287"/>
      <c r="AL184" s="287"/>
      <c r="AM184" s="287"/>
      <c r="AN184" s="287"/>
      <c r="AO184" s="287"/>
      <c r="AP184" s="287"/>
      <c r="AQ184" s="287"/>
      <c r="AR184" s="287"/>
      <c r="AS184" s="287"/>
      <c r="AT184" s="287"/>
      <c r="AU184" s="287"/>
      <c r="AV184" s="287"/>
      <c r="AW184" s="287"/>
      <c r="AX184" s="287"/>
      <c r="AY184" s="287"/>
      <c r="AZ184" s="287"/>
      <c r="BA184" s="287"/>
      <c r="BB184" s="287"/>
      <c r="BC184" s="287"/>
      <c r="BD184" s="287"/>
      <c r="BE184" s="287"/>
      <c r="BF184" s="287"/>
      <c r="BG184" s="287"/>
      <c r="BH184" s="287"/>
      <c r="BI184" s="287"/>
      <c r="BJ184" s="287"/>
      <c r="BK184" s="287"/>
      <c r="BL184" s="287"/>
      <c r="BM184" s="287"/>
      <c r="BN184" s="287"/>
      <c r="BO184" s="287"/>
      <c r="BP184" s="287"/>
      <c r="BQ184" s="287"/>
      <c r="BR184" s="287"/>
    </row>
    <row r="185" spans="1:87" ht="16.8">
      <c r="A185" s="287"/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87"/>
      <c r="P185" s="287"/>
      <c r="Q185" s="287"/>
      <c r="R185" s="287"/>
      <c r="S185" s="287"/>
      <c r="T185" s="287"/>
      <c r="U185" s="287"/>
      <c r="V185" s="287"/>
      <c r="W185" s="287"/>
      <c r="X185" s="287"/>
      <c r="Y185" s="287"/>
      <c r="Z185" s="287"/>
      <c r="AA185" s="287"/>
      <c r="AB185" s="287"/>
      <c r="AC185" s="287"/>
      <c r="AD185" s="287"/>
      <c r="AE185" s="287"/>
      <c r="AF185" s="287"/>
      <c r="AG185" s="287"/>
      <c r="AH185" s="287"/>
      <c r="AI185" s="287"/>
      <c r="AJ185" s="287"/>
      <c r="AK185" s="287"/>
      <c r="AL185" s="287"/>
      <c r="AM185" s="287"/>
      <c r="AN185" s="287"/>
      <c r="AO185" s="287"/>
      <c r="AP185" s="287"/>
      <c r="AQ185" s="287"/>
      <c r="AR185" s="287"/>
      <c r="AS185" s="287"/>
      <c r="AT185" s="287"/>
      <c r="AU185" s="287"/>
      <c r="AV185" s="287"/>
      <c r="AW185" s="287"/>
      <c r="AX185" s="287"/>
      <c r="AY185" s="287"/>
      <c r="AZ185" s="287"/>
      <c r="BA185" s="287"/>
      <c r="BB185" s="287"/>
      <c r="BC185" s="287"/>
      <c r="BD185" s="287"/>
      <c r="BE185" s="287"/>
      <c r="BF185" s="287"/>
      <c r="BG185" s="287"/>
      <c r="BH185" s="287"/>
      <c r="BI185" s="287"/>
      <c r="BJ185" s="287"/>
      <c r="BK185" s="287"/>
      <c r="BL185" s="287"/>
      <c r="BM185" s="287"/>
      <c r="BN185" s="287"/>
      <c r="BO185" s="287"/>
      <c r="BP185" s="287"/>
      <c r="BQ185" s="287"/>
      <c r="BR185" s="287"/>
    </row>
    <row r="186" spans="1:87" ht="16.8">
      <c r="A186" s="287"/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  <c r="AA186" s="287"/>
      <c r="AB186" s="287"/>
      <c r="AC186" s="287"/>
      <c r="AD186" s="287"/>
      <c r="AE186" s="287"/>
      <c r="AF186" s="287"/>
      <c r="AG186" s="287"/>
      <c r="AH186" s="287"/>
      <c r="AI186" s="287"/>
      <c r="AJ186" s="287"/>
      <c r="AK186" s="287"/>
      <c r="AL186" s="287"/>
      <c r="AM186" s="287"/>
      <c r="AN186" s="287"/>
      <c r="AO186" s="287"/>
      <c r="AP186" s="287"/>
      <c r="AQ186" s="287"/>
      <c r="AR186" s="287"/>
      <c r="AS186" s="287"/>
      <c r="AT186" s="287"/>
      <c r="AU186" s="287"/>
      <c r="AV186" s="287"/>
      <c r="AW186" s="287"/>
      <c r="AX186" s="287"/>
      <c r="AY186" s="287"/>
      <c r="AZ186" s="287"/>
      <c r="BA186" s="287"/>
      <c r="BB186" s="287"/>
      <c r="BC186" s="287"/>
      <c r="BD186" s="287"/>
      <c r="BE186" s="287"/>
      <c r="BF186" s="287"/>
      <c r="BG186" s="287"/>
      <c r="BH186" s="287"/>
      <c r="BI186" s="287"/>
      <c r="BJ186" s="287"/>
      <c r="BK186" s="287"/>
      <c r="BL186" s="287"/>
      <c r="BM186" s="287"/>
      <c r="BN186" s="287"/>
      <c r="BO186" s="287"/>
      <c r="BP186" s="287"/>
      <c r="BQ186" s="287"/>
      <c r="BR186" s="287"/>
    </row>
    <row r="187" spans="1:87" ht="16.8">
      <c r="A187" s="287"/>
      <c r="B187" s="287"/>
      <c r="C187" s="287"/>
      <c r="D187" s="287"/>
      <c r="E187" s="287"/>
      <c r="F187" s="287"/>
      <c r="G187" s="287"/>
      <c r="H187" s="287"/>
      <c r="I187" s="287"/>
      <c r="J187" s="287"/>
      <c r="K187" s="287"/>
      <c r="L187" s="287"/>
      <c r="M187" s="287"/>
      <c r="N187" s="287"/>
      <c r="O187" s="287"/>
      <c r="P187" s="287"/>
      <c r="Q187" s="287"/>
      <c r="R187" s="287"/>
      <c r="S187" s="287"/>
      <c r="T187" s="287"/>
      <c r="U187" s="287"/>
      <c r="V187" s="287"/>
      <c r="W187" s="287"/>
      <c r="X187" s="287"/>
      <c r="Y187" s="287"/>
      <c r="Z187" s="287"/>
      <c r="AA187" s="287"/>
      <c r="AB187" s="287"/>
      <c r="AC187" s="287"/>
      <c r="AD187" s="287"/>
      <c r="AE187" s="287"/>
      <c r="AF187" s="287"/>
      <c r="AG187" s="287"/>
      <c r="AH187" s="287"/>
      <c r="AI187" s="287"/>
      <c r="AJ187" s="287"/>
      <c r="AK187" s="287"/>
      <c r="AL187" s="287"/>
      <c r="AM187" s="287"/>
      <c r="AN187" s="287"/>
      <c r="AO187" s="287"/>
      <c r="AP187" s="287"/>
      <c r="AQ187" s="287"/>
      <c r="AR187" s="287"/>
      <c r="AS187" s="287"/>
      <c r="AT187" s="287"/>
      <c r="AU187" s="287"/>
      <c r="AV187" s="287"/>
      <c r="AW187" s="287"/>
      <c r="AX187" s="287"/>
      <c r="AY187" s="287"/>
      <c r="AZ187" s="287"/>
      <c r="BA187" s="287"/>
      <c r="BB187" s="287"/>
      <c r="BC187" s="287"/>
      <c r="BD187" s="287"/>
      <c r="BE187" s="287"/>
      <c r="BF187" s="287"/>
      <c r="BG187" s="287"/>
      <c r="BH187" s="287"/>
      <c r="BI187" s="287"/>
      <c r="BJ187" s="287"/>
      <c r="BK187" s="287"/>
      <c r="BL187" s="287"/>
      <c r="BM187" s="287"/>
      <c r="BN187" s="287"/>
      <c r="BO187" s="287"/>
      <c r="BP187" s="287"/>
      <c r="BQ187" s="287"/>
      <c r="BR187" s="287"/>
    </row>
    <row r="188" spans="1:87" ht="16.8">
      <c r="A188" s="287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287"/>
      <c r="AB188" s="287"/>
      <c r="AC188" s="287"/>
      <c r="AD188" s="287"/>
      <c r="AE188" s="287"/>
      <c r="AF188" s="287"/>
      <c r="AG188" s="287"/>
      <c r="AH188" s="287"/>
      <c r="AI188" s="287"/>
      <c r="AJ188" s="287"/>
      <c r="AK188" s="287"/>
      <c r="AL188" s="287"/>
      <c r="AM188" s="287"/>
      <c r="AN188" s="287"/>
      <c r="AO188" s="287"/>
      <c r="AP188" s="287"/>
      <c r="AQ188" s="287"/>
      <c r="AR188" s="287"/>
      <c r="AS188" s="287"/>
      <c r="AT188" s="287"/>
      <c r="AU188" s="287"/>
      <c r="AV188" s="287"/>
      <c r="AW188" s="287"/>
      <c r="AX188" s="287"/>
      <c r="AY188" s="287"/>
      <c r="AZ188" s="287"/>
      <c r="BA188" s="287"/>
      <c r="BB188" s="287"/>
      <c r="BC188" s="287"/>
      <c r="BD188" s="287"/>
      <c r="BE188" s="287"/>
      <c r="BF188" s="287"/>
      <c r="BG188" s="287"/>
      <c r="BH188" s="287"/>
      <c r="BI188" s="287"/>
      <c r="BJ188" s="287"/>
      <c r="BK188" s="287"/>
      <c r="BL188" s="287"/>
      <c r="BM188" s="287"/>
      <c r="BN188" s="287"/>
      <c r="BO188" s="287"/>
      <c r="BP188" s="287"/>
      <c r="BQ188" s="287"/>
      <c r="BR188" s="287"/>
    </row>
    <row r="189" spans="1:87" ht="16.8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87"/>
      <c r="P189" s="287"/>
      <c r="Q189" s="287"/>
      <c r="R189" s="287"/>
      <c r="S189" s="287"/>
      <c r="T189" s="287"/>
      <c r="U189" s="287"/>
      <c r="V189" s="287"/>
      <c r="W189" s="287"/>
      <c r="X189" s="287"/>
      <c r="Y189" s="287"/>
      <c r="Z189" s="287"/>
      <c r="AA189" s="287"/>
      <c r="AB189" s="287"/>
      <c r="AC189" s="287"/>
      <c r="AD189" s="287"/>
      <c r="AE189" s="287"/>
      <c r="AF189" s="287"/>
      <c r="AG189" s="287"/>
      <c r="AH189" s="287"/>
      <c r="AI189" s="287"/>
      <c r="AJ189" s="287"/>
      <c r="AK189" s="287"/>
      <c r="AL189" s="287"/>
      <c r="AM189" s="287"/>
      <c r="AN189" s="287"/>
      <c r="AO189" s="287"/>
      <c r="AP189" s="287"/>
      <c r="AQ189" s="287"/>
      <c r="AR189" s="287"/>
      <c r="AS189" s="287"/>
      <c r="AT189" s="287"/>
      <c r="AU189" s="287"/>
      <c r="AV189" s="287"/>
      <c r="AW189" s="287"/>
      <c r="AX189" s="287"/>
      <c r="AY189" s="287"/>
      <c r="AZ189" s="287"/>
      <c r="BA189" s="287"/>
      <c r="BB189" s="287"/>
      <c r="BC189" s="287"/>
      <c r="BD189" s="287"/>
      <c r="BE189" s="287"/>
      <c r="BF189" s="287"/>
      <c r="BG189" s="287"/>
      <c r="BH189" s="287"/>
      <c r="BI189" s="287"/>
      <c r="BJ189" s="287"/>
      <c r="BK189" s="287"/>
      <c r="BL189" s="287"/>
      <c r="BM189" s="287"/>
      <c r="BN189" s="287"/>
      <c r="BO189" s="287"/>
      <c r="BP189" s="287"/>
      <c r="BQ189" s="287"/>
      <c r="BR189" s="287"/>
    </row>
    <row r="190" spans="1:87" ht="16.8">
      <c r="A190" s="287"/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87"/>
      <c r="AB190" s="287"/>
      <c r="AC190" s="287"/>
      <c r="AD190" s="287"/>
      <c r="AE190" s="287"/>
      <c r="AF190" s="287"/>
      <c r="AG190" s="287"/>
      <c r="AH190" s="287"/>
      <c r="AI190" s="287"/>
      <c r="AJ190" s="287"/>
      <c r="AK190" s="287"/>
      <c r="AL190" s="287"/>
      <c r="AM190" s="287"/>
      <c r="AN190" s="287"/>
      <c r="AO190" s="287"/>
      <c r="AP190" s="287"/>
      <c r="AQ190" s="287"/>
      <c r="AR190" s="287"/>
      <c r="AS190" s="287"/>
      <c r="AT190" s="287"/>
      <c r="AU190" s="287"/>
      <c r="AV190" s="287"/>
      <c r="AW190" s="287"/>
      <c r="AX190" s="287"/>
      <c r="AY190" s="287"/>
      <c r="AZ190" s="287"/>
      <c r="BA190" s="287"/>
      <c r="BB190" s="287"/>
      <c r="BC190" s="287"/>
      <c r="BD190" s="287"/>
      <c r="BE190" s="287"/>
      <c r="BF190" s="287"/>
      <c r="BG190" s="287"/>
      <c r="BH190" s="287"/>
      <c r="BI190" s="287"/>
      <c r="BJ190" s="287"/>
      <c r="BK190" s="287"/>
      <c r="BL190" s="287"/>
      <c r="BM190" s="287"/>
      <c r="BN190" s="287"/>
      <c r="BO190" s="287"/>
      <c r="BP190" s="287"/>
      <c r="BQ190" s="287"/>
      <c r="BR190" s="287"/>
    </row>
    <row r="191" spans="1:87" ht="16.8">
      <c r="A191" s="287"/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87"/>
      <c r="AB191" s="287"/>
      <c r="AC191" s="287"/>
      <c r="AD191" s="287"/>
      <c r="AE191" s="287"/>
      <c r="AF191" s="287"/>
      <c r="AG191" s="287"/>
      <c r="AH191" s="287"/>
      <c r="AI191" s="287"/>
      <c r="AJ191" s="287"/>
      <c r="AK191" s="287"/>
      <c r="AL191" s="287"/>
      <c r="AM191" s="287"/>
      <c r="AN191" s="287"/>
      <c r="AO191" s="287"/>
      <c r="AP191" s="287"/>
      <c r="AQ191" s="287"/>
      <c r="AR191" s="287"/>
      <c r="AS191" s="287"/>
      <c r="AT191" s="287"/>
      <c r="AU191" s="287"/>
      <c r="AV191" s="287"/>
      <c r="AW191" s="287"/>
      <c r="AX191" s="287"/>
      <c r="AY191" s="287"/>
      <c r="AZ191" s="287"/>
      <c r="BA191" s="287"/>
      <c r="BB191" s="287"/>
      <c r="BC191" s="287"/>
      <c r="BD191" s="287"/>
      <c r="BE191" s="287"/>
      <c r="BF191" s="287"/>
      <c r="BG191" s="287"/>
      <c r="BH191" s="287"/>
      <c r="BI191" s="287"/>
      <c r="BJ191" s="287"/>
      <c r="BK191" s="287"/>
      <c r="BL191" s="287"/>
      <c r="BM191" s="287"/>
      <c r="BN191" s="287"/>
      <c r="BO191" s="287"/>
      <c r="BP191" s="287"/>
      <c r="BQ191" s="287"/>
      <c r="BR191" s="287"/>
    </row>
    <row r="192" spans="1:87" ht="16.8">
      <c r="A192" s="287"/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87"/>
      <c r="AB192" s="287"/>
      <c r="AC192" s="287"/>
      <c r="AD192" s="287"/>
      <c r="AE192" s="287"/>
      <c r="AF192" s="287"/>
      <c r="AG192" s="287"/>
      <c r="AH192" s="287"/>
      <c r="AI192" s="287"/>
      <c r="AJ192" s="287"/>
      <c r="AK192" s="287"/>
      <c r="AL192" s="287"/>
      <c r="AM192" s="287"/>
      <c r="AN192" s="287"/>
      <c r="AO192" s="287"/>
      <c r="AP192" s="287"/>
      <c r="AQ192" s="287"/>
      <c r="AR192" s="287"/>
      <c r="AS192" s="287"/>
      <c r="AT192" s="287"/>
      <c r="AU192" s="287"/>
      <c r="AV192" s="287"/>
      <c r="AW192" s="287"/>
      <c r="AX192" s="287"/>
      <c r="AY192" s="287"/>
      <c r="AZ192" s="287"/>
      <c r="BA192" s="287"/>
      <c r="BB192" s="287"/>
      <c r="BC192" s="287"/>
      <c r="BD192" s="287"/>
      <c r="BE192" s="287"/>
      <c r="BF192" s="287"/>
      <c r="BG192" s="287"/>
      <c r="BH192" s="287"/>
      <c r="BI192" s="287"/>
      <c r="BJ192" s="287"/>
      <c r="BK192" s="287"/>
      <c r="BL192" s="287"/>
      <c r="BM192" s="287"/>
      <c r="BN192" s="287"/>
      <c r="BO192" s="287"/>
      <c r="BP192" s="287"/>
      <c r="BQ192" s="287"/>
      <c r="BR192" s="287"/>
    </row>
    <row r="193" spans="1:70" ht="16.8">
      <c r="A193" s="287"/>
      <c r="B193" s="287"/>
      <c r="C193" s="287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7"/>
      <c r="P193" s="287"/>
      <c r="Q193" s="287"/>
      <c r="R193" s="287"/>
      <c r="S193" s="287"/>
      <c r="T193" s="287"/>
      <c r="U193" s="287"/>
      <c r="V193" s="287"/>
      <c r="W193" s="287"/>
      <c r="X193" s="287"/>
      <c r="Y193" s="287"/>
      <c r="Z193" s="287"/>
      <c r="AA193" s="287"/>
      <c r="AB193" s="287"/>
      <c r="AC193" s="287"/>
      <c r="AD193" s="287"/>
      <c r="AE193" s="287"/>
      <c r="AF193" s="287"/>
      <c r="AG193" s="287"/>
      <c r="AH193" s="287"/>
      <c r="AI193" s="287"/>
      <c r="AJ193" s="287"/>
      <c r="AK193" s="287"/>
      <c r="AL193" s="287"/>
      <c r="AM193" s="287"/>
      <c r="AN193" s="287"/>
      <c r="AO193" s="287"/>
      <c r="AP193" s="287"/>
      <c r="AQ193" s="287"/>
      <c r="AR193" s="287"/>
      <c r="AS193" s="287"/>
      <c r="AT193" s="287"/>
      <c r="AU193" s="287"/>
      <c r="AV193" s="287"/>
      <c r="AW193" s="287"/>
      <c r="AX193" s="287"/>
      <c r="AY193" s="287"/>
      <c r="AZ193" s="287"/>
      <c r="BA193" s="287"/>
      <c r="BB193" s="287"/>
      <c r="BC193" s="287"/>
      <c r="BD193" s="287"/>
      <c r="BE193" s="287"/>
      <c r="BF193" s="287"/>
      <c r="BG193" s="287"/>
      <c r="BH193" s="287"/>
      <c r="BI193" s="287"/>
      <c r="BJ193" s="287"/>
      <c r="BK193" s="287"/>
      <c r="BL193" s="287"/>
      <c r="BM193" s="287"/>
      <c r="BN193" s="287"/>
      <c r="BO193" s="287"/>
      <c r="BP193" s="287"/>
      <c r="BQ193" s="287"/>
      <c r="BR193" s="287"/>
    </row>
    <row r="194" spans="1:70" ht="16.8">
      <c r="A194" s="287"/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  <c r="AA194" s="287"/>
      <c r="AB194" s="287"/>
      <c r="AC194" s="287"/>
      <c r="AD194" s="287"/>
      <c r="AE194" s="287"/>
      <c r="AF194" s="287"/>
      <c r="AG194" s="287"/>
      <c r="AH194" s="287"/>
      <c r="AI194" s="287"/>
      <c r="AJ194" s="287"/>
      <c r="AK194" s="287"/>
      <c r="AL194" s="287"/>
      <c r="AM194" s="287"/>
      <c r="AN194" s="287"/>
      <c r="AO194" s="287"/>
      <c r="AP194" s="287"/>
      <c r="AQ194" s="287"/>
      <c r="AR194" s="287"/>
      <c r="AS194" s="287"/>
      <c r="AT194" s="287"/>
      <c r="AU194" s="287"/>
      <c r="AV194" s="287"/>
      <c r="AW194" s="287"/>
      <c r="AX194" s="287"/>
      <c r="AY194" s="287"/>
      <c r="AZ194" s="287"/>
      <c r="BA194" s="287"/>
      <c r="BB194" s="287"/>
      <c r="BC194" s="287"/>
      <c r="BD194" s="287"/>
      <c r="BE194" s="287"/>
      <c r="BF194" s="287"/>
      <c r="BG194" s="287"/>
      <c r="BH194" s="287"/>
      <c r="BI194" s="287"/>
      <c r="BJ194" s="287"/>
      <c r="BK194" s="287"/>
      <c r="BL194" s="287"/>
      <c r="BM194" s="287"/>
      <c r="BN194" s="287"/>
      <c r="BO194" s="287"/>
      <c r="BP194" s="287"/>
      <c r="BQ194" s="287"/>
      <c r="BR194" s="287"/>
    </row>
    <row r="195" spans="1:70" ht="16.8">
      <c r="A195" s="287"/>
      <c r="B195" s="287"/>
      <c r="C195" s="287"/>
      <c r="D195" s="287"/>
      <c r="E195" s="287"/>
      <c r="F195" s="287"/>
      <c r="G195" s="287"/>
      <c r="H195" s="287"/>
      <c r="I195" s="287"/>
      <c r="J195" s="287"/>
      <c r="K195" s="287"/>
      <c r="L195" s="287"/>
      <c r="M195" s="287"/>
      <c r="N195" s="287"/>
      <c r="O195" s="287"/>
      <c r="P195" s="287"/>
      <c r="Q195" s="287"/>
      <c r="R195" s="287"/>
      <c r="S195" s="287"/>
      <c r="T195" s="287"/>
      <c r="U195" s="287"/>
      <c r="V195" s="287"/>
      <c r="W195" s="287"/>
      <c r="X195" s="287"/>
      <c r="Y195" s="287"/>
      <c r="Z195" s="287"/>
      <c r="AA195" s="287"/>
      <c r="AB195" s="287"/>
      <c r="AC195" s="287"/>
      <c r="AD195" s="287"/>
      <c r="AE195" s="287"/>
      <c r="AF195" s="287"/>
      <c r="AG195" s="287"/>
      <c r="AH195" s="287"/>
      <c r="AI195" s="287"/>
      <c r="AJ195" s="287"/>
      <c r="AK195" s="287"/>
      <c r="AL195" s="287"/>
      <c r="AM195" s="287"/>
      <c r="AN195" s="287"/>
      <c r="AO195" s="287"/>
      <c r="AP195" s="287"/>
      <c r="AQ195" s="287"/>
      <c r="AR195" s="287"/>
      <c r="AS195" s="287"/>
      <c r="AT195" s="287"/>
      <c r="AU195" s="287"/>
      <c r="AV195" s="287"/>
      <c r="AW195" s="287"/>
      <c r="AX195" s="287"/>
      <c r="AY195" s="287"/>
      <c r="AZ195" s="287"/>
      <c r="BA195" s="287"/>
      <c r="BB195" s="287"/>
      <c r="BC195" s="287"/>
      <c r="BD195" s="287"/>
      <c r="BE195" s="287"/>
      <c r="BF195" s="287"/>
      <c r="BG195" s="287"/>
      <c r="BH195" s="287"/>
      <c r="BI195" s="287"/>
      <c r="BJ195" s="287"/>
      <c r="BK195" s="287"/>
      <c r="BL195" s="287"/>
      <c r="BM195" s="287"/>
      <c r="BN195" s="287"/>
      <c r="BO195" s="287"/>
      <c r="BP195" s="287"/>
      <c r="BQ195" s="287"/>
      <c r="BR195" s="287"/>
    </row>
    <row r="196" spans="1:70" ht="16.8">
      <c r="A196" s="287"/>
      <c r="B196" s="287"/>
      <c r="C196" s="287"/>
      <c r="D196" s="287"/>
      <c r="E196" s="287"/>
      <c r="F196" s="287"/>
      <c r="G196" s="287"/>
      <c r="H196" s="287"/>
      <c r="I196" s="287"/>
      <c r="J196" s="287"/>
      <c r="K196" s="287"/>
      <c r="L196" s="287"/>
      <c r="M196" s="287"/>
      <c r="N196" s="287"/>
      <c r="O196" s="287"/>
      <c r="P196" s="287"/>
      <c r="Q196" s="287"/>
      <c r="R196" s="287"/>
      <c r="S196" s="287"/>
      <c r="T196" s="287"/>
      <c r="U196" s="287"/>
      <c r="V196" s="287"/>
      <c r="W196" s="287"/>
      <c r="X196" s="287"/>
      <c r="Y196" s="287"/>
      <c r="Z196" s="287"/>
      <c r="AA196" s="287"/>
      <c r="AB196" s="287"/>
      <c r="AC196" s="287"/>
      <c r="AD196" s="287"/>
      <c r="AE196" s="287"/>
      <c r="AF196" s="287"/>
      <c r="AG196" s="287"/>
      <c r="AH196" s="287"/>
      <c r="AI196" s="287"/>
      <c r="AJ196" s="287"/>
      <c r="AK196" s="287"/>
      <c r="AL196" s="287"/>
      <c r="AM196" s="287"/>
      <c r="AN196" s="287"/>
      <c r="AO196" s="287"/>
      <c r="AP196" s="287"/>
      <c r="AQ196" s="287"/>
      <c r="AR196" s="287"/>
      <c r="AS196" s="287"/>
      <c r="AT196" s="287"/>
      <c r="AU196" s="287"/>
      <c r="AV196" s="287"/>
      <c r="AW196" s="287"/>
      <c r="AX196" s="287"/>
      <c r="AY196" s="287"/>
      <c r="AZ196" s="287"/>
      <c r="BA196" s="287"/>
      <c r="BB196" s="287"/>
      <c r="BC196" s="287"/>
      <c r="BD196" s="287"/>
      <c r="BE196" s="287"/>
      <c r="BF196" s="287"/>
      <c r="BG196" s="287"/>
      <c r="BH196" s="287"/>
      <c r="BI196" s="287"/>
      <c r="BJ196" s="287"/>
      <c r="BK196" s="287"/>
      <c r="BL196" s="287"/>
      <c r="BM196" s="287"/>
      <c r="BN196" s="287"/>
      <c r="BO196" s="287"/>
      <c r="BP196" s="287"/>
      <c r="BQ196" s="287"/>
      <c r="BR196" s="287"/>
    </row>
    <row r="197" spans="1:70" ht="16.8">
      <c r="A197" s="287"/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287"/>
      <c r="P197" s="287"/>
      <c r="Q197" s="287"/>
      <c r="R197" s="287"/>
      <c r="S197" s="287"/>
      <c r="T197" s="287"/>
      <c r="U197" s="287"/>
      <c r="V197" s="287"/>
      <c r="W197" s="287"/>
      <c r="X197" s="287"/>
      <c r="Y197" s="287"/>
      <c r="Z197" s="287"/>
      <c r="AA197" s="287"/>
      <c r="AB197" s="287"/>
      <c r="AC197" s="287"/>
      <c r="AD197" s="287"/>
      <c r="AE197" s="287"/>
      <c r="AF197" s="287"/>
      <c r="AG197" s="287"/>
      <c r="AH197" s="287"/>
      <c r="AI197" s="287"/>
      <c r="AJ197" s="287"/>
      <c r="AK197" s="287"/>
      <c r="AL197" s="287"/>
      <c r="AM197" s="287"/>
      <c r="AN197" s="287"/>
      <c r="AO197" s="287"/>
      <c r="AP197" s="287"/>
      <c r="AQ197" s="287"/>
      <c r="AR197" s="287"/>
      <c r="AS197" s="287"/>
      <c r="AT197" s="287"/>
      <c r="AU197" s="287"/>
      <c r="AV197" s="287"/>
      <c r="AW197" s="287"/>
      <c r="AX197" s="287"/>
      <c r="AY197" s="287"/>
      <c r="AZ197" s="287"/>
      <c r="BA197" s="287"/>
      <c r="BB197" s="287"/>
      <c r="BC197" s="287"/>
      <c r="BD197" s="287"/>
      <c r="BE197" s="287"/>
      <c r="BF197" s="287"/>
      <c r="BG197" s="287"/>
      <c r="BH197" s="287"/>
      <c r="BI197" s="287"/>
      <c r="BJ197" s="287"/>
      <c r="BK197" s="287"/>
      <c r="BL197" s="287"/>
      <c r="BM197" s="287"/>
      <c r="BN197" s="287"/>
      <c r="BO197" s="287"/>
      <c r="BP197" s="287"/>
      <c r="BQ197" s="287"/>
      <c r="BR197" s="287"/>
    </row>
    <row r="198" spans="1:70" ht="16.8">
      <c r="A198" s="287"/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287"/>
      <c r="P198" s="287"/>
      <c r="Q198" s="287"/>
      <c r="R198" s="287"/>
      <c r="S198" s="287"/>
      <c r="T198" s="287"/>
      <c r="U198" s="287"/>
      <c r="V198" s="287"/>
      <c r="W198" s="287"/>
      <c r="X198" s="287"/>
      <c r="Y198" s="287"/>
      <c r="Z198" s="287"/>
      <c r="AA198" s="287"/>
      <c r="AB198" s="287"/>
      <c r="AC198" s="287"/>
      <c r="AD198" s="287"/>
      <c r="AE198" s="287"/>
      <c r="AF198" s="287"/>
      <c r="AG198" s="287"/>
      <c r="AH198" s="287"/>
      <c r="AI198" s="287"/>
      <c r="AJ198" s="287"/>
      <c r="AK198" s="287"/>
      <c r="AL198" s="287"/>
      <c r="AM198" s="287"/>
      <c r="AN198" s="287"/>
      <c r="AO198" s="287"/>
      <c r="AP198" s="287"/>
      <c r="AQ198" s="287"/>
      <c r="AR198" s="287"/>
      <c r="AS198" s="287"/>
      <c r="AT198" s="287"/>
      <c r="AU198" s="287"/>
      <c r="AV198" s="287"/>
      <c r="AW198" s="287"/>
      <c r="AX198" s="287"/>
      <c r="AY198" s="287"/>
      <c r="AZ198" s="287"/>
      <c r="BA198" s="287"/>
      <c r="BB198" s="287"/>
      <c r="BC198" s="287"/>
      <c r="BD198" s="287"/>
      <c r="BE198" s="287"/>
      <c r="BF198" s="287"/>
      <c r="BG198" s="287"/>
      <c r="BH198" s="287"/>
      <c r="BI198" s="287"/>
      <c r="BJ198" s="287"/>
      <c r="BK198" s="287"/>
      <c r="BL198" s="287"/>
      <c r="BM198" s="287"/>
      <c r="BN198" s="287"/>
      <c r="BO198" s="287"/>
      <c r="BP198" s="287"/>
      <c r="BQ198" s="287"/>
      <c r="BR198" s="287"/>
    </row>
    <row r="199" spans="1:70" ht="16.8">
      <c r="A199" s="287"/>
      <c r="B199" s="287"/>
      <c r="C199" s="287"/>
      <c r="D199" s="287"/>
      <c r="E199" s="287"/>
      <c r="F199" s="287"/>
      <c r="G199" s="287"/>
      <c r="H199" s="287"/>
      <c r="I199" s="287"/>
      <c r="J199" s="287"/>
      <c r="K199" s="287"/>
      <c r="L199" s="287"/>
      <c r="M199" s="287"/>
      <c r="N199" s="287"/>
      <c r="O199" s="287"/>
      <c r="P199" s="287"/>
      <c r="Q199" s="287"/>
      <c r="R199" s="287"/>
      <c r="S199" s="287"/>
      <c r="T199" s="287"/>
      <c r="U199" s="287"/>
      <c r="V199" s="287"/>
      <c r="W199" s="287"/>
      <c r="X199" s="287"/>
      <c r="Y199" s="287"/>
      <c r="Z199" s="287"/>
      <c r="AA199" s="287"/>
      <c r="AB199" s="287"/>
      <c r="AC199" s="287"/>
      <c r="AD199" s="287"/>
      <c r="AE199" s="287"/>
      <c r="AF199" s="287"/>
      <c r="AG199" s="287"/>
      <c r="AH199" s="287"/>
      <c r="AI199" s="287"/>
      <c r="AJ199" s="287"/>
      <c r="AK199" s="287"/>
      <c r="AL199" s="287"/>
      <c r="AM199" s="287"/>
      <c r="AN199" s="287"/>
      <c r="AO199" s="287"/>
      <c r="AP199" s="287"/>
      <c r="AQ199" s="287"/>
      <c r="AR199" s="287"/>
      <c r="AS199" s="287"/>
      <c r="AT199" s="287"/>
      <c r="AU199" s="287"/>
      <c r="AV199" s="287"/>
      <c r="AW199" s="287"/>
      <c r="AX199" s="287"/>
      <c r="AY199" s="287"/>
      <c r="AZ199" s="287"/>
      <c r="BA199" s="287"/>
      <c r="BB199" s="287"/>
      <c r="BC199" s="287"/>
      <c r="BD199" s="287"/>
      <c r="BE199" s="287"/>
      <c r="BF199" s="287"/>
      <c r="BG199" s="287"/>
      <c r="BH199" s="287"/>
      <c r="BI199" s="287"/>
      <c r="BJ199" s="287"/>
      <c r="BK199" s="287"/>
      <c r="BL199" s="287"/>
      <c r="BM199" s="287"/>
      <c r="BN199" s="287"/>
      <c r="BO199" s="287"/>
      <c r="BP199" s="287"/>
      <c r="BQ199" s="287"/>
      <c r="BR199" s="287"/>
    </row>
    <row r="200" spans="1:70" ht="16.8">
      <c r="A200" s="287"/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  <c r="AA200" s="287"/>
      <c r="AB200" s="287"/>
      <c r="AC200" s="287"/>
      <c r="AD200" s="287"/>
      <c r="AE200" s="287"/>
      <c r="AF200" s="287"/>
      <c r="AG200" s="287"/>
      <c r="AH200" s="287"/>
      <c r="AI200" s="287"/>
      <c r="AJ200" s="287"/>
      <c r="AK200" s="287"/>
      <c r="AL200" s="287"/>
      <c r="AM200" s="287"/>
      <c r="AN200" s="287"/>
      <c r="AO200" s="287"/>
      <c r="AP200" s="287"/>
      <c r="AQ200" s="287"/>
      <c r="AR200" s="287"/>
      <c r="AS200" s="287"/>
      <c r="AT200" s="287"/>
      <c r="AU200" s="287"/>
      <c r="AV200" s="287"/>
      <c r="AW200" s="287"/>
      <c r="AX200" s="287"/>
      <c r="AY200" s="287"/>
      <c r="AZ200" s="287"/>
      <c r="BA200" s="287"/>
      <c r="BB200" s="287"/>
      <c r="BC200" s="287"/>
      <c r="BD200" s="287"/>
      <c r="BE200" s="287"/>
      <c r="BF200" s="287"/>
      <c r="BG200" s="287"/>
      <c r="BH200" s="287"/>
      <c r="BI200" s="287"/>
      <c r="BJ200" s="287"/>
      <c r="BK200" s="287"/>
      <c r="BL200" s="287"/>
      <c r="BM200" s="287"/>
      <c r="BN200" s="287"/>
      <c r="BO200" s="287"/>
      <c r="BP200" s="287"/>
      <c r="BQ200" s="287"/>
      <c r="BR200" s="287"/>
    </row>
    <row r="201" spans="1:70" ht="16.8">
      <c r="A201" s="287"/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  <c r="Q201" s="287"/>
      <c r="R201" s="287"/>
      <c r="S201" s="287"/>
      <c r="T201" s="287"/>
      <c r="U201" s="287"/>
      <c r="V201" s="287"/>
      <c r="W201" s="287"/>
      <c r="X201" s="287"/>
      <c r="Y201" s="287"/>
      <c r="Z201" s="287"/>
      <c r="AA201" s="287"/>
      <c r="AB201" s="287"/>
      <c r="AC201" s="287"/>
      <c r="AD201" s="287"/>
      <c r="AE201" s="287"/>
      <c r="AF201" s="287"/>
      <c r="AG201" s="287"/>
      <c r="AH201" s="287"/>
      <c r="AI201" s="287"/>
      <c r="AJ201" s="287"/>
      <c r="AK201" s="287"/>
      <c r="AL201" s="287"/>
      <c r="AM201" s="287"/>
      <c r="AN201" s="287"/>
      <c r="AO201" s="287"/>
      <c r="AP201" s="287"/>
      <c r="AQ201" s="287"/>
      <c r="AR201" s="287"/>
      <c r="AS201" s="287"/>
      <c r="AT201" s="287"/>
      <c r="AU201" s="287"/>
      <c r="AV201" s="287"/>
      <c r="AW201" s="287"/>
      <c r="AX201" s="287"/>
      <c r="AY201" s="287"/>
      <c r="AZ201" s="287"/>
      <c r="BA201" s="287"/>
      <c r="BB201" s="287"/>
      <c r="BC201" s="287"/>
      <c r="BD201" s="287"/>
      <c r="BE201" s="287"/>
      <c r="BF201" s="287"/>
      <c r="BG201" s="287"/>
      <c r="BH201" s="287"/>
      <c r="BI201" s="287"/>
      <c r="BJ201" s="287"/>
      <c r="BK201" s="287"/>
      <c r="BL201" s="287"/>
      <c r="BM201" s="287"/>
      <c r="BN201" s="287"/>
      <c r="BO201" s="287"/>
      <c r="BP201" s="287"/>
      <c r="BQ201" s="287"/>
      <c r="BR201" s="287"/>
    </row>
    <row r="202" spans="1:70" ht="16.8">
      <c r="A202" s="287"/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  <c r="AA202" s="287"/>
      <c r="AB202" s="287"/>
      <c r="AC202" s="287"/>
      <c r="AD202" s="287"/>
      <c r="AE202" s="287"/>
      <c r="AF202" s="287"/>
      <c r="AG202" s="287"/>
      <c r="AH202" s="287"/>
      <c r="AI202" s="287"/>
      <c r="AJ202" s="287"/>
      <c r="AK202" s="287"/>
      <c r="AL202" s="287"/>
      <c r="AM202" s="287"/>
      <c r="AN202" s="287"/>
      <c r="AO202" s="287"/>
      <c r="AP202" s="287"/>
      <c r="AQ202" s="287"/>
      <c r="AR202" s="287"/>
      <c r="AS202" s="287"/>
      <c r="AT202" s="287"/>
      <c r="AU202" s="287"/>
      <c r="AV202" s="287"/>
      <c r="AW202" s="287"/>
      <c r="AX202" s="287"/>
      <c r="AY202" s="287"/>
      <c r="AZ202" s="287"/>
      <c r="BA202" s="287"/>
      <c r="BB202" s="287"/>
      <c r="BC202" s="287"/>
      <c r="BD202" s="287"/>
      <c r="BE202" s="287"/>
      <c r="BF202" s="287"/>
      <c r="BG202" s="287"/>
      <c r="BH202" s="287"/>
      <c r="BI202" s="287"/>
      <c r="BJ202" s="287"/>
      <c r="BK202" s="287"/>
      <c r="BL202" s="287"/>
      <c r="BM202" s="287"/>
      <c r="BN202" s="287"/>
      <c r="BO202" s="287"/>
      <c r="BP202" s="287"/>
      <c r="BQ202" s="287"/>
      <c r="BR202" s="287"/>
    </row>
    <row r="203" spans="1:70" ht="16.8">
      <c r="A203" s="287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7"/>
      <c r="Z203" s="287"/>
      <c r="AA203" s="287"/>
      <c r="AB203" s="287"/>
      <c r="AC203" s="287"/>
      <c r="AD203" s="287"/>
      <c r="AE203" s="287"/>
      <c r="AF203" s="287"/>
      <c r="AG203" s="287"/>
      <c r="AH203" s="287"/>
      <c r="AI203" s="287"/>
      <c r="AJ203" s="287"/>
      <c r="AK203" s="287"/>
      <c r="AL203" s="287"/>
      <c r="AM203" s="287"/>
      <c r="AN203" s="287"/>
      <c r="AO203" s="287"/>
      <c r="AP203" s="287"/>
      <c r="AQ203" s="287"/>
      <c r="AR203" s="287"/>
      <c r="AS203" s="287"/>
      <c r="AT203" s="287"/>
      <c r="AU203" s="287"/>
      <c r="AV203" s="287"/>
      <c r="AW203" s="287"/>
      <c r="AX203" s="287"/>
      <c r="AY203" s="287"/>
      <c r="AZ203" s="287"/>
      <c r="BA203" s="287"/>
      <c r="BB203" s="287"/>
      <c r="BC203" s="287"/>
      <c r="BD203" s="287"/>
      <c r="BE203" s="287"/>
      <c r="BF203" s="287"/>
      <c r="BG203" s="287"/>
      <c r="BH203" s="287"/>
      <c r="BI203" s="287"/>
      <c r="BJ203" s="287"/>
      <c r="BK203" s="287"/>
      <c r="BL203" s="287"/>
      <c r="BM203" s="287"/>
      <c r="BN203" s="287"/>
      <c r="BO203" s="287"/>
      <c r="BP203" s="287"/>
      <c r="BQ203" s="287"/>
      <c r="BR203" s="287"/>
    </row>
    <row r="204" spans="1:70" ht="16.8">
      <c r="A204" s="287"/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  <c r="AA204" s="287"/>
      <c r="AB204" s="287"/>
      <c r="AC204" s="287"/>
      <c r="AD204" s="287"/>
      <c r="AE204" s="287"/>
      <c r="AF204" s="287"/>
      <c r="AG204" s="287"/>
      <c r="AH204" s="287"/>
      <c r="AI204" s="287"/>
      <c r="AJ204" s="287"/>
      <c r="AK204" s="287"/>
      <c r="AL204" s="287"/>
      <c r="AM204" s="287"/>
      <c r="AN204" s="287"/>
      <c r="AO204" s="287"/>
      <c r="AP204" s="287"/>
      <c r="AQ204" s="287"/>
      <c r="AR204" s="287"/>
      <c r="AS204" s="287"/>
      <c r="AT204" s="287"/>
      <c r="AU204" s="287"/>
      <c r="AV204" s="287"/>
      <c r="AW204" s="287"/>
      <c r="AX204" s="287"/>
      <c r="AY204" s="287"/>
      <c r="AZ204" s="287"/>
      <c r="BA204" s="287"/>
      <c r="BB204" s="287"/>
      <c r="BC204" s="287"/>
      <c r="BD204" s="287"/>
      <c r="BE204" s="287"/>
      <c r="BF204" s="287"/>
      <c r="BG204" s="287"/>
      <c r="BH204" s="287"/>
      <c r="BI204" s="287"/>
      <c r="BJ204" s="287"/>
      <c r="BK204" s="287"/>
      <c r="BL204" s="287"/>
      <c r="BM204" s="287"/>
      <c r="BN204" s="287"/>
      <c r="BO204" s="287"/>
      <c r="BP204" s="287"/>
      <c r="BQ204" s="287"/>
      <c r="BR204" s="287"/>
    </row>
    <row r="205" spans="1:70" ht="16.8">
      <c r="A205" s="287"/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87"/>
      <c r="AB205" s="287"/>
      <c r="AC205" s="287"/>
      <c r="AD205" s="287"/>
      <c r="AE205" s="287"/>
      <c r="AF205" s="287"/>
      <c r="AG205" s="287"/>
      <c r="AH205" s="287"/>
      <c r="AI205" s="287"/>
      <c r="AJ205" s="287"/>
      <c r="AK205" s="287"/>
      <c r="AL205" s="287"/>
      <c r="AM205" s="287"/>
      <c r="AN205" s="287"/>
      <c r="AO205" s="287"/>
      <c r="AP205" s="287"/>
      <c r="AQ205" s="287"/>
      <c r="AR205" s="287"/>
      <c r="AS205" s="287"/>
      <c r="AT205" s="287"/>
      <c r="AU205" s="287"/>
      <c r="AV205" s="287"/>
      <c r="AW205" s="287"/>
      <c r="AX205" s="287"/>
      <c r="AY205" s="287"/>
      <c r="AZ205" s="287"/>
      <c r="BA205" s="287"/>
      <c r="BB205" s="287"/>
      <c r="BC205" s="287"/>
      <c r="BD205" s="287"/>
      <c r="BE205" s="287"/>
      <c r="BF205" s="287"/>
      <c r="BG205" s="287"/>
      <c r="BH205" s="287"/>
      <c r="BI205" s="287"/>
      <c r="BJ205" s="287"/>
      <c r="BK205" s="287"/>
      <c r="BL205" s="287"/>
      <c r="BM205" s="287"/>
      <c r="BN205" s="287"/>
      <c r="BO205" s="287"/>
      <c r="BP205" s="287"/>
      <c r="BQ205" s="287"/>
      <c r="BR205" s="287"/>
    </row>
    <row r="206" spans="1:70" ht="16.8">
      <c r="A206" s="287"/>
      <c r="B206" s="287"/>
      <c r="C206" s="287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7"/>
      <c r="P206" s="287"/>
      <c r="Q206" s="287"/>
      <c r="R206" s="287"/>
      <c r="S206" s="287"/>
      <c r="T206" s="287"/>
      <c r="U206" s="287"/>
      <c r="V206" s="287"/>
      <c r="W206" s="287"/>
      <c r="X206" s="287"/>
      <c r="Y206" s="287"/>
      <c r="Z206" s="287"/>
      <c r="AA206" s="287"/>
      <c r="AB206" s="287"/>
      <c r="AC206" s="287"/>
      <c r="AD206" s="287"/>
      <c r="AE206" s="287"/>
      <c r="AF206" s="287"/>
      <c r="AG206" s="287"/>
      <c r="AH206" s="287"/>
      <c r="AI206" s="287"/>
      <c r="AJ206" s="287"/>
      <c r="AK206" s="287"/>
      <c r="AL206" s="287"/>
      <c r="AM206" s="287"/>
      <c r="AN206" s="287"/>
      <c r="AO206" s="287"/>
      <c r="AP206" s="287"/>
      <c r="AQ206" s="287"/>
      <c r="AR206" s="287"/>
      <c r="AS206" s="287"/>
      <c r="AT206" s="287"/>
      <c r="AU206" s="287"/>
      <c r="AV206" s="287"/>
      <c r="AW206" s="287"/>
      <c r="AX206" s="287"/>
      <c r="AY206" s="287"/>
      <c r="AZ206" s="287"/>
      <c r="BA206" s="287"/>
      <c r="BB206" s="287"/>
      <c r="BC206" s="287"/>
      <c r="BD206" s="287"/>
      <c r="BE206" s="287"/>
      <c r="BF206" s="287"/>
      <c r="BG206" s="287"/>
      <c r="BH206" s="287"/>
      <c r="BI206" s="287"/>
      <c r="BJ206" s="287"/>
      <c r="BK206" s="287"/>
      <c r="BL206" s="287"/>
      <c r="BM206" s="287"/>
      <c r="BN206" s="287"/>
      <c r="BO206" s="287"/>
      <c r="BP206" s="287"/>
      <c r="BQ206" s="287"/>
      <c r="BR206" s="287"/>
    </row>
    <row r="207" spans="1:70" ht="16.8">
      <c r="A207" s="287"/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  <c r="Q207" s="287"/>
      <c r="R207" s="287"/>
      <c r="S207" s="287"/>
      <c r="T207" s="287"/>
      <c r="U207" s="287"/>
      <c r="V207" s="287"/>
      <c r="W207" s="287"/>
      <c r="X207" s="287"/>
      <c r="Y207" s="287"/>
      <c r="Z207" s="287"/>
      <c r="AA207" s="287"/>
      <c r="AB207" s="287"/>
      <c r="AC207" s="287"/>
      <c r="AD207" s="287"/>
      <c r="AE207" s="287"/>
      <c r="AF207" s="287"/>
      <c r="AG207" s="287"/>
      <c r="AH207" s="287"/>
      <c r="AI207" s="287"/>
      <c r="AJ207" s="287"/>
      <c r="AK207" s="287"/>
      <c r="AL207" s="287"/>
      <c r="AM207" s="287"/>
      <c r="AN207" s="287"/>
      <c r="AO207" s="287"/>
      <c r="AP207" s="287"/>
      <c r="AQ207" s="287"/>
      <c r="AR207" s="287"/>
      <c r="AS207" s="287"/>
      <c r="AT207" s="287"/>
      <c r="AU207" s="287"/>
      <c r="AV207" s="287"/>
      <c r="AW207" s="287"/>
      <c r="AX207" s="287"/>
      <c r="AY207" s="287"/>
      <c r="AZ207" s="287"/>
      <c r="BA207" s="287"/>
      <c r="BB207" s="287"/>
      <c r="BC207" s="287"/>
      <c r="BD207" s="287"/>
      <c r="BE207" s="287"/>
      <c r="BF207" s="287"/>
      <c r="BG207" s="287"/>
      <c r="BH207" s="287"/>
      <c r="BI207" s="287"/>
      <c r="BJ207" s="287"/>
      <c r="BK207" s="287"/>
      <c r="BL207" s="287"/>
      <c r="BM207" s="287"/>
      <c r="BN207" s="287"/>
      <c r="BO207" s="287"/>
      <c r="BP207" s="287"/>
      <c r="BQ207" s="287"/>
      <c r="BR207" s="287"/>
    </row>
    <row r="208" spans="1:70" ht="16.8">
      <c r="A208" s="287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  <c r="Q208" s="287"/>
      <c r="R208" s="287"/>
      <c r="S208" s="287"/>
      <c r="T208" s="287"/>
      <c r="U208" s="287"/>
      <c r="V208" s="287"/>
      <c r="W208" s="287"/>
      <c r="X208" s="287"/>
      <c r="Y208" s="287"/>
      <c r="Z208" s="287"/>
      <c r="AA208" s="287"/>
      <c r="AB208" s="287"/>
      <c r="AC208" s="287"/>
      <c r="AD208" s="287"/>
      <c r="AE208" s="287"/>
      <c r="AF208" s="287"/>
      <c r="AG208" s="287"/>
      <c r="AH208" s="287"/>
      <c r="AI208" s="287"/>
      <c r="AJ208" s="287"/>
      <c r="AK208" s="287"/>
      <c r="AL208" s="287"/>
      <c r="AM208" s="287"/>
      <c r="AN208" s="287"/>
      <c r="AO208" s="287"/>
      <c r="AP208" s="287"/>
      <c r="AQ208" s="287"/>
      <c r="AR208" s="287"/>
      <c r="AS208" s="287"/>
      <c r="AT208" s="287"/>
      <c r="AU208" s="287"/>
      <c r="AV208" s="287"/>
      <c r="AW208" s="287"/>
      <c r="AX208" s="287"/>
      <c r="AY208" s="287"/>
      <c r="AZ208" s="287"/>
      <c r="BA208" s="287"/>
      <c r="BB208" s="287"/>
      <c r="BC208" s="287"/>
      <c r="BD208" s="287"/>
      <c r="BE208" s="287"/>
      <c r="BF208" s="287"/>
      <c r="BG208" s="287"/>
      <c r="BH208" s="287"/>
      <c r="BI208" s="287"/>
      <c r="BJ208" s="287"/>
      <c r="BK208" s="287"/>
      <c r="BL208" s="287"/>
      <c r="BM208" s="287"/>
      <c r="BN208" s="287"/>
      <c r="BO208" s="287"/>
      <c r="BP208" s="287"/>
      <c r="BQ208" s="287"/>
      <c r="BR208" s="287"/>
    </row>
    <row r="209" spans="1:70" ht="16.8">
      <c r="A209" s="287"/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  <c r="Q209" s="287"/>
      <c r="R209" s="287"/>
      <c r="S209" s="287"/>
      <c r="T209" s="287"/>
      <c r="U209" s="287"/>
      <c r="V209" s="287"/>
      <c r="W209" s="287"/>
      <c r="X209" s="287"/>
      <c r="Y209" s="287"/>
      <c r="Z209" s="287"/>
      <c r="AA209" s="287"/>
      <c r="AB209" s="287"/>
      <c r="AC209" s="287"/>
      <c r="AD209" s="287"/>
      <c r="AE209" s="287"/>
      <c r="AF209" s="287"/>
      <c r="AG209" s="287"/>
      <c r="AH209" s="287"/>
      <c r="AI209" s="287"/>
      <c r="AJ209" s="287"/>
      <c r="AK209" s="287"/>
      <c r="AL209" s="287"/>
      <c r="AM209" s="287"/>
      <c r="AN209" s="287"/>
      <c r="AO209" s="287"/>
      <c r="AP209" s="287"/>
      <c r="AQ209" s="287"/>
      <c r="AR209" s="287"/>
      <c r="AS209" s="287"/>
      <c r="AT209" s="287"/>
      <c r="AU209" s="287"/>
      <c r="AV209" s="287"/>
      <c r="AW209" s="287"/>
      <c r="AX209" s="287"/>
      <c r="AY209" s="287"/>
      <c r="AZ209" s="287"/>
      <c r="BA209" s="287"/>
      <c r="BB209" s="287"/>
      <c r="BC209" s="287"/>
      <c r="BD209" s="287"/>
      <c r="BE209" s="287"/>
      <c r="BF209" s="287"/>
      <c r="BG209" s="287"/>
      <c r="BH209" s="287"/>
      <c r="BI209" s="287"/>
      <c r="BJ209" s="287"/>
      <c r="BK209" s="287"/>
      <c r="BL209" s="287"/>
      <c r="BM209" s="287"/>
      <c r="BN209" s="287"/>
      <c r="BO209" s="287"/>
      <c r="BP209" s="287"/>
      <c r="BQ209" s="287"/>
      <c r="BR209" s="287"/>
    </row>
    <row r="210" spans="1:70" ht="16.8">
      <c r="A210" s="287"/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  <c r="AA210" s="287"/>
      <c r="AB210" s="287"/>
      <c r="AC210" s="287"/>
      <c r="AD210" s="287"/>
      <c r="AE210" s="287"/>
      <c r="AF210" s="287"/>
      <c r="AG210" s="287"/>
      <c r="AH210" s="287"/>
      <c r="AI210" s="287"/>
      <c r="AJ210" s="287"/>
      <c r="AK210" s="287"/>
      <c r="AL210" s="287"/>
      <c r="AM210" s="287"/>
      <c r="AN210" s="287"/>
      <c r="AO210" s="287"/>
      <c r="AP210" s="287"/>
      <c r="AQ210" s="287"/>
      <c r="AR210" s="287"/>
      <c r="AS210" s="287"/>
      <c r="AT210" s="287"/>
      <c r="AU210" s="287"/>
      <c r="AV210" s="287"/>
      <c r="AW210" s="287"/>
      <c r="AX210" s="287"/>
      <c r="AY210" s="287"/>
      <c r="AZ210" s="287"/>
      <c r="BA210" s="287"/>
      <c r="BB210" s="287"/>
      <c r="BC210" s="287"/>
      <c r="BD210" s="287"/>
      <c r="BE210" s="287"/>
      <c r="BF210" s="287"/>
      <c r="BG210" s="287"/>
      <c r="BH210" s="287"/>
      <c r="BI210" s="287"/>
      <c r="BJ210" s="287"/>
      <c r="BK210" s="287"/>
      <c r="BL210" s="287"/>
      <c r="BM210" s="287"/>
      <c r="BN210" s="287"/>
      <c r="BO210" s="287"/>
      <c r="BP210" s="287"/>
      <c r="BQ210" s="287"/>
      <c r="BR210" s="287"/>
    </row>
    <row r="211" spans="1:70" ht="16.8">
      <c r="A211" s="287"/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7"/>
      <c r="P211" s="287"/>
      <c r="Q211" s="287"/>
      <c r="R211" s="287"/>
      <c r="S211" s="287"/>
      <c r="T211" s="287"/>
      <c r="U211" s="287"/>
      <c r="V211" s="287"/>
      <c r="W211" s="287"/>
      <c r="X211" s="287"/>
      <c r="Y211" s="287"/>
      <c r="Z211" s="287"/>
      <c r="AA211" s="287"/>
      <c r="AB211" s="287"/>
      <c r="AC211" s="287"/>
      <c r="AD211" s="287"/>
      <c r="AE211" s="287"/>
      <c r="AF211" s="287"/>
      <c r="AG211" s="287"/>
      <c r="AH211" s="287"/>
      <c r="AI211" s="287"/>
      <c r="AJ211" s="287"/>
      <c r="AK211" s="287"/>
      <c r="AL211" s="287"/>
      <c r="AM211" s="287"/>
      <c r="AN211" s="287"/>
      <c r="AO211" s="287"/>
      <c r="AP211" s="287"/>
      <c r="AQ211" s="287"/>
      <c r="AR211" s="287"/>
      <c r="AS211" s="287"/>
      <c r="AT211" s="287"/>
      <c r="AU211" s="287"/>
      <c r="AV211" s="287"/>
      <c r="AW211" s="287"/>
      <c r="AX211" s="287"/>
      <c r="AY211" s="287"/>
      <c r="AZ211" s="287"/>
      <c r="BA211" s="287"/>
      <c r="BB211" s="287"/>
      <c r="BC211" s="287"/>
      <c r="BD211" s="287"/>
      <c r="BE211" s="287"/>
      <c r="BF211" s="287"/>
      <c r="BG211" s="287"/>
      <c r="BH211" s="287"/>
      <c r="BI211" s="287"/>
      <c r="BJ211" s="287"/>
      <c r="BK211" s="287"/>
      <c r="BL211" s="287"/>
      <c r="BM211" s="287"/>
      <c r="BN211" s="287"/>
      <c r="BO211" s="287"/>
      <c r="BP211" s="287"/>
      <c r="BQ211" s="287"/>
      <c r="BR211" s="287"/>
    </row>
    <row r="212" spans="1:70" ht="16.8">
      <c r="A212" s="287"/>
      <c r="B212" s="287"/>
      <c r="C212" s="287"/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7"/>
      <c r="P212" s="287"/>
      <c r="Q212" s="287"/>
      <c r="R212" s="287"/>
      <c r="S212" s="287"/>
      <c r="T212" s="287"/>
      <c r="U212" s="287"/>
      <c r="V212" s="287"/>
      <c r="W212" s="287"/>
      <c r="X212" s="287"/>
      <c r="Y212" s="287"/>
      <c r="Z212" s="287"/>
      <c r="AA212" s="287"/>
      <c r="AB212" s="287"/>
      <c r="AC212" s="287"/>
      <c r="AD212" s="287"/>
      <c r="AE212" s="287"/>
      <c r="AF212" s="287"/>
      <c r="AG212" s="287"/>
      <c r="AH212" s="287"/>
      <c r="AI212" s="287"/>
      <c r="AJ212" s="287"/>
      <c r="AK212" s="287"/>
      <c r="AL212" s="287"/>
      <c r="AM212" s="287"/>
      <c r="AN212" s="287"/>
      <c r="AO212" s="287"/>
      <c r="AP212" s="287"/>
      <c r="AQ212" s="287"/>
      <c r="AR212" s="287"/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</row>
    <row r="213" spans="1:70" ht="16.8">
      <c r="A213" s="287"/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87"/>
      <c r="P213" s="287"/>
      <c r="Q213" s="287"/>
      <c r="R213" s="287"/>
      <c r="S213" s="287"/>
      <c r="T213" s="287"/>
      <c r="U213" s="287"/>
      <c r="V213" s="287"/>
      <c r="W213" s="287"/>
      <c r="X213" s="287"/>
      <c r="Y213" s="287"/>
      <c r="Z213" s="287"/>
      <c r="AA213" s="287"/>
      <c r="AB213" s="287"/>
      <c r="AC213" s="287"/>
      <c r="AD213" s="287"/>
      <c r="AE213" s="287"/>
      <c r="AF213" s="287"/>
      <c r="AG213" s="287"/>
      <c r="AH213" s="287"/>
      <c r="AI213" s="287"/>
      <c r="AJ213" s="287"/>
      <c r="AK213" s="287"/>
      <c r="AL213" s="287"/>
      <c r="AM213" s="287"/>
      <c r="AN213" s="287"/>
      <c r="AO213" s="287"/>
      <c r="AP213" s="287"/>
      <c r="AQ213" s="287"/>
      <c r="AR213" s="287"/>
      <c r="AS213" s="287"/>
      <c r="AT213" s="287"/>
      <c r="AU213" s="287"/>
      <c r="AV213" s="287"/>
      <c r="AW213" s="287"/>
      <c r="AX213" s="287"/>
      <c r="AY213" s="287"/>
      <c r="AZ213" s="287"/>
      <c r="BA213" s="287"/>
      <c r="BB213" s="287"/>
      <c r="BC213" s="287"/>
      <c r="BD213" s="287"/>
      <c r="BE213" s="287"/>
      <c r="BF213" s="287"/>
      <c r="BG213" s="287"/>
      <c r="BH213" s="287"/>
      <c r="BI213" s="287"/>
      <c r="BJ213" s="287"/>
      <c r="BK213" s="287"/>
      <c r="BL213" s="287"/>
      <c r="BM213" s="287"/>
      <c r="BN213" s="287"/>
      <c r="BO213" s="287"/>
      <c r="BP213" s="287"/>
      <c r="BQ213" s="287"/>
      <c r="BR213" s="287"/>
    </row>
    <row r="214" spans="1:70" ht="16.8">
      <c r="A214" s="287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  <c r="AA214" s="287"/>
      <c r="AB214" s="287"/>
      <c r="AC214" s="287"/>
      <c r="AD214" s="287"/>
      <c r="AE214" s="287"/>
      <c r="AF214" s="287"/>
      <c r="AG214" s="287"/>
      <c r="AH214" s="287"/>
      <c r="AI214" s="287"/>
      <c r="AJ214" s="287"/>
      <c r="AK214" s="287"/>
      <c r="AL214" s="287"/>
      <c r="AM214" s="287"/>
      <c r="AN214" s="287"/>
      <c r="AO214" s="287"/>
      <c r="AP214" s="287"/>
      <c r="AQ214" s="287"/>
      <c r="AR214" s="287"/>
      <c r="AS214" s="287"/>
      <c r="AT214" s="287"/>
      <c r="AU214" s="287"/>
      <c r="AV214" s="287"/>
      <c r="AW214" s="287"/>
      <c r="AX214" s="287"/>
      <c r="AY214" s="287"/>
      <c r="AZ214" s="287"/>
      <c r="BA214" s="287"/>
      <c r="BB214" s="287"/>
      <c r="BC214" s="287"/>
      <c r="BD214" s="287"/>
      <c r="BE214" s="287"/>
      <c r="BF214" s="287"/>
      <c r="BG214" s="287"/>
      <c r="BH214" s="287"/>
      <c r="BI214" s="287"/>
      <c r="BJ214" s="287"/>
      <c r="BK214" s="287"/>
      <c r="BL214" s="287"/>
      <c r="BM214" s="287"/>
      <c r="BN214" s="287"/>
      <c r="BO214" s="287"/>
      <c r="BP214" s="287"/>
      <c r="BQ214" s="287"/>
      <c r="BR214" s="287"/>
    </row>
    <row r="215" spans="1:70" ht="16.8">
      <c r="A215" s="287"/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  <c r="AA215" s="287"/>
      <c r="AB215" s="287"/>
      <c r="AC215" s="287"/>
      <c r="AD215" s="287"/>
      <c r="AE215" s="287"/>
      <c r="AF215" s="287"/>
      <c r="AG215" s="287"/>
      <c r="AH215" s="287"/>
      <c r="AI215" s="287"/>
      <c r="AJ215" s="287"/>
      <c r="AK215" s="287"/>
      <c r="AL215" s="287"/>
      <c r="AM215" s="287"/>
      <c r="AN215" s="287"/>
      <c r="AO215" s="287"/>
      <c r="AP215" s="287"/>
      <c r="AQ215" s="287"/>
      <c r="AR215" s="287"/>
      <c r="AS215" s="287"/>
      <c r="AT215" s="287"/>
      <c r="AU215" s="287"/>
      <c r="AV215" s="287"/>
      <c r="AW215" s="287"/>
      <c r="AX215" s="287"/>
      <c r="AY215" s="287"/>
      <c r="AZ215" s="287"/>
      <c r="BA215" s="287"/>
      <c r="BB215" s="287"/>
      <c r="BC215" s="287"/>
      <c r="BD215" s="287"/>
      <c r="BE215" s="287"/>
      <c r="BF215" s="287"/>
      <c r="BG215" s="287"/>
      <c r="BH215" s="287"/>
      <c r="BI215" s="287"/>
      <c r="BJ215" s="287"/>
      <c r="BK215" s="287"/>
      <c r="BL215" s="287"/>
      <c r="BM215" s="287"/>
      <c r="BN215" s="287"/>
      <c r="BO215" s="287"/>
      <c r="BP215" s="287"/>
      <c r="BQ215" s="287"/>
      <c r="BR215" s="287"/>
    </row>
    <row r="216" spans="1:70" ht="16.8">
      <c r="A216" s="287"/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87"/>
      <c r="AB216" s="287"/>
      <c r="AC216" s="287"/>
      <c r="AD216" s="287"/>
      <c r="AE216" s="287"/>
      <c r="AF216" s="287"/>
      <c r="AG216" s="287"/>
      <c r="AH216" s="287"/>
      <c r="AI216" s="287"/>
      <c r="AJ216" s="287"/>
      <c r="AK216" s="287"/>
      <c r="AL216" s="287"/>
      <c r="AM216" s="287"/>
      <c r="AN216" s="287"/>
      <c r="AO216" s="287"/>
      <c r="AP216" s="287"/>
      <c r="AQ216" s="287"/>
      <c r="AR216" s="287"/>
      <c r="AS216" s="287"/>
      <c r="AT216" s="287"/>
      <c r="AU216" s="287"/>
      <c r="AV216" s="287"/>
      <c r="AW216" s="287"/>
      <c r="AX216" s="287"/>
      <c r="AY216" s="287"/>
      <c r="AZ216" s="287"/>
      <c r="BA216" s="287"/>
      <c r="BB216" s="287"/>
      <c r="BC216" s="287"/>
      <c r="BD216" s="287"/>
      <c r="BE216" s="287"/>
      <c r="BF216" s="287"/>
      <c r="BG216" s="287"/>
      <c r="BH216" s="287"/>
      <c r="BI216" s="287"/>
      <c r="BJ216" s="287"/>
      <c r="BK216" s="287"/>
      <c r="BL216" s="287"/>
      <c r="BM216" s="287"/>
      <c r="BN216" s="287"/>
      <c r="BO216" s="287"/>
      <c r="BP216" s="287"/>
      <c r="BQ216" s="287"/>
      <c r="BR216" s="287"/>
    </row>
    <row r="217" spans="1:70" ht="16.8">
      <c r="A217" s="287"/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287"/>
      <c r="AB217" s="287"/>
      <c r="AC217" s="287"/>
      <c r="AD217" s="287"/>
      <c r="AE217" s="287"/>
      <c r="AF217" s="287"/>
      <c r="AG217" s="287"/>
      <c r="AH217" s="287"/>
      <c r="AI217" s="287"/>
      <c r="AJ217" s="287"/>
      <c r="AK217" s="287"/>
      <c r="AL217" s="287"/>
      <c r="AM217" s="287"/>
      <c r="AN217" s="287"/>
      <c r="AO217" s="287"/>
      <c r="AP217" s="287"/>
      <c r="AQ217" s="287"/>
      <c r="AR217" s="287"/>
      <c r="AS217" s="287"/>
      <c r="AT217" s="287"/>
      <c r="AU217" s="287"/>
      <c r="AV217" s="287"/>
      <c r="AW217" s="287"/>
      <c r="AX217" s="287"/>
      <c r="AY217" s="287"/>
      <c r="AZ217" s="287"/>
      <c r="BA217" s="287"/>
      <c r="BB217" s="287"/>
      <c r="BC217" s="287"/>
      <c r="BD217" s="287"/>
      <c r="BE217" s="287"/>
      <c r="BF217" s="287"/>
      <c r="BG217" s="287"/>
      <c r="BH217" s="287"/>
      <c r="BI217" s="287"/>
      <c r="BJ217" s="287"/>
      <c r="BK217" s="287"/>
      <c r="BL217" s="287"/>
      <c r="BM217" s="287"/>
      <c r="BN217" s="287"/>
      <c r="BO217" s="287"/>
      <c r="BP217" s="287"/>
      <c r="BQ217" s="287"/>
      <c r="BR217" s="287"/>
    </row>
    <row r="218" spans="1:70" ht="16.8">
      <c r="A218" s="287"/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7"/>
      <c r="P218" s="287"/>
      <c r="Q218" s="287"/>
      <c r="R218" s="287"/>
      <c r="S218" s="287"/>
      <c r="T218" s="287"/>
      <c r="U218" s="287"/>
      <c r="V218" s="287"/>
      <c r="W218" s="287"/>
      <c r="X218" s="287"/>
      <c r="Y218" s="287"/>
      <c r="Z218" s="287"/>
      <c r="AA218" s="287"/>
      <c r="AB218" s="287"/>
      <c r="AC218" s="287"/>
      <c r="AD218" s="287"/>
      <c r="AE218" s="287"/>
      <c r="AF218" s="287"/>
      <c r="AG218" s="287"/>
      <c r="AH218" s="287"/>
      <c r="AI218" s="287"/>
      <c r="AJ218" s="287"/>
      <c r="AK218" s="287"/>
      <c r="AL218" s="287"/>
      <c r="AM218" s="287"/>
      <c r="AN218" s="287"/>
      <c r="AO218" s="287"/>
      <c r="AP218" s="287"/>
      <c r="AQ218" s="287"/>
      <c r="AR218" s="287"/>
      <c r="AS218" s="287"/>
      <c r="AT218" s="287"/>
      <c r="AU218" s="287"/>
      <c r="AV218" s="287"/>
      <c r="AW218" s="287"/>
      <c r="AX218" s="287"/>
      <c r="AY218" s="287"/>
      <c r="AZ218" s="287"/>
      <c r="BA218" s="287"/>
      <c r="BB218" s="287"/>
      <c r="BC218" s="287"/>
      <c r="BD218" s="287"/>
      <c r="BE218" s="287"/>
      <c r="BF218" s="287"/>
      <c r="BG218" s="287"/>
      <c r="BH218" s="287"/>
      <c r="BI218" s="287"/>
      <c r="BJ218" s="287"/>
      <c r="BK218" s="287"/>
      <c r="BL218" s="287"/>
      <c r="BM218" s="287"/>
      <c r="BN218" s="287"/>
      <c r="BO218" s="287"/>
      <c r="BP218" s="287"/>
      <c r="BQ218" s="287"/>
      <c r="BR218" s="287"/>
    </row>
    <row r="219" spans="1:70" ht="16.8">
      <c r="A219" s="287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87"/>
      <c r="P219" s="287"/>
      <c r="Q219" s="287"/>
      <c r="R219" s="287"/>
      <c r="S219" s="287"/>
      <c r="T219" s="287"/>
      <c r="U219" s="287"/>
      <c r="V219" s="287"/>
      <c r="W219" s="287"/>
      <c r="X219" s="287"/>
      <c r="Y219" s="287"/>
      <c r="Z219" s="287"/>
      <c r="AA219" s="287"/>
      <c r="AB219" s="287"/>
      <c r="AC219" s="287"/>
      <c r="AD219" s="287"/>
      <c r="AE219" s="287"/>
      <c r="AF219" s="287"/>
      <c r="AG219" s="287"/>
      <c r="AH219" s="287"/>
      <c r="AI219" s="287"/>
      <c r="AJ219" s="287"/>
      <c r="AK219" s="287"/>
      <c r="AL219" s="287"/>
      <c r="AM219" s="287"/>
      <c r="AN219" s="287"/>
      <c r="AO219" s="287"/>
      <c r="AP219" s="287"/>
      <c r="AQ219" s="287"/>
      <c r="AR219" s="287"/>
      <c r="AS219" s="287"/>
      <c r="AT219" s="287"/>
      <c r="AU219" s="287"/>
      <c r="AV219" s="287"/>
      <c r="AW219" s="287"/>
      <c r="AX219" s="287"/>
      <c r="AY219" s="287"/>
      <c r="AZ219" s="287"/>
      <c r="BA219" s="287"/>
      <c r="BB219" s="287"/>
      <c r="BC219" s="287"/>
      <c r="BD219" s="287"/>
      <c r="BE219" s="287"/>
      <c r="BF219" s="287"/>
      <c r="BG219" s="287"/>
      <c r="BH219" s="287"/>
      <c r="BI219" s="287"/>
      <c r="BJ219" s="287"/>
      <c r="BK219" s="287"/>
      <c r="BL219" s="287"/>
      <c r="BM219" s="287"/>
      <c r="BN219" s="287"/>
      <c r="BO219" s="287"/>
      <c r="BP219" s="287"/>
      <c r="BQ219" s="287"/>
      <c r="BR219" s="287"/>
    </row>
    <row r="220" spans="1:70" ht="16.8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  <c r="Q220" s="287"/>
      <c r="R220" s="287"/>
      <c r="S220" s="287"/>
      <c r="T220" s="287"/>
      <c r="U220" s="287"/>
      <c r="V220" s="287"/>
      <c r="W220" s="287"/>
      <c r="X220" s="287"/>
      <c r="Y220" s="287"/>
      <c r="Z220" s="287"/>
      <c r="AA220" s="287"/>
      <c r="AB220" s="287"/>
      <c r="AC220" s="287"/>
      <c r="AD220" s="287"/>
      <c r="AE220" s="287"/>
      <c r="AF220" s="287"/>
      <c r="AG220" s="287"/>
      <c r="AH220" s="287"/>
      <c r="AI220" s="287"/>
      <c r="AJ220" s="287"/>
      <c r="AK220" s="287"/>
      <c r="AL220" s="287"/>
      <c r="AM220" s="287"/>
      <c r="AN220" s="287"/>
      <c r="AO220" s="287"/>
      <c r="AP220" s="287"/>
      <c r="AQ220" s="287"/>
      <c r="AR220" s="287"/>
      <c r="AS220" s="287"/>
      <c r="AT220" s="287"/>
      <c r="AU220" s="287"/>
      <c r="AV220" s="287"/>
      <c r="AW220" s="287"/>
      <c r="AX220" s="287"/>
      <c r="AY220" s="287"/>
      <c r="AZ220" s="287"/>
      <c r="BA220" s="287"/>
      <c r="BB220" s="287"/>
      <c r="BC220" s="287"/>
      <c r="BD220" s="287"/>
      <c r="BE220" s="287"/>
      <c r="BF220" s="287"/>
      <c r="BG220" s="287"/>
      <c r="BH220" s="287"/>
      <c r="BI220" s="287"/>
      <c r="BJ220" s="287"/>
      <c r="BK220" s="287"/>
      <c r="BL220" s="287"/>
      <c r="BM220" s="287"/>
      <c r="BN220" s="287"/>
      <c r="BO220" s="287"/>
      <c r="BP220" s="287"/>
      <c r="BQ220" s="287"/>
      <c r="BR220" s="287"/>
    </row>
    <row r="221" spans="1:70" ht="16.8">
      <c r="A221" s="287"/>
      <c r="B221" s="287"/>
      <c r="C221" s="287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  <c r="Q221" s="287"/>
      <c r="R221" s="287"/>
      <c r="S221" s="287"/>
      <c r="T221" s="287"/>
      <c r="U221" s="287"/>
      <c r="V221" s="287"/>
      <c r="W221" s="287"/>
      <c r="X221" s="287"/>
      <c r="Y221" s="287"/>
      <c r="Z221" s="287"/>
      <c r="AA221" s="287"/>
      <c r="AB221" s="287"/>
      <c r="AC221" s="287"/>
      <c r="AD221" s="287"/>
      <c r="AE221" s="287"/>
      <c r="AF221" s="287"/>
      <c r="AG221" s="287"/>
      <c r="AH221" s="287"/>
      <c r="AI221" s="287"/>
      <c r="AJ221" s="287"/>
      <c r="AK221" s="287"/>
      <c r="AL221" s="287"/>
      <c r="AM221" s="287"/>
      <c r="AN221" s="287"/>
      <c r="AO221" s="287"/>
      <c r="AP221" s="287"/>
      <c r="AQ221" s="287"/>
      <c r="AR221" s="287"/>
      <c r="AS221" s="287"/>
      <c r="AT221" s="287"/>
      <c r="AU221" s="287"/>
      <c r="AV221" s="287"/>
      <c r="AW221" s="287"/>
      <c r="AX221" s="287"/>
      <c r="AY221" s="287"/>
      <c r="AZ221" s="287"/>
      <c r="BA221" s="287"/>
      <c r="BB221" s="287"/>
      <c r="BC221" s="287"/>
      <c r="BD221" s="287"/>
      <c r="BE221" s="287"/>
      <c r="BF221" s="287"/>
      <c r="BG221" s="287"/>
      <c r="BH221" s="287"/>
      <c r="BI221" s="287"/>
      <c r="BJ221" s="287"/>
      <c r="BK221" s="287"/>
      <c r="BL221" s="287"/>
      <c r="BM221" s="287"/>
      <c r="BN221" s="287"/>
      <c r="BO221" s="287"/>
      <c r="BP221" s="287"/>
      <c r="BQ221" s="287"/>
      <c r="BR221" s="287"/>
    </row>
    <row r="222" spans="1:70" ht="16.8">
      <c r="A222" s="287"/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87"/>
      <c r="AB222" s="287"/>
      <c r="AC222" s="287"/>
      <c r="AD222" s="287"/>
      <c r="AE222" s="287"/>
      <c r="AF222" s="287"/>
      <c r="AG222" s="287"/>
      <c r="AH222" s="287"/>
      <c r="AI222" s="287"/>
      <c r="AJ222" s="287"/>
      <c r="AK222" s="287"/>
      <c r="AL222" s="287"/>
      <c r="AM222" s="287"/>
      <c r="AN222" s="287"/>
      <c r="AO222" s="287"/>
      <c r="AP222" s="287"/>
      <c r="AQ222" s="287"/>
      <c r="AR222" s="287"/>
      <c r="AS222" s="287"/>
      <c r="AT222" s="287"/>
      <c r="AU222" s="287"/>
      <c r="AV222" s="287"/>
      <c r="AW222" s="287"/>
      <c r="AX222" s="287"/>
      <c r="AY222" s="287"/>
      <c r="AZ222" s="287"/>
      <c r="BA222" s="287"/>
      <c r="BB222" s="287"/>
      <c r="BC222" s="287"/>
      <c r="BD222" s="287"/>
      <c r="BE222" s="287"/>
      <c r="BF222" s="287"/>
      <c r="BG222" s="287"/>
      <c r="BH222" s="287"/>
      <c r="BI222" s="287"/>
      <c r="BJ222" s="287"/>
      <c r="BK222" s="287"/>
      <c r="BL222" s="287"/>
      <c r="BM222" s="287"/>
      <c r="BN222" s="287"/>
      <c r="BO222" s="287"/>
      <c r="BP222" s="287"/>
      <c r="BQ222" s="287"/>
      <c r="BR222" s="287"/>
    </row>
    <row r="223" spans="1:70" ht="16.8">
      <c r="A223" s="287"/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87"/>
      <c r="AB223" s="287"/>
      <c r="AC223" s="287"/>
      <c r="AD223" s="287"/>
      <c r="AE223" s="287"/>
      <c r="AF223" s="287"/>
      <c r="AG223" s="287"/>
      <c r="AH223" s="287"/>
      <c r="AI223" s="287"/>
      <c r="AJ223" s="287"/>
      <c r="AK223" s="287"/>
      <c r="AL223" s="287"/>
      <c r="AM223" s="287"/>
      <c r="AN223" s="287"/>
      <c r="AO223" s="287"/>
      <c r="AP223" s="287"/>
      <c r="AQ223" s="287"/>
      <c r="AR223" s="287"/>
      <c r="AS223" s="287"/>
      <c r="AT223" s="287"/>
      <c r="AU223" s="287"/>
      <c r="AV223" s="287"/>
      <c r="AW223" s="287"/>
      <c r="AX223" s="287"/>
      <c r="AY223" s="287"/>
      <c r="AZ223" s="287"/>
      <c r="BA223" s="287"/>
      <c r="BB223" s="287"/>
      <c r="BC223" s="287"/>
      <c r="BD223" s="287"/>
      <c r="BE223" s="287"/>
      <c r="BF223" s="287"/>
      <c r="BG223" s="287"/>
      <c r="BH223" s="287"/>
      <c r="BI223" s="287"/>
      <c r="BJ223" s="287"/>
      <c r="BK223" s="287"/>
      <c r="BL223" s="287"/>
      <c r="BM223" s="287"/>
      <c r="BN223" s="287"/>
      <c r="BO223" s="287"/>
      <c r="BP223" s="287"/>
      <c r="BQ223" s="287"/>
      <c r="BR223" s="287"/>
    </row>
    <row r="224" spans="1:70" ht="16.8">
      <c r="A224" s="287"/>
      <c r="B224" s="287"/>
      <c r="C224" s="287"/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7"/>
      <c r="P224" s="287"/>
      <c r="Q224" s="287"/>
      <c r="R224" s="287"/>
      <c r="S224" s="287"/>
      <c r="T224" s="287"/>
      <c r="U224" s="287"/>
      <c r="V224" s="287"/>
      <c r="W224" s="287"/>
      <c r="X224" s="287"/>
      <c r="Y224" s="287"/>
      <c r="Z224" s="287"/>
      <c r="AA224" s="287"/>
      <c r="AB224" s="287"/>
      <c r="AC224" s="287"/>
      <c r="AD224" s="287"/>
      <c r="AE224" s="287"/>
      <c r="AF224" s="287"/>
      <c r="AG224" s="287"/>
      <c r="AH224" s="287"/>
      <c r="AI224" s="287"/>
      <c r="AJ224" s="287"/>
      <c r="AK224" s="287"/>
      <c r="AL224" s="287"/>
      <c r="AM224" s="287"/>
      <c r="AN224" s="287"/>
      <c r="AO224" s="287"/>
      <c r="AP224" s="287"/>
      <c r="AQ224" s="287"/>
      <c r="AR224" s="287"/>
      <c r="AS224" s="287"/>
      <c r="AT224" s="287"/>
      <c r="AU224" s="287"/>
      <c r="AV224" s="287"/>
      <c r="AW224" s="287"/>
      <c r="AX224" s="287"/>
      <c r="AY224" s="287"/>
      <c r="AZ224" s="287"/>
      <c r="BA224" s="287"/>
      <c r="BB224" s="287"/>
      <c r="BC224" s="287"/>
      <c r="BD224" s="287"/>
      <c r="BE224" s="287"/>
      <c r="BF224" s="287"/>
      <c r="BG224" s="287"/>
      <c r="BH224" s="287"/>
      <c r="BI224" s="287"/>
      <c r="BJ224" s="287"/>
      <c r="BK224" s="287"/>
      <c r="BL224" s="287"/>
      <c r="BM224" s="287"/>
      <c r="BN224" s="287"/>
      <c r="BO224" s="287"/>
      <c r="BP224" s="287"/>
      <c r="BQ224" s="287"/>
      <c r="BR224" s="287"/>
    </row>
    <row r="225" spans="1:70" ht="16.8">
      <c r="A225" s="287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87"/>
      <c r="P225" s="287"/>
      <c r="Q225" s="287"/>
      <c r="R225" s="287"/>
      <c r="S225" s="287"/>
      <c r="T225" s="287"/>
      <c r="U225" s="287"/>
      <c r="V225" s="287"/>
      <c r="W225" s="287"/>
      <c r="X225" s="287"/>
      <c r="Y225" s="287"/>
      <c r="Z225" s="287"/>
      <c r="AA225" s="287"/>
      <c r="AB225" s="287"/>
      <c r="AC225" s="287"/>
      <c r="AD225" s="287"/>
      <c r="AE225" s="287"/>
      <c r="AF225" s="287"/>
      <c r="AG225" s="287"/>
      <c r="AH225" s="287"/>
      <c r="AI225" s="287"/>
      <c r="AJ225" s="287"/>
      <c r="AK225" s="287"/>
      <c r="AL225" s="287"/>
      <c r="AM225" s="287"/>
      <c r="AN225" s="287"/>
      <c r="AO225" s="287"/>
      <c r="AP225" s="287"/>
      <c r="AQ225" s="287"/>
      <c r="AR225" s="287"/>
      <c r="AS225" s="287"/>
      <c r="AT225" s="287"/>
      <c r="AU225" s="287"/>
      <c r="AV225" s="287"/>
      <c r="AW225" s="287"/>
      <c r="AX225" s="287"/>
      <c r="AY225" s="287"/>
      <c r="AZ225" s="287"/>
      <c r="BA225" s="287"/>
      <c r="BB225" s="287"/>
      <c r="BC225" s="287"/>
      <c r="BD225" s="287"/>
      <c r="BE225" s="287"/>
      <c r="BF225" s="287"/>
      <c r="BG225" s="287"/>
      <c r="BH225" s="287"/>
      <c r="BI225" s="287"/>
      <c r="BJ225" s="287"/>
      <c r="BK225" s="287"/>
      <c r="BL225" s="287"/>
      <c r="BM225" s="287"/>
      <c r="BN225" s="287"/>
      <c r="BO225" s="287"/>
      <c r="BP225" s="287"/>
      <c r="BQ225" s="287"/>
      <c r="BR225" s="287"/>
    </row>
    <row r="226" spans="1:70" ht="16.8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87"/>
      <c r="S226" s="287"/>
      <c r="T226" s="287"/>
      <c r="U226" s="287"/>
      <c r="V226" s="287"/>
      <c r="W226" s="287"/>
      <c r="X226" s="287"/>
      <c r="Y226" s="287"/>
      <c r="Z226" s="287"/>
      <c r="AA226" s="287"/>
      <c r="AB226" s="287"/>
      <c r="AC226" s="287"/>
      <c r="AD226" s="287"/>
      <c r="AE226" s="287"/>
      <c r="AF226" s="287"/>
      <c r="AG226" s="287"/>
      <c r="AH226" s="287"/>
      <c r="AI226" s="287"/>
      <c r="AJ226" s="287"/>
      <c r="AK226" s="287"/>
      <c r="AL226" s="287"/>
      <c r="AM226" s="287"/>
      <c r="AN226" s="287"/>
      <c r="AO226" s="287"/>
      <c r="AP226" s="287"/>
      <c r="AQ226" s="287"/>
      <c r="AR226" s="287"/>
      <c r="AS226" s="287"/>
      <c r="AT226" s="287"/>
      <c r="AU226" s="287"/>
      <c r="AV226" s="287"/>
      <c r="AW226" s="287"/>
      <c r="AX226" s="287"/>
      <c r="AY226" s="287"/>
      <c r="AZ226" s="287"/>
      <c r="BA226" s="287"/>
      <c r="BB226" s="287"/>
      <c r="BC226" s="287"/>
      <c r="BD226" s="287"/>
      <c r="BE226" s="287"/>
      <c r="BF226" s="287"/>
      <c r="BG226" s="287"/>
      <c r="BH226" s="287"/>
      <c r="BI226" s="287"/>
      <c r="BJ226" s="287"/>
      <c r="BK226" s="287"/>
      <c r="BL226" s="287"/>
      <c r="BM226" s="287"/>
      <c r="BN226" s="287"/>
      <c r="BO226" s="287"/>
      <c r="BP226" s="287"/>
      <c r="BQ226" s="287"/>
      <c r="BR226" s="287"/>
    </row>
    <row r="227" spans="1:70" ht="16.8">
      <c r="A227" s="287"/>
      <c r="B227" s="287"/>
      <c r="C227" s="287"/>
      <c r="D227" s="287"/>
      <c r="E227" s="287"/>
      <c r="F227" s="287"/>
      <c r="G227" s="287"/>
      <c r="H227" s="287"/>
      <c r="I227" s="287"/>
      <c r="J227" s="287"/>
      <c r="K227" s="287"/>
      <c r="L227" s="287"/>
      <c r="M227" s="287"/>
      <c r="N227" s="287"/>
      <c r="O227" s="287"/>
      <c r="P227" s="287"/>
      <c r="Q227" s="287"/>
      <c r="R227" s="287"/>
      <c r="S227" s="287"/>
      <c r="T227" s="287"/>
      <c r="U227" s="287"/>
      <c r="V227" s="287"/>
      <c r="W227" s="287"/>
      <c r="X227" s="287"/>
      <c r="Y227" s="287"/>
      <c r="Z227" s="287"/>
      <c r="AA227" s="287"/>
      <c r="AB227" s="287"/>
      <c r="AC227" s="287"/>
      <c r="AD227" s="287"/>
      <c r="AE227" s="287"/>
      <c r="AF227" s="287"/>
      <c r="AG227" s="287"/>
      <c r="AH227" s="287"/>
      <c r="AI227" s="287"/>
      <c r="AJ227" s="287"/>
      <c r="AK227" s="287"/>
      <c r="AL227" s="287"/>
      <c r="AM227" s="287"/>
      <c r="AN227" s="287"/>
      <c r="AO227" s="287"/>
      <c r="AP227" s="287"/>
      <c r="AQ227" s="287"/>
      <c r="AR227" s="287"/>
      <c r="AS227" s="287"/>
      <c r="AT227" s="287"/>
      <c r="AU227" s="287"/>
      <c r="AV227" s="287"/>
      <c r="AW227" s="287"/>
      <c r="AX227" s="287"/>
      <c r="AY227" s="287"/>
      <c r="AZ227" s="287"/>
      <c r="BA227" s="287"/>
      <c r="BB227" s="287"/>
      <c r="BC227" s="287"/>
      <c r="BD227" s="287"/>
      <c r="BE227" s="287"/>
      <c r="BF227" s="287"/>
      <c r="BG227" s="287"/>
      <c r="BH227" s="287"/>
      <c r="BI227" s="287"/>
      <c r="BJ227" s="287"/>
      <c r="BK227" s="287"/>
      <c r="BL227" s="287"/>
      <c r="BM227" s="287"/>
      <c r="BN227" s="287"/>
      <c r="BO227" s="287"/>
      <c r="BP227" s="287"/>
      <c r="BQ227" s="287"/>
      <c r="BR227" s="287"/>
    </row>
    <row r="228" spans="1:70" ht="16.8">
      <c r="A228" s="287"/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87"/>
      <c r="AB228" s="287"/>
      <c r="AC228" s="287"/>
      <c r="AD228" s="287"/>
      <c r="AE228" s="287"/>
      <c r="AF228" s="287"/>
      <c r="AG228" s="287"/>
      <c r="AH228" s="287"/>
      <c r="AI228" s="287"/>
      <c r="AJ228" s="287"/>
      <c r="AK228" s="287"/>
      <c r="AL228" s="287"/>
      <c r="AM228" s="287"/>
      <c r="AN228" s="287"/>
      <c r="AO228" s="287"/>
      <c r="AP228" s="287"/>
      <c r="AQ228" s="287"/>
      <c r="AR228" s="287"/>
      <c r="AS228" s="287"/>
      <c r="AT228" s="287"/>
      <c r="AU228" s="287"/>
      <c r="AV228" s="287"/>
      <c r="AW228" s="287"/>
      <c r="AX228" s="287"/>
      <c r="AY228" s="287"/>
      <c r="AZ228" s="287"/>
      <c r="BA228" s="287"/>
      <c r="BB228" s="287"/>
      <c r="BC228" s="287"/>
      <c r="BD228" s="287"/>
      <c r="BE228" s="287"/>
      <c r="BF228" s="287"/>
      <c r="BG228" s="287"/>
      <c r="BH228" s="287"/>
      <c r="BI228" s="287"/>
      <c r="BJ228" s="287"/>
      <c r="BK228" s="287"/>
      <c r="BL228" s="287"/>
      <c r="BM228" s="287"/>
      <c r="BN228" s="287"/>
      <c r="BO228" s="287"/>
      <c r="BP228" s="287"/>
      <c r="BQ228" s="287"/>
      <c r="BR228" s="287"/>
    </row>
    <row r="229" spans="1:70" ht="16.8">
      <c r="A229" s="287"/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87"/>
      <c r="AB229" s="287"/>
      <c r="AC229" s="287"/>
      <c r="AD229" s="287"/>
      <c r="AE229" s="287"/>
      <c r="AF229" s="287"/>
      <c r="AG229" s="287"/>
      <c r="AH229" s="287"/>
      <c r="AI229" s="287"/>
      <c r="AJ229" s="287"/>
      <c r="AK229" s="287"/>
      <c r="AL229" s="287"/>
      <c r="AM229" s="287"/>
      <c r="AN229" s="287"/>
      <c r="AO229" s="287"/>
      <c r="AP229" s="287"/>
      <c r="AQ229" s="287"/>
      <c r="AR229" s="287"/>
      <c r="AS229" s="287"/>
      <c r="AT229" s="287"/>
      <c r="AU229" s="287"/>
      <c r="AV229" s="287"/>
      <c r="AW229" s="287"/>
      <c r="AX229" s="287"/>
      <c r="AY229" s="287"/>
      <c r="AZ229" s="287"/>
      <c r="BA229" s="287"/>
      <c r="BB229" s="287"/>
      <c r="BC229" s="287"/>
      <c r="BD229" s="287"/>
      <c r="BE229" s="287"/>
      <c r="BF229" s="287"/>
      <c r="BG229" s="287"/>
      <c r="BH229" s="287"/>
      <c r="BI229" s="287"/>
      <c r="BJ229" s="287"/>
      <c r="BK229" s="287"/>
      <c r="BL229" s="287"/>
      <c r="BM229" s="287"/>
      <c r="BN229" s="287"/>
      <c r="BO229" s="287"/>
      <c r="BP229" s="287"/>
      <c r="BQ229" s="287"/>
      <c r="BR229" s="287"/>
    </row>
    <row r="230" spans="1:70" ht="16.8">
      <c r="A230" s="287"/>
      <c r="B230" s="287"/>
      <c r="C230" s="287"/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7"/>
      <c r="P230" s="287"/>
      <c r="Q230" s="287"/>
      <c r="R230" s="287"/>
      <c r="S230" s="287"/>
      <c r="T230" s="287"/>
      <c r="U230" s="287"/>
      <c r="V230" s="287"/>
      <c r="W230" s="287"/>
      <c r="X230" s="287"/>
      <c r="Y230" s="287"/>
      <c r="Z230" s="287"/>
      <c r="AA230" s="287"/>
      <c r="AB230" s="287"/>
      <c r="AC230" s="287"/>
      <c r="AD230" s="287"/>
      <c r="AE230" s="287"/>
      <c r="AF230" s="287"/>
      <c r="AG230" s="287"/>
      <c r="AH230" s="287"/>
      <c r="AI230" s="287"/>
      <c r="AJ230" s="287"/>
      <c r="AK230" s="287"/>
      <c r="AL230" s="287"/>
      <c r="AM230" s="287"/>
      <c r="AN230" s="287"/>
      <c r="AO230" s="287"/>
      <c r="AP230" s="287"/>
      <c r="AQ230" s="287"/>
      <c r="AR230" s="287"/>
      <c r="AS230" s="287"/>
      <c r="AT230" s="287"/>
      <c r="AU230" s="287"/>
      <c r="AV230" s="287"/>
      <c r="AW230" s="287"/>
      <c r="AX230" s="287"/>
      <c r="AY230" s="287"/>
      <c r="AZ230" s="287"/>
      <c r="BA230" s="287"/>
      <c r="BB230" s="287"/>
      <c r="BC230" s="287"/>
      <c r="BD230" s="287"/>
      <c r="BE230" s="287"/>
      <c r="BF230" s="287"/>
      <c r="BG230" s="287"/>
      <c r="BH230" s="287"/>
      <c r="BI230" s="287"/>
      <c r="BJ230" s="287"/>
      <c r="BK230" s="287"/>
      <c r="BL230" s="287"/>
      <c r="BM230" s="287"/>
      <c r="BN230" s="287"/>
      <c r="BO230" s="287"/>
      <c r="BP230" s="287"/>
      <c r="BQ230" s="287"/>
      <c r="BR230" s="287"/>
    </row>
    <row r="231" spans="1:70" ht="16.8">
      <c r="A231" s="287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  <c r="Q231" s="287"/>
      <c r="R231" s="287"/>
      <c r="S231" s="287"/>
      <c r="T231" s="287"/>
      <c r="U231" s="287"/>
      <c r="V231" s="287"/>
      <c r="W231" s="287"/>
      <c r="X231" s="287"/>
      <c r="Y231" s="287"/>
      <c r="Z231" s="287"/>
      <c r="AA231" s="287"/>
      <c r="AB231" s="287"/>
      <c r="AC231" s="287"/>
      <c r="AD231" s="287"/>
      <c r="AE231" s="287"/>
      <c r="AF231" s="287"/>
      <c r="AG231" s="287"/>
      <c r="AH231" s="287"/>
      <c r="AI231" s="287"/>
      <c r="AJ231" s="287"/>
      <c r="AK231" s="287"/>
      <c r="AL231" s="287"/>
      <c r="AM231" s="287"/>
      <c r="AN231" s="287"/>
      <c r="AO231" s="287"/>
      <c r="AP231" s="287"/>
      <c r="AQ231" s="287"/>
      <c r="AR231" s="287"/>
      <c r="AS231" s="287"/>
      <c r="AT231" s="287"/>
      <c r="AU231" s="287"/>
      <c r="AV231" s="287"/>
      <c r="AW231" s="287"/>
      <c r="AX231" s="287"/>
      <c r="AY231" s="287"/>
      <c r="AZ231" s="287"/>
      <c r="BA231" s="287"/>
      <c r="BB231" s="287"/>
      <c r="BC231" s="287"/>
      <c r="BD231" s="287"/>
      <c r="BE231" s="287"/>
      <c r="BF231" s="287"/>
      <c r="BG231" s="287"/>
      <c r="BH231" s="287"/>
      <c r="BI231" s="287"/>
      <c r="BJ231" s="287"/>
      <c r="BK231" s="287"/>
      <c r="BL231" s="287"/>
      <c r="BM231" s="287"/>
      <c r="BN231" s="287"/>
      <c r="BO231" s="287"/>
      <c r="BP231" s="287"/>
      <c r="BQ231" s="287"/>
      <c r="BR231" s="287"/>
    </row>
    <row r="232" spans="1:70" ht="16.8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87"/>
      <c r="P232" s="287"/>
      <c r="Q232" s="287"/>
      <c r="R232" s="287"/>
      <c r="S232" s="287"/>
      <c r="T232" s="287"/>
      <c r="U232" s="287"/>
      <c r="V232" s="287"/>
      <c r="W232" s="287"/>
      <c r="X232" s="287"/>
      <c r="Y232" s="287"/>
      <c r="Z232" s="287"/>
      <c r="AA232" s="287"/>
      <c r="AB232" s="287"/>
      <c r="AC232" s="287"/>
      <c r="AD232" s="287"/>
      <c r="AE232" s="287"/>
      <c r="AF232" s="287"/>
      <c r="AG232" s="287"/>
      <c r="AH232" s="287"/>
      <c r="AI232" s="287"/>
      <c r="AJ232" s="287"/>
      <c r="AK232" s="287"/>
      <c r="AL232" s="287"/>
      <c r="AM232" s="287"/>
      <c r="AN232" s="287"/>
      <c r="AO232" s="287"/>
      <c r="AP232" s="287"/>
      <c r="AQ232" s="287"/>
      <c r="AR232" s="287"/>
      <c r="AS232" s="287"/>
      <c r="AT232" s="287"/>
      <c r="AU232" s="287"/>
      <c r="AV232" s="287"/>
      <c r="AW232" s="287"/>
      <c r="AX232" s="287"/>
      <c r="AY232" s="287"/>
      <c r="AZ232" s="287"/>
      <c r="BA232" s="287"/>
      <c r="BB232" s="287"/>
      <c r="BC232" s="287"/>
      <c r="BD232" s="287"/>
      <c r="BE232" s="287"/>
      <c r="BF232" s="287"/>
      <c r="BG232" s="287"/>
      <c r="BH232" s="287"/>
      <c r="BI232" s="287"/>
      <c r="BJ232" s="287"/>
      <c r="BK232" s="287"/>
      <c r="BL232" s="287"/>
      <c r="BM232" s="287"/>
      <c r="BN232" s="287"/>
      <c r="BO232" s="287"/>
      <c r="BP232" s="287"/>
      <c r="BQ232" s="287"/>
      <c r="BR232" s="287"/>
    </row>
    <row r="233" spans="1:70" ht="16.8">
      <c r="A233" s="287"/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  <c r="AA233" s="287"/>
      <c r="AB233" s="287"/>
      <c r="AC233" s="287"/>
      <c r="AD233" s="287"/>
      <c r="AE233" s="287"/>
      <c r="AF233" s="287"/>
      <c r="AG233" s="287"/>
      <c r="AH233" s="287"/>
      <c r="AI233" s="287"/>
      <c r="AJ233" s="287"/>
      <c r="AK233" s="287"/>
      <c r="AL233" s="287"/>
      <c r="AM233" s="287"/>
      <c r="AN233" s="287"/>
      <c r="AO233" s="287"/>
      <c r="AP233" s="287"/>
      <c r="AQ233" s="287"/>
      <c r="AR233" s="287"/>
      <c r="AS233" s="287"/>
      <c r="AT233" s="287"/>
      <c r="AU233" s="287"/>
      <c r="AV233" s="287"/>
      <c r="AW233" s="287"/>
      <c r="AX233" s="287"/>
      <c r="AY233" s="287"/>
      <c r="AZ233" s="287"/>
      <c r="BA233" s="287"/>
      <c r="BB233" s="287"/>
      <c r="BC233" s="287"/>
      <c r="BD233" s="287"/>
      <c r="BE233" s="287"/>
      <c r="BF233" s="287"/>
      <c r="BG233" s="287"/>
      <c r="BH233" s="287"/>
      <c r="BI233" s="287"/>
      <c r="BJ233" s="287"/>
      <c r="BK233" s="287"/>
      <c r="BL233" s="287"/>
      <c r="BM233" s="287"/>
      <c r="BN233" s="287"/>
      <c r="BO233" s="287"/>
      <c r="BP233" s="287"/>
      <c r="BQ233" s="287"/>
      <c r="BR233" s="287"/>
    </row>
    <row r="234" spans="1:70" ht="16.8">
      <c r="A234" s="287"/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7"/>
      <c r="P234" s="287"/>
      <c r="Q234" s="287"/>
      <c r="R234" s="287"/>
      <c r="S234" s="287"/>
      <c r="T234" s="287"/>
      <c r="U234" s="287"/>
      <c r="V234" s="287"/>
      <c r="W234" s="287"/>
      <c r="X234" s="287"/>
      <c r="Y234" s="287"/>
      <c r="Z234" s="287"/>
      <c r="AA234" s="287"/>
      <c r="AB234" s="287"/>
      <c r="AC234" s="287"/>
      <c r="AD234" s="287"/>
      <c r="AE234" s="287"/>
      <c r="AF234" s="287"/>
      <c r="AG234" s="287"/>
      <c r="AH234" s="287"/>
      <c r="AI234" s="287"/>
      <c r="AJ234" s="287"/>
      <c r="AK234" s="287"/>
      <c r="AL234" s="287"/>
      <c r="AM234" s="287"/>
      <c r="AN234" s="287"/>
      <c r="AO234" s="287"/>
      <c r="AP234" s="287"/>
      <c r="AQ234" s="287"/>
      <c r="AR234" s="287"/>
      <c r="AS234" s="287"/>
      <c r="AT234" s="287"/>
      <c r="AU234" s="287"/>
      <c r="AV234" s="287"/>
      <c r="AW234" s="287"/>
      <c r="AX234" s="287"/>
      <c r="AY234" s="287"/>
      <c r="AZ234" s="287"/>
      <c r="BA234" s="287"/>
      <c r="BB234" s="287"/>
      <c r="BC234" s="287"/>
      <c r="BD234" s="287"/>
      <c r="BE234" s="287"/>
      <c r="BF234" s="287"/>
      <c r="BG234" s="287"/>
      <c r="BH234" s="287"/>
      <c r="BI234" s="287"/>
      <c r="BJ234" s="287"/>
      <c r="BK234" s="287"/>
      <c r="BL234" s="287"/>
      <c r="BM234" s="287"/>
      <c r="BN234" s="287"/>
      <c r="BO234" s="287"/>
      <c r="BP234" s="287"/>
      <c r="BQ234" s="287"/>
      <c r="BR234" s="287"/>
    </row>
    <row r="235" spans="1:70" ht="16.8">
      <c r="A235" s="287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87"/>
      <c r="P235" s="287"/>
      <c r="Q235" s="287"/>
      <c r="R235" s="287"/>
      <c r="S235" s="287"/>
      <c r="T235" s="287"/>
      <c r="U235" s="287"/>
      <c r="V235" s="287"/>
      <c r="W235" s="287"/>
      <c r="X235" s="287"/>
      <c r="Y235" s="287"/>
      <c r="Z235" s="287"/>
      <c r="AA235" s="287"/>
      <c r="AB235" s="287"/>
      <c r="AC235" s="287"/>
      <c r="AD235" s="287"/>
      <c r="AE235" s="287"/>
      <c r="AF235" s="287"/>
      <c r="AG235" s="287"/>
      <c r="AH235" s="287"/>
      <c r="AI235" s="287"/>
      <c r="AJ235" s="287"/>
      <c r="AK235" s="287"/>
      <c r="AL235" s="287"/>
      <c r="AM235" s="287"/>
      <c r="AN235" s="287"/>
      <c r="AO235" s="287"/>
      <c r="AP235" s="287"/>
      <c r="AQ235" s="287"/>
      <c r="AR235" s="287"/>
      <c r="AS235" s="287"/>
      <c r="AT235" s="287"/>
      <c r="AU235" s="287"/>
      <c r="AV235" s="287"/>
      <c r="AW235" s="287"/>
      <c r="AX235" s="287"/>
      <c r="AY235" s="287"/>
      <c r="AZ235" s="287"/>
      <c r="BA235" s="287"/>
      <c r="BB235" s="287"/>
      <c r="BC235" s="287"/>
      <c r="BD235" s="287"/>
      <c r="BE235" s="287"/>
      <c r="BF235" s="287"/>
      <c r="BG235" s="287"/>
      <c r="BH235" s="287"/>
      <c r="BI235" s="287"/>
      <c r="BJ235" s="287"/>
      <c r="BK235" s="287"/>
      <c r="BL235" s="287"/>
      <c r="BM235" s="287"/>
      <c r="BN235" s="287"/>
      <c r="BO235" s="287"/>
      <c r="BP235" s="287"/>
      <c r="BQ235" s="287"/>
      <c r="BR235" s="287"/>
    </row>
    <row r="236" spans="1:70" ht="16.8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  <c r="Q236" s="287"/>
      <c r="R236" s="287"/>
      <c r="S236" s="287"/>
      <c r="T236" s="287"/>
      <c r="U236" s="287"/>
      <c r="V236" s="287"/>
      <c r="W236" s="287"/>
      <c r="X236" s="287"/>
      <c r="Y236" s="287"/>
      <c r="Z236" s="287"/>
      <c r="AA236" s="287"/>
      <c r="AB236" s="287"/>
      <c r="AC236" s="287"/>
      <c r="AD236" s="287"/>
      <c r="AE236" s="287"/>
      <c r="AF236" s="287"/>
      <c r="AG236" s="287"/>
      <c r="AH236" s="287"/>
      <c r="AI236" s="287"/>
      <c r="AJ236" s="287"/>
      <c r="AK236" s="287"/>
      <c r="AL236" s="287"/>
      <c r="AM236" s="287"/>
      <c r="AN236" s="287"/>
      <c r="AO236" s="287"/>
      <c r="AP236" s="287"/>
      <c r="AQ236" s="287"/>
      <c r="AR236" s="287"/>
      <c r="AS236" s="287"/>
      <c r="AT236" s="287"/>
      <c r="AU236" s="287"/>
      <c r="AV236" s="287"/>
      <c r="AW236" s="287"/>
      <c r="AX236" s="287"/>
      <c r="AY236" s="287"/>
      <c r="AZ236" s="287"/>
      <c r="BA236" s="287"/>
      <c r="BB236" s="287"/>
      <c r="BC236" s="287"/>
      <c r="BD236" s="287"/>
      <c r="BE236" s="287"/>
      <c r="BF236" s="287"/>
      <c r="BG236" s="287"/>
      <c r="BH236" s="287"/>
      <c r="BI236" s="287"/>
      <c r="BJ236" s="287"/>
      <c r="BK236" s="287"/>
      <c r="BL236" s="287"/>
      <c r="BM236" s="287"/>
      <c r="BN236" s="287"/>
      <c r="BO236" s="287"/>
      <c r="BP236" s="287"/>
      <c r="BQ236" s="287"/>
      <c r="BR236" s="287"/>
    </row>
    <row r="237" spans="1:70" ht="16.8">
      <c r="A237" s="287"/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  <c r="Q237" s="287"/>
      <c r="R237" s="287"/>
      <c r="S237" s="287"/>
      <c r="T237" s="287"/>
      <c r="U237" s="287"/>
      <c r="V237" s="287"/>
      <c r="W237" s="287"/>
      <c r="X237" s="287"/>
      <c r="Y237" s="287"/>
      <c r="Z237" s="287"/>
      <c r="AA237" s="287"/>
      <c r="AB237" s="287"/>
      <c r="AC237" s="287"/>
      <c r="AD237" s="287"/>
      <c r="AE237" s="287"/>
      <c r="AF237" s="287"/>
      <c r="AG237" s="287"/>
      <c r="AH237" s="287"/>
      <c r="AI237" s="287"/>
      <c r="AJ237" s="287"/>
      <c r="AK237" s="287"/>
      <c r="AL237" s="287"/>
      <c r="AM237" s="287"/>
      <c r="AN237" s="287"/>
      <c r="AO237" s="287"/>
      <c r="AP237" s="287"/>
      <c r="AQ237" s="287"/>
      <c r="AR237" s="287"/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</row>
    <row r="238" spans="1:70" ht="16.8">
      <c r="A238" s="287"/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  <c r="AA238" s="287"/>
      <c r="AB238" s="287"/>
      <c r="AC238" s="287"/>
      <c r="AD238" s="287"/>
      <c r="AE238" s="287"/>
      <c r="AF238" s="287"/>
      <c r="AG238" s="287"/>
      <c r="AH238" s="287"/>
      <c r="AI238" s="287"/>
      <c r="AJ238" s="287"/>
      <c r="AK238" s="287"/>
      <c r="AL238" s="287"/>
      <c r="AM238" s="287"/>
      <c r="AN238" s="287"/>
      <c r="AO238" s="287"/>
      <c r="AP238" s="287"/>
      <c r="AQ238" s="287"/>
      <c r="AR238" s="287"/>
      <c r="AS238" s="287"/>
      <c r="AT238" s="287"/>
      <c r="AU238" s="287"/>
      <c r="AV238" s="287"/>
      <c r="AW238" s="287"/>
      <c r="AX238" s="287"/>
      <c r="AY238" s="287"/>
      <c r="AZ238" s="287"/>
      <c r="BA238" s="287"/>
      <c r="BB238" s="287"/>
      <c r="BC238" s="287"/>
      <c r="BD238" s="287"/>
      <c r="BE238" s="287"/>
      <c r="BF238" s="287"/>
      <c r="BG238" s="287"/>
      <c r="BH238" s="287"/>
      <c r="BI238" s="287"/>
      <c r="BJ238" s="287"/>
      <c r="BK238" s="287"/>
      <c r="BL238" s="287"/>
      <c r="BM238" s="287"/>
      <c r="BN238" s="287"/>
      <c r="BO238" s="287"/>
      <c r="BP238" s="287"/>
      <c r="BQ238" s="287"/>
      <c r="BR238" s="287"/>
    </row>
    <row r="239" spans="1:70" ht="16.8">
      <c r="A239" s="287"/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87"/>
      <c r="AB239" s="287"/>
      <c r="AC239" s="287"/>
      <c r="AD239" s="287"/>
      <c r="AE239" s="287"/>
      <c r="AF239" s="287"/>
      <c r="AG239" s="287"/>
      <c r="AH239" s="287"/>
      <c r="AI239" s="287"/>
      <c r="AJ239" s="287"/>
      <c r="AK239" s="287"/>
      <c r="AL239" s="287"/>
      <c r="AM239" s="287"/>
      <c r="AN239" s="287"/>
      <c r="AO239" s="287"/>
      <c r="AP239" s="287"/>
      <c r="AQ239" s="287"/>
      <c r="AR239" s="287"/>
      <c r="AS239" s="287"/>
      <c r="AT239" s="287"/>
      <c r="AU239" s="287"/>
      <c r="AV239" s="287"/>
      <c r="AW239" s="287"/>
      <c r="AX239" s="287"/>
      <c r="AY239" s="287"/>
      <c r="AZ239" s="287"/>
      <c r="BA239" s="287"/>
      <c r="BB239" s="287"/>
      <c r="BC239" s="287"/>
      <c r="BD239" s="287"/>
      <c r="BE239" s="287"/>
      <c r="BF239" s="287"/>
      <c r="BG239" s="287"/>
      <c r="BH239" s="287"/>
      <c r="BI239" s="287"/>
      <c r="BJ239" s="287"/>
      <c r="BK239" s="287"/>
      <c r="BL239" s="287"/>
      <c r="BM239" s="287"/>
      <c r="BN239" s="287"/>
      <c r="BO239" s="287"/>
      <c r="BP239" s="287"/>
      <c r="BQ239" s="287"/>
      <c r="BR239" s="287"/>
    </row>
    <row r="240" spans="1:70" ht="16.8">
      <c r="A240" s="287"/>
      <c r="B240" s="287"/>
      <c r="C240" s="287"/>
      <c r="D240" s="287"/>
      <c r="E240" s="287"/>
      <c r="F240" s="287"/>
      <c r="G240" s="287"/>
      <c r="H240" s="287"/>
      <c r="I240" s="287"/>
      <c r="J240" s="287"/>
      <c r="K240" s="287"/>
      <c r="L240" s="287"/>
      <c r="M240" s="287"/>
      <c r="N240" s="287"/>
      <c r="O240" s="287"/>
      <c r="P240" s="287"/>
      <c r="Q240" s="287"/>
      <c r="R240" s="287"/>
      <c r="S240" s="287"/>
      <c r="T240" s="287"/>
      <c r="U240" s="287"/>
      <c r="V240" s="287"/>
      <c r="W240" s="287"/>
      <c r="X240" s="287"/>
      <c r="Y240" s="287"/>
      <c r="Z240" s="287"/>
      <c r="AA240" s="287"/>
      <c r="AB240" s="287"/>
      <c r="AC240" s="287"/>
      <c r="AD240" s="287"/>
      <c r="AE240" s="287"/>
      <c r="AF240" s="287"/>
      <c r="AG240" s="287"/>
      <c r="AH240" s="287"/>
      <c r="AI240" s="287"/>
      <c r="AJ240" s="287"/>
      <c r="AK240" s="287"/>
      <c r="AL240" s="287"/>
      <c r="AM240" s="287"/>
      <c r="AN240" s="287"/>
      <c r="AO240" s="287"/>
      <c r="AP240" s="287"/>
      <c r="AQ240" s="287"/>
      <c r="AR240" s="287"/>
      <c r="AS240" s="287"/>
      <c r="AT240" s="287"/>
      <c r="AU240" s="287"/>
      <c r="AV240" s="287"/>
      <c r="AW240" s="287"/>
      <c r="AX240" s="287"/>
      <c r="AY240" s="287"/>
      <c r="AZ240" s="287"/>
      <c r="BA240" s="287"/>
      <c r="BB240" s="287"/>
      <c r="BC240" s="287"/>
      <c r="BD240" s="287"/>
      <c r="BE240" s="287"/>
      <c r="BF240" s="287"/>
      <c r="BG240" s="287"/>
      <c r="BH240" s="287"/>
      <c r="BI240" s="287"/>
      <c r="BJ240" s="287"/>
      <c r="BK240" s="287"/>
      <c r="BL240" s="287"/>
      <c r="BM240" s="287"/>
      <c r="BN240" s="287"/>
      <c r="BO240" s="287"/>
      <c r="BP240" s="287"/>
      <c r="BQ240" s="287"/>
      <c r="BR240" s="287"/>
    </row>
    <row r="241" spans="1:70" ht="16.8">
      <c r="A241" s="287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87"/>
      <c r="P241" s="287"/>
      <c r="Q241" s="287"/>
      <c r="R241" s="287"/>
      <c r="S241" s="287"/>
      <c r="T241" s="287"/>
      <c r="U241" s="287"/>
      <c r="V241" s="287"/>
      <c r="W241" s="287"/>
      <c r="X241" s="287"/>
      <c r="Y241" s="287"/>
      <c r="Z241" s="287"/>
      <c r="AA241" s="287"/>
      <c r="AB241" s="287"/>
      <c r="AC241" s="287"/>
      <c r="AD241" s="287"/>
      <c r="AE241" s="287"/>
      <c r="AF241" s="287"/>
      <c r="AG241" s="287"/>
      <c r="AH241" s="287"/>
      <c r="AI241" s="287"/>
      <c r="AJ241" s="287"/>
      <c r="AK241" s="287"/>
      <c r="AL241" s="287"/>
      <c r="AM241" s="287"/>
      <c r="AN241" s="287"/>
      <c r="AO241" s="287"/>
      <c r="AP241" s="287"/>
      <c r="AQ241" s="287"/>
      <c r="AR241" s="287"/>
      <c r="AS241" s="287"/>
      <c r="AT241" s="287"/>
      <c r="AU241" s="287"/>
      <c r="AV241" s="287"/>
      <c r="AW241" s="287"/>
      <c r="AX241" s="287"/>
      <c r="AY241" s="287"/>
      <c r="AZ241" s="287"/>
      <c r="BA241" s="287"/>
      <c r="BB241" s="287"/>
      <c r="BC241" s="287"/>
      <c r="BD241" s="287"/>
      <c r="BE241" s="287"/>
      <c r="BF241" s="287"/>
      <c r="BG241" s="287"/>
      <c r="BH241" s="287"/>
      <c r="BI241" s="287"/>
      <c r="BJ241" s="287"/>
      <c r="BK241" s="287"/>
      <c r="BL241" s="287"/>
      <c r="BM241" s="287"/>
      <c r="BN241" s="287"/>
      <c r="BO241" s="287"/>
      <c r="BP241" s="287"/>
      <c r="BQ241" s="287"/>
      <c r="BR241" s="287"/>
    </row>
    <row r="242" spans="1:70" ht="16.8">
      <c r="A242" s="287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  <c r="Q242" s="287"/>
      <c r="R242" s="287"/>
      <c r="S242" s="287"/>
      <c r="T242" s="287"/>
      <c r="U242" s="287"/>
      <c r="V242" s="287"/>
      <c r="W242" s="287"/>
      <c r="X242" s="287"/>
      <c r="Y242" s="287"/>
      <c r="Z242" s="287"/>
      <c r="AA242" s="287"/>
      <c r="AB242" s="287"/>
      <c r="AC242" s="287"/>
      <c r="AD242" s="287"/>
      <c r="AE242" s="287"/>
      <c r="AF242" s="287"/>
      <c r="AG242" s="287"/>
      <c r="AH242" s="287"/>
      <c r="AI242" s="287"/>
      <c r="AJ242" s="287"/>
      <c r="AK242" s="287"/>
      <c r="AL242" s="287"/>
      <c r="AM242" s="287"/>
      <c r="AN242" s="287"/>
      <c r="AO242" s="287"/>
      <c r="AP242" s="287"/>
      <c r="AQ242" s="287"/>
      <c r="AR242" s="287"/>
      <c r="AS242" s="287"/>
      <c r="AT242" s="287"/>
      <c r="AU242" s="287"/>
      <c r="AV242" s="287"/>
      <c r="AW242" s="287"/>
      <c r="AX242" s="287"/>
      <c r="AY242" s="287"/>
      <c r="AZ242" s="287"/>
      <c r="BA242" s="287"/>
      <c r="BB242" s="287"/>
      <c r="BC242" s="287"/>
      <c r="BD242" s="287"/>
      <c r="BE242" s="287"/>
      <c r="BF242" s="287"/>
      <c r="BG242" s="287"/>
      <c r="BH242" s="287"/>
      <c r="BI242" s="287"/>
      <c r="BJ242" s="287"/>
      <c r="BK242" s="287"/>
      <c r="BL242" s="287"/>
      <c r="BM242" s="287"/>
      <c r="BN242" s="287"/>
      <c r="BO242" s="287"/>
      <c r="BP242" s="287"/>
      <c r="BQ242" s="287"/>
      <c r="BR242" s="287"/>
    </row>
    <row r="243" spans="1:70" ht="16.8">
      <c r="A243" s="287"/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  <c r="Q243" s="287"/>
      <c r="R243" s="287"/>
      <c r="S243" s="287"/>
      <c r="T243" s="287"/>
      <c r="U243" s="287"/>
      <c r="V243" s="287"/>
      <c r="W243" s="287"/>
      <c r="X243" s="287"/>
      <c r="Y243" s="287"/>
      <c r="Z243" s="287"/>
      <c r="AA243" s="287"/>
      <c r="AB243" s="287"/>
      <c r="AC243" s="287"/>
      <c r="AD243" s="287"/>
      <c r="AE243" s="287"/>
      <c r="AF243" s="287"/>
      <c r="AG243" s="287"/>
      <c r="AH243" s="287"/>
      <c r="AI243" s="287"/>
      <c r="AJ243" s="287"/>
      <c r="AK243" s="287"/>
      <c r="AL243" s="287"/>
      <c r="AM243" s="287"/>
      <c r="AN243" s="287"/>
      <c r="AO243" s="287"/>
      <c r="AP243" s="287"/>
      <c r="AQ243" s="287"/>
      <c r="AR243" s="287"/>
      <c r="AS243" s="287"/>
      <c r="AT243" s="287"/>
      <c r="AU243" s="287"/>
      <c r="AV243" s="287"/>
      <c r="AW243" s="287"/>
      <c r="AX243" s="287"/>
      <c r="AY243" s="287"/>
      <c r="AZ243" s="287"/>
      <c r="BA243" s="287"/>
      <c r="BB243" s="287"/>
      <c r="BC243" s="287"/>
      <c r="BD243" s="287"/>
      <c r="BE243" s="287"/>
      <c r="BF243" s="287"/>
      <c r="BG243" s="287"/>
      <c r="BH243" s="287"/>
      <c r="BI243" s="287"/>
      <c r="BJ243" s="287"/>
      <c r="BK243" s="287"/>
      <c r="BL243" s="287"/>
      <c r="BM243" s="287"/>
      <c r="BN243" s="287"/>
      <c r="BO243" s="287"/>
      <c r="BP243" s="287"/>
      <c r="BQ243" s="287"/>
      <c r="BR243" s="287"/>
    </row>
    <row r="244" spans="1:70" ht="16.8">
      <c r="A244" s="287"/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  <c r="Q244" s="287"/>
      <c r="R244" s="287"/>
      <c r="S244" s="287"/>
      <c r="T244" s="287"/>
      <c r="U244" s="287"/>
      <c r="V244" s="287"/>
      <c r="W244" s="287"/>
      <c r="X244" s="287"/>
      <c r="Y244" s="287"/>
      <c r="Z244" s="287"/>
      <c r="AA244" s="287"/>
      <c r="AB244" s="287"/>
      <c r="AC244" s="287"/>
      <c r="AD244" s="287"/>
      <c r="AE244" s="287"/>
      <c r="AF244" s="287"/>
      <c r="AG244" s="287"/>
      <c r="AH244" s="287"/>
      <c r="AI244" s="287"/>
      <c r="AJ244" s="287"/>
      <c r="AK244" s="287"/>
      <c r="AL244" s="287"/>
      <c r="AM244" s="287"/>
      <c r="AN244" s="287"/>
      <c r="AO244" s="287"/>
      <c r="AP244" s="287"/>
      <c r="AQ244" s="287"/>
      <c r="AR244" s="287"/>
      <c r="AS244" s="287"/>
      <c r="AT244" s="287"/>
      <c r="AU244" s="287"/>
      <c r="AV244" s="287"/>
      <c r="AW244" s="287"/>
      <c r="AX244" s="287"/>
      <c r="AY244" s="287"/>
      <c r="AZ244" s="287"/>
      <c r="BA244" s="287"/>
      <c r="BB244" s="287"/>
      <c r="BC244" s="287"/>
      <c r="BD244" s="287"/>
      <c r="BE244" s="287"/>
      <c r="BF244" s="287"/>
      <c r="BG244" s="287"/>
      <c r="BH244" s="287"/>
      <c r="BI244" s="287"/>
      <c r="BJ244" s="287"/>
      <c r="BK244" s="287"/>
      <c r="BL244" s="287"/>
      <c r="BM244" s="287"/>
      <c r="BN244" s="287"/>
      <c r="BO244" s="287"/>
      <c r="BP244" s="287"/>
      <c r="BQ244" s="287"/>
      <c r="BR244" s="287"/>
    </row>
    <row r="245" spans="1:70" ht="16.8">
      <c r="A245" s="287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7"/>
      <c r="P245" s="287"/>
      <c r="Q245" s="287"/>
      <c r="R245" s="287"/>
      <c r="S245" s="287"/>
      <c r="T245" s="287"/>
      <c r="U245" s="287"/>
      <c r="V245" s="287"/>
      <c r="W245" s="287"/>
      <c r="X245" s="287"/>
      <c r="Y245" s="287"/>
      <c r="Z245" s="287"/>
      <c r="AA245" s="287"/>
      <c r="AB245" s="287"/>
      <c r="AC245" s="287"/>
      <c r="AD245" s="287"/>
      <c r="AE245" s="287"/>
      <c r="AF245" s="287"/>
      <c r="AG245" s="287"/>
      <c r="AH245" s="287"/>
      <c r="AI245" s="287"/>
      <c r="AJ245" s="287"/>
      <c r="AK245" s="287"/>
      <c r="AL245" s="287"/>
      <c r="AM245" s="287"/>
      <c r="AN245" s="287"/>
      <c r="AO245" s="287"/>
      <c r="AP245" s="287"/>
      <c r="AQ245" s="287"/>
      <c r="AR245" s="287"/>
      <c r="AS245" s="287"/>
      <c r="AT245" s="287"/>
      <c r="AU245" s="287"/>
      <c r="AV245" s="287"/>
      <c r="AW245" s="287"/>
      <c r="AX245" s="287"/>
      <c r="AY245" s="287"/>
      <c r="AZ245" s="287"/>
      <c r="BA245" s="287"/>
      <c r="BB245" s="287"/>
      <c r="BC245" s="287"/>
      <c r="BD245" s="287"/>
      <c r="BE245" s="287"/>
      <c r="BF245" s="287"/>
      <c r="BG245" s="287"/>
      <c r="BH245" s="287"/>
      <c r="BI245" s="287"/>
      <c r="BJ245" s="287"/>
      <c r="BK245" s="287"/>
      <c r="BL245" s="287"/>
      <c r="BM245" s="287"/>
      <c r="BN245" s="287"/>
      <c r="BO245" s="287"/>
      <c r="BP245" s="287"/>
      <c r="BQ245" s="287"/>
      <c r="BR245" s="287"/>
    </row>
    <row r="246" spans="1:70" ht="16.8">
      <c r="A246" s="287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87"/>
      <c r="P246" s="287"/>
      <c r="Q246" s="287"/>
      <c r="R246" s="287"/>
      <c r="S246" s="287"/>
      <c r="T246" s="287"/>
      <c r="U246" s="287"/>
      <c r="V246" s="287"/>
      <c r="W246" s="287"/>
      <c r="X246" s="287"/>
      <c r="Y246" s="287"/>
      <c r="Z246" s="287"/>
      <c r="AA246" s="287"/>
      <c r="AB246" s="287"/>
      <c r="AC246" s="287"/>
      <c r="AD246" s="287"/>
      <c r="AE246" s="287"/>
      <c r="AF246" s="287"/>
      <c r="AG246" s="287"/>
      <c r="AH246" s="287"/>
      <c r="AI246" s="287"/>
      <c r="AJ246" s="287"/>
      <c r="AK246" s="287"/>
      <c r="AL246" s="287"/>
      <c r="AM246" s="287"/>
      <c r="AN246" s="287"/>
      <c r="AO246" s="287"/>
      <c r="AP246" s="287"/>
      <c r="AQ246" s="287"/>
      <c r="AR246" s="287"/>
      <c r="AS246" s="287"/>
      <c r="AT246" s="287"/>
      <c r="AU246" s="287"/>
      <c r="AV246" s="287"/>
      <c r="AW246" s="287"/>
      <c r="AX246" s="287"/>
      <c r="AY246" s="287"/>
      <c r="AZ246" s="287"/>
      <c r="BA246" s="287"/>
      <c r="BB246" s="287"/>
      <c r="BC246" s="287"/>
      <c r="BD246" s="287"/>
      <c r="BE246" s="287"/>
      <c r="BF246" s="287"/>
      <c r="BG246" s="287"/>
      <c r="BH246" s="287"/>
      <c r="BI246" s="287"/>
      <c r="BJ246" s="287"/>
      <c r="BK246" s="287"/>
      <c r="BL246" s="287"/>
      <c r="BM246" s="287"/>
      <c r="BN246" s="287"/>
      <c r="BO246" s="287"/>
      <c r="BP246" s="287"/>
      <c r="BQ246" s="287"/>
      <c r="BR246" s="287"/>
    </row>
    <row r="247" spans="1:70" ht="16.8">
      <c r="A247" s="287"/>
      <c r="B247" s="287"/>
      <c r="C247" s="287"/>
      <c r="D247" s="287"/>
      <c r="E247" s="287"/>
      <c r="F247" s="287"/>
      <c r="G247" s="287"/>
      <c r="H247" s="287"/>
      <c r="I247" s="287"/>
      <c r="J247" s="287"/>
      <c r="K247" s="287"/>
      <c r="L247" s="287"/>
      <c r="M247" s="287"/>
      <c r="N247" s="287"/>
      <c r="O247" s="287"/>
      <c r="P247" s="287"/>
      <c r="Q247" s="287"/>
      <c r="R247" s="287"/>
      <c r="S247" s="287"/>
      <c r="T247" s="287"/>
      <c r="U247" s="287"/>
      <c r="V247" s="287"/>
      <c r="W247" s="287"/>
      <c r="X247" s="287"/>
      <c r="Y247" s="287"/>
      <c r="Z247" s="287"/>
      <c r="AA247" s="287"/>
      <c r="AB247" s="287"/>
      <c r="AC247" s="287"/>
      <c r="AD247" s="287"/>
      <c r="AE247" s="287"/>
      <c r="AF247" s="287"/>
      <c r="AG247" s="287"/>
      <c r="AH247" s="287"/>
      <c r="AI247" s="287"/>
      <c r="AJ247" s="287"/>
      <c r="AK247" s="287"/>
      <c r="AL247" s="287"/>
      <c r="AM247" s="287"/>
      <c r="AN247" s="287"/>
      <c r="AO247" s="287"/>
      <c r="AP247" s="287"/>
      <c r="AQ247" s="287"/>
      <c r="AR247" s="287"/>
      <c r="AS247" s="287"/>
      <c r="AT247" s="287"/>
      <c r="AU247" s="287"/>
      <c r="AV247" s="287"/>
      <c r="AW247" s="287"/>
      <c r="AX247" s="287"/>
      <c r="AY247" s="287"/>
      <c r="AZ247" s="287"/>
      <c r="BA247" s="287"/>
      <c r="BB247" s="287"/>
      <c r="BC247" s="287"/>
      <c r="BD247" s="287"/>
      <c r="BE247" s="287"/>
      <c r="BF247" s="287"/>
      <c r="BG247" s="287"/>
      <c r="BH247" s="287"/>
      <c r="BI247" s="287"/>
      <c r="BJ247" s="287"/>
      <c r="BK247" s="287"/>
      <c r="BL247" s="287"/>
      <c r="BM247" s="287"/>
      <c r="BN247" s="287"/>
      <c r="BO247" s="287"/>
      <c r="BP247" s="287"/>
      <c r="BQ247" s="287"/>
      <c r="BR247" s="287"/>
    </row>
    <row r="248" spans="1:70" ht="16.8">
      <c r="A248" s="287"/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  <c r="AA248" s="287"/>
      <c r="AB248" s="287"/>
      <c r="AC248" s="287"/>
      <c r="AD248" s="287"/>
      <c r="AE248" s="287"/>
      <c r="AF248" s="287"/>
      <c r="AG248" s="287"/>
      <c r="AH248" s="287"/>
      <c r="AI248" s="287"/>
      <c r="AJ248" s="287"/>
      <c r="AK248" s="287"/>
      <c r="AL248" s="287"/>
      <c r="AM248" s="287"/>
      <c r="AN248" s="287"/>
      <c r="AO248" s="287"/>
      <c r="AP248" s="287"/>
      <c r="AQ248" s="287"/>
      <c r="AR248" s="287"/>
      <c r="AS248" s="287"/>
      <c r="AT248" s="287"/>
      <c r="AU248" s="287"/>
      <c r="AV248" s="287"/>
      <c r="AW248" s="287"/>
      <c r="AX248" s="287"/>
      <c r="AY248" s="287"/>
      <c r="AZ248" s="287"/>
      <c r="BA248" s="287"/>
      <c r="BB248" s="287"/>
      <c r="BC248" s="287"/>
      <c r="BD248" s="287"/>
      <c r="BE248" s="287"/>
      <c r="BF248" s="287"/>
      <c r="BG248" s="287"/>
      <c r="BH248" s="287"/>
      <c r="BI248" s="287"/>
      <c r="BJ248" s="287"/>
      <c r="BK248" s="287"/>
      <c r="BL248" s="287"/>
      <c r="BM248" s="287"/>
      <c r="BN248" s="287"/>
      <c r="BO248" s="287"/>
      <c r="BP248" s="287"/>
      <c r="BQ248" s="287"/>
      <c r="BR248" s="287"/>
    </row>
    <row r="249" spans="1:70" ht="16.8">
      <c r="A249" s="287"/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87"/>
      <c r="P249" s="287"/>
      <c r="Q249" s="287"/>
      <c r="R249" s="287"/>
      <c r="S249" s="287"/>
      <c r="T249" s="287"/>
      <c r="U249" s="287"/>
      <c r="V249" s="287"/>
      <c r="W249" s="287"/>
      <c r="X249" s="287"/>
      <c r="Y249" s="287"/>
      <c r="Z249" s="287"/>
      <c r="AA249" s="287"/>
      <c r="AB249" s="287"/>
      <c r="AC249" s="287"/>
      <c r="AD249" s="287"/>
      <c r="AE249" s="287"/>
      <c r="AF249" s="287"/>
      <c r="AG249" s="287"/>
      <c r="AH249" s="287"/>
      <c r="AI249" s="287"/>
      <c r="AJ249" s="287"/>
      <c r="AK249" s="287"/>
      <c r="AL249" s="287"/>
      <c r="AM249" s="287"/>
      <c r="AN249" s="287"/>
      <c r="AO249" s="287"/>
      <c r="AP249" s="287"/>
      <c r="AQ249" s="287"/>
      <c r="AR249" s="287"/>
      <c r="AS249" s="287"/>
      <c r="AT249" s="287"/>
      <c r="AU249" s="287"/>
      <c r="AV249" s="287"/>
      <c r="AW249" s="287"/>
      <c r="AX249" s="287"/>
      <c r="AY249" s="287"/>
      <c r="AZ249" s="287"/>
      <c r="BA249" s="287"/>
      <c r="BB249" s="287"/>
      <c r="BC249" s="287"/>
      <c r="BD249" s="287"/>
      <c r="BE249" s="287"/>
      <c r="BF249" s="287"/>
      <c r="BG249" s="287"/>
      <c r="BH249" s="287"/>
      <c r="BI249" s="287"/>
      <c r="BJ249" s="287"/>
      <c r="BK249" s="287"/>
      <c r="BL249" s="287"/>
      <c r="BM249" s="287"/>
      <c r="BN249" s="287"/>
      <c r="BO249" s="287"/>
      <c r="BP249" s="287"/>
      <c r="BQ249" s="287"/>
      <c r="BR249" s="287"/>
    </row>
    <row r="250" spans="1:70" ht="16.8">
      <c r="A250" s="287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87"/>
      <c r="P250" s="287"/>
      <c r="Q250" s="287"/>
      <c r="R250" s="287"/>
      <c r="S250" s="287"/>
      <c r="T250" s="287"/>
      <c r="U250" s="287"/>
      <c r="V250" s="287"/>
      <c r="W250" s="287"/>
      <c r="X250" s="287"/>
      <c r="Y250" s="287"/>
      <c r="Z250" s="287"/>
      <c r="AA250" s="287"/>
      <c r="AB250" s="287"/>
      <c r="AC250" s="287"/>
      <c r="AD250" s="287"/>
      <c r="AE250" s="287"/>
      <c r="AF250" s="287"/>
      <c r="AG250" s="287"/>
      <c r="AH250" s="287"/>
      <c r="AI250" s="287"/>
      <c r="AJ250" s="287"/>
      <c r="AK250" s="287"/>
      <c r="AL250" s="287"/>
      <c r="AM250" s="287"/>
      <c r="AN250" s="287"/>
      <c r="AO250" s="287"/>
      <c r="AP250" s="287"/>
      <c r="AQ250" s="287"/>
      <c r="AR250" s="287"/>
      <c r="AS250" s="287"/>
      <c r="AT250" s="287"/>
      <c r="AU250" s="287"/>
      <c r="AV250" s="287"/>
      <c r="AW250" s="287"/>
      <c r="AX250" s="287"/>
      <c r="AY250" s="287"/>
      <c r="AZ250" s="287"/>
      <c r="BA250" s="287"/>
      <c r="BB250" s="287"/>
      <c r="BC250" s="287"/>
      <c r="BD250" s="287"/>
      <c r="BE250" s="287"/>
      <c r="BF250" s="287"/>
      <c r="BG250" s="287"/>
      <c r="BH250" s="287"/>
      <c r="BI250" s="287"/>
      <c r="BJ250" s="287"/>
      <c r="BK250" s="287"/>
      <c r="BL250" s="287"/>
      <c r="BM250" s="287"/>
      <c r="BN250" s="287"/>
      <c r="BO250" s="287"/>
      <c r="BP250" s="287"/>
      <c r="BQ250" s="287"/>
      <c r="BR250" s="287"/>
    </row>
    <row r="251" spans="1:70" ht="16.8">
      <c r="A251" s="287"/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7"/>
      <c r="P251" s="287"/>
      <c r="Q251" s="287"/>
      <c r="R251" s="287"/>
      <c r="S251" s="287"/>
      <c r="T251" s="287"/>
      <c r="U251" s="287"/>
      <c r="V251" s="287"/>
      <c r="W251" s="287"/>
      <c r="X251" s="287"/>
      <c r="Y251" s="287"/>
      <c r="Z251" s="287"/>
      <c r="AA251" s="287"/>
      <c r="AB251" s="287"/>
      <c r="AC251" s="287"/>
      <c r="AD251" s="287"/>
      <c r="AE251" s="287"/>
      <c r="AF251" s="287"/>
      <c r="AG251" s="287"/>
      <c r="AH251" s="287"/>
      <c r="AI251" s="287"/>
      <c r="AJ251" s="287"/>
      <c r="AK251" s="287"/>
      <c r="AL251" s="287"/>
      <c r="AM251" s="287"/>
      <c r="AN251" s="287"/>
      <c r="AO251" s="287"/>
      <c r="AP251" s="287"/>
      <c r="AQ251" s="287"/>
      <c r="AR251" s="287"/>
      <c r="AS251" s="287"/>
      <c r="AT251" s="287"/>
      <c r="AU251" s="287"/>
      <c r="AV251" s="287"/>
      <c r="AW251" s="287"/>
      <c r="AX251" s="287"/>
      <c r="AY251" s="287"/>
      <c r="AZ251" s="287"/>
      <c r="BA251" s="287"/>
      <c r="BB251" s="287"/>
      <c r="BC251" s="287"/>
      <c r="BD251" s="287"/>
      <c r="BE251" s="287"/>
      <c r="BF251" s="287"/>
      <c r="BG251" s="287"/>
      <c r="BH251" s="287"/>
      <c r="BI251" s="287"/>
      <c r="BJ251" s="287"/>
      <c r="BK251" s="287"/>
      <c r="BL251" s="287"/>
      <c r="BM251" s="287"/>
      <c r="BN251" s="287"/>
      <c r="BO251" s="287"/>
      <c r="BP251" s="287"/>
      <c r="BQ251" s="287"/>
      <c r="BR251" s="287"/>
    </row>
    <row r="252" spans="1:70" ht="16.8">
      <c r="A252" s="287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87"/>
      <c r="P252" s="287"/>
      <c r="Q252" s="287"/>
      <c r="R252" s="287"/>
      <c r="S252" s="287"/>
      <c r="T252" s="287"/>
      <c r="U252" s="287"/>
      <c r="V252" s="287"/>
      <c r="W252" s="287"/>
      <c r="X252" s="287"/>
      <c r="Y252" s="287"/>
      <c r="Z252" s="287"/>
      <c r="AA252" s="287"/>
      <c r="AB252" s="287"/>
      <c r="AC252" s="287"/>
      <c r="AD252" s="287"/>
      <c r="AE252" s="287"/>
      <c r="AF252" s="287"/>
      <c r="AG252" s="287"/>
      <c r="AH252" s="287"/>
      <c r="AI252" s="287"/>
      <c r="AJ252" s="287"/>
      <c r="AK252" s="287"/>
      <c r="AL252" s="287"/>
      <c r="AM252" s="287"/>
      <c r="AN252" s="287"/>
      <c r="AO252" s="287"/>
      <c r="AP252" s="287"/>
      <c r="AQ252" s="287"/>
      <c r="AR252" s="287"/>
      <c r="AS252" s="287"/>
      <c r="AT252" s="287"/>
      <c r="AU252" s="287"/>
      <c r="AV252" s="287"/>
      <c r="AW252" s="287"/>
      <c r="AX252" s="287"/>
      <c r="AY252" s="287"/>
      <c r="AZ252" s="287"/>
      <c r="BA252" s="287"/>
      <c r="BB252" s="287"/>
      <c r="BC252" s="287"/>
      <c r="BD252" s="287"/>
      <c r="BE252" s="287"/>
      <c r="BF252" s="287"/>
      <c r="BG252" s="287"/>
      <c r="BH252" s="287"/>
      <c r="BI252" s="287"/>
      <c r="BJ252" s="287"/>
      <c r="BK252" s="287"/>
      <c r="BL252" s="287"/>
      <c r="BM252" s="287"/>
      <c r="BN252" s="287"/>
      <c r="BO252" s="287"/>
      <c r="BP252" s="287"/>
      <c r="BQ252" s="287"/>
      <c r="BR252" s="287"/>
    </row>
  </sheetData>
  <pageMargins left="0.3" right="0.2" top="0.75" bottom="0.75" header="0.3" footer="0.3"/>
  <headerFooter>
    <oddFooter>&amp;L&amp;F, &amp;A, &amp;D, &amp;T&amp;Cp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380"/>
  <sheetViews>
    <sheetView workbookViewId="0">
      <pane xSplit="1" ySplit="2" topLeftCell="B22" activePane="bottomRight" state="frozen"/>
      <selection pane="topRight" activeCell="B1" sqref="B1"/>
      <selection pane="bottomLeft" activeCell="A3" sqref="A3"/>
      <selection pane="bottomRight" activeCell="C1353" sqref="C1353:G1359"/>
    </sheetView>
  </sheetViews>
  <sheetFormatPr defaultColWidth="12.6640625" defaultRowHeight="15.75" customHeight="1"/>
  <cols>
    <col min="1" max="16384" width="12.6640625" style="290"/>
  </cols>
  <sheetData>
    <row r="1" spans="1:7" ht="15.75" customHeight="1">
      <c r="A1" s="288" t="s">
        <v>552</v>
      </c>
      <c r="B1" s="288"/>
      <c r="C1" s="289"/>
      <c r="D1" s="289"/>
      <c r="E1" s="289" t="s">
        <v>553</v>
      </c>
    </row>
    <row r="2" spans="1:7" ht="15.75" customHeight="1">
      <c r="A2" s="288" t="s">
        <v>322</v>
      </c>
      <c r="B2" s="288" t="s">
        <v>554</v>
      </c>
      <c r="C2" s="289" t="s">
        <v>555</v>
      </c>
      <c r="D2" s="289" t="s">
        <v>556</v>
      </c>
      <c r="E2" s="289" t="s">
        <v>557</v>
      </c>
      <c r="F2" s="288" t="s">
        <v>558</v>
      </c>
    </row>
    <row r="3" spans="1:7" ht="15.75" customHeight="1">
      <c r="A3" s="291">
        <v>44453</v>
      </c>
      <c r="B3" s="288">
        <v>72.260000000000005</v>
      </c>
      <c r="C3" s="289">
        <f>AVERAGE(B3:B6)</f>
        <v>72.655000000000001</v>
      </c>
      <c r="D3" s="289">
        <f>AVERAGE(B3:B19)</f>
        <v>74.057692307692307</v>
      </c>
      <c r="E3" s="289">
        <f>AVERAGE(B3:B94)</f>
        <v>78.222615384615395</v>
      </c>
      <c r="F3" s="288">
        <f t="shared" ref="F3:F244" si="0">B3/158.987</f>
        <v>0.45450256939246608</v>
      </c>
      <c r="G3" s="288">
        <f t="shared" ref="G3:G244" si="1">F3*52</f>
        <v>23.634133608408238</v>
      </c>
    </row>
    <row r="4" spans="1:7" ht="15.75" customHeight="1">
      <c r="A4" s="291">
        <v>44454</v>
      </c>
      <c r="B4" s="288">
        <v>72.239999999999995</v>
      </c>
      <c r="C4" s="289"/>
      <c r="D4" s="289"/>
      <c r="E4" s="289">
        <f t="shared" ref="E4:E57" si="2">AVERAGE(B4:B95)</f>
        <v>78.21830769230769</v>
      </c>
      <c r="F4" s="288">
        <f t="shared" si="0"/>
        <v>0.45437677294369977</v>
      </c>
      <c r="G4" s="288">
        <f t="shared" si="1"/>
        <v>23.627592193072388</v>
      </c>
    </row>
    <row r="5" spans="1:7" ht="15.75" customHeight="1">
      <c r="A5" s="291">
        <v>44455</v>
      </c>
      <c r="B5" s="288">
        <v>73.069999999999993</v>
      </c>
      <c r="C5" s="289"/>
      <c r="D5" s="289"/>
      <c r="E5" s="289">
        <f t="shared" si="2"/>
        <v>78.235384615384604</v>
      </c>
      <c r="F5" s="288">
        <f t="shared" si="0"/>
        <v>0.45959732556749922</v>
      </c>
      <c r="G5" s="288">
        <f t="shared" si="1"/>
        <v>23.899060929509957</v>
      </c>
    </row>
    <row r="6" spans="1:7" ht="15.75" customHeight="1">
      <c r="A6" s="291">
        <v>44456</v>
      </c>
      <c r="B6" s="288">
        <v>73.05</v>
      </c>
      <c r="C6" s="289"/>
      <c r="D6" s="289"/>
      <c r="E6" s="289">
        <f t="shared" si="2"/>
        <v>78.239384615384608</v>
      </c>
      <c r="F6" s="288">
        <f t="shared" si="0"/>
        <v>0.45947152911873296</v>
      </c>
      <c r="G6" s="288">
        <f t="shared" si="1"/>
        <v>23.892519514174115</v>
      </c>
    </row>
    <row r="7" spans="1:7" ht="15.75" customHeight="1">
      <c r="A7" s="291">
        <v>44457</v>
      </c>
      <c r="C7" s="289"/>
      <c r="D7" s="289"/>
      <c r="E7" s="289">
        <f t="shared" si="2"/>
        <v>78.320468749999975</v>
      </c>
      <c r="F7" s="288">
        <f t="shared" si="0"/>
        <v>0</v>
      </c>
      <c r="G7" s="288">
        <f t="shared" si="1"/>
        <v>0</v>
      </c>
    </row>
    <row r="8" spans="1:7" ht="15.75" customHeight="1">
      <c r="A8" s="291">
        <v>44458</v>
      </c>
      <c r="C8" s="289"/>
      <c r="D8" s="289"/>
      <c r="E8" s="289">
        <f t="shared" si="2"/>
        <v>78.320468749999975</v>
      </c>
      <c r="F8" s="288">
        <f t="shared" si="0"/>
        <v>0</v>
      </c>
      <c r="G8" s="288">
        <f t="shared" si="1"/>
        <v>0</v>
      </c>
    </row>
    <row r="9" spans="1:7" ht="15.75" customHeight="1">
      <c r="A9" s="291">
        <v>44459</v>
      </c>
      <c r="B9" s="288">
        <v>72.099999999999994</v>
      </c>
      <c r="C9" s="289">
        <f>AVERAGE(B9:B13)</f>
        <v>73.413999999999987</v>
      </c>
      <c r="D9" s="289"/>
      <c r="E9" s="289">
        <f t="shared" si="2"/>
        <v>78.320468749999975</v>
      </c>
      <c r="F9" s="288">
        <f t="shared" si="0"/>
        <v>0.45349619780233602</v>
      </c>
      <c r="G9" s="288">
        <f t="shared" si="1"/>
        <v>23.581802285721473</v>
      </c>
    </row>
    <row r="10" spans="1:7" ht="15.75" customHeight="1">
      <c r="A10" s="291">
        <v>44460</v>
      </c>
      <c r="B10" s="288">
        <v>72.86</v>
      </c>
      <c r="C10" s="289"/>
      <c r="D10" s="289"/>
      <c r="E10" s="289">
        <f t="shared" si="2"/>
        <v>78.419206349206334</v>
      </c>
      <c r="F10" s="288">
        <f t="shared" si="0"/>
        <v>0.45827646285545359</v>
      </c>
      <c r="G10" s="288">
        <f t="shared" si="1"/>
        <v>23.830376068483588</v>
      </c>
    </row>
    <row r="11" spans="1:7" ht="15.75" customHeight="1">
      <c r="A11" s="291">
        <v>44461</v>
      </c>
      <c r="B11" s="288">
        <v>73.260000000000005</v>
      </c>
      <c r="C11" s="289"/>
      <c r="D11" s="289"/>
      <c r="E11" s="289">
        <f t="shared" si="2"/>
        <v>78.508870967741913</v>
      </c>
      <c r="F11" s="288">
        <f t="shared" si="0"/>
        <v>0.46079239183077869</v>
      </c>
      <c r="G11" s="288">
        <f t="shared" si="1"/>
        <v>23.961204375200492</v>
      </c>
    </row>
    <row r="12" spans="1:7" ht="15.75" customHeight="1">
      <c r="A12" s="291">
        <v>44462</v>
      </c>
      <c r="B12" s="288">
        <v>74.09</v>
      </c>
      <c r="C12" s="289"/>
      <c r="D12" s="289"/>
      <c r="E12" s="289">
        <f t="shared" si="2"/>
        <v>78.594918032786865</v>
      </c>
      <c r="F12" s="288">
        <f t="shared" si="0"/>
        <v>0.46601294445457808</v>
      </c>
      <c r="G12" s="288">
        <f t="shared" si="1"/>
        <v>24.232673111638061</v>
      </c>
    </row>
    <row r="13" spans="1:7" ht="15.75" customHeight="1">
      <c r="A13" s="291">
        <v>44463</v>
      </c>
      <c r="B13" s="288">
        <v>74.760000000000005</v>
      </c>
      <c r="C13" s="289"/>
      <c r="D13" s="289"/>
      <c r="E13" s="289">
        <f t="shared" si="2"/>
        <v>78.669999999999987</v>
      </c>
      <c r="F13" s="288">
        <f t="shared" si="0"/>
        <v>0.47022712548824752</v>
      </c>
      <c r="G13" s="288">
        <f t="shared" si="1"/>
        <v>24.451810525388872</v>
      </c>
    </row>
    <row r="14" spans="1:7" ht="15.75" customHeight="1">
      <c r="A14" s="291">
        <v>44464</v>
      </c>
      <c r="C14" s="289"/>
      <c r="D14" s="289"/>
      <c r="E14" s="289">
        <f t="shared" si="2"/>
        <v>78.736271186440661</v>
      </c>
      <c r="F14" s="288">
        <f t="shared" si="0"/>
        <v>0</v>
      </c>
      <c r="G14" s="288">
        <f t="shared" si="1"/>
        <v>0</v>
      </c>
    </row>
    <row r="15" spans="1:7" ht="15.75" customHeight="1">
      <c r="A15" s="291">
        <v>44465</v>
      </c>
      <c r="C15" s="289"/>
      <c r="D15" s="289"/>
      <c r="E15" s="289">
        <f t="shared" si="2"/>
        <v>78.736271186440661</v>
      </c>
      <c r="F15" s="288">
        <f t="shared" si="0"/>
        <v>0</v>
      </c>
      <c r="G15" s="288">
        <f t="shared" si="1"/>
        <v>0</v>
      </c>
    </row>
    <row r="16" spans="1:7" ht="15.75" customHeight="1">
      <c r="A16" s="291">
        <v>44466</v>
      </c>
      <c r="B16" s="288">
        <v>76.150000000000006</v>
      </c>
      <c r="C16" s="289">
        <f>AVERAGE(B16:B20)</f>
        <v>76.14200000000001</v>
      </c>
      <c r="D16" s="289"/>
      <c r="E16" s="289">
        <f t="shared" si="2"/>
        <v>78.736271186440661</v>
      </c>
      <c r="F16" s="288">
        <f t="shared" si="0"/>
        <v>0.47896997867750196</v>
      </c>
      <c r="G16" s="288">
        <f t="shared" si="1"/>
        <v>24.906438891230103</v>
      </c>
    </row>
    <row r="17" spans="1:7" ht="15.75" customHeight="1">
      <c r="A17" s="291">
        <v>44467</v>
      </c>
      <c r="B17" s="288">
        <v>77.3</v>
      </c>
      <c r="C17" s="289"/>
      <c r="D17" s="289"/>
      <c r="E17" s="289">
        <f t="shared" si="2"/>
        <v>78.780862068965504</v>
      </c>
      <c r="F17" s="288">
        <f t="shared" si="0"/>
        <v>0.48620327448156136</v>
      </c>
      <c r="G17" s="288">
        <f t="shared" si="1"/>
        <v>25.282570273041191</v>
      </c>
    </row>
    <row r="18" spans="1:7" ht="15.75" customHeight="1">
      <c r="A18" s="291">
        <v>44468</v>
      </c>
      <c r="B18" s="288">
        <v>75.66</v>
      </c>
      <c r="C18" s="289"/>
      <c r="D18" s="289"/>
      <c r="E18" s="289">
        <f t="shared" si="2"/>
        <v>78.806842105263158</v>
      </c>
      <c r="F18" s="288">
        <f t="shared" si="0"/>
        <v>0.47588796568272879</v>
      </c>
      <c r="G18" s="288">
        <f t="shared" si="1"/>
        <v>24.746174215501895</v>
      </c>
    </row>
    <row r="19" spans="1:7" ht="15.75" customHeight="1">
      <c r="A19" s="291">
        <v>44469</v>
      </c>
      <c r="B19" s="288">
        <v>75.95</v>
      </c>
      <c r="C19" s="289"/>
      <c r="D19" s="289"/>
      <c r="E19" s="289">
        <f t="shared" si="2"/>
        <v>78.863035714285715</v>
      </c>
      <c r="F19" s="288">
        <f t="shared" si="0"/>
        <v>0.47771201418983944</v>
      </c>
      <c r="G19" s="288">
        <f t="shared" si="1"/>
        <v>24.841024737871649</v>
      </c>
    </row>
    <row r="20" spans="1:7" ht="15.75" customHeight="1">
      <c r="A20" s="291">
        <v>44470</v>
      </c>
      <c r="B20" s="288">
        <v>75.650000000000006</v>
      </c>
      <c r="C20" s="289"/>
      <c r="D20" s="289">
        <f>AVERAGE(B20:B50)</f>
        <v>81.585476190476186</v>
      </c>
      <c r="E20" s="289">
        <f t="shared" si="2"/>
        <v>78.915999999999997</v>
      </c>
      <c r="F20" s="288">
        <f t="shared" si="0"/>
        <v>0.47582506745834569</v>
      </c>
      <c r="G20" s="288">
        <f t="shared" si="1"/>
        <v>24.742903507833976</v>
      </c>
    </row>
    <row r="21" spans="1:7" ht="15.75" customHeight="1">
      <c r="A21" s="291">
        <v>44471</v>
      </c>
      <c r="C21" s="289"/>
      <c r="D21" s="289"/>
      <c r="E21" s="289">
        <f t="shared" si="2"/>
        <v>78.976481481481486</v>
      </c>
      <c r="F21" s="288">
        <f t="shared" si="0"/>
        <v>0</v>
      </c>
      <c r="G21" s="288">
        <f t="shared" si="1"/>
        <v>0</v>
      </c>
    </row>
    <row r="22" spans="1:7" ht="15.75" customHeight="1">
      <c r="A22" s="291">
        <v>44472</v>
      </c>
      <c r="C22" s="289"/>
      <c r="D22" s="289"/>
      <c r="E22" s="289">
        <f t="shared" si="2"/>
        <v>78.976481481481486</v>
      </c>
      <c r="F22" s="288">
        <f t="shared" si="0"/>
        <v>0</v>
      </c>
      <c r="G22" s="288">
        <f t="shared" si="1"/>
        <v>0</v>
      </c>
    </row>
    <row r="23" spans="1:7" ht="15.75" customHeight="1">
      <c r="A23" s="291">
        <v>44473</v>
      </c>
      <c r="B23" s="288">
        <v>77.14</v>
      </c>
      <c r="C23" s="289">
        <f>AVERAGE(B23:B27)</f>
        <v>79.161000000000001</v>
      </c>
      <c r="D23" s="289"/>
      <c r="E23" s="289">
        <f t="shared" si="2"/>
        <v>78.976481481481486</v>
      </c>
      <c r="F23" s="288">
        <f t="shared" si="0"/>
        <v>0.48519690289143141</v>
      </c>
      <c r="G23" s="288">
        <f t="shared" si="1"/>
        <v>25.230238950354433</v>
      </c>
    </row>
    <row r="24" spans="1:7" ht="15.75" customHeight="1">
      <c r="A24" s="291">
        <v>44474</v>
      </c>
      <c r="B24" s="288">
        <v>79.540000000000006</v>
      </c>
      <c r="C24" s="289"/>
      <c r="D24" s="289"/>
      <c r="E24" s="289">
        <f t="shared" si="2"/>
        <v>79.011132075471721</v>
      </c>
      <c r="F24" s="288">
        <f t="shared" si="0"/>
        <v>0.50029247674338162</v>
      </c>
      <c r="G24" s="288">
        <f t="shared" si="1"/>
        <v>26.015208790655844</v>
      </c>
    </row>
    <row r="25" spans="1:7" ht="15.75" customHeight="1">
      <c r="A25" s="291">
        <v>44475</v>
      </c>
      <c r="B25" s="288">
        <v>80.540000000000006</v>
      </c>
      <c r="C25" s="289"/>
      <c r="D25" s="289"/>
      <c r="E25" s="289">
        <f t="shared" si="2"/>
        <v>79.000961538461539</v>
      </c>
      <c r="F25" s="288">
        <f t="shared" si="0"/>
        <v>0.50658229918169417</v>
      </c>
      <c r="G25" s="288">
        <f t="shared" si="1"/>
        <v>26.342279557448098</v>
      </c>
    </row>
    <row r="26" spans="1:7" ht="15.75" customHeight="1">
      <c r="A26" s="291">
        <v>44476</v>
      </c>
      <c r="B26" s="288">
        <v>77.39</v>
      </c>
      <c r="C26" s="289"/>
      <c r="D26" s="289"/>
      <c r="E26" s="289">
        <f t="shared" si="2"/>
        <v>78.970784313725488</v>
      </c>
      <c r="F26" s="288">
        <f t="shared" si="0"/>
        <v>0.48676935850100955</v>
      </c>
      <c r="G26" s="288">
        <f t="shared" si="1"/>
        <v>25.312006642052495</v>
      </c>
    </row>
    <row r="27" spans="1:7" ht="15.75" customHeight="1">
      <c r="A27" s="291">
        <v>44477</v>
      </c>
      <c r="B27" s="288">
        <v>81.194999999999993</v>
      </c>
      <c r="C27" s="289"/>
      <c r="D27" s="289"/>
      <c r="E27" s="289">
        <f t="shared" si="2"/>
        <v>79.002400000000009</v>
      </c>
      <c r="F27" s="288">
        <f t="shared" si="0"/>
        <v>0.51070213287878885</v>
      </c>
      <c r="G27" s="288">
        <f t="shared" si="1"/>
        <v>26.556510909697021</v>
      </c>
    </row>
    <row r="28" spans="1:7" ht="15.75" customHeight="1">
      <c r="A28" s="291">
        <v>44478</v>
      </c>
      <c r="C28" s="289"/>
      <c r="D28" s="289"/>
      <c r="E28" s="289">
        <f t="shared" si="2"/>
        <v>78.957653061224491</v>
      </c>
      <c r="F28" s="288">
        <f t="shared" si="0"/>
        <v>0</v>
      </c>
      <c r="G28" s="288">
        <f t="shared" si="1"/>
        <v>0</v>
      </c>
    </row>
    <row r="29" spans="1:7" ht="15.75" customHeight="1">
      <c r="A29" s="291">
        <v>44479</v>
      </c>
      <c r="C29" s="289"/>
      <c r="D29" s="289"/>
      <c r="E29" s="289">
        <f t="shared" si="2"/>
        <v>78.957653061224491</v>
      </c>
      <c r="F29" s="288">
        <f t="shared" si="0"/>
        <v>0</v>
      </c>
      <c r="G29" s="288">
        <f t="shared" si="1"/>
        <v>0</v>
      </c>
    </row>
    <row r="30" spans="1:7" ht="15.75" customHeight="1">
      <c r="A30" s="291">
        <v>44480</v>
      </c>
      <c r="B30" s="288">
        <v>81.995000000000005</v>
      </c>
      <c r="C30" s="289">
        <f>AVERAGE(B30:B34)</f>
        <v>82.138000000000005</v>
      </c>
      <c r="D30" s="289"/>
      <c r="E30" s="289">
        <f t="shared" si="2"/>
        <v>78.957653061224491</v>
      </c>
      <c r="F30" s="288">
        <f t="shared" si="0"/>
        <v>0.51573399082943894</v>
      </c>
      <c r="G30" s="288">
        <f t="shared" si="1"/>
        <v>26.818167523130825</v>
      </c>
    </row>
    <row r="31" spans="1:7" ht="15.75" customHeight="1">
      <c r="A31" s="291">
        <v>44481</v>
      </c>
      <c r="B31" s="288">
        <v>82.05</v>
      </c>
      <c r="C31" s="289"/>
      <c r="D31" s="289"/>
      <c r="E31" s="289">
        <f t="shared" si="2"/>
        <v>78.894375000000011</v>
      </c>
      <c r="F31" s="288">
        <f t="shared" si="0"/>
        <v>0.5160799310635461</v>
      </c>
      <c r="G31" s="288">
        <f t="shared" si="1"/>
        <v>26.836156415304398</v>
      </c>
    </row>
    <row r="32" spans="1:7" ht="15.75" customHeight="1">
      <c r="A32" s="291">
        <v>44482</v>
      </c>
      <c r="B32" s="288">
        <v>81.400000000000006</v>
      </c>
      <c r="C32" s="289"/>
      <c r="D32" s="289"/>
      <c r="E32" s="289">
        <f t="shared" si="2"/>
        <v>78.827234042553201</v>
      </c>
      <c r="F32" s="288">
        <f t="shared" si="0"/>
        <v>0.51199154647864298</v>
      </c>
      <c r="G32" s="288">
        <f t="shared" si="1"/>
        <v>26.623560416889436</v>
      </c>
    </row>
    <row r="33" spans="1:7" ht="15.75" customHeight="1">
      <c r="A33" s="291">
        <v>44483</v>
      </c>
      <c r="B33" s="288">
        <v>82.25</v>
      </c>
      <c r="C33" s="289"/>
      <c r="D33" s="289"/>
      <c r="E33" s="289">
        <f t="shared" si="2"/>
        <v>78.771304347826103</v>
      </c>
      <c r="F33" s="288">
        <f t="shared" si="0"/>
        <v>0.51733789555120857</v>
      </c>
      <c r="G33" s="288">
        <f t="shared" si="1"/>
        <v>26.901570568662844</v>
      </c>
    </row>
    <row r="34" spans="1:7" ht="15.75" customHeight="1">
      <c r="A34" s="291">
        <v>44484</v>
      </c>
      <c r="B34" s="288">
        <v>82.995000000000005</v>
      </c>
      <c r="C34" s="289"/>
      <c r="D34" s="289"/>
      <c r="E34" s="289">
        <f t="shared" si="2"/>
        <v>78.694000000000017</v>
      </c>
      <c r="F34" s="288">
        <f t="shared" si="0"/>
        <v>0.52202381326775149</v>
      </c>
      <c r="G34" s="288">
        <f t="shared" si="1"/>
        <v>27.145238289923078</v>
      </c>
    </row>
    <row r="35" spans="1:7" ht="15.75" customHeight="1">
      <c r="A35" s="291">
        <v>44485</v>
      </c>
      <c r="C35" s="289"/>
      <c r="D35" s="289"/>
      <c r="E35" s="289">
        <f t="shared" si="2"/>
        <v>78.596250000000012</v>
      </c>
      <c r="F35" s="288">
        <f t="shared" si="0"/>
        <v>0</v>
      </c>
      <c r="G35" s="288">
        <f t="shared" si="1"/>
        <v>0</v>
      </c>
    </row>
    <row r="36" spans="1:7" ht="15.75" customHeight="1">
      <c r="A36" s="291">
        <v>44486</v>
      </c>
      <c r="C36" s="289"/>
      <c r="D36" s="289"/>
      <c r="E36" s="289">
        <f t="shared" si="2"/>
        <v>78.596250000000012</v>
      </c>
      <c r="F36" s="288">
        <f t="shared" si="0"/>
        <v>0</v>
      </c>
      <c r="G36" s="288">
        <f t="shared" si="1"/>
        <v>0</v>
      </c>
    </row>
    <row r="37" spans="1:7" ht="15.75" customHeight="1">
      <c r="A37" s="291">
        <v>44487</v>
      </c>
      <c r="B37" s="288">
        <v>83.86</v>
      </c>
      <c r="C37" s="289">
        <f>AVERAGE(B37:B41)</f>
        <v>83.00800000000001</v>
      </c>
      <c r="D37" s="289"/>
      <c r="E37" s="289">
        <f t="shared" si="2"/>
        <v>78.596250000000012</v>
      </c>
      <c r="F37" s="288">
        <f t="shared" si="0"/>
        <v>0.52746450967689185</v>
      </c>
      <c r="G37" s="288">
        <f t="shared" si="1"/>
        <v>27.428154503198375</v>
      </c>
    </row>
    <row r="38" spans="1:7" ht="15.75" customHeight="1">
      <c r="A38" s="291">
        <v>44488</v>
      </c>
      <c r="B38" s="288">
        <v>82.99</v>
      </c>
      <c r="C38" s="289"/>
      <c r="D38" s="289"/>
      <c r="E38" s="289">
        <f t="shared" si="2"/>
        <v>78.473837209302346</v>
      </c>
      <c r="F38" s="288">
        <f t="shared" si="0"/>
        <v>0.52199236415555983</v>
      </c>
      <c r="G38" s="288">
        <f t="shared" si="1"/>
        <v>27.14360293608911</v>
      </c>
    </row>
    <row r="39" spans="1:7" ht="15.75" customHeight="1">
      <c r="A39" s="291">
        <v>44489</v>
      </c>
      <c r="B39" s="288">
        <v>82.54</v>
      </c>
      <c r="C39" s="289"/>
      <c r="D39" s="289"/>
      <c r="E39" s="289">
        <f t="shared" si="2"/>
        <v>78.366309523809534</v>
      </c>
      <c r="F39" s="288">
        <f t="shared" si="0"/>
        <v>0.51916194405831928</v>
      </c>
      <c r="G39" s="288">
        <f t="shared" si="1"/>
        <v>26.996421091032602</v>
      </c>
    </row>
    <row r="40" spans="1:7" ht="15.75" customHeight="1">
      <c r="A40" s="291">
        <v>44490</v>
      </c>
      <c r="B40" s="288">
        <v>83.1</v>
      </c>
      <c r="C40" s="289"/>
      <c r="D40" s="289"/>
      <c r="E40" s="289">
        <f t="shared" si="2"/>
        <v>78.264512195121981</v>
      </c>
      <c r="F40" s="288">
        <f t="shared" si="0"/>
        <v>0.52268424462377427</v>
      </c>
      <c r="G40" s="288">
        <f t="shared" si="1"/>
        <v>27.179580720436263</v>
      </c>
    </row>
    <row r="41" spans="1:7" ht="15.75" customHeight="1">
      <c r="A41" s="291">
        <v>44491</v>
      </c>
      <c r="B41" s="288">
        <v>82.55</v>
      </c>
      <c r="C41" s="289"/>
      <c r="D41" s="289"/>
      <c r="E41" s="289">
        <f t="shared" si="2"/>
        <v>78.143625000000014</v>
      </c>
      <c r="F41" s="288">
        <f t="shared" si="0"/>
        <v>0.51922484228270238</v>
      </c>
      <c r="G41" s="288">
        <f t="shared" si="1"/>
        <v>26.999691798700525</v>
      </c>
    </row>
    <row r="42" spans="1:7" ht="15.75" customHeight="1">
      <c r="A42" s="291">
        <v>44492</v>
      </c>
      <c r="C42" s="289"/>
      <c r="D42" s="289"/>
      <c r="E42" s="289">
        <f t="shared" si="2"/>
        <v>78.03064102564106</v>
      </c>
      <c r="F42" s="288">
        <f t="shared" si="0"/>
        <v>0</v>
      </c>
      <c r="G42" s="288">
        <f t="shared" si="1"/>
        <v>0</v>
      </c>
    </row>
    <row r="43" spans="1:7" ht="15.75" customHeight="1">
      <c r="A43" s="291">
        <v>44493</v>
      </c>
      <c r="C43" s="289"/>
      <c r="D43" s="289"/>
      <c r="E43" s="289">
        <f t="shared" si="2"/>
        <v>78.03064102564106</v>
      </c>
      <c r="F43" s="288">
        <f t="shared" si="0"/>
        <v>0</v>
      </c>
      <c r="G43" s="288">
        <f t="shared" si="1"/>
        <v>0</v>
      </c>
    </row>
    <row r="44" spans="1:7" ht="15.75" customHeight="1">
      <c r="A44" s="291">
        <v>44494</v>
      </c>
      <c r="B44" s="288">
        <v>84.34</v>
      </c>
      <c r="C44" s="289">
        <f>AVERAGE(B44:B48)</f>
        <v>83.222000000000008</v>
      </c>
      <c r="D44" s="289"/>
      <c r="E44" s="289">
        <f t="shared" si="2"/>
        <v>78.03064102564106</v>
      </c>
      <c r="F44" s="288">
        <f t="shared" si="0"/>
        <v>0.53048362444728192</v>
      </c>
      <c r="G44" s="288">
        <f t="shared" si="1"/>
        <v>27.585148471258659</v>
      </c>
    </row>
    <row r="45" spans="1:7" ht="15.75" customHeight="1">
      <c r="A45" s="291">
        <v>44495</v>
      </c>
      <c r="B45" s="288">
        <v>83.91</v>
      </c>
      <c r="C45" s="289"/>
      <c r="D45" s="289"/>
      <c r="E45" s="289">
        <f t="shared" si="2"/>
        <v>77.864605263157912</v>
      </c>
      <c r="F45" s="288">
        <f t="shared" si="0"/>
        <v>0.52777900079880746</v>
      </c>
      <c r="G45" s="288">
        <f t="shared" si="1"/>
        <v>27.444508041537986</v>
      </c>
    </row>
    <row r="46" spans="1:7" ht="15.75" customHeight="1">
      <c r="A46" s="291">
        <v>44496</v>
      </c>
      <c r="B46" s="288">
        <v>83.44</v>
      </c>
      <c r="C46" s="289"/>
      <c r="D46" s="289"/>
      <c r="E46" s="289">
        <f t="shared" si="2"/>
        <v>77.701216216216238</v>
      </c>
      <c r="F46" s="288">
        <f t="shared" si="0"/>
        <v>0.5248227842528006</v>
      </c>
      <c r="G46" s="288">
        <f t="shared" si="1"/>
        <v>27.290784781145632</v>
      </c>
    </row>
    <row r="47" spans="1:7" ht="15.75" customHeight="1">
      <c r="A47" s="291">
        <v>44497</v>
      </c>
      <c r="B47" s="288">
        <v>81.87</v>
      </c>
      <c r="C47" s="289"/>
      <c r="D47" s="289"/>
      <c r="E47" s="289">
        <f t="shared" si="2"/>
        <v>77.54180555555557</v>
      </c>
      <c r="F47" s="288">
        <f t="shared" si="0"/>
        <v>0.51494776302464984</v>
      </c>
      <c r="G47" s="288">
        <f t="shared" si="1"/>
        <v>26.77728367728179</v>
      </c>
    </row>
    <row r="48" spans="1:7" ht="15.75" customHeight="1">
      <c r="A48" s="291">
        <v>44498</v>
      </c>
      <c r="B48" s="288">
        <v>82.55</v>
      </c>
      <c r="C48" s="289"/>
      <c r="D48" s="289"/>
      <c r="E48" s="289">
        <f t="shared" si="2"/>
        <v>77.418142857142868</v>
      </c>
      <c r="F48" s="288">
        <f t="shared" si="0"/>
        <v>0.51922484228270238</v>
      </c>
      <c r="G48" s="288">
        <f t="shared" si="1"/>
        <v>26.999691798700525</v>
      </c>
    </row>
    <row r="49" spans="1:7" ht="15.75" customHeight="1">
      <c r="A49" s="291">
        <v>44499</v>
      </c>
      <c r="C49" s="289"/>
      <c r="D49" s="289"/>
      <c r="E49" s="289">
        <f t="shared" si="2"/>
        <v>77.267205882352954</v>
      </c>
      <c r="F49" s="288">
        <f t="shared" si="0"/>
        <v>0</v>
      </c>
      <c r="G49" s="288">
        <f t="shared" si="1"/>
        <v>0</v>
      </c>
    </row>
    <row r="50" spans="1:7" ht="15.75" customHeight="1">
      <c r="A50" s="291">
        <v>44500</v>
      </c>
      <c r="C50" s="289"/>
      <c r="D50" s="289"/>
      <c r="E50" s="289">
        <f t="shared" si="2"/>
        <v>77.267205882352954</v>
      </c>
      <c r="F50" s="288">
        <f t="shared" si="0"/>
        <v>0</v>
      </c>
      <c r="G50" s="288">
        <f t="shared" si="1"/>
        <v>0</v>
      </c>
    </row>
    <row r="51" spans="1:7" ht="15.75" customHeight="1">
      <c r="A51" s="291">
        <v>44501</v>
      </c>
      <c r="B51" s="288">
        <v>81.96</v>
      </c>
      <c r="C51" s="289">
        <f>AVERAGE(B51:B55)</f>
        <v>81.650000000000006</v>
      </c>
      <c r="D51" s="289">
        <f>AVERAGE(B51:B81)</f>
        <v>79.859318181818196</v>
      </c>
      <c r="E51" s="289">
        <f t="shared" si="2"/>
        <v>77.267205882352954</v>
      </c>
      <c r="F51" s="288">
        <f t="shared" si="0"/>
        <v>0.51551384704409797</v>
      </c>
      <c r="G51" s="288">
        <f t="shared" si="1"/>
        <v>26.806720046293094</v>
      </c>
    </row>
    <row r="52" spans="1:7" ht="15.75" customHeight="1">
      <c r="A52" s="291">
        <v>44502</v>
      </c>
      <c r="B52" s="288">
        <v>83.29</v>
      </c>
      <c r="C52" s="289"/>
      <c r="D52" s="289"/>
      <c r="E52" s="289">
        <f t="shared" si="2"/>
        <v>77.125</v>
      </c>
      <c r="F52" s="288">
        <f t="shared" si="0"/>
        <v>0.52387931088705375</v>
      </c>
      <c r="G52" s="288">
        <f t="shared" si="1"/>
        <v>27.241724166126794</v>
      </c>
    </row>
    <row r="53" spans="1:7" ht="15.75" customHeight="1">
      <c r="A53" s="291">
        <v>44503</v>
      </c>
      <c r="B53" s="288">
        <v>81.900000000000006</v>
      </c>
      <c r="C53" s="289"/>
      <c r="D53" s="289"/>
      <c r="E53" s="289">
        <f t="shared" si="2"/>
        <v>76.932343750000001</v>
      </c>
      <c r="F53" s="288">
        <f t="shared" si="0"/>
        <v>0.51513645769779925</v>
      </c>
      <c r="G53" s="288">
        <f t="shared" si="1"/>
        <v>26.787095800285563</v>
      </c>
    </row>
    <row r="54" spans="1:7" ht="15.75" customHeight="1">
      <c r="A54" s="291">
        <v>44504</v>
      </c>
      <c r="C54" s="289"/>
      <c r="D54" s="289"/>
      <c r="E54" s="289">
        <f t="shared" si="2"/>
        <v>76.772096774193543</v>
      </c>
      <c r="F54" s="288">
        <f t="shared" si="0"/>
        <v>0</v>
      </c>
      <c r="G54" s="288">
        <f t="shared" si="1"/>
        <v>0</v>
      </c>
    </row>
    <row r="55" spans="1:7" ht="15.75" customHeight="1">
      <c r="A55" s="291">
        <v>44505</v>
      </c>
      <c r="B55" s="288">
        <v>79.45</v>
      </c>
      <c r="C55" s="289"/>
      <c r="D55" s="289"/>
      <c r="E55" s="289">
        <f t="shared" si="2"/>
        <v>76.772096774193543</v>
      </c>
      <c r="F55" s="288">
        <f t="shared" si="0"/>
        <v>0.49972639272393343</v>
      </c>
      <c r="G55" s="288">
        <f t="shared" si="1"/>
        <v>25.985772421644537</v>
      </c>
    </row>
    <row r="56" spans="1:7" ht="15.75" customHeight="1">
      <c r="A56" s="291">
        <v>44506</v>
      </c>
      <c r="C56" s="289"/>
      <c r="D56" s="289"/>
      <c r="E56" s="289">
        <f t="shared" si="2"/>
        <v>76.682833333333321</v>
      </c>
      <c r="F56" s="288">
        <f t="shared" si="0"/>
        <v>0</v>
      </c>
      <c r="G56" s="288">
        <f t="shared" si="1"/>
        <v>0</v>
      </c>
    </row>
    <row r="57" spans="1:7" ht="15.75" customHeight="1">
      <c r="A57" s="291">
        <v>44507</v>
      </c>
      <c r="C57" s="289"/>
      <c r="D57" s="289"/>
      <c r="E57" s="289">
        <f t="shared" si="2"/>
        <v>76.682833333333321</v>
      </c>
      <c r="F57" s="288">
        <f t="shared" si="0"/>
        <v>0</v>
      </c>
      <c r="G57" s="288">
        <f t="shared" si="1"/>
        <v>0</v>
      </c>
    </row>
    <row r="58" spans="1:7" ht="15.75" customHeight="1">
      <c r="A58" s="291">
        <v>44508</v>
      </c>
      <c r="B58" s="288">
        <v>81.95</v>
      </c>
      <c r="C58" s="289">
        <f>AVERAGE(B58:B62)</f>
        <v>82.289000000000001</v>
      </c>
      <c r="D58" s="289"/>
      <c r="E58" s="289"/>
      <c r="F58" s="288">
        <f t="shared" si="0"/>
        <v>0.51545094881971487</v>
      </c>
      <c r="G58" s="288">
        <f t="shared" si="1"/>
        <v>26.803449338625175</v>
      </c>
    </row>
    <row r="59" spans="1:7" ht="15.75" customHeight="1">
      <c r="A59" s="291">
        <v>44509</v>
      </c>
      <c r="B59" s="288">
        <v>82.204999999999998</v>
      </c>
      <c r="C59" s="289"/>
      <c r="D59" s="289"/>
      <c r="E59" s="289"/>
      <c r="F59" s="288">
        <f t="shared" si="0"/>
        <v>0.5170548535414845</v>
      </c>
      <c r="G59" s="288">
        <f t="shared" si="1"/>
        <v>26.886852384157194</v>
      </c>
    </row>
    <row r="60" spans="1:7" ht="15.75" customHeight="1">
      <c r="A60" s="291">
        <v>44510</v>
      </c>
      <c r="B60" s="288">
        <v>83.944999999999993</v>
      </c>
      <c r="C60" s="289"/>
      <c r="D60" s="289"/>
      <c r="E60" s="289"/>
      <c r="F60" s="288">
        <f t="shared" si="0"/>
        <v>0.52799914458414832</v>
      </c>
      <c r="G60" s="288">
        <f t="shared" si="1"/>
        <v>27.455955518375713</v>
      </c>
    </row>
    <row r="61" spans="1:7" ht="15.75" customHeight="1">
      <c r="A61" s="291">
        <v>44511</v>
      </c>
      <c r="B61" s="288">
        <v>81.795000000000002</v>
      </c>
      <c r="C61" s="289"/>
      <c r="D61" s="289"/>
      <c r="E61" s="289"/>
      <c r="F61" s="288">
        <f t="shared" si="0"/>
        <v>0.51447602634177636</v>
      </c>
      <c r="G61" s="288">
        <f t="shared" si="1"/>
        <v>26.752753369772371</v>
      </c>
    </row>
    <row r="62" spans="1:7" ht="15.75" customHeight="1">
      <c r="A62" s="291">
        <v>44512</v>
      </c>
      <c r="B62" s="288">
        <v>81.55</v>
      </c>
      <c r="C62" s="289"/>
      <c r="D62" s="289"/>
      <c r="E62" s="289"/>
      <c r="F62" s="288">
        <f t="shared" si="0"/>
        <v>0.51293501984438983</v>
      </c>
      <c r="G62" s="288">
        <f t="shared" si="1"/>
        <v>26.672621031908271</v>
      </c>
    </row>
    <row r="63" spans="1:7" ht="15.75" customHeight="1">
      <c r="A63" s="291">
        <v>44513</v>
      </c>
      <c r="C63" s="289"/>
      <c r="D63" s="289"/>
      <c r="E63" s="289"/>
      <c r="F63" s="288">
        <f t="shared" si="0"/>
        <v>0</v>
      </c>
      <c r="G63" s="288">
        <f t="shared" si="1"/>
        <v>0</v>
      </c>
    </row>
    <row r="64" spans="1:7" ht="15.75" customHeight="1">
      <c r="A64" s="291">
        <v>44514</v>
      </c>
      <c r="C64" s="289"/>
      <c r="D64" s="289"/>
      <c r="E64" s="289"/>
      <c r="F64" s="288">
        <f t="shared" si="0"/>
        <v>0</v>
      </c>
      <c r="G64" s="288">
        <f t="shared" si="1"/>
        <v>0</v>
      </c>
    </row>
    <row r="65" spans="1:7" ht="15.75" customHeight="1">
      <c r="A65" s="291">
        <v>44515</v>
      </c>
      <c r="B65" s="288">
        <v>80.849999999999994</v>
      </c>
      <c r="C65" s="289">
        <f>AVERAGE(B65:B69)</f>
        <v>80.666000000000011</v>
      </c>
      <c r="D65" s="289"/>
      <c r="E65" s="289"/>
      <c r="F65" s="288">
        <f t="shared" si="0"/>
        <v>0.50853214413757097</v>
      </c>
      <c r="G65" s="288">
        <f t="shared" si="1"/>
        <v>26.443671495153691</v>
      </c>
    </row>
    <row r="66" spans="1:7" ht="15.75" customHeight="1">
      <c r="A66" s="291">
        <v>44516</v>
      </c>
      <c r="B66" s="288">
        <v>81.95</v>
      </c>
      <c r="C66" s="289"/>
      <c r="D66" s="289"/>
      <c r="E66" s="289"/>
      <c r="F66" s="288">
        <f t="shared" si="0"/>
        <v>0.51545094881971487</v>
      </c>
      <c r="G66" s="288">
        <f t="shared" si="1"/>
        <v>26.803449338625175</v>
      </c>
    </row>
    <row r="67" spans="1:7" ht="15.75" customHeight="1">
      <c r="A67" s="291">
        <v>44517</v>
      </c>
      <c r="B67" s="288">
        <v>80.989999999999995</v>
      </c>
      <c r="C67" s="289"/>
      <c r="D67" s="289"/>
      <c r="E67" s="289"/>
      <c r="F67" s="288">
        <f t="shared" si="0"/>
        <v>0.50941271927893472</v>
      </c>
      <c r="G67" s="288">
        <f t="shared" si="1"/>
        <v>26.489461402504606</v>
      </c>
    </row>
    <row r="68" spans="1:7" ht="15.75" customHeight="1">
      <c r="A68" s="291">
        <v>44518</v>
      </c>
      <c r="B68" s="288">
        <v>78.64</v>
      </c>
      <c r="C68" s="289"/>
      <c r="D68" s="289"/>
      <c r="E68" s="289"/>
      <c r="F68" s="288">
        <f t="shared" si="0"/>
        <v>0.49463163654890024</v>
      </c>
      <c r="G68" s="288">
        <f t="shared" si="1"/>
        <v>25.720845100542814</v>
      </c>
    </row>
    <row r="69" spans="1:7" ht="15.75" customHeight="1">
      <c r="A69" s="291">
        <v>44519</v>
      </c>
      <c r="B69" s="288">
        <v>80.900000000000006</v>
      </c>
      <c r="C69" s="289"/>
      <c r="D69" s="289"/>
      <c r="E69" s="289"/>
      <c r="F69" s="288">
        <f t="shared" si="0"/>
        <v>0.5088466352594867</v>
      </c>
      <c r="G69" s="288">
        <f t="shared" si="1"/>
        <v>26.460025033493309</v>
      </c>
    </row>
    <row r="70" spans="1:7" ht="15.75" customHeight="1">
      <c r="A70" s="291">
        <v>44520</v>
      </c>
      <c r="C70" s="289"/>
      <c r="D70" s="289"/>
      <c r="E70" s="289"/>
      <c r="F70" s="288">
        <f t="shared" si="0"/>
        <v>0</v>
      </c>
      <c r="G70" s="288">
        <f t="shared" si="1"/>
        <v>0</v>
      </c>
    </row>
    <row r="71" spans="1:7" ht="15.75" customHeight="1">
      <c r="A71" s="291">
        <v>44521</v>
      </c>
      <c r="C71" s="289"/>
      <c r="D71" s="289"/>
      <c r="E71" s="289"/>
      <c r="F71" s="288">
        <f t="shared" si="0"/>
        <v>0</v>
      </c>
      <c r="G71" s="288">
        <f t="shared" si="1"/>
        <v>0</v>
      </c>
    </row>
    <row r="72" spans="1:7" ht="15.75" customHeight="1">
      <c r="A72" s="291">
        <v>44522</v>
      </c>
      <c r="B72" s="288">
        <v>78.39</v>
      </c>
      <c r="C72" s="289">
        <f>AVERAGE(B72:B76)</f>
        <v>79.486000000000018</v>
      </c>
      <c r="D72" s="289"/>
      <c r="E72" s="289"/>
      <c r="F72" s="288">
        <f t="shared" si="0"/>
        <v>0.49305918093932211</v>
      </c>
      <c r="G72" s="288">
        <f t="shared" si="1"/>
        <v>25.639077408844749</v>
      </c>
    </row>
    <row r="73" spans="1:7" ht="15.75" customHeight="1">
      <c r="A73" s="291">
        <v>44523</v>
      </c>
      <c r="B73" s="288">
        <v>78.45</v>
      </c>
      <c r="C73" s="289"/>
      <c r="D73" s="289"/>
      <c r="E73" s="289"/>
      <c r="F73" s="288">
        <f t="shared" si="0"/>
        <v>0.49343657028562088</v>
      </c>
      <c r="G73" s="288">
        <f t="shared" si="1"/>
        <v>25.658701654852287</v>
      </c>
    </row>
    <row r="74" spans="1:7" ht="15.75" customHeight="1">
      <c r="A74" s="291">
        <v>44524</v>
      </c>
      <c r="B74" s="288">
        <v>81.84</v>
      </c>
      <c r="C74" s="289"/>
      <c r="D74" s="289"/>
      <c r="E74" s="289"/>
      <c r="F74" s="288">
        <f t="shared" si="0"/>
        <v>0.51475906835150043</v>
      </c>
      <c r="G74" s="288">
        <f t="shared" si="1"/>
        <v>26.767471554278021</v>
      </c>
    </row>
    <row r="75" spans="1:7" ht="15.75" customHeight="1">
      <c r="A75" s="291">
        <v>44525</v>
      </c>
      <c r="B75" s="288">
        <v>81.400000000000006</v>
      </c>
      <c r="C75" s="289"/>
      <c r="D75" s="289"/>
      <c r="E75" s="289"/>
      <c r="F75" s="288">
        <f t="shared" si="0"/>
        <v>0.51199154647864298</v>
      </c>
      <c r="G75" s="288">
        <f t="shared" si="1"/>
        <v>26.623560416889436</v>
      </c>
    </row>
    <row r="76" spans="1:7" ht="15.75" customHeight="1">
      <c r="A76" s="291">
        <v>44526</v>
      </c>
      <c r="B76" s="288">
        <v>77.349999999999994</v>
      </c>
      <c r="C76" s="289"/>
      <c r="D76" s="289"/>
      <c r="E76" s="289"/>
      <c r="F76" s="288">
        <f t="shared" si="0"/>
        <v>0.48651776560347698</v>
      </c>
      <c r="G76" s="288">
        <f t="shared" si="1"/>
        <v>25.298923811380803</v>
      </c>
    </row>
    <row r="77" spans="1:7" ht="15.75" customHeight="1">
      <c r="A77" s="291">
        <v>44527</v>
      </c>
      <c r="C77" s="289"/>
      <c r="D77" s="289"/>
      <c r="E77" s="289"/>
      <c r="F77" s="288">
        <f t="shared" si="0"/>
        <v>0</v>
      </c>
      <c r="G77" s="288">
        <f t="shared" si="1"/>
        <v>0</v>
      </c>
    </row>
    <row r="78" spans="1:7" ht="15.75" customHeight="1">
      <c r="A78" s="291">
        <v>44528</v>
      </c>
      <c r="C78" s="289"/>
      <c r="D78" s="289"/>
      <c r="E78" s="289"/>
      <c r="F78" s="288">
        <f t="shared" si="0"/>
        <v>0</v>
      </c>
      <c r="G78" s="288">
        <f t="shared" si="1"/>
        <v>0</v>
      </c>
    </row>
    <row r="79" spans="1:7" ht="15.75" customHeight="1">
      <c r="A79" s="291">
        <v>44529</v>
      </c>
      <c r="B79" s="288">
        <v>75.150000000000006</v>
      </c>
      <c r="C79" s="289">
        <f>AVERAGE(B79:B83)</f>
        <v>71.593999999999994</v>
      </c>
      <c r="D79" s="289"/>
      <c r="E79" s="289"/>
      <c r="F79" s="288">
        <f t="shared" si="0"/>
        <v>0.47268015623918941</v>
      </c>
      <c r="G79" s="288">
        <f t="shared" si="1"/>
        <v>24.579368124437849</v>
      </c>
    </row>
    <row r="80" spans="1:7" ht="15.75" customHeight="1">
      <c r="A80" s="291">
        <v>44530</v>
      </c>
      <c r="B80" s="288">
        <v>71.849999999999994</v>
      </c>
      <c r="C80" s="289"/>
      <c r="D80" s="289"/>
      <c r="E80" s="289"/>
      <c r="F80" s="288">
        <f t="shared" si="0"/>
        <v>0.45192374219275788</v>
      </c>
      <c r="G80" s="288">
        <f t="shared" si="1"/>
        <v>23.500034594023411</v>
      </c>
    </row>
    <row r="81" spans="1:7" ht="15.75" customHeight="1">
      <c r="A81" s="291">
        <v>44531</v>
      </c>
      <c r="B81" s="288">
        <v>71.099999999999994</v>
      </c>
      <c r="C81" s="289"/>
      <c r="D81" s="289">
        <f>AVERAGE(B81:B111)</f>
        <v>72.406153846153856</v>
      </c>
      <c r="E81" s="289"/>
      <c r="F81" s="288">
        <f t="shared" si="0"/>
        <v>0.44720637536402347</v>
      </c>
      <c r="G81" s="288">
        <f t="shared" si="1"/>
        <v>23.254731518929219</v>
      </c>
    </row>
    <row r="82" spans="1:7" ht="15.75" customHeight="1">
      <c r="A82" s="291">
        <v>44532</v>
      </c>
      <c r="B82" s="288">
        <v>69.11</v>
      </c>
      <c r="C82" s="289"/>
      <c r="D82" s="289"/>
      <c r="E82" s="289"/>
      <c r="F82" s="288">
        <f t="shared" si="0"/>
        <v>0.43468962871178146</v>
      </c>
      <c r="G82" s="288">
        <f t="shared" si="1"/>
        <v>22.603860693012635</v>
      </c>
    </row>
    <row r="83" spans="1:7" ht="15.75" customHeight="1">
      <c r="A83" s="291">
        <v>44533</v>
      </c>
      <c r="B83" s="288">
        <v>70.760000000000005</v>
      </c>
      <c r="C83" s="289"/>
      <c r="D83" s="289"/>
      <c r="E83" s="289"/>
      <c r="F83" s="288">
        <f t="shared" si="0"/>
        <v>0.44506783573499725</v>
      </c>
      <c r="G83" s="288">
        <f t="shared" si="1"/>
        <v>23.143527458219857</v>
      </c>
    </row>
    <row r="84" spans="1:7" ht="15.75" customHeight="1">
      <c r="A84" s="291">
        <v>44534</v>
      </c>
      <c r="C84" s="289"/>
      <c r="D84" s="289"/>
      <c r="E84" s="289"/>
      <c r="F84" s="288">
        <f t="shared" si="0"/>
        <v>0</v>
      </c>
      <c r="G84" s="288">
        <f t="shared" si="1"/>
        <v>0</v>
      </c>
    </row>
    <row r="85" spans="1:7" ht="15.75" customHeight="1">
      <c r="A85" s="291">
        <v>44535</v>
      </c>
      <c r="C85" s="289"/>
      <c r="D85" s="289"/>
      <c r="E85" s="289"/>
      <c r="F85" s="288">
        <f t="shared" si="0"/>
        <v>0</v>
      </c>
      <c r="G85" s="288">
        <f t="shared" si="1"/>
        <v>0</v>
      </c>
    </row>
    <row r="86" spans="1:7" ht="15.75" customHeight="1">
      <c r="A86" s="291">
        <v>44536</v>
      </c>
      <c r="B86" s="288">
        <v>70.09</v>
      </c>
      <c r="C86" s="289">
        <f>AVERAGE(B86:B90)</f>
        <v>72.843999999999994</v>
      </c>
      <c r="D86" s="289"/>
      <c r="E86" s="289"/>
      <c r="F86" s="288">
        <f t="shared" si="0"/>
        <v>0.44085365470132781</v>
      </c>
      <c r="G86" s="288">
        <f t="shared" si="1"/>
        <v>22.924390044469046</v>
      </c>
    </row>
    <row r="87" spans="1:7" ht="15.75" customHeight="1">
      <c r="A87" s="291">
        <v>44537</v>
      </c>
      <c r="B87" s="288">
        <v>73.19</v>
      </c>
      <c r="C87" s="289"/>
      <c r="D87" s="289"/>
      <c r="E87" s="289"/>
      <c r="F87" s="288">
        <f t="shared" si="0"/>
        <v>0.46035210426009676</v>
      </c>
      <c r="G87" s="288">
        <f t="shared" si="1"/>
        <v>23.93830942152503</v>
      </c>
    </row>
    <row r="88" spans="1:7" ht="15.75" customHeight="1">
      <c r="A88" s="291">
        <v>44538</v>
      </c>
      <c r="B88" s="288">
        <v>73.805000000000007</v>
      </c>
      <c r="C88" s="289"/>
      <c r="D88" s="289"/>
      <c r="E88" s="289"/>
      <c r="F88" s="288">
        <f t="shared" si="0"/>
        <v>0.46422034505965903</v>
      </c>
      <c r="G88" s="288">
        <f t="shared" si="1"/>
        <v>24.139457943102268</v>
      </c>
    </row>
    <row r="89" spans="1:7" ht="15.75" customHeight="1">
      <c r="A89" s="291">
        <v>44539</v>
      </c>
      <c r="B89" s="288">
        <v>74.444999999999993</v>
      </c>
      <c r="C89" s="289"/>
      <c r="D89" s="289"/>
      <c r="E89" s="289"/>
      <c r="F89" s="288">
        <f t="shared" si="0"/>
        <v>0.468245831420179</v>
      </c>
      <c r="G89" s="288">
        <f t="shared" si="1"/>
        <v>24.348783233849307</v>
      </c>
    </row>
    <row r="90" spans="1:7" ht="15.75" customHeight="1">
      <c r="A90" s="291">
        <v>44540</v>
      </c>
      <c r="B90" s="288">
        <v>72.69</v>
      </c>
      <c r="C90" s="289"/>
      <c r="D90" s="289"/>
      <c r="E90" s="289"/>
      <c r="F90" s="288">
        <f t="shared" si="0"/>
        <v>0.45720719304094043</v>
      </c>
      <c r="G90" s="288">
        <f t="shared" si="1"/>
        <v>23.774774038128903</v>
      </c>
    </row>
    <row r="91" spans="1:7" ht="15.75" customHeight="1">
      <c r="A91" s="291">
        <v>44541</v>
      </c>
      <c r="C91" s="289"/>
      <c r="D91" s="289"/>
      <c r="E91" s="289"/>
      <c r="F91" s="288">
        <f t="shared" si="0"/>
        <v>0</v>
      </c>
      <c r="G91" s="288">
        <f t="shared" si="1"/>
        <v>0</v>
      </c>
    </row>
    <row r="92" spans="1:7" ht="15.75" customHeight="1">
      <c r="A92" s="291">
        <v>44542</v>
      </c>
      <c r="C92" s="289"/>
      <c r="D92" s="289"/>
      <c r="E92" s="289"/>
      <c r="F92" s="288">
        <f t="shared" si="0"/>
        <v>0</v>
      </c>
      <c r="G92" s="288">
        <f t="shared" si="1"/>
        <v>0</v>
      </c>
    </row>
    <row r="93" spans="1:7" ht="15.75" customHeight="1">
      <c r="A93" s="291">
        <v>44543</v>
      </c>
      <c r="B93" s="288">
        <v>74.09</v>
      </c>
      <c r="C93" s="289">
        <f>AVERAGE(B93:B97)</f>
        <v>73.217999999999989</v>
      </c>
      <c r="D93" s="289"/>
      <c r="E93" s="289"/>
      <c r="F93" s="288">
        <f t="shared" si="0"/>
        <v>0.46601294445457808</v>
      </c>
      <c r="G93" s="288">
        <f t="shared" si="1"/>
        <v>24.232673111638061</v>
      </c>
    </row>
    <row r="94" spans="1:7" ht="15.75" customHeight="1">
      <c r="A94" s="291">
        <v>44544</v>
      </c>
      <c r="B94" s="288">
        <v>73.34</v>
      </c>
      <c r="C94" s="289"/>
      <c r="D94" s="289"/>
      <c r="E94" s="289"/>
      <c r="F94" s="288">
        <f t="shared" si="0"/>
        <v>0.46129557762584367</v>
      </c>
      <c r="G94" s="288">
        <f t="shared" si="1"/>
        <v>23.987370036543872</v>
      </c>
    </row>
    <row r="95" spans="1:7" ht="15.75" customHeight="1">
      <c r="A95" s="291">
        <v>44545</v>
      </c>
      <c r="B95" s="288">
        <v>71.98</v>
      </c>
      <c r="C95" s="289"/>
      <c r="D95" s="289"/>
      <c r="E95" s="289"/>
      <c r="F95" s="288">
        <f t="shared" si="0"/>
        <v>0.45274141910973859</v>
      </c>
      <c r="G95" s="288">
        <f t="shared" si="1"/>
        <v>23.542553793706407</v>
      </c>
    </row>
    <row r="96" spans="1:7" ht="15.75" customHeight="1">
      <c r="A96" s="291">
        <v>44546</v>
      </c>
      <c r="B96" s="288">
        <v>73.349999999999994</v>
      </c>
      <c r="C96" s="289"/>
      <c r="D96" s="289"/>
      <c r="E96" s="289"/>
      <c r="F96" s="288">
        <f t="shared" si="0"/>
        <v>0.46135847585022671</v>
      </c>
      <c r="G96" s="288">
        <f t="shared" si="1"/>
        <v>23.990640744211788</v>
      </c>
    </row>
    <row r="97" spans="1:7" ht="15.75" customHeight="1">
      <c r="A97" s="291">
        <v>44547</v>
      </c>
      <c r="B97" s="288">
        <v>73.33</v>
      </c>
      <c r="C97" s="289"/>
      <c r="D97" s="289"/>
      <c r="E97" s="289"/>
      <c r="F97" s="288">
        <f t="shared" si="0"/>
        <v>0.46123267940146051</v>
      </c>
      <c r="G97" s="288">
        <f t="shared" si="1"/>
        <v>23.984099328875946</v>
      </c>
    </row>
    <row r="98" spans="1:7" ht="15.75" customHeight="1">
      <c r="A98" s="291">
        <v>44548</v>
      </c>
      <c r="C98" s="289"/>
      <c r="D98" s="289"/>
      <c r="E98" s="289"/>
      <c r="F98" s="288">
        <f t="shared" si="0"/>
        <v>0</v>
      </c>
      <c r="G98" s="288">
        <f t="shared" si="1"/>
        <v>0</v>
      </c>
    </row>
    <row r="99" spans="1:7" ht="15.75" customHeight="1">
      <c r="A99" s="291">
        <v>44549</v>
      </c>
      <c r="C99" s="289"/>
      <c r="D99" s="289"/>
      <c r="E99" s="289"/>
      <c r="F99" s="288">
        <f t="shared" si="0"/>
        <v>0</v>
      </c>
      <c r="G99" s="288">
        <f t="shared" si="1"/>
        <v>0</v>
      </c>
    </row>
    <row r="100" spans="1:7" ht="15.75" customHeight="1">
      <c r="A100" s="291">
        <v>44550</v>
      </c>
      <c r="C100" s="289" t="e">
        <f>AVERAGE(B100:B104)</f>
        <v>#DIV/0!</v>
      </c>
      <c r="D100" s="289"/>
      <c r="E100" s="289"/>
      <c r="F100" s="288">
        <f t="shared" si="0"/>
        <v>0</v>
      </c>
      <c r="G100" s="288">
        <f t="shared" si="1"/>
        <v>0</v>
      </c>
    </row>
    <row r="101" spans="1:7" ht="15.75" customHeight="1">
      <c r="A101" s="291">
        <v>44551</v>
      </c>
      <c r="C101" s="289"/>
      <c r="D101" s="289"/>
      <c r="E101" s="289"/>
      <c r="F101" s="288">
        <f t="shared" si="0"/>
        <v>0</v>
      </c>
      <c r="G101" s="288">
        <f t="shared" si="1"/>
        <v>0</v>
      </c>
    </row>
    <row r="102" spans="1:7" ht="15.75" customHeight="1">
      <c r="A102" s="291">
        <v>44552</v>
      </c>
      <c r="C102" s="289"/>
      <c r="D102" s="289"/>
      <c r="E102" s="289"/>
      <c r="F102" s="288">
        <f t="shared" si="0"/>
        <v>0</v>
      </c>
      <c r="G102" s="288">
        <f t="shared" si="1"/>
        <v>0</v>
      </c>
    </row>
    <row r="103" spans="1:7" ht="15.75" customHeight="1">
      <c r="A103" s="291">
        <v>44553</v>
      </c>
      <c r="C103" s="289"/>
      <c r="D103" s="289"/>
      <c r="E103" s="289"/>
      <c r="F103" s="288">
        <f t="shared" si="0"/>
        <v>0</v>
      </c>
      <c r="G103" s="288">
        <f t="shared" si="1"/>
        <v>0</v>
      </c>
    </row>
    <row r="104" spans="1:7" ht="15.75" customHeight="1">
      <c r="A104" s="291">
        <v>44554</v>
      </c>
      <c r="C104" s="289"/>
      <c r="D104" s="289"/>
      <c r="E104" s="289"/>
      <c r="F104" s="288">
        <f t="shared" si="0"/>
        <v>0</v>
      </c>
      <c r="G104" s="288">
        <f t="shared" si="1"/>
        <v>0</v>
      </c>
    </row>
    <row r="105" spans="1:7" ht="15.75" customHeight="1">
      <c r="A105" s="291">
        <v>44555</v>
      </c>
      <c r="C105" s="289"/>
      <c r="D105" s="289"/>
      <c r="E105" s="289"/>
      <c r="F105" s="288">
        <f t="shared" si="0"/>
        <v>0</v>
      </c>
      <c r="G105" s="288">
        <f t="shared" si="1"/>
        <v>0</v>
      </c>
    </row>
    <row r="106" spans="1:7" ht="15.75" customHeight="1">
      <c r="A106" s="291">
        <v>44556</v>
      </c>
      <c r="C106" s="289"/>
      <c r="D106" s="289"/>
      <c r="E106" s="289"/>
      <c r="F106" s="288">
        <f t="shared" si="0"/>
        <v>0</v>
      </c>
      <c r="G106" s="288">
        <f t="shared" si="1"/>
        <v>0</v>
      </c>
    </row>
    <row r="107" spans="1:7" ht="15.75" customHeight="1">
      <c r="A107" s="291">
        <v>44557</v>
      </c>
      <c r="C107" s="289" t="e">
        <f>AVERAGE(B107:B111)</f>
        <v>#DIV/0!</v>
      </c>
      <c r="D107" s="289"/>
      <c r="E107" s="289"/>
      <c r="F107" s="288">
        <f t="shared" si="0"/>
        <v>0</v>
      </c>
      <c r="G107" s="288">
        <f t="shared" si="1"/>
        <v>0</v>
      </c>
    </row>
    <row r="108" spans="1:7" ht="15.75" customHeight="1">
      <c r="A108" s="291">
        <v>44558</v>
      </c>
      <c r="C108" s="289"/>
      <c r="D108" s="289"/>
      <c r="E108" s="289"/>
      <c r="F108" s="288">
        <f t="shared" si="0"/>
        <v>0</v>
      </c>
      <c r="G108" s="288">
        <f t="shared" si="1"/>
        <v>0</v>
      </c>
    </row>
    <row r="109" spans="1:7" ht="15.75" customHeight="1">
      <c r="A109" s="291">
        <v>44559</v>
      </c>
      <c r="C109" s="289"/>
      <c r="D109" s="289"/>
      <c r="E109" s="289"/>
      <c r="F109" s="288">
        <f t="shared" si="0"/>
        <v>0</v>
      </c>
      <c r="G109" s="288">
        <f t="shared" si="1"/>
        <v>0</v>
      </c>
    </row>
    <row r="110" spans="1:7" ht="15.75" customHeight="1">
      <c r="A110" s="291">
        <v>44560</v>
      </c>
      <c r="C110" s="289"/>
      <c r="D110" s="289"/>
      <c r="E110" s="289"/>
      <c r="F110" s="288">
        <f t="shared" si="0"/>
        <v>0</v>
      </c>
      <c r="G110" s="288">
        <f t="shared" si="1"/>
        <v>0</v>
      </c>
    </row>
    <row r="111" spans="1:7" ht="15.75" customHeight="1">
      <c r="A111" s="291">
        <v>44561</v>
      </c>
      <c r="C111" s="289"/>
      <c r="D111" s="289"/>
      <c r="E111" s="289"/>
      <c r="F111" s="288">
        <f t="shared" si="0"/>
        <v>0</v>
      </c>
      <c r="G111" s="288">
        <f t="shared" si="1"/>
        <v>0</v>
      </c>
    </row>
    <row r="112" spans="1:7" ht="15.75" customHeight="1">
      <c r="A112" s="291">
        <v>44562</v>
      </c>
      <c r="C112" s="289"/>
      <c r="D112" s="289" t="e">
        <f>AVERAGE(B112:B142)</f>
        <v>#DIV/0!</v>
      </c>
      <c r="E112" s="289"/>
      <c r="F112" s="288">
        <f t="shared" si="0"/>
        <v>0</v>
      </c>
      <c r="G112" s="288">
        <f t="shared" si="1"/>
        <v>0</v>
      </c>
    </row>
    <row r="113" spans="1:7" ht="15.75" customHeight="1">
      <c r="A113" s="291">
        <v>44563</v>
      </c>
      <c r="C113" s="289"/>
      <c r="D113" s="289"/>
      <c r="E113" s="289"/>
      <c r="F113" s="288">
        <f t="shared" si="0"/>
        <v>0</v>
      </c>
      <c r="G113" s="288">
        <f t="shared" si="1"/>
        <v>0</v>
      </c>
    </row>
    <row r="114" spans="1:7" ht="15.75" customHeight="1">
      <c r="A114" s="291">
        <v>44564</v>
      </c>
      <c r="C114" s="289" t="e">
        <f>AVERAGE(B114:B118)</f>
        <v>#DIV/0!</v>
      </c>
      <c r="D114" s="289"/>
      <c r="E114" s="289"/>
      <c r="F114" s="288">
        <f t="shared" si="0"/>
        <v>0</v>
      </c>
      <c r="G114" s="288">
        <f t="shared" si="1"/>
        <v>0</v>
      </c>
    </row>
    <row r="115" spans="1:7" ht="15.75" customHeight="1">
      <c r="A115" s="291">
        <v>44565</v>
      </c>
      <c r="C115" s="289"/>
      <c r="D115" s="289"/>
      <c r="E115" s="289"/>
      <c r="F115" s="288">
        <f t="shared" si="0"/>
        <v>0</v>
      </c>
      <c r="G115" s="288">
        <f t="shared" si="1"/>
        <v>0</v>
      </c>
    </row>
    <row r="116" spans="1:7" ht="15.75" customHeight="1">
      <c r="A116" s="291">
        <v>44566</v>
      </c>
      <c r="C116" s="289"/>
      <c r="D116" s="289"/>
      <c r="E116" s="289"/>
      <c r="F116" s="288">
        <f t="shared" si="0"/>
        <v>0</v>
      </c>
      <c r="G116" s="288">
        <f t="shared" si="1"/>
        <v>0</v>
      </c>
    </row>
    <row r="117" spans="1:7" ht="15.75" customHeight="1">
      <c r="A117" s="291">
        <v>44567</v>
      </c>
      <c r="C117" s="289"/>
      <c r="D117" s="289"/>
      <c r="E117" s="289"/>
      <c r="F117" s="288">
        <f t="shared" si="0"/>
        <v>0</v>
      </c>
      <c r="G117" s="288">
        <f t="shared" si="1"/>
        <v>0</v>
      </c>
    </row>
    <row r="118" spans="1:7" ht="15.75" customHeight="1">
      <c r="A118" s="291">
        <v>44568</v>
      </c>
      <c r="C118" s="289"/>
      <c r="D118" s="289"/>
      <c r="E118" s="289"/>
      <c r="F118" s="288">
        <f t="shared" si="0"/>
        <v>0</v>
      </c>
      <c r="G118" s="288">
        <f t="shared" si="1"/>
        <v>0</v>
      </c>
    </row>
    <row r="119" spans="1:7" ht="15.75" customHeight="1">
      <c r="A119" s="291">
        <v>44569</v>
      </c>
      <c r="C119" s="289"/>
      <c r="D119" s="289"/>
      <c r="E119" s="289"/>
      <c r="F119" s="288">
        <f t="shared" si="0"/>
        <v>0</v>
      </c>
      <c r="G119" s="288">
        <f t="shared" si="1"/>
        <v>0</v>
      </c>
    </row>
    <row r="120" spans="1:7" ht="15.75" customHeight="1">
      <c r="A120" s="291">
        <v>44570</v>
      </c>
      <c r="C120" s="289"/>
      <c r="D120" s="289"/>
      <c r="E120" s="289"/>
      <c r="F120" s="288">
        <f t="shared" si="0"/>
        <v>0</v>
      </c>
      <c r="G120" s="288">
        <f t="shared" si="1"/>
        <v>0</v>
      </c>
    </row>
    <row r="121" spans="1:7" ht="15.75" customHeight="1">
      <c r="A121" s="291">
        <v>44571</v>
      </c>
      <c r="C121" s="289" t="e">
        <f>AVERAGE(B121:B125)</f>
        <v>#DIV/0!</v>
      </c>
      <c r="D121" s="289"/>
      <c r="E121" s="289"/>
      <c r="F121" s="288">
        <f t="shared" si="0"/>
        <v>0</v>
      </c>
      <c r="G121" s="288">
        <f t="shared" si="1"/>
        <v>0</v>
      </c>
    </row>
    <row r="122" spans="1:7" ht="15.75" customHeight="1">
      <c r="A122" s="291">
        <v>44572</v>
      </c>
      <c r="C122" s="289"/>
      <c r="D122" s="289"/>
      <c r="E122" s="289"/>
      <c r="F122" s="288">
        <f t="shared" si="0"/>
        <v>0</v>
      </c>
      <c r="G122" s="288">
        <f t="shared" si="1"/>
        <v>0</v>
      </c>
    </row>
    <row r="123" spans="1:7" ht="15.75" customHeight="1">
      <c r="A123" s="291">
        <v>44573</v>
      </c>
      <c r="C123" s="289"/>
      <c r="D123" s="289"/>
      <c r="E123" s="289"/>
      <c r="F123" s="288">
        <f t="shared" si="0"/>
        <v>0</v>
      </c>
      <c r="G123" s="288">
        <f t="shared" si="1"/>
        <v>0</v>
      </c>
    </row>
    <row r="124" spans="1:7" ht="15.75" customHeight="1">
      <c r="A124" s="291">
        <v>44574</v>
      </c>
      <c r="C124" s="289"/>
      <c r="D124" s="289"/>
      <c r="E124" s="289"/>
      <c r="F124" s="288">
        <f t="shared" si="0"/>
        <v>0</v>
      </c>
      <c r="G124" s="288">
        <f t="shared" si="1"/>
        <v>0</v>
      </c>
    </row>
    <row r="125" spans="1:7" ht="15.75" customHeight="1">
      <c r="A125" s="291">
        <v>44575</v>
      </c>
      <c r="C125" s="289"/>
      <c r="D125" s="289"/>
      <c r="E125" s="289"/>
      <c r="F125" s="288">
        <f t="shared" si="0"/>
        <v>0</v>
      </c>
      <c r="G125" s="288">
        <f t="shared" si="1"/>
        <v>0</v>
      </c>
    </row>
    <row r="126" spans="1:7" ht="15.75" customHeight="1">
      <c r="A126" s="291">
        <v>44576</v>
      </c>
      <c r="C126" s="289"/>
      <c r="D126" s="289"/>
      <c r="E126" s="289"/>
      <c r="F126" s="288">
        <f t="shared" si="0"/>
        <v>0</v>
      </c>
      <c r="G126" s="288">
        <f t="shared" si="1"/>
        <v>0</v>
      </c>
    </row>
    <row r="127" spans="1:7" ht="15.75" customHeight="1">
      <c r="A127" s="291">
        <v>44577</v>
      </c>
      <c r="C127" s="289"/>
      <c r="D127" s="289"/>
      <c r="E127" s="289"/>
      <c r="F127" s="288">
        <f t="shared" si="0"/>
        <v>0</v>
      </c>
      <c r="G127" s="288">
        <f t="shared" si="1"/>
        <v>0</v>
      </c>
    </row>
    <row r="128" spans="1:7" ht="15.75" customHeight="1">
      <c r="A128" s="291">
        <v>44578</v>
      </c>
      <c r="C128" s="289" t="e">
        <f>AVERAGE(B128:B132)</f>
        <v>#DIV/0!</v>
      </c>
      <c r="D128" s="289"/>
      <c r="E128" s="289"/>
      <c r="F128" s="288">
        <f t="shared" si="0"/>
        <v>0</v>
      </c>
      <c r="G128" s="288">
        <f t="shared" si="1"/>
        <v>0</v>
      </c>
    </row>
    <row r="129" spans="1:7" ht="15.75" customHeight="1">
      <c r="A129" s="291">
        <v>44579</v>
      </c>
      <c r="C129" s="289"/>
      <c r="D129" s="289"/>
      <c r="E129" s="289"/>
      <c r="F129" s="288">
        <f t="shared" si="0"/>
        <v>0</v>
      </c>
      <c r="G129" s="288">
        <f t="shared" si="1"/>
        <v>0</v>
      </c>
    </row>
    <row r="130" spans="1:7" ht="15.75" customHeight="1">
      <c r="A130" s="291">
        <v>44580</v>
      </c>
      <c r="C130" s="289"/>
      <c r="D130" s="289"/>
      <c r="E130" s="289"/>
      <c r="F130" s="288">
        <f t="shared" si="0"/>
        <v>0</v>
      </c>
      <c r="G130" s="288">
        <f t="shared" si="1"/>
        <v>0</v>
      </c>
    </row>
    <row r="131" spans="1:7" ht="15.75" customHeight="1">
      <c r="A131" s="291">
        <v>44581</v>
      </c>
      <c r="C131" s="289"/>
      <c r="D131" s="289"/>
      <c r="E131" s="289"/>
      <c r="F131" s="288">
        <f t="shared" si="0"/>
        <v>0</v>
      </c>
      <c r="G131" s="288">
        <f t="shared" si="1"/>
        <v>0</v>
      </c>
    </row>
    <row r="132" spans="1:7" ht="15.75" customHeight="1">
      <c r="A132" s="291">
        <v>44582</v>
      </c>
      <c r="C132" s="289"/>
      <c r="D132" s="289"/>
      <c r="E132" s="289"/>
      <c r="F132" s="288">
        <f t="shared" si="0"/>
        <v>0</v>
      </c>
      <c r="G132" s="288">
        <f t="shared" si="1"/>
        <v>0</v>
      </c>
    </row>
    <row r="133" spans="1:7" ht="15.75" customHeight="1">
      <c r="A133" s="291">
        <v>44583</v>
      </c>
      <c r="C133" s="289"/>
      <c r="D133" s="289"/>
      <c r="E133" s="289"/>
      <c r="F133" s="288">
        <f t="shared" si="0"/>
        <v>0</v>
      </c>
      <c r="G133" s="288">
        <f t="shared" si="1"/>
        <v>0</v>
      </c>
    </row>
    <row r="134" spans="1:7" ht="15.75" customHeight="1">
      <c r="A134" s="291">
        <v>44584</v>
      </c>
      <c r="C134" s="289"/>
      <c r="D134" s="289"/>
      <c r="E134" s="289"/>
      <c r="F134" s="288">
        <f t="shared" si="0"/>
        <v>0</v>
      </c>
      <c r="G134" s="288">
        <f t="shared" si="1"/>
        <v>0</v>
      </c>
    </row>
    <row r="135" spans="1:7" ht="15.75" customHeight="1">
      <c r="A135" s="291">
        <v>44585</v>
      </c>
      <c r="C135" s="289" t="e">
        <f>AVERAGE(B135:B139)</f>
        <v>#DIV/0!</v>
      </c>
      <c r="D135" s="289"/>
      <c r="E135" s="289"/>
      <c r="F135" s="288">
        <f t="shared" si="0"/>
        <v>0</v>
      </c>
      <c r="G135" s="288">
        <f t="shared" si="1"/>
        <v>0</v>
      </c>
    </row>
    <row r="136" spans="1:7" ht="15.75" customHeight="1">
      <c r="A136" s="291">
        <v>44586</v>
      </c>
      <c r="C136" s="289"/>
      <c r="D136" s="289"/>
      <c r="E136" s="289"/>
      <c r="F136" s="288">
        <f t="shared" si="0"/>
        <v>0</v>
      </c>
      <c r="G136" s="288">
        <f t="shared" si="1"/>
        <v>0</v>
      </c>
    </row>
    <row r="137" spans="1:7" ht="15.75" customHeight="1">
      <c r="A137" s="291">
        <v>44587</v>
      </c>
      <c r="C137" s="289"/>
      <c r="D137" s="289"/>
      <c r="E137" s="289"/>
      <c r="F137" s="288">
        <f t="shared" si="0"/>
        <v>0</v>
      </c>
      <c r="G137" s="288">
        <f t="shared" si="1"/>
        <v>0</v>
      </c>
    </row>
    <row r="138" spans="1:7" ht="15.75" customHeight="1">
      <c r="A138" s="291">
        <v>44588</v>
      </c>
      <c r="C138" s="289"/>
      <c r="D138" s="289"/>
      <c r="E138" s="289"/>
      <c r="F138" s="288">
        <f t="shared" si="0"/>
        <v>0</v>
      </c>
      <c r="G138" s="288">
        <f t="shared" si="1"/>
        <v>0</v>
      </c>
    </row>
    <row r="139" spans="1:7" ht="15.75" customHeight="1">
      <c r="A139" s="291">
        <v>44589</v>
      </c>
      <c r="C139" s="289"/>
      <c r="D139" s="289"/>
      <c r="E139" s="289"/>
      <c r="F139" s="288">
        <f t="shared" si="0"/>
        <v>0</v>
      </c>
      <c r="G139" s="288">
        <f t="shared" si="1"/>
        <v>0</v>
      </c>
    </row>
    <row r="140" spans="1:7" ht="15.75" customHeight="1">
      <c r="A140" s="291">
        <v>44590</v>
      </c>
      <c r="C140" s="289"/>
      <c r="D140" s="289"/>
      <c r="E140" s="289"/>
      <c r="F140" s="288">
        <f t="shared" si="0"/>
        <v>0</v>
      </c>
      <c r="G140" s="288">
        <f t="shared" si="1"/>
        <v>0</v>
      </c>
    </row>
    <row r="141" spans="1:7" ht="15.75" customHeight="1">
      <c r="A141" s="291">
        <v>44591</v>
      </c>
      <c r="C141" s="289"/>
      <c r="D141" s="289"/>
      <c r="E141" s="289"/>
      <c r="F141" s="288">
        <f t="shared" si="0"/>
        <v>0</v>
      </c>
      <c r="G141" s="288">
        <f t="shared" si="1"/>
        <v>0</v>
      </c>
    </row>
    <row r="142" spans="1:7" ht="15.75" customHeight="1">
      <c r="A142" s="291">
        <v>44592</v>
      </c>
      <c r="C142" s="289" t="e">
        <f>AVERAGE(B142:B146)</f>
        <v>#DIV/0!</v>
      </c>
      <c r="D142" s="289"/>
      <c r="E142" s="289"/>
      <c r="F142" s="288">
        <f t="shared" si="0"/>
        <v>0</v>
      </c>
      <c r="G142" s="288">
        <f t="shared" si="1"/>
        <v>0</v>
      </c>
    </row>
    <row r="143" spans="1:7" ht="15.75" customHeight="1">
      <c r="A143" s="291">
        <v>44593</v>
      </c>
      <c r="C143" s="289"/>
      <c r="D143" s="289">
        <f>AVERAGE(B143:B173)</f>
        <v>155.03375</v>
      </c>
      <c r="E143" s="289"/>
      <c r="F143" s="288">
        <f t="shared" si="0"/>
        <v>0</v>
      </c>
      <c r="G143" s="288">
        <f t="shared" si="1"/>
        <v>0</v>
      </c>
    </row>
    <row r="144" spans="1:7" ht="15.75" customHeight="1">
      <c r="A144" s="291">
        <v>44594</v>
      </c>
      <c r="C144" s="289"/>
      <c r="D144" s="289"/>
      <c r="E144" s="289"/>
      <c r="F144" s="288">
        <f t="shared" si="0"/>
        <v>0</v>
      </c>
      <c r="G144" s="288">
        <f t="shared" si="1"/>
        <v>0</v>
      </c>
    </row>
    <row r="145" spans="1:7" ht="15.75" customHeight="1">
      <c r="A145" s="291">
        <v>44595</v>
      </c>
      <c r="C145" s="289"/>
      <c r="D145" s="289"/>
      <c r="E145" s="289"/>
      <c r="F145" s="288">
        <f t="shared" si="0"/>
        <v>0</v>
      </c>
      <c r="G145" s="288">
        <f t="shared" si="1"/>
        <v>0</v>
      </c>
    </row>
    <row r="146" spans="1:7" ht="15.75" customHeight="1">
      <c r="A146" s="291">
        <v>44596</v>
      </c>
      <c r="C146" s="289"/>
      <c r="D146" s="289"/>
      <c r="E146" s="289"/>
      <c r="F146" s="288">
        <f t="shared" si="0"/>
        <v>0</v>
      </c>
      <c r="G146" s="288">
        <f t="shared" si="1"/>
        <v>0</v>
      </c>
    </row>
    <row r="147" spans="1:7" ht="15.75" customHeight="1">
      <c r="A147" s="291">
        <v>44597</v>
      </c>
      <c r="C147" s="289"/>
      <c r="D147" s="289"/>
      <c r="E147" s="289"/>
      <c r="F147" s="288">
        <f t="shared" si="0"/>
        <v>0</v>
      </c>
      <c r="G147" s="288">
        <f t="shared" si="1"/>
        <v>0</v>
      </c>
    </row>
    <row r="148" spans="1:7" ht="15.75" customHeight="1">
      <c r="A148" s="291">
        <v>44598</v>
      </c>
      <c r="C148" s="289"/>
      <c r="D148" s="289"/>
      <c r="E148" s="289"/>
      <c r="F148" s="288">
        <f t="shared" si="0"/>
        <v>0</v>
      </c>
      <c r="G148" s="288">
        <f t="shared" si="1"/>
        <v>0</v>
      </c>
    </row>
    <row r="149" spans="1:7" ht="15.75" customHeight="1">
      <c r="C149" s="289">
        <f>AVERAGE(B149:B153)</f>
        <v>154.89499999999998</v>
      </c>
      <c r="D149" s="289"/>
      <c r="E149" s="289"/>
      <c r="F149" s="288">
        <f t="shared" si="0"/>
        <v>0</v>
      </c>
      <c r="G149" s="288">
        <f t="shared" si="1"/>
        <v>0</v>
      </c>
    </row>
    <row r="150" spans="1:7" ht="15.75" customHeight="1">
      <c r="A150" s="291">
        <v>44670</v>
      </c>
      <c r="B150" s="288">
        <v>157.41</v>
      </c>
      <c r="C150" s="289"/>
      <c r="D150" s="289"/>
      <c r="E150" s="289">
        <f>AVERAGE(B150:B258)</f>
        <v>156.81786666666662</v>
      </c>
      <c r="F150" s="288">
        <f t="shared" si="0"/>
        <v>0.99008095001478114</v>
      </c>
      <c r="G150" s="288">
        <f t="shared" si="1"/>
        <v>51.48420940076862</v>
      </c>
    </row>
    <row r="151" spans="1:7" ht="15.75" customHeight="1">
      <c r="A151" s="291">
        <v>44671</v>
      </c>
      <c r="B151" s="288">
        <v>155.49</v>
      </c>
      <c r="C151" s="289"/>
      <c r="D151" s="289"/>
      <c r="E151" s="289">
        <f t="shared" ref="E151:E214" si="3">AVERAGE(B151:B259)</f>
        <v>156.80986486486481</v>
      </c>
      <c r="F151" s="288">
        <f t="shared" si="0"/>
        <v>0.97800449093322106</v>
      </c>
      <c r="G151" s="288">
        <f t="shared" si="1"/>
        <v>50.856233528527497</v>
      </c>
    </row>
    <row r="152" spans="1:7" ht="15.75" customHeight="1">
      <c r="A152" s="291">
        <v>44672</v>
      </c>
      <c r="B152" s="288">
        <v>155.79</v>
      </c>
      <c r="C152" s="289"/>
      <c r="D152" s="289"/>
      <c r="E152" s="289">
        <f t="shared" si="3"/>
        <v>156.82794520547944</v>
      </c>
      <c r="F152" s="288">
        <f t="shared" si="0"/>
        <v>0.97989143766471476</v>
      </c>
      <c r="G152" s="288">
        <f t="shared" si="1"/>
        <v>50.954354758565167</v>
      </c>
    </row>
    <row r="153" spans="1:7" ht="15.75" customHeight="1">
      <c r="A153" s="291">
        <v>44673</v>
      </c>
      <c r="B153" s="288">
        <v>150.88999999999999</v>
      </c>
      <c r="C153" s="289"/>
      <c r="D153" s="289"/>
      <c r="E153" s="289">
        <f t="shared" si="3"/>
        <v>156.84236111111107</v>
      </c>
      <c r="F153" s="288">
        <f t="shared" si="0"/>
        <v>0.94907130771698311</v>
      </c>
      <c r="G153" s="288">
        <f t="shared" si="1"/>
        <v>49.351708001283122</v>
      </c>
    </row>
    <row r="154" spans="1:7" ht="15.75" customHeight="1">
      <c r="A154" s="291">
        <v>44674</v>
      </c>
      <c r="C154" s="289"/>
      <c r="D154" s="289"/>
      <c r="E154" s="289">
        <f t="shared" si="3"/>
        <v>156.92619718309857</v>
      </c>
      <c r="F154" s="288">
        <f t="shared" si="0"/>
        <v>0</v>
      </c>
      <c r="G154" s="288">
        <f t="shared" si="1"/>
        <v>0</v>
      </c>
    </row>
    <row r="155" spans="1:7" ht="15.75" customHeight="1">
      <c r="A155" s="291">
        <v>44675</v>
      </c>
      <c r="C155" s="289"/>
      <c r="D155" s="289"/>
      <c r="E155" s="289">
        <f t="shared" si="3"/>
        <v>156.92619718309857</v>
      </c>
      <c r="F155" s="288">
        <f t="shared" si="0"/>
        <v>0</v>
      </c>
      <c r="G155" s="288">
        <f t="shared" si="1"/>
        <v>0</v>
      </c>
    </row>
    <row r="156" spans="1:7" ht="15.75" customHeight="1">
      <c r="A156" s="291">
        <v>44676</v>
      </c>
      <c r="B156" s="288">
        <v>145.54</v>
      </c>
      <c r="C156" s="289">
        <f>AVERAGE(B156:B160)</f>
        <v>152.232</v>
      </c>
      <c r="D156" s="289"/>
      <c r="E156" s="289">
        <f t="shared" si="3"/>
        <v>156.92619718309857</v>
      </c>
      <c r="F156" s="288">
        <f t="shared" si="0"/>
        <v>0.91542075767201092</v>
      </c>
      <c r="G156" s="288">
        <f t="shared" si="1"/>
        <v>47.601879398944568</v>
      </c>
    </row>
    <row r="157" spans="1:7" ht="15.75" customHeight="1">
      <c r="A157" s="291">
        <v>44677</v>
      </c>
      <c r="B157" s="288">
        <v>147.13999999999999</v>
      </c>
      <c r="C157" s="289"/>
      <c r="D157" s="289"/>
      <c r="E157" s="289">
        <f t="shared" si="3"/>
        <v>157.08885714285714</v>
      </c>
      <c r="F157" s="288">
        <f t="shared" si="0"/>
        <v>0.92548447357331098</v>
      </c>
      <c r="G157" s="288">
        <f t="shared" si="1"/>
        <v>48.125192625812169</v>
      </c>
    </row>
    <row r="158" spans="1:7" ht="15.75" customHeight="1">
      <c r="A158" s="291">
        <v>44678</v>
      </c>
      <c r="B158" s="288">
        <v>154.88999999999999</v>
      </c>
      <c r="C158" s="289"/>
      <c r="D158" s="289"/>
      <c r="E158" s="289">
        <f t="shared" si="3"/>
        <v>157.23304347826084</v>
      </c>
      <c r="F158" s="288">
        <f t="shared" si="0"/>
        <v>0.97423059747023333</v>
      </c>
      <c r="G158" s="288">
        <f t="shared" si="1"/>
        <v>50.659991068452136</v>
      </c>
    </row>
    <row r="159" spans="1:7" ht="15.75" customHeight="1">
      <c r="A159" s="291">
        <v>44679</v>
      </c>
      <c r="B159" s="288">
        <v>154.72999999999999</v>
      </c>
      <c r="C159" s="289"/>
      <c r="D159" s="289"/>
      <c r="E159" s="289">
        <f t="shared" si="3"/>
        <v>157.26749999999996</v>
      </c>
      <c r="F159" s="288">
        <f t="shared" si="0"/>
        <v>0.97322422588010338</v>
      </c>
      <c r="G159" s="288">
        <f t="shared" si="1"/>
        <v>50.607659745765375</v>
      </c>
    </row>
    <row r="160" spans="1:7" ht="15.75" customHeight="1">
      <c r="A160" s="291">
        <v>44680</v>
      </c>
      <c r="B160" s="288">
        <v>158.86000000000001</v>
      </c>
      <c r="C160" s="289"/>
      <c r="D160" s="289"/>
      <c r="E160" s="289">
        <f t="shared" si="3"/>
        <v>157.30537313432828</v>
      </c>
      <c r="F160" s="288">
        <f t="shared" si="0"/>
        <v>0.99920119255033446</v>
      </c>
      <c r="G160" s="288">
        <f t="shared" si="1"/>
        <v>51.958462012617389</v>
      </c>
    </row>
    <row r="161" spans="1:7" ht="15.75" customHeight="1">
      <c r="A161" s="291">
        <v>44681</v>
      </c>
      <c r="C161" s="289"/>
      <c r="D161" s="289"/>
      <c r="E161" s="289">
        <f t="shared" si="3"/>
        <v>157.2818181818181</v>
      </c>
      <c r="F161" s="288">
        <f t="shared" si="0"/>
        <v>0</v>
      </c>
      <c r="G161" s="288">
        <f t="shared" si="1"/>
        <v>0</v>
      </c>
    </row>
    <row r="162" spans="1:7" ht="15.75" customHeight="1">
      <c r="A162" s="291">
        <v>44682</v>
      </c>
      <c r="C162" s="289"/>
      <c r="D162" s="289">
        <f>AVERAGE(B162:B192)</f>
        <v>153.44421052631574</v>
      </c>
      <c r="E162" s="289">
        <f t="shared" si="3"/>
        <v>157.2818181818181</v>
      </c>
      <c r="F162" s="288">
        <f t="shared" si="0"/>
        <v>0</v>
      </c>
      <c r="G162" s="288">
        <f t="shared" si="1"/>
        <v>0</v>
      </c>
    </row>
    <row r="163" spans="1:7" ht="15.75" customHeight="1">
      <c r="A163" s="291">
        <v>44683</v>
      </c>
      <c r="C163" s="289">
        <f>AVERAGE(B163:B167)</f>
        <v>162.26999999999998</v>
      </c>
      <c r="D163" s="289"/>
      <c r="E163" s="289">
        <f t="shared" si="3"/>
        <v>157.2818181818181</v>
      </c>
      <c r="F163" s="288">
        <f t="shared" si="0"/>
        <v>0</v>
      </c>
      <c r="G163" s="288">
        <f t="shared" si="1"/>
        <v>0</v>
      </c>
    </row>
    <row r="164" spans="1:7" ht="15.75" customHeight="1">
      <c r="A164" s="291">
        <v>44684</v>
      </c>
      <c r="C164" s="289"/>
      <c r="D164" s="289"/>
      <c r="E164" s="289">
        <f t="shared" si="3"/>
        <v>157.2818181818181</v>
      </c>
      <c r="F164" s="288">
        <f t="shared" si="0"/>
        <v>0</v>
      </c>
      <c r="G164" s="288">
        <f t="shared" si="1"/>
        <v>0</v>
      </c>
    </row>
    <row r="165" spans="1:7" ht="15.75" customHeight="1">
      <c r="A165" s="291">
        <v>44685</v>
      </c>
      <c r="B165" s="288">
        <v>161.44</v>
      </c>
      <c r="C165" s="289"/>
      <c r="D165" s="289"/>
      <c r="E165" s="289">
        <f t="shared" si="3"/>
        <v>157.2818181818181</v>
      </c>
      <c r="F165" s="288">
        <f t="shared" si="0"/>
        <v>1.0154289344411807</v>
      </c>
      <c r="G165" s="288">
        <f t="shared" si="1"/>
        <v>52.802304590941397</v>
      </c>
    </row>
    <row r="166" spans="1:7" ht="15.75" customHeight="1">
      <c r="A166" s="291">
        <v>44686</v>
      </c>
      <c r="B166" s="288">
        <v>164.72</v>
      </c>
      <c r="C166" s="289"/>
      <c r="D166" s="289"/>
      <c r="E166" s="289">
        <f t="shared" si="3"/>
        <v>157.2178461538461</v>
      </c>
      <c r="F166" s="288">
        <f t="shared" si="0"/>
        <v>1.036059552038846</v>
      </c>
      <c r="G166" s="288">
        <f t="shared" si="1"/>
        <v>53.875096706019995</v>
      </c>
    </row>
    <row r="167" spans="1:7" ht="15.75" customHeight="1">
      <c r="A167" s="291">
        <v>44687</v>
      </c>
      <c r="B167" s="288">
        <v>160.65</v>
      </c>
      <c r="C167" s="289"/>
      <c r="D167" s="289"/>
      <c r="E167" s="289">
        <f t="shared" si="3"/>
        <v>157.10062499999995</v>
      </c>
      <c r="F167" s="288">
        <f t="shared" si="0"/>
        <v>1.0104599747149139</v>
      </c>
      <c r="G167" s="288">
        <f t="shared" si="1"/>
        <v>52.54391868517552</v>
      </c>
    </row>
    <row r="168" spans="1:7" ht="15.75" customHeight="1">
      <c r="A168" s="291">
        <v>44688</v>
      </c>
      <c r="C168" s="289"/>
      <c r="D168" s="289"/>
      <c r="E168" s="289">
        <f t="shared" si="3"/>
        <v>157.04428571428568</v>
      </c>
      <c r="F168" s="288">
        <f t="shared" si="0"/>
        <v>0</v>
      </c>
      <c r="G168" s="288">
        <f t="shared" si="1"/>
        <v>0</v>
      </c>
    </row>
    <row r="169" spans="1:7" ht="15.75" customHeight="1">
      <c r="A169" s="291">
        <v>44689</v>
      </c>
      <c r="C169" s="289"/>
      <c r="D169" s="289"/>
      <c r="E169" s="289">
        <f t="shared" si="3"/>
        <v>157.04428571428568</v>
      </c>
      <c r="F169" s="288">
        <f t="shared" si="0"/>
        <v>0</v>
      </c>
      <c r="G169" s="288">
        <f t="shared" si="1"/>
        <v>0</v>
      </c>
    </row>
    <row r="170" spans="1:7" ht="15.75" customHeight="1">
      <c r="A170" s="291">
        <v>44690</v>
      </c>
      <c r="B170" s="288">
        <v>156.91</v>
      </c>
      <c r="C170" s="289">
        <f>AVERAGE(B170:B174)</f>
        <v>153.41400000000002</v>
      </c>
      <c r="D170" s="289"/>
      <c r="E170" s="289">
        <f t="shared" si="3"/>
        <v>157.04428571428568</v>
      </c>
      <c r="F170" s="288">
        <f t="shared" si="0"/>
        <v>0.98693603879562486</v>
      </c>
      <c r="G170" s="288">
        <f t="shared" si="1"/>
        <v>51.32067401737249</v>
      </c>
    </row>
    <row r="171" spans="1:7" ht="15.75" customHeight="1">
      <c r="A171" s="291">
        <v>44691</v>
      </c>
      <c r="B171" s="288">
        <v>151.18</v>
      </c>
      <c r="C171" s="289"/>
      <c r="D171" s="289"/>
      <c r="E171" s="289">
        <f t="shared" si="3"/>
        <v>157.04645161290321</v>
      </c>
      <c r="F171" s="288">
        <f t="shared" si="0"/>
        <v>0.95089535622409382</v>
      </c>
      <c r="G171" s="288">
        <f t="shared" si="1"/>
        <v>49.446558523652882</v>
      </c>
    </row>
    <row r="172" spans="1:7" ht="15.75" customHeight="1">
      <c r="A172" s="291">
        <v>44692</v>
      </c>
      <c r="B172" s="288">
        <v>154.80000000000001</v>
      </c>
      <c r="C172" s="289"/>
      <c r="D172" s="289"/>
      <c r="E172" s="289">
        <f t="shared" si="3"/>
        <v>157.14262295081969</v>
      </c>
      <c r="F172" s="288">
        <f t="shared" si="0"/>
        <v>0.97366451345078542</v>
      </c>
      <c r="G172" s="288">
        <f t="shared" si="1"/>
        <v>50.630554699440843</v>
      </c>
    </row>
    <row r="173" spans="1:7" ht="15.75" customHeight="1">
      <c r="A173" s="291">
        <v>44693</v>
      </c>
      <c r="B173" s="288">
        <v>150.1</v>
      </c>
      <c r="C173" s="289"/>
      <c r="D173" s="289"/>
      <c r="E173" s="289">
        <f t="shared" si="3"/>
        <v>157.1816666666667</v>
      </c>
      <c r="F173" s="288">
        <f t="shared" si="0"/>
        <v>0.94410234799071624</v>
      </c>
      <c r="G173" s="288">
        <f t="shared" si="1"/>
        <v>49.093322095517244</v>
      </c>
    </row>
    <row r="174" spans="1:7" ht="15.75" customHeight="1">
      <c r="A174" s="291">
        <v>44694</v>
      </c>
      <c r="B174" s="288">
        <v>154.08000000000001</v>
      </c>
      <c r="C174" s="289"/>
      <c r="D174" s="289"/>
      <c r="E174" s="289">
        <f t="shared" si="3"/>
        <v>157.30169491525422</v>
      </c>
      <c r="F174" s="288">
        <f t="shared" si="0"/>
        <v>0.96913584129520036</v>
      </c>
      <c r="G174" s="288">
        <f t="shared" si="1"/>
        <v>50.39506374735042</v>
      </c>
    </row>
    <row r="175" spans="1:7" ht="15.75" customHeight="1">
      <c r="A175" s="291">
        <v>44695</v>
      </c>
      <c r="C175" s="289"/>
      <c r="D175" s="289"/>
      <c r="E175" s="289">
        <f t="shared" si="3"/>
        <v>157.35724137931032</v>
      </c>
      <c r="F175" s="288">
        <f t="shared" si="0"/>
        <v>0</v>
      </c>
      <c r="G175" s="288">
        <f t="shared" si="1"/>
        <v>0</v>
      </c>
    </row>
    <row r="176" spans="1:7" ht="15.75" customHeight="1">
      <c r="A176" s="291">
        <v>44696</v>
      </c>
      <c r="C176" s="289"/>
      <c r="D176" s="289"/>
      <c r="E176" s="289">
        <f t="shared" si="3"/>
        <v>157.35724137931032</v>
      </c>
      <c r="F176" s="288">
        <f t="shared" si="0"/>
        <v>0</v>
      </c>
      <c r="G176" s="288">
        <f t="shared" si="1"/>
        <v>0</v>
      </c>
    </row>
    <row r="177" spans="1:7" ht="15.75" customHeight="1">
      <c r="A177" s="291">
        <v>44697</v>
      </c>
      <c r="C177" s="289">
        <f>AVERAGE(B177:B181)</f>
        <v>146.51249999999999</v>
      </c>
      <c r="D177" s="289"/>
      <c r="E177" s="289">
        <f t="shared" si="3"/>
        <v>157.35724137931032</v>
      </c>
      <c r="F177" s="288">
        <f t="shared" si="0"/>
        <v>0</v>
      </c>
      <c r="G177" s="288">
        <f t="shared" si="1"/>
        <v>0</v>
      </c>
    </row>
    <row r="178" spans="1:7" ht="15.75" customHeight="1">
      <c r="A178" s="291">
        <v>44698</v>
      </c>
      <c r="B178" s="288">
        <v>149.66</v>
      </c>
      <c r="C178" s="289"/>
      <c r="D178" s="289"/>
      <c r="E178" s="289">
        <f t="shared" si="3"/>
        <v>157.35724137931032</v>
      </c>
      <c r="F178" s="288">
        <f t="shared" si="0"/>
        <v>0.94133482611785868</v>
      </c>
      <c r="G178" s="288">
        <f t="shared" si="1"/>
        <v>48.949410958128652</v>
      </c>
    </row>
    <row r="179" spans="1:7" ht="15.75" customHeight="1">
      <c r="A179" s="291">
        <v>44699</v>
      </c>
      <c r="B179" s="288">
        <v>149.6</v>
      </c>
      <c r="C179" s="289"/>
      <c r="D179" s="289"/>
      <c r="E179" s="289">
        <f t="shared" si="3"/>
        <v>157.49228070175437</v>
      </c>
      <c r="F179" s="288">
        <f t="shared" si="0"/>
        <v>0.94095743677155996</v>
      </c>
      <c r="G179" s="288">
        <f t="shared" si="1"/>
        <v>48.929786712121121</v>
      </c>
    </row>
    <row r="180" spans="1:7" ht="15.75" customHeight="1">
      <c r="A180" s="291">
        <v>44700</v>
      </c>
      <c r="B180" s="288">
        <v>140.77000000000001</v>
      </c>
      <c r="C180" s="289"/>
      <c r="D180" s="289"/>
      <c r="E180" s="289">
        <f t="shared" si="3"/>
        <v>157.6332142857143</v>
      </c>
      <c r="F180" s="288">
        <f t="shared" si="0"/>
        <v>0.88541830464126003</v>
      </c>
      <c r="G180" s="288">
        <f t="shared" si="1"/>
        <v>46.041751841345523</v>
      </c>
    </row>
    <row r="181" spans="1:7" ht="15.75" customHeight="1">
      <c r="A181" s="291">
        <v>44701</v>
      </c>
      <c r="B181" s="288">
        <v>146.02000000000001</v>
      </c>
      <c r="C181" s="289"/>
      <c r="D181" s="289"/>
      <c r="E181" s="289">
        <f t="shared" si="3"/>
        <v>157.9398181818182</v>
      </c>
      <c r="F181" s="288">
        <f t="shared" si="0"/>
        <v>0.918439872442401</v>
      </c>
      <c r="G181" s="288">
        <f t="shared" si="1"/>
        <v>47.758873367004853</v>
      </c>
    </row>
    <row r="182" spans="1:7" ht="15.75" customHeight="1">
      <c r="A182" s="291">
        <v>44702</v>
      </c>
      <c r="C182" s="289"/>
      <c r="D182" s="289"/>
      <c r="E182" s="289">
        <f t="shared" si="3"/>
        <v>158.16055555555559</v>
      </c>
      <c r="F182" s="288">
        <f t="shared" si="0"/>
        <v>0</v>
      </c>
      <c r="G182" s="288">
        <f t="shared" si="1"/>
        <v>0</v>
      </c>
    </row>
    <row r="183" spans="1:7" ht="15.75" customHeight="1">
      <c r="A183" s="291">
        <v>44703</v>
      </c>
      <c r="C183" s="289"/>
      <c r="D183" s="289"/>
      <c r="E183" s="289">
        <f t="shared" si="3"/>
        <v>158.16055555555559</v>
      </c>
      <c r="F183" s="288">
        <f t="shared" si="0"/>
        <v>0</v>
      </c>
      <c r="G183" s="288">
        <f t="shared" si="1"/>
        <v>0</v>
      </c>
    </row>
    <row r="184" spans="1:7" ht="15.75" customHeight="1">
      <c r="A184" s="291">
        <v>44704</v>
      </c>
      <c r="B184" s="288">
        <v>146.29</v>
      </c>
      <c r="C184" s="289">
        <f>AVERAGE(B184:B188)</f>
        <v>149.572</v>
      </c>
      <c r="D184" s="289"/>
      <c r="E184" s="289">
        <f t="shared" si="3"/>
        <v>158.16055555555559</v>
      </c>
      <c r="F184" s="288">
        <f t="shared" si="0"/>
        <v>0.92013812450074528</v>
      </c>
      <c r="G184" s="288">
        <f t="shared" si="1"/>
        <v>47.847182474038753</v>
      </c>
    </row>
    <row r="185" spans="1:7" ht="15.75" customHeight="1">
      <c r="A185" s="291">
        <v>44705</v>
      </c>
      <c r="B185" s="288">
        <v>145.13999999999999</v>
      </c>
      <c r="C185" s="289"/>
      <c r="D185" s="289"/>
      <c r="E185" s="289">
        <f t="shared" si="3"/>
        <v>158.3845283018868</v>
      </c>
      <c r="F185" s="288">
        <f t="shared" si="0"/>
        <v>0.91290482869668588</v>
      </c>
      <c r="G185" s="288">
        <f t="shared" si="1"/>
        <v>47.471051092227668</v>
      </c>
    </row>
    <row r="186" spans="1:7" ht="15.75" customHeight="1">
      <c r="A186" s="291">
        <v>44706</v>
      </c>
      <c r="B186" s="288">
        <v>149.24</v>
      </c>
      <c r="C186" s="289"/>
      <c r="D186" s="289"/>
      <c r="E186" s="289">
        <f t="shared" si="3"/>
        <v>158.63923076923081</v>
      </c>
      <c r="F186" s="288">
        <f t="shared" si="0"/>
        <v>0.93869310069376755</v>
      </c>
      <c r="G186" s="288">
        <f t="shared" si="1"/>
        <v>48.812041236075913</v>
      </c>
    </row>
    <row r="187" spans="1:7" ht="15.75" customHeight="1">
      <c r="A187" s="291">
        <v>44707</v>
      </c>
      <c r="B187" s="288">
        <v>151.22</v>
      </c>
      <c r="C187" s="289"/>
      <c r="D187" s="289"/>
      <c r="E187" s="289">
        <f t="shared" si="3"/>
        <v>158.82352941176472</v>
      </c>
      <c r="F187" s="288">
        <f t="shared" si="0"/>
        <v>0.95114694912162634</v>
      </c>
      <c r="G187" s="288">
        <f t="shared" si="1"/>
        <v>49.459641354324567</v>
      </c>
    </row>
    <row r="188" spans="1:7" ht="15.75" customHeight="1">
      <c r="A188" s="291">
        <v>44708</v>
      </c>
      <c r="B188" s="288">
        <v>155.97</v>
      </c>
      <c r="C188" s="289"/>
      <c r="D188" s="289"/>
      <c r="E188" s="289">
        <f t="shared" si="3"/>
        <v>158.97560000000001</v>
      </c>
      <c r="F188" s="288">
        <f t="shared" si="0"/>
        <v>0.98102360570361102</v>
      </c>
      <c r="G188" s="288">
        <f t="shared" si="1"/>
        <v>51.013227496587774</v>
      </c>
    </row>
    <row r="189" spans="1:7" ht="15.75" customHeight="1">
      <c r="A189" s="291">
        <v>44709</v>
      </c>
      <c r="C189" s="289"/>
      <c r="D189" s="289"/>
      <c r="E189" s="289">
        <f t="shared" si="3"/>
        <v>159.03693877551021</v>
      </c>
      <c r="F189" s="288">
        <f t="shared" si="0"/>
        <v>0</v>
      </c>
      <c r="G189" s="288">
        <f t="shared" si="1"/>
        <v>0</v>
      </c>
    </row>
    <row r="190" spans="1:7" ht="15.75" customHeight="1">
      <c r="A190" s="291">
        <v>44710</v>
      </c>
      <c r="C190" s="289"/>
      <c r="D190" s="289"/>
      <c r="E190" s="289">
        <f t="shared" si="3"/>
        <v>159.03693877551021</v>
      </c>
      <c r="F190" s="288">
        <f t="shared" si="0"/>
        <v>0</v>
      </c>
      <c r="G190" s="288">
        <f t="shared" si="1"/>
        <v>0</v>
      </c>
    </row>
    <row r="191" spans="1:7" ht="15.75" customHeight="1">
      <c r="A191" s="291">
        <v>44711</v>
      </c>
      <c r="B191" s="288">
        <v>159.29</v>
      </c>
      <c r="C191" s="289">
        <f>AVERAGE(B191:B195)</f>
        <v>166.386</v>
      </c>
      <c r="D191" s="289"/>
      <c r="E191" s="289">
        <f t="shared" si="3"/>
        <v>159.03693877551021</v>
      </c>
      <c r="F191" s="288">
        <f t="shared" si="0"/>
        <v>1.0019058161988086</v>
      </c>
      <c r="G191" s="288">
        <f t="shared" si="1"/>
        <v>52.099102442338044</v>
      </c>
    </row>
    <row r="192" spans="1:7" ht="15.75" customHeight="1">
      <c r="A192" s="291">
        <v>44712</v>
      </c>
      <c r="B192" s="288">
        <v>168.36</v>
      </c>
      <c r="C192" s="289"/>
      <c r="D192" s="289"/>
      <c r="E192" s="289">
        <f t="shared" si="3"/>
        <v>159.03166666666667</v>
      </c>
      <c r="F192" s="288">
        <f t="shared" si="0"/>
        <v>1.0589545057143037</v>
      </c>
      <c r="G192" s="288">
        <f t="shared" si="1"/>
        <v>55.065634297143795</v>
      </c>
    </row>
    <row r="193" spans="1:7" ht="15.75" customHeight="1">
      <c r="A193" s="291">
        <v>44713</v>
      </c>
      <c r="B193" s="288">
        <v>167.19</v>
      </c>
      <c r="C193" s="289"/>
      <c r="D193" s="289">
        <f>AVERAGE(B193:B222)</f>
        <v>176.80409090909089</v>
      </c>
      <c r="E193" s="289">
        <f t="shared" si="3"/>
        <v>158.8331914893617</v>
      </c>
      <c r="F193" s="288">
        <f t="shared" si="0"/>
        <v>1.051595413461478</v>
      </c>
      <c r="G193" s="288">
        <f t="shared" si="1"/>
        <v>54.682961499996857</v>
      </c>
    </row>
    <row r="194" spans="1:7" ht="15.75" customHeight="1">
      <c r="A194" s="291">
        <v>44714</v>
      </c>
      <c r="B194" s="288">
        <v>165.25</v>
      </c>
      <c r="C194" s="289"/>
      <c r="D194" s="289"/>
      <c r="E194" s="289">
        <f t="shared" si="3"/>
        <v>158.65152173913043</v>
      </c>
      <c r="F194" s="288">
        <f t="shared" si="0"/>
        <v>1.0393931579311517</v>
      </c>
      <c r="G194" s="288">
        <f t="shared" si="1"/>
        <v>54.048444212419888</v>
      </c>
    </row>
    <row r="195" spans="1:7" ht="15.75" customHeight="1">
      <c r="A195" s="291">
        <v>44715</v>
      </c>
      <c r="B195" s="288">
        <v>171.84</v>
      </c>
      <c r="C195" s="289"/>
      <c r="D195" s="289"/>
      <c r="E195" s="289">
        <f t="shared" si="3"/>
        <v>158.50488888888887</v>
      </c>
      <c r="F195" s="288">
        <f t="shared" si="0"/>
        <v>1.0808430877996316</v>
      </c>
      <c r="G195" s="288">
        <f t="shared" si="1"/>
        <v>56.20384056558084</v>
      </c>
    </row>
    <row r="196" spans="1:7" ht="15.75" customHeight="1">
      <c r="A196" s="291">
        <v>44716</v>
      </c>
      <c r="C196" s="289"/>
      <c r="D196" s="289"/>
      <c r="E196" s="289">
        <f t="shared" si="3"/>
        <v>158.20181818181817</v>
      </c>
      <c r="F196" s="288">
        <f t="shared" si="0"/>
        <v>0</v>
      </c>
      <c r="G196" s="288">
        <f t="shared" si="1"/>
        <v>0</v>
      </c>
    </row>
    <row r="197" spans="1:7" ht="15.75" customHeight="1">
      <c r="A197" s="291">
        <v>44717</v>
      </c>
      <c r="C197" s="289"/>
      <c r="D197" s="289"/>
      <c r="E197" s="289">
        <f t="shared" si="3"/>
        <v>158.20181818181817</v>
      </c>
      <c r="F197" s="288">
        <f t="shared" si="0"/>
        <v>0</v>
      </c>
      <c r="G197" s="288">
        <f t="shared" si="1"/>
        <v>0</v>
      </c>
    </row>
    <row r="198" spans="1:7" ht="15.75" customHeight="1">
      <c r="A198" s="291">
        <v>44718</v>
      </c>
      <c r="B198" s="288">
        <v>177.18</v>
      </c>
      <c r="C198" s="289">
        <f>AVERAGE(B198:B202)</f>
        <v>176.58800000000002</v>
      </c>
      <c r="D198" s="289"/>
      <c r="E198" s="289">
        <f t="shared" si="3"/>
        <v>158.20181818181817</v>
      </c>
      <c r="F198" s="288">
        <f t="shared" si="0"/>
        <v>1.1144307396202207</v>
      </c>
      <c r="G198" s="288">
        <f t="shared" si="1"/>
        <v>57.950398460251478</v>
      </c>
    </row>
    <row r="199" spans="1:7" ht="15.75" customHeight="1">
      <c r="A199" s="291">
        <v>44719</v>
      </c>
      <c r="B199" s="288">
        <v>177.22</v>
      </c>
      <c r="C199" s="289"/>
      <c r="D199" s="289"/>
      <c r="E199" s="289">
        <f t="shared" si="3"/>
        <v>157.76046511627905</v>
      </c>
      <c r="F199" s="288">
        <f t="shared" si="0"/>
        <v>1.1146823325177531</v>
      </c>
      <c r="G199" s="288">
        <f t="shared" si="1"/>
        <v>57.963481290923156</v>
      </c>
    </row>
    <row r="200" spans="1:7" ht="15.75" customHeight="1">
      <c r="A200" s="291">
        <v>44720</v>
      </c>
      <c r="B200" s="288">
        <v>173.34</v>
      </c>
      <c r="C200" s="289"/>
      <c r="D200" s="289"/>
      <c r="E200" s="289">
        <f t="shared" si="3"/>
        <v>157.29714285714286</v>
      </c>
      <c r="F200" s="288">
        <f t="shared" si="0"/>
        <v>1.0902778214571003</v>
      </c>
      <c r="G200" s="288">
        <f t="shared" si="1"/>
        <v>56.694446715769217</v>
      </c>
    </row>
    <row r="201" spans="1:7" ht="15.75" customHeight="1">
      <c r="A201" s="291">
        <v>44721</v>
      </c>
      <c r="B201" s="288">
        <v>175.08</v>
      </c>
      <c r="C201" s="289"/>
      <c r="D201" s="289"/>
      <c r="E201" s="289">
        <f t="shared" si="3"/>
        <v>156.90585365853656</v>
      </c>
      <c r="F201" s="288">
        <f t="shared" si="0"/>
        <v>1.1012221124997643</v>
      </c>
      <c r="G201" s="288">
        <f t="shared" si="1"/>
        <v>57.263549849987747</v>
      </c>
    </row>
    <row r="202" spans="1:7" ht="15.75" customHeight="1">
      <c r="A202" s="291">
        <v>44722</v>
      </c>
      <c r="B202" s="288">
        <v>180.12</v>
      </c>
      <c r="C202" s="289"/>
      <c r="D202" s="289"/>
      <c r="E202" s="289">
        <f t="shared" si="3"/>
        <v>156.45149999999998</v>
      </c>
      <c r="F202" s="288">
        <f t="shared" si="0"/>
        <v>1.1329228175888595</v>
      </c>
      <c r="G202" s="288">
        <f t="shared" si="1"/>
        <v>58.911986514620693</v>
      </c>
    </row>
    <row r="203" spans="1:7" ht="15.75" customHeight="1">
      <c r="A203" s="291">
        <v>44723</v>
      </c>
      <c r="C203" s="289"/>
      <c r="D203" s="289"/>
      <c r="E203" s="289">
        <f t="shared" si="3"/>
        <v>155.84461538461537</v>
      </c>
      <c r="F203" s="288">
        <f t="shared" si="0"/>
        <v>0</v>
      </c>
      <c r="G203" s="288">
        <f t="shared" si="1"/>
        <v>0</v>
      </c>
    </row>
    <row r="204" spans="1:7" ht="15.75" customHeight="1">
      <c r="A204" s="291">
        <v>44724</v>
      </c>
      <c r="C204" s="289"/>
      <c r="D204" s="289"/>
      <c r="E204" s="289">
        <f t="shared" si="3"/>
        <v>155.84461538461537</v>
      </c>
      <c r="F204" s="288">
        <f t="shared" si="0"/>
        <v>0</v>
      </c>
      <c r="G204" s="288">
        <f t="shared" si="1"/>
        <v>0</v>
      </c>
    </row>
    <row r="205" spans="1:7" ht="15.75" customHeight="1">
      <c r="A205" s="291">
        <v>44725</v>
      </c>
      <c r="B205" s="288">
        <v>176.94</v>
      </c>
      <c r="C205" s="289">
        <f>AVERAGE(B205:B209)</f>
        <v>181.69</v>
      </c>
      <c r="D205" s="289"/>
      <c r="E205" s="289">
        <f t="shared" si="3"/>
        <v>155.84461538461537</v>
      </c>
      <c r="F205" s="288">
        <f t="shared" si="0"/>
        <v>1.1129211822350256</v>
      </c>
      <c r="G205" s="288">
        <f t="shared" si="1"/>
        <v>57.871901476221332</v>
      </c>
    </row>
    <row r="206" spans="1:7" ht="15.75" customHeight="1">
      <c r="A206" s="291">
        <v>44726</v>
      </c>
      <c r="B206" s="288">
        <v>179.84</v>
      </c>
      <c r="C206" s="289"/>
      <c r="D206" s="289"/>
      <c r="E206" s="289">
        <f t="shared" si="3"/>
        <v>155.28947368421049</v>
      </c>
      <c r="F206" s="288">
        <f t="shared" si="0"/>
        <v>1.131161667306132</v>
      </c>
      <c r="G206" s="288">
        <f t="shared" si="1"/>
        <v>58.820406699918863</v>
      </c>
    </row>
    <row r="207" spans="1:7" ht="15.75" customHeight="1">
      <c r="A207" s="291">
        <v>44727</v>
      </c>
      <c r="B207" s="288">
        <v>181.73</v>
      </c>
      <c r="C207" s="289"/>
      <c r="D207" s="289"/>
      <c r="E207" s="289">
        <f t="shared" si="3"/>
        <v>154.62594594594589</v>
      </c>
      <c r="F207" s="288">
        <f t="shared" si="0"/>
        <v>1.1430494317145428</v>
      </c>
      <c r="G207" s="288">
        <f t="shared" si="1"/>
        <v>59.438570449156224</v>
      </c>
    </row>
    <row r="208" spans="1:7" ht="15.75" customHeight="1">
      <c r="A208" s="291">
        <v>44728</v>
      </c>
      <c r="B208" s="288">
        <v>183.94</v>
      </c>
      <c r="C208" s="289"/>
      <c r="D208" s="289"/>
      <c r="E208" s="289">
        <f t="shared" si="3"/>
        <v>153.87305555555551</v>
      </c>
      <c r="F208" s="288">
        <f t="shared" si="0"/>
        <v>1.1569499393032134</v>
      </c>
      <c r="G208" s="288">
        <f t="shared" si="1"/>
        <v>60.161396843767101</v>
      </c>
    </row>
    <row r="209" spans="1:7" ht="15.75" customHeight="1">
      <c r="A209" s="291">
        <v>44729</v>
      </c>
      <c r="B209" s="288">
        <v>186</v>
      </c>
      <c r="C209" s="289"/>
      <c r="D209" s="289"/>
      <c r="E209" s="289">
        <f t="shared" si="3"/>
        <v>153.01399999999998</v>
      </c>
      <c r="F209" s="288">
        <f t="shared" si="0"/>
        <v>1.1699069735261374</v>
      </c>
      <c r="G209" s="288">
        <f t="shared" si="1"/>
        <v>60.835162623359146</v>
      </c>
    </row>
    <row r="210" spans="1:7" ht="15.75" customHeight="1">
      <c r="A210" s="291">
        <v>44730</v>
      </c>
      <c r="C210" s="289"/>
      <c r="D210" s="289"/>
      <c r="E210" s="289">
        <f t="shared" si="3"/>
        <v>152.04382352941172</v>
      </c>
      <c r="F210" s="288">
        <f t="shared" si="0"/>
        <v>0</v>
      </c>
      <c r="G210" s="288">
        <f t="shared" si="1"/>
        <v>0</v>
      </c>
    </row>
    <row r="211" spans="1:7" ht="15.75" customHeight="1">
      <c r="A211" s="291">
        <v>44731</v>
      </c>
      <c r="C211" s="289"/>
      <c r="D211" s="289"/>
      <c r="E211" s="289">
        <f t="shared" si="3"/>
        <v>152.04382352941172</v>
      </c>
      <c r="F211" s="288">
        <f t="shared" si="0"/>
        <v>0</v>
      </c>
      <c r="G211" s="288">
        <f t="shared" si="1"/>
        <v>0</v>
      </c>
    </row>
    <row r="212" spans="1:7" ht="15.75" customHeight="1">
      <c r="A212" s="291">
        <v>44732</v>
      </c>
      <c r="B212" s="288">
        <v>178.68</v>
      </c>
      <c r="C212" s="289">
        <f>AVERAGE(B212:B216)</f>
        <v>181.07199999999997</v>
      </c>
      <c r="D212" s="289"/>
      <c r="E212" s="289">
        <f t="shared" si="3"/>
        <v>152.04382352941172</v>
      </c>
      <c r="F212" s="288">
        <f t="shared" si="0"/>
        <v>1.1238654732776894</v>
      </c>
      <c r="G212" s="288">
        <f t="shared" si="1"/>
        <v>58.441004610439848</v>
      </c>
    </row>
    <row r="213" spans="1:7" ht="15.75" customHeight="1">
      <c r="A213" s="291">
        <v>44733</v>
      </c>
      <c r="B213" s="288">
        <v>186.03</v>
      </c>
      <c r="C213" s="289"/>
      <c r="D213" s="289"/>
      <c r="E213" s="289">
        <f t="shared" si="3"/>
        <v>151.23666666666662</v>
      </c>
      <c r="F213" s="288">
        <f t="shared" si="0"/>
        <v>1.1700956681992867</v>
      </c>
      <c r="G213" s="288">
        <f t="shared" si="1"/>
        <v>60.844974746362908</v>
      </c>
    </row>
    <row r="214" spans="1:7" ht="15.75" customHeight="1">
      <c r="A214" s="291">
        <v>44734</v>
      </c>
      <c r="B214" s="288">
        <v>179.05</v>
      </c>
      <c r="C214" s="289"/>
      <c r="D214" s="289"/>
      <c r="E214" s="289">
        <f t="shared" si="3"/>
        <v>150.14937499999996</v>
      </c>
      <c r="F214" s="288">
        <f t="shared" si="0"/>
        <v>1.1261927075798652</v>
      </c>
      <c r="G214" s="288">
        <f t="shared" si="1"/>
        <v>58.562020794152993</v>
      </c>
    </row>
    <row r="215" spans="1:7" ht="15.75" customHeight="1">
      <c r="A215" s="291">
        <v>44735</v>
      </c>
      <c r="B215" s="288">
        <v>180.15</v>
      </c>
      <c r="C215" s="289"/>
      <c r="D215" s="289"/>
      <c r="E215" s="289">
        <f t="shared" ref="E215:E223" si="4">AVERAGE(B215:B323)</f>
        <v>149.21709677419352</v>
      </c>
      <c r="F215" s="288">
        <f t="shared" si="0"/>
        <v>1.133111512262009</v>
      </c>
      <c r="G215" s="288">
        <f t="shared" si="1"/>
        <v>58.92179863762447</v>
      </c>
    </row>
    <row r="216" spans="1:7" ht="15.75" customHeight="1">
      <c r="A216" s="291">
        <v>44736</v>
      </c>
      <c r="B216" s="288">
        <v>181.45</v>
      </c>
      <c r="C216" s="289"/>
      <c r="D216" s="289"/>
      <c r="E216" s="289">
        <f t="shared" si="4"/>
        <v>148.18600000000001</v>
      </c>
      <c r="F216" s="288">
        <f t="shared" si="0"/>
        <v>1.141288281431815</v>
      </c>
      <c r="G216" s="288">
        <f t="shared" si="1"/>
        <v>59.346990634454386</v>
      </c>
    </row>
    <row r="217" spans="1:7" ht="15.75" customHeight="1">
      <c r="A217" s="291">
        <v>44737</v>
      </c>
      <c r="C217" s="289"/>
      <c r="D217" s="289"/>
      <c r="E217" s="289">
        <f t="shared" si="4"/>
        <v>147.03896551724139</v>
      </c>
      <c r="F217" s="288">
        <f t="shared" si="0"/>
        <v>0</v>
      </c>
      <c r="G217" s="288">
        <f t="shared" si="1"/>
        <v>0</v>
      </c>
    </row>
    <row r="218" spans="1:7" ht="15.75" customHeight="1">
      <c r="A218" s="291">
        <v>44738</v>
      </c>
      <c r="C218" s="289"/>
      <c r="D218" s="289"/>
      <c r="E218" s="289">
        <f t="shared" si="4"/>
        <v>147.03896551724139</v>
      </c>
      <c r="F218" s="288">
        <f t="shared" si="0"/>
        <v>0</v>
      </c>
      <c r="G218" s="288">
        <f t="shared" si="1"/>
        <v>0</v>
      </c>
    </row>
    <row r="219" spans="1:7" ht="15.75" customHeight="1">
      <c r="A219" s="291">
        <v>44739</v>
      </c>
      <c r="B219" s="288">
        <v>179.61</v>
      </c>
      <c r="C219" s="289">
        <f>AVERAGE(B219:B223)</f>
        <v>171.124</v>
      </c>
      <c r="D219" s="289"/>
      <c r="E219" s="289">
        <f t="shared" si="4"/>
        <v>147.03896551724139</v>
      </c>
      <c r="F219" s="288">
        <f t="shared" si="0"/>
        <v>1.1297150081453202</v>
      </c>
      <c r="G219" s="288">
        <f t="shared" si="1"/>
        <v>58.745180423556654</v>
      </c>
    </row>
    <row r="220" spans="1:7" ht="15.75" customHeight="1">
      <c r="A220" s="291">
        <v>44740</v>
      </c>
      <c r="B220" s="288">
        <v>176.62</v>
      </c>
      <c r="C220" s="289"/>
      <c r="D220" s="289"/>
      <c r="E220" s="289">
        <f t="shared" si="4"/>
        <v>145.87571428571428</v>
      </c>
      <c r="F220" s="288">
        <f t="shared" si="0"/>
        <v>1.1109084390547654</v>
      </c>
      <c r="G220" s="288">
        <f t="shared" si="1"/>
        <v>57.767238830847802</v>
      </c>
    </row>
    <row r="221" spans="1:7" ht="15.75" customHeight="1">
      <c r="A221" s="291">
        <v>44741</v>
      </c>
      <c r="B221" s="288">
        <v>167.31</v>
      </c>
      <c r="C221" s="289"/>
      <c r="D221" s="289"/>
      <c r="E221" s="289">
        <f t="shared" si="4"/>
        <v>144.73703703703708</v>
      </c>
      <c r="F221" s="288">
        <f t="shared" si="0"/>
        <v>1.0523501921540754</v>
      </c>
      <c r="G221" s="288">
        <f t="shared" si="1"/>
        <v>54.722209992011926</v>
      </c>
    </row>
    <row r="222" spans="1:7" ht="15.75" customHeight="1">
      <c r="A222" s="291">
        <v>44742</v>
      </c>
      <c r="B222" s="288">
        <v>165.12</v>
      </c>
      <c r="C222" s="289"/>
      <c r="D222" s="289"/>
      <c r="E222" s="289">
        <f t="shared" si="4"/>
        <v>143.86884615384616</v>
      </c>
      <c r="F222" s="288">
        <f t="shared" si="0"/>
        <v>1.038575481014171</v>
      </c>
      <c r="G222" s="288">
        <f t="shared" si="1"/>
        <v>54.005925012736888</v>
      </c>
    </row>
    <row r="223" spans="1:7" ht="15.75" customHeight="1">
      <c r="A223" s="291">
        <v>44743</v>
      </c>
      <c r="B223" s="288">
        <v>166.96</v>
      </c>
      <c r="C223" s="289"/>
      <c r="D223" s="289">
        <f>AVERAGE(B223:B252)</f>
        <v>145.32100000000003</v>
      </c>
      <c r="E223" s="289">
        <f t="shared" si="4"/>
        <v>143.01880000000003</v>
      </c>
      <c r="F223" s="288">
        <f t="shared" si="0"/>
        <v>1.0501487543006662</v>
      </c>
      <c r="G223" s="288">
        <f t="shared" si="1"/>
        <v>54.607735223634641</v>
      </c>
    </row>
    <row r="224" spans="1:7" ht="15.75" customHeight="1">
      <c r="A224" s="291">
        <v>44744</v>
      </c>
      <c r="C224" s="289"/>
      <c r="D224" s="289"/>
      <c r="E224" s="289"/>
      <c r="F224" s="288">
        <f t="shared" si="0"/>
        <v>0</v>
      </c>
      <c r="G224" s="288">
        <f t="shared" si="1"/>
        <v>0</v>
      </c>
    </row>
    <row r="225" spans="1:7" ht="15.75" customHeight="1">
      <c r="A225" s="291">
        <v>44745</v>
      </c>
      <c r="C225" s="289"/>
      <c r="D225" s="289"/>
      <c r="E225" s="289"/>
      <c r="F225" s="288">
        <f t="shared" si="0"/>
        <v>0</v>
      </c>
      <c r="G225" s="288">
        <f t="shared" si="1"/>
        <v>0</v>
      </c>
    </row>
    <row r="226" spans="1:7" ht="15.75" customHeight="1">
      <c r="A226" s="291">
        <v>44746</v>
      </c>
      <c r="B226" s="288">
        <v>163.52000000000001</v>
      </c>
      <c r="C226" s="289">
        <f>AVERAGE(B226:B230)</f>
        <v>152.78199999999998</v>
      </c>
      <c r="D226" s="289"/>
      <c r="E226" s="289"/>
      <c r="F226" s="288">
        <f t="shared" si="0"/>
        <v>1.028511765112871</v>
      </c>
      <c r="G226" s="288">
        <f t="shared" si="1"/>
        <v>53.482611785869295</v>
      </c>
    </row>
    <row r="227" spans="1:7" ht="15.75" customHeight="1">
      <c r="A227" s="291">
        <v>44747</v>
      </c>
      <c r="B227" s="288">
        <v>163.02000000000001</v>
      </c>
      <c r="C227" s="289"/>
      <c r="D227" s="289"/>
      <c r="E227" s="289"/>
      <c r="F227" s="288">
        <f t="shared" si="0"/>
        <v>1.0253668538937146</v>
      </c>
      <c r="G227" s="288">
        <f t="shared" si="1"/>
        <v>53.319076402473158</v>
      </c>
    </row>
    <row r="228" spans="1:7" ht="15.75" customHeight="1">
      <c r="A228" s="291">
        <v>44748</v>
      </c>
      <c r="B228" s="288">
        <v>149.38999999999999</v>
      </c>
      <c r="C228" s="289"/>
      <c r="D228" s="289"/>
      <c r="E228" s="289"/>
      <c r="F228" s="288">
        <f t="shared" si="0"/>
        <v>0.93963657405951428</v>
      </c>
      <c r="G228" s="288">
        <f t="shared" si="1"/>
        <v>48.861101851094745</v>
      </c>
    </row>
    <row r="229" spans="1:7" ht="15.75" customHeight="1">
      <c r="A229" s="291">
        <v>44749</v>
      </c>
      <c r="B229" s="288">
        <v>137.37</v>
      </c>
      <c r="C229" s="289"/>
      <c r="D229" s="289"/>
      <c r="E229" s="289"/>
      <c r="F229" s="288">
        <f t="shared" si="0"/>
        <v>0.86403290835099733</v>
      </c>
      <c r="G229" s="288">
        <f t="shared" si="1"/>
        <v>44.929711234251862</v>
      </c>
    </row>
    <row r="230" spans="1:7" ht="15.75" customHeight="1">
      <c r="A230" s="291">
        <v>44750</v>
      </c>
      <c r="B230" s="288">
        <v>150.61000000000001</v>
      </c>
      <c r="C230" s="289"/>
      <c r="D230" s="289"/>
      <c r="E230" s="289"/>
      <c r="F230" s="288">
        <f t="shared" si="0"/>
        <v>0.94731015743425573</v>
      </c>
      <c r="G230" s="288">
        <f t="shared" si="1"/>
        <v>49.260128186581298</v>
      </c>
    </row>
    <row r="231" spans="1:7" ht="15.75" customHeight="1">
      <c r="A231" s="291">
        <v>44751</v>
      </c>
      <c r="C231" s="289"/>
      <c r="D231" s="289"/>
      <c r="E231" s="289"/>
      <c r="F231" s="288">
        <f t="shared" si="0"/>
        <v>0</v>
      </c>
      <c r="G231" s="288">
        <f t="shared" si="1"/>
        <v>0</v>
      </c>
    </row>
    <row r="232" spans="1:7" ht="15.75" customHeight="1">
      <c r="A232" s="291">
        <v>44752</v>
      </c>
      <c r="C232" s="289"/>
      <c r="D232" s="289"/>
      <c r="E232" s="289"/>
      <c r="F232" s="288">
        <f t="shared" si="0"/>
        <v>0</v>
      </c>
      <c r="G232" s="288">
        <f t="shared" si="1"/>
        <v>0</v>
      </c>
    </row>
    <row r="233" spans="1:7" ht="15.75" customHeight="1">
      <c r="A233" s="291">
        <v>44753</v>
      </c>
      <c r="C233" s="289">
        <f>AVERAGE(B233:B237)</f>
        <v>145.0575</v>
      </c>
      <c r="D233" s="289"/>
      <c r="E233" s="289"/>
      <c r="F233" s="288">
        <f t="shared" si="0"/>
        <v>0</v>
      </c>
      <c r="G233" s="288">
        <f t="shared" si="1"/>
        <v>0</v>
      </c>
    </row>
    <row r="234" spans="1:7" ht="15.75" customHeight="1">
      <c r="A234" s="291">
        <v>44754</v>
      </c>
      <c r="B234" s="288">
        <v>147.44999999999999</v>
      </c>
      <c r="C234" s="289"/>
      <c r="D234" s="289"/>
      <c r="E234" s="289"/>
      <c r="F234" s="288">
        <f t="shared" si="0"/>
        <v>0.9274343185291879</v>
      </c>
      <c r="G234" s="288">
        <f t="shared" si="1"/>
        <v>48.226584563517768</v>
      </c>
    </row>
    <row r="235" spans="1:7" ht="15.75" customHeight="1">
      <c r="A235" s="291">
        <v>44755</v>
      </c>
      <c r="B235" s="288">
        <v>147.91</v>
      </c>
      <c r="C235" s="289"/>
      <c r="D235" s="289"/>
      <c r="E235" s="289"/>
      <c r="F235" s="288">
        <f t="shared" si="0"/>
        <v>0.93032763685081166</v>
      </c>
      <c r="G235" s="288">
        <f t="shared" si="1"/>
        <v>48.377037116242207</v>
      </c>
    </row>
    <row r="236" spans="1:7" ht="15.75" customHeight="1">
      <c r="A236" s="291">
        <v>44756</v>
      </c>
      <c r="B236" s="288">
        <v>142.41999999999999</v>
      </c>
      <c r="C236" s="289"/>
      <c r="D236" s="289"/>
      <c r="E236" s="289"/>
      <c r="F236" s="288">
        <f t="shared" si="0"/>
        <v>0.89579651166447571</v>
      </c>
      <c r="G236" s="288">
        <f t="shared" si="1"/>
        <v>46.581418606552738</v>
      </c>
    </row>
    <row r="237" spans="1:7" ht="15.75" customHeight="1">
      <c r="A237" s="291">
        <v>44757</v>
      </c>
      <c r="B237" s="288">
        <v>142.44999999999999</v>
      </c>
      <c r="C237" s="289"/>
      <c r="D237" s="289"/>
      <c r="E237" s="289"/>
      <c r="F237" s="288">
        <f t="shared" si="0"/>
        <v>0.89598520633762502</v>
      </c>
      <c r="G237" s="288">
        <f t="shared" si="1"/>
        <v>46.5912307295565</v>
      </c>
    </row>
    <row r="238" spans="1:7" ht="15.75" customHeight="1">
      <c r="A238" s="291">
        <v>44758</v>
      </c>
      <c r="C238" s="289"/>
      <c r="D238" s="289"/>
      <c r="E238" s="289"/>
      <c r="F238" s="288">
        <f t="shared" si="0"/>
        <v>0</v>
      </c>
      <c r="G238" s="288">
        <f t="shared" si="1"/>
        <v>0</v>
      </c>
    </row>
    <row r="239" spans="1:7" ht="15.75" customHeight="1">
      <c r="A239" s="291">
        <v>44759</v>
      </c>
      <c r="C239" s="289"/>
      <c r="D239" s="289"/>
      <c r="E239" s="289"/>
      <c r="F239" s="288">
        <f t="shared" si="0"/>
        <v>0</v>
      </c>
      <c r="G239" s="288">
        <f t="shared" si="1"/>
        <v>0</v>
      </c>
    </row>
    <row r="240" spans="1:7" ht="15.75" customHeight="1">
      <c r="A240" s="291">
        <v>44760</v>
      </c>
      <c r="B240" s="288">
        <v>144.22999999999999</v>
      </c>
      <c r="C240" s="289">
        <f>AVERAGE(B240:B244)</f>
        <v>139.70400000000001</v>
      </c>
      <c r="D240" s="289"/>
      <c r="E240" s="289"/>
      <c r="F240" s="288">
        <f t="shared" si="0"/>
        <v>0.90718109027782146</v>
      </c>
      <c r="G240" s="288">
        <f t="shared" si="1"/>
        <v>47.173416694446715</v>
      </c>
    </row>
    <row r="241" spans="1:7" ht="15.75" customHeight="1">
      <c r="A241" s="291">
        <v>44761</v>
      </c>
      <c r="B241" s="290">
        <v>142.47</v>
      </c>
      <c r="C241" s="289"/>
      <c r="D241" s="289"/>
      <c r="E241" s="289"/>
      <c r="F241" s="288">
        <f t="shared" si="0"/>
        <v>0.89611100278639133</v>
      </c>
      <c r="G241" s="288">
        <f t="shared" si="1"/>
        <v>46.597772144892346</v>
      </c>
    </row>
    <row r="242" spans="1:7" ht="15.75" customHeight="1">
      <c r="A242" s="291">
        <v>44762</v>
      </c>
      <c r="B242" s="290">
        <v>138.72</v>
      </c>
      <c r="C242" s="289"/>
      <c r="D242" s="289"/>
      <c r="E242" s="289"/>
      <c r="F242" s="288">
        <f t="shared" si="0"/>
        <v>0.8725241686427192</v>
      </c>
      <c r="G242" s="288">
        <f t="shared" si="1"/>
        <v>45.3712567694214</v>
      </c>
    </row>
    <row r="243" spans="1:7" ht="15.75" customHeight="1">
      <c r="A243" s="291">
        <v>44763</v>
      </c>
      <c r="B243" s="290">
        <v>136.55000000000001</v>
      </c>
      <c r="C243" s="289"/>
      <c r="D243" s="289"/>
      <c r="E243" s="289"/>
      <c r="F243" s="288">
        <f t="shared" si="0"/>
        <v>0.85887525395158104</v>
      </c>
      <c r="G243" s="288">
        <f t="shared" si="1"/>
        <v>44.661513205482215</v>
      </c>
    </row>
    <row r="244" spans="1:7" ht="15.75" customHeight="1">
      <c r="A244" s="291">
        <v>44764</v>
      </c>
      <c r="B244" s="290">
        <v>136.55000000000001</v>
      </c>
      <c r="C244" s="289"/>
      <c r="D244" s="289"/>
      <c r="E244" s="289"/>
      <c r="F244" s="290">
        <f t="shared" si="0"/>
        <v>0.85887525395158104</v>
      </c>
      <c r="G244" s="290">
        <f t="shared" si="1"/>
        <v>44.661513205482215</v>
      </c>
    </row>
    <row r="245" spans="1:7" ht="15.75" customHeight="1">
      <c r="A245" s="291">
        <v>44765</v>
      </c>
      <c r="C245" s="289"/>
      <c r="D245" s="289"/>
      <c r="E245" s="289"/>
      <c r="F245" s="290">
        <f t="shared" ref="F245:F258" si="5">B245/158.987</f>
        <v>0</v>
      </c>
      <c r="G245" s="290">
        <f t="shared" ref="G245:G258" si="6">F245*52</f>
        <v>0</v>
      </c>
    </row>
    <row r="246" spans="1:7" ht="15.75" customHeight="1">
      <c r="A246" s="291">
        <v>44766</v>
      </c>
      <c r="C246" s="289"/>
      <c r="D246" s="289"/>
      <c r="E246" s="289"/>
      <c r="F246" s="290">
        <f t="shared" si="5"/>
        <v>0</v>
      </c>
      <c r="G246" s="290">
        <f t="shared" si="6"/>
        <v>0</v>
      </c>
    </row>
    <row r="247" spans="1:7" ht="15.75" customHeight="1">
      <c r="A247" s="291">
        <v>44767</v>
      </c>
      <c r="B247" s="290">
        <v>131.9</v>
      </c>
      <c r="C247" s="289">
        <f>AVERAGE(B247:B251)</f>
        <v>139.35999999999999</v>
      </c>
      <c r="D247" s="289"/>
      <c r="E247" s="289"/>
      <c r="F247" s="290">
        <f t="shared" si="5"/>
        <v>0.82962757961342759</v>
      </c>
      <c r="G247" s="290">
        <f t="shared" si="6"/>
        <v>43.140634139898232</v>
      </c>
    </row>
    <row r="248" spans="1:7" ht="15.75" customHeight="1">
      <c r="A248" s="291">
        <v>44768</v>
      </c>
      <c r="B248" s="290">
        <v>138.51</v>
      </c>
      <c r="C248" s="289"/>
      <c r="D248" s="289"/>
      <c r="E248" s="289"/>
      <c r="F248" s="290">
        <f t="shared" si="5"/>
        <v>0.87120330593067352</v>
      </c>
      <c r="G248" s="290">
        <f t="shared" si="6"/>
        <v>45.302571908395024</v>
      </c>
    </row>
    <row r="249" spans="1:7" ht="15.75" customHeight="1">
      <c r="A249" s="291">
        <v>44769</v>
      </c>
      <c r="B249" s="290">
        <v>138.6</v>
      </c>
      <c r="C249" s="289"/>
      <c r="D249" s="289"/>
      <c r="E249" s="289"/>
      <c r="F249" s="290">
        <f t="shared" si="5"/>
        <v>0.87176938995012165</v>
      </c>
      <c r="G249" s="290">
        <f t="shared" si="6"/>
        <v>45.332008277406324</v>
      </c>
    </row>
    <row r="250" spans="1:7" ht="15.75" customHeight="1">
      <c r="A250" s="291">
        <v>44770</v>
      </c>
      <c r="B250" s="290">
        <v>144.91999999999999</v>
      </c>
      <c r="C250" s="289"/>
      <c r="D250" s="289"/>
      <c r="E250" s="289"/>
      <c r="F250" s="290">
        <f t="shared" si="5"/>
        <v>0.9115210677602571</v>
      </c>
      <c r="G250" s="290">
        <f t="shared" si="6"/>
        <v>47.399095523533369</v>
      </c>
    </row>
    <row r="251" spans="1:7" ht="15.75" customHeight="1">
      <c r="A251" s="291">
        <v>44771</v>
      </c>
      <c r="B251" s="290">
        <v>142.87</v>
      </c>
      <c r="C251" s="289"/>
      <c r="D251" s="289"/>
      <c r="E251" s="289"/>
      <c r="F251" s="290">
        <f t="shared" si="5"/>
        <v>0.89862693176171637</v>
      </c>
      <c r="G251" s="290">
        <f t="shared" si="6"/>
        <v>46.728600451609253</v>
      </c>
    </row>
    <row r="252" spans="1:7" ht="15.75" customHeight="1">
      <c r="A252" s="291">
        <v>44772</v>
      </c>
      <c r="C252" s="289"/>
      <c r="D252" s="289"/>
      <c r="E252" s="289"/>
      <c r="F252" s="290">
        <f t="shared" si="5"/>
        <v>0</v>
      </c>
      <c r="G252" s="290">
        <f t="shared" si="6"/>
        <v>0</v>
      </c>
    </row>
    <row r="253" spans="1:7" ht="15.75" customHeight="1">
      <c r="A253" s="291">
        <v>44773</v>
      </c>
      <c r="C253" s="289"/>
      <c r="D253" s="289"/>
      <c r="E253" s="289"/>
      <c r="F253" s="290">
        <f t="shared" si="5"/>
        <v>0</v>
      </c>
      <c r="G253" s="290">
        <f t="shared" si="6"/>
        <v>0</v>
      </c>
    </row>
    <row r="254" spans="1:7" ht="15.75" customHeight="1">
      <c r="A254" s="291">
        <v>44774</v>
      </c>
      <c r="B254" s="290">
        <v>138.13</v>
      </c>
      <c r="C254" s="289">
        <f>AVERAGE(B254:B258)</f>
        <v>133.81</v>
      </c>
      <c r="D254" s="289">
        <f>AVERAGE(B254:B283)</f>
        <v>133.81</v>
      </c>
      <c r="E254" s="289"/>
      <c r="F254" s="290">
        <f t="shared" si="5"/>
        <v>0.86881317340411479</v>
      </c>
      <c r="G254" s="290">
        <f t="shared" si="6"/>
        <v>45.17828501701397</v>
      </c>
    </row>
    <row r="255" spans="1:7" ht="15.75" customHeight="1">
      <c r="A255" s="291">
        <v>44775</v>
      </c>
      <c r="B255" s="290">
        <v>133.11000000000001</v>
      </c>
      <c r="C255" s="289"/>
      <c r="D255" s="289"/>
      <c r="E255" s="289"/>
      <c r="F255" s="290">
        <f t="shared" si="5"/>
        <v>0.83723826476378582</v>
      </c>
      <c r="G255" s="290">
        <f t="shared" si="6"/>
        <v>43.536389767716862</v>
      </c>
    </row>
    <row r="256" spans="1:7" ht="15.75" customHeight="1">
      <c r="A256" s="291">
        <v>44776</v>
      </c>
      <c r="B256" s="290">
        <v>132.41</v>
      </c>
      <c r="C256" s="289"/>
      <c r="D256" s="289"/>
      <c r="E256" s="289"/>
      <c r="F256" s="290">
        <f t="shared" si="5"/>
        <v>0.83283538905696697</v>
      </c>
      <c r="G256" s="290">
        <f t="shared" si="6"/>
        <v>43.307440230962285</v>
      </c>
    </row>
    <row r="257" spans="1:7" ht="15.75" customHeight="1">
      <c r="A257" s="291">
        <v>44777</v>
      </c>
      <c r="B257" s="290">
        <v>135.07</v>
      </c>
      <c r="C257" s="289"/>
      <c r="D257" s="289"/>
      <c r="E257" s="289"/>
      <c r="F257" s="290">
        <f t="shared" si="5"/>
        <v>0.8495663167428783</v>
      </c>
      <c r="G257" s="290">
        <f t="shared" si="6"/>
        <v>44.17744847062967</v>
      </c>
    </row>
    <row r="258" spans="1:7" ht="15.75" customHeight="1">
      <c r="A258" s="291">
        <v>44778</v>
      </c>
      <c r="B258" s="290">
        <v>130.33000000000001</v>
      </c>
      <c r="C258" s="289"/>
      <c r="D258" s="289"/>
      <c r="E258" s="289"/>
      <c r="F258" s="290">
        <f t="shared" si="5"/>
        <v>0.81975255838527694</v>
      </c>
      <c r="G258" s="290">
        <f t="shared" si="6"/>
        <v>42.627133036034401</v>
      </c>
    </row>
    <row r="259" spans="1:7" ht="15.75" customHeight="1">
      <c r="A259" s="291">
        <v>44779</v>
      </c>
      <c r="C259" s="289"/>
      <c r="D259" s="289"/>
      <c r="E259" s="289"/>
    </row>
    <row r="260" spans="1:7" ht="15.75" customHeight="1">
      <c r="A260" s="291">
        <v>44780</v>
      </c>
      <c r="C260" s="289"/>
      <c r="D260" s="289"/>
      <c r="E260" s="289"/>
    </row>
    <row r="261" spans="1:7" ht="15.75" customHeight="1">
      <c r="A261" s="291">
        <v>44781</v>
      </c>
      <c r="C261" s="289"/>
      <c r="D261" s="289"/>
      <c r="E261" s="289"/>
    </row>
    <row r="262" spans="1:7" ht="15.75" customHeight="1">
      <c r="A262" s="291">
        <v>44782</v>
      </c>
      <c r="C262" s="289"/>
      <c r="D262" s="289"/>
      <c r="E262" s="289"/>
    </row>
    <row r="263" spans="1:7" ht="15.75" customHeight="1">
      <c r="A263" s="291">
        <v>44783</v>
      </c>
      <c r="C263" s="289"/>
      <c r="D263" s="289"/>
      <c r="E263" s="289"/>
    </row>
    <row r="264" spans="1:7" ht="15.75" customHeight="1">
      <c r="A264" s="291">
        <v>44784</v>
      </c>
      <c r="C264" s="289"/>
      <c r="D264" s="289"/>
      <c r="E264" s="289"/>
    </row>
    <row r="265" spans="1:7" ht="15.75" customHeight="1">
      <c r="A265" s="291">
        <v>44785</v>
      </c>
      <c r="C265" s="289"/>
      <c r="D265" s="289"/>
      <c r="E265" s="289"/>
    </row>
    <row r="266" spans="1:7" ht="15.75" customHeight="1">
      <c r="A266" s="291">
        <v>44786</v>
      </c>
      <c r="C266" s="289"/>
      <c r="D266" s="289"/>
      <c r="E266" s="289"/>
    </row>
    <row r="267" spans="1:7" ht="15.75" customHeight="1">
      <c r="A267" s="291">
        <v>44787</v>
      </c>
      <c r="C267" s="289"/>
      <c r="D267" s="289"/>
      <c r="E267" s="289"/>
    </row>
    <row r="268" spans="1:7" ht="15.75" customHeight="1">
      <c r="A268" s="291">
        <v>44788</v>
      </c>
      <c r="C268" s="289"/>
      <c r="D268" s="289"/>
      <c r="E268" s="289"/>
    </row>
    <row r="269" spans="1:7" ht="15.75" customHeight="1">
      <c r="A269" s="291">
        <v>44789</v>
      </c>
      <c r="C269" s="289"/>
      <c r="D269" s="289"/>
      <c r="E269" s="289"/>
    </row>
    <row r="270" spans="1:7" ht="15.75" customHeight="1">
      <c r="A270" s="291">
        <v>44790</v>
      </c>
      <c r="C270" s="289"/>
      <c r="D270" s="289"/>
      <c r="E270" s="289"/>
    </row>
    <row r="271" spans="1:7" ht="15.75" customHeight="1">
      <c r="A271" s="291">
        <v>44791</v>
      </c>
      <c r="C271" s="289"/>
      <c r="D271" s="289"/>
      <c r="E271" s="289"/>
    </row>
    <row r="272" spans="1:7" ht="15.75" customHeight="1">
      <c r="A272" s="291">
        <v>44792</v>
      </c>
      <c r="C272" s="289"/>
      <c r="D272" s="289"/>
      <c r="E272" s="289"/>
    </row>
    <row r="273" spans="1:5" ht="15.75" customHeight="1">
      <c r="A273" s="291">
        <v>44793</v>
      </c>
      <c r="C273" s="289"/>
      <c r="D273" s="289"/>
      <c r="E273" s="289"/>
    </row>
    <row r="274" spans="1:5" ht="15.75" customHeight="1">
      <c r="A274" s="291">
        <v>44794</v>
      </c>
      <c r="C274" s="289"/>
      <c r="D274" s="289"/>
      <c r="E274" s="289"/>
    </row>
    <row r="275" spans="1:5" ht="15.75" customHeight="1">
      <c r="A275" s="291">
        <v>44795</v>
      </c>
      <c r="C275" s="289"/>
      <c r="D275" s="289"/>
      <c r="E275" s="289"/>
    </row>
    <row r="276" spans="1:5" ht="15.75" customHeight="1">
      <c r="A276" s="291">
        <v>44796</v>
      </c>
      <c r="C276" s="289"/>
      <c r="D276" s="289"/>
      <c r="E276" s="289"/>
    </row>
    <row r="277" spans="1:5" ht="15.75" customHeight="1">
      <c r="A277" s="291">
        <v>44797</v>
      </c>
      <c r="C277" s="289"/>
      <c r="D277" s="289"/>
      <c r="E277" s="289"/>
    </row>
    <row r="278" spans="1:5" ht="15.75" customHeight="1">
      <c r="A278" s="291">
        <v>44798</v>
      </c>
      <c r="C278" s="289"/>
      <c r="D278" s="289"/>
      <c r="E278" s="289"/>
    </row>
    <row r="279" spans="1:5" ht="15.75" customHeight="1">
      <c r="A279" s="291">
        <v>44799</v>
      </c>
      <c r="C279" s="289"/>
      <c r="D279" s="289"/>
      <c r="E279" s="289"/>
    </row>
    <row r="280" spans="1:5" ht="15.75" customHeight="1">
      <c r="A280" s="291">
        <v>44800</v>
      </c>
      <c r="C280" s="289"/>
      <c r="D280" s="289"/>
      <c r="E280" s="289"/>
    </row>
    <row r="281" spans="1:5" ht="15.75" customHeight="1">
      <c r="A281" s="291">
        <v>44801</v>
      </c>
      <c r="C281" s="289"/>
      <c r="D281" s="289"/>
      <c r="E281" s="289"/>
    </row>
    <row r="282" spans="1:5" ht="15.75" customHeight="1">
      <c r="A282" s="291">
        <v>44802</v>
      </c>
      <c r="C282" s="289"/>
      <c r="D282" s="289"/>
      <c r="E282" s="289"/>
    </row>
    <row r="283" spans="1:5" ht="15.75" customHeight="1">
      <c r="A283" s="291">
        <v>44803</v>
      </c>
      <c r="C283" s="289"/>
      <c r="D283" s="289"/>
      <c r="E283" s="289"/>
    </row>
    <row r="284" spans="1:5" ht="15.75" customHeight="1">
      <c r="A284" s="291">
        <v>44804</v>
      </c>
      <c r="C284" s="289"/>
      <c r="D284" s="289"/>
      <c r="E284" s="289"/>
    </row>
    <row r="285" spans="1:5" ht="15.75" customHeight="1">
      <c r="A285" s="291">
        <v>44805</v>
      </c>
      <c r="C285" s="289"/>
      <c r="D285" s="289"/>
      <c r="E285" s="289"/>
    </row>
    <row r="286" spans="1:5" ht="15.75" customHeight="1">
      <c r="A286" s="291">
        <v>44806</v>
      </c>
      <c r="C286" s="289"/>
      <c r="D286" s="289"/>
      <c r="E286" s="289"/>
    </row>
    <row r="287" spans="1:5" ht="15.75" customHeight="1">
      <c r="A287" s="291">
        <v>44807</v>
      </c>
      <c r="C287" s="289"/>
      <c r="D287" s="289"/>
      <c r="E287" s="289"/>
    </row>
    <row r="288" spans="1:5" ht="15.75" customHeight="1">
      <c r="A288" s="291">
        <v>44808</v>
      </c>
      <c r="C288" s="289"/>
      <c r="D288" s="289"/>
      <c r="E288" s="289"/>
    </row>
    <row r="289" spans="1:5" ht="15.75" customHeight="1">
      <c r="A289" s="291">
        <v>44809</v>
      </c>
      <c r="C289" s="289"/>
      <c r="D289" s="289"/>
      <c r="E289" s="289"/>
    </row>
    <row r="290" spans="1:5" ht="15.75" customHeight="1">
      <c r="A290" s="291">
        <v>44810</v>
      </c>
      <c r="C290" s="289"/>
      <c r="D290" s="289"/>
      <c r="E290" s="289"/>
    </row>
    <row r="291" spans="1:5" ht="15.75" customHeight="1">
      <c r="A291" s="291">
        <v>44811</v>
      </c>
      <c r="C291" s="289"/>
      <c r="D291" s="289"/>
      <c r="E291" s="289"/>
    </row>
    <row r="292" spans="1:5" ht="15.75" customHeight="1">
      <c r="A292" s="291">
        <v>44812</v>
      </c>
      <c r="C292" s="289"/>
      <c r="D292" s="289"/>
      <c r="E292" s="289"/>
    </row>
    <row r="293" spans="1:5" ht="15.75" customHeight="1">
      <c r="A293" s="291">
        <v>44813</v>
      </c>
      <c r="C293" s="289"/>
      <c r="D293" s="289"/>
      <c r="E293" s="289"/>
    </row>
    <row r="294" spans="1:5" ht="15.75" customHeight="1">
      <c r="A294" s="291">
        <v>44814</v>
      </c>
      <c r="C294" s="289"/>
      <c r="D294" s="289"/>
      <c r="E294" s="289"/>
    </row>
    <row r="295" spans="1:5" ht="15.75" customHeight="1">
      <c r="A295" s="291">
        <v>44815</v>
      </c>
      <c r="C295" s="289"/>
      <c r="D295" s="289"/>
      <c r="E295" s="289"/>
    </row>
    <row r="296" spans="1:5" ht="15.75" customHeight="1">
      <c r="A296" s="291">
        <v>44816</v>
      </c>
      <c r="C296" s="289"/>
      <c r="D296" s="289"/>
      <c r="E296" s="289"/>
    </row>
    <row r="297" spans="1:5" ht="15.75" customHeight="1">
      <c r="A297" s="291">
        <v>44817</v>
      </c>
      <c r="C297" s="289"/>
      <c r="D297" s="289"/>
      <c r="E297" s="289"/>
    </row>
    <row r="298" spans="1:5" ht="15.75" customHeight="1">
      <c r="A298" s="291">
        <v>44818</v>
      </c>
      <c r="C298" s="289"/>
      <c r="D298" s="289"/>
      <c r="E298" s="289"/>
    </row>
    <row r="299" spans="1:5" ht="15.75" customHeight="1">
      <c r="A299" s="291">
        <v>44819</v>
      </c>
      <c r="C299" s="289"/>
      <c r="D299" s="289"/>
      <c r="E299" s="289"/>
    </row>
    <row r="300" spans="1:5" ht="15.75" customHeight="1">
      <c r="A300" s="291">
        <v>44820</v>
      </c>
      <c r="C300" s="289"/>
      <c r="D300" s="289"/>
      <c r="E300" s="289"/>
    </row>
    <row r="301" spans="1:5" ht="15.75" customHeight="1">
      <c r="A301" s="291">
        <v>44821</v>
      </c>
      <c r="C301" s="289"/>
      <c r="D301" s="289"/>
      <c r="E301" s="289"/>
    </row>
    <row r="302" spans="1:5" ht="15.75" customHeight="1">
      <c r="A302" s="291">
        <v>44822</v>
      </c>
      <c r="C302" s="289"/>
      <c r="D302" s="289"/>
      <c r="E302" s="289"/>
    </row>
    <row r="303" spans="1:5" ht="15.75" customHeight="1">
      <c r="A303" s="291">
        <v>44823</v>
      </c>
      <c r="C303" s="289"/>
      <c r="D303" s="289"/>
      <c r="E303" s="289"/>
    </row>
    <row r="304" spans="1:5" ht="15.75" customHeight="1">
      <c r="A304" s="291">
        <v>44824</v>
      </c>
      <c r="C304" s="289"/>
      <c r="D304" s="289"/>
      <c r="E304" s="289"/>
    </row>
    <row r="305" spans="1:5" ht="15.75" customHeight="1">
      <c r="A305" s="291">
        <v>44825</v>
      </c>
      <c r="C305" s="289"/>
      <c r="D305" s="289"/>
      <c r="E305" s="289"/>
    </row>
    <row r="306" spans="1:5" ht="15.75" customHeight="1">
      <c r="A306" s="291">
        <v>44826</v>
      </c>
      <c r="C306" s="289"/>
      <c r="D306" s="289"/>
      <c r="E306" s="289"/>
    </row>
    <row r="307" spans="1:5" ht="15.75" customHeight="1">
      <c r="A307" s="291">
        <v>44827</v>
      </c>
      <c r="C307" s="289"/>
      <c r="D307" s="289"/>
      <c r="E307" s="289"/>
    </row>
    <row r="308" spans="1:5" ht="15.75" customHeight="1">
      <c r="A308" s="291">
        <v>44828</v>
      </c>
      <c r="C308" s="289"/>
      <c r="D308" s="289"/>
      <c r="E308" s="289"/>
    </row>
    <row r="309" spans="1:5" ht="15.75" customHeight="1">
      <c r="A309" s="291">
        <v>44829</v>
      </c>
      <c r="C309" s="289"/>
      <c r="D309" s="289"/>
      <c r="E309" s="289"/>
    </row>
    <row r="310" spans="1:5" ht="15.75" customHeight="1">
      <c r="A310" s="291">
        <v>44830</v>
      </c>
      <c r="C310" s="289"/>
      <c r="D310" s="289"/>
      <c r="E310" s="289"/>
    </row>
    <row r="311" spans="1:5" ht="15.75" customHeight="1">
      <c r="A311" s="291">
        <v>44831</v>
      </c>
      <c r="C311" s="289"/>
      <c r="D311" s="289"/>
      <c r="E311" s="289"/>
    </row>
    <row r="312" spans="1:5" ht="15.75" customHeight="1">
      <c r="A312" s="291">
        <v>44832</v>
      </c>
      <c r="C312" s="289"/>
      <c r="D312" s="289"/>
      <c r="E312" s="289"/>
    </row>
    <row r="313" spans="1:5" ht="15.75" customHeight="1">
      <c r="A313" s="291">
        <v>44833</v>
      </c>
      <c r="C313" s="289"/>
      <c r="D313" s="289"/>
      <c r="E313" s="289"/>
    </row>
    <row r="314" spans="1:5" ht="15.75" customHeight="1">
      <c r="A314" s="291">
        <v>44834</v>
      </c>
      <c r="C314" s="289"/>
      <c r="D314" s="289"/>
      <c r="E314" s="289"/>
    </row>
    <row r="315" spans="1:5" ht="15.75" customHeight="1">
      <c r="A315" s="291">
        <v>44835</v>
      </c>
      <c r="C315" s="289"/>
      <c r="D315" s="289"/>
      <c r="E315" s="289"/>
    </row>
    <row r="316" spans="1:5" ht="15.75" customHeight="1">
      <c r="A316" s="291">
        <v>44836</v>
      </c>
      <c r="C316" s="289"/>
      <c r="D316" s="289"/>
      <c r="E316" s="289"/>
    </row>
    <row r="317" spans="1:5" ht="15.75" customHeight="1">
      <c r="A317" s="291">
        <v>44837</v>
      </c>
      <c r="C317" s="289"/>
      <c r="D317" s="289"/>
      <c r="E317" s="289"/>
    </row>
    <row r="318" spans="1:5" ht="15.75" customHeight="1">
      <c r="A318" s="291">
        <v>44838</v>
      </c>
      <c r="C318" s="289"/>
      <c r="D318" s="289"/>
      <c r="E318" s="289"/>
    </row>
    <row r="319" spans="1:5" ht="15.75" customHeight="1">
      <c r="A319" s="291">
        <v>44839</v>
      </c>
      <c r="C319" s="289"/>
      <c r="D319" s="289"/>
      <c r="E319" s="289"/>
    </row>
    <row r="320" spans="1:5" ht="15.75" customHeight="1">
      <c r="A320" s="291">
        <v>44840</v>
      </c>
      <c r="C320" s="289"/>
      <c r="D320" s="289"/>
      <c r="E320" s="289"/>
    </row>
    <row r="321" spans="1:5" ht="15.75" customHeight="1">
      <c r="A321" s="291">
        <v>44841</v>
      </c>
      <c r="C321" s="289"/>
      <c r="D321" s="289"/>
      <c r="E321" s="289"/>
    </row>
    <row r="322" spans="1:5" ht="15.75" customHeight="1">
      <c r="A322" s="291">
        <v>44842</v>
      </c>
      <c r="C322" s="289"/>
      <c r="D322" s="289"/>
      <c r="E322" s="289"/>
    </row>
    <row r="323" spans="1:5" ht="15.75" customHeight="1">
      <c r="A323" s="291">
        <v>44843</v>
      </c>
      <c r="C323" s="289"/>
      <c r="D323" s="289"/>
      <c r="E323" s="289"/>
    </row>
    <row r="324" spans="1:5" ht="15.75" customHeight="1">
      <c r="A324" s="291">
        <v>44844</v>
      </c>
      <c r="C324" s="289"/>
      <c r="D324" s="289"/>
      <c r="E324" s="289"/>
    </row>
    <row r="325" spans="1:5" ht="15.75" customHeight="1">
      <c r="A325" s="291">
        <v>44845</v>
      </c>
      <c r="C325" s="289"/>
      <c r="D325" s="289"/>
      <c r="E325" s="289"/>
    </row>
    <row r="326" spans="1:5" ht="15.75" customHeight="1">
      <c r="A326" s="291">
        <v>44846</v>
      </c>
      <c r="C326" s="289"/>
      <c r="D326" s="289"/>
      <c r="E326" s="289"/>
    </row>
    <row r="327" spans="1:5" ht="15.75" customHeight="1">
      <c r="A327" s="291">
        <v>44847</v>
      </c>
      <c r="C327" s="289"/>
      <c r="D327" s="289"/>
      <c r="E327" s="289"/>
    </row>
    <row r="328" spans="1:5" ht="15.75" customHeight="1">
      <c r="A328" s="291">
        <v>44848</v>
      </c>
      <c r="C328" s="289"/>
      <c r="D328" s="289"/>
      <c r="E328" s="289"/>
    </row>
    <row r="329" spans="1:5" ht="15.75" customHeight="1">
      <c r="A329" s="291">
        <v>44849</v>
      </c>
      <c r="C329" s="289"/>
      <c r="D329" s="289"/>
      <c r="E329" s="289"/>
    </row>
    <row r="330" spans="1:5" ht="15.75" customHeight="1">
      <c r="A330" s="291">
        <v>44850</v>
      </c>
      <c r="C330" s="289"/>
      <c r="D330" s="289"/>
      <c r="E330" s="289"/>
    </row>
    <row r="331" spans="1:5" ht="15.75" customHeight="1">
      <c r="A331" s="291">
        <v>44851</v>
      </c>
      <c r="C331" s="289"/>
      <c r="D331" s="289"/>
      <c r="E331" s="289"/>
    </row>
    <row r="332" spans="1:5" ht="15.75" customHeight="1">
      <c r="A332" s="291">
        <v>44852</v>
      </c>
      <c r="C332" s="289"/>
      <c r="D332" s="289"/>
      <c r="E332" s="289"/>
    </row>
    <row r="333" spans="1:5" ht="15.75" customHeight="1">
      <c r="A333" s="291">
        <v>44853</v>
      </c>
      <c r="C333" s="289"/>
      <c r="D333" s="289"/>
      <c r="E333" s="289"/>
    </row>
    <row r="334" spans="1:5" ht="15.75" customHeight="1">
      <c r="A334" s="291">
        <v>44854</v>
      </c>
      <c r="C334" s="289"/>
      <c r="D334" s="289"/>
      <c r="E334" s="289"/>
    </row>
    <row r="335" spans="1:5" ht="15.75" customHeight="1">
      <c r="A335" s="291">
        <v>44855</v>
      </c>
      <c r="C335" s="289"/>
      <c r="D335" s="289"/>
      <c r="E335" s="289"/>
    </row>
    <row r="336" spans="1:5" ht="15.75" customHeight="1">
      <c r="A336" s="291">
        <v>44856</v>
      </c>
      <c r="C336" s="289"/>
      <c r="D336" s="289"/>
      <c r="E336" s="289"/>
    </row>
    <row r="337" spans="1:5" ht="15.75" customHeight="1">
      <c r="A337" s="291">
        <v>44857</v>
      </c>
      <c r="C337" s="289"/>
      <c r="D337" s="289"/>
      <c r="E337" s="289"/>
    </row>
    <row r="338" spans="1:5" ht="15.75" customHeight="1">
      <c r="A338" s="291">
        <v>44858</v>
      </c>
      <c r="C338" s="289"/>
      <c r="D338" s="289"/>
      <c r="E338" s="289"/>
    </row>
    <row r="339" spans="1:5" ht="15.75" customHeight="1">
      <c r="A339" s="291">
        <v>44859</v>
      </c>
      <c r="C339" s="289"/>
      <c r="D339" s="289"/>
      <c r="E339" s="289"/>
    </row>
    <row r="340" spans="1:5" ht="15.75" customHeight="1">
      <c r="A340" s="291">
        <v>44860</v>
      </c>
      <c r="C340" s="289"/>
      <c r="D340" s="289"/>
      <c r="E340" s="289"/>
    </row>
    <row r="341" spans="1:5" ht="15.75" customHeight="1">
      <c r="A341" s="291">
        <v>44861</v>
      </c>
      <c r="C341" s="289"/>
      <c r="D341" s="289"/>
      <c r="E341" s="289"/>
    </row>
    <row r="342" spans="1:5" ht="15.75" customHeight="1">
      <c r="A342" s="291">
        <v>44862</v>
      </c>
      <c r="C342" s="289"/>
      <c r="D342" s="289"/>
      <c r="E342" s="289"/>
    </row>
    <row r="343" spans="1:5" ht="15.75" customHeight="1">
      <c r="A343" s="291">
        <v>44863</v>
      </c>
      <c r="C343" s="289"/>
      <c r="D343" s="289"/>
      <c r="E343" s="289"/>
    </row>
    <row r="344" spans="1:5" ht="15.75" customHeight="1">
      <c r="A344" s="291">
        <v>44864</v>
      </c>
      <c r="C344" s="289"/>
      <c r="D344" s="289"/>
      <c r="E344" s="289"/>
    </row>
    <row r="345" spans="1:5" ht="15.75" customHeight="1">
      <c r="A345" s="291">
        <v>44865</v>
      </c>
      <c r="C345" s="289"/>
      <c r="D345" s="289"/>
      <c r="E345" s="289"/>
    </row>
    <row r="346" spans="1:5" ht="15.75" customHeight="1">
      <c r="A346" s="291">
        <v>44866</v>
      </c>
      <c r="C346" s="289"/>
      <c r="D346" s="289"/>
      <c r="E346" s="289"/>
    </row>
    <row r="347" spans="1:5" ht="15.75" customHeight="1">
      <c r="A347" s="291">
        <v>44867</v>
      </c>
      <c r="C347" s="289"/>
      <c r="D347" s="289"/>
      <c r="E347" s="289"/>
    </row>
    <row r="348" spans="1:5" ht="15.75" customHeight="1">
      <c r="A348" s="291">
        <v>44868</v>
      </c>
      <c r="C348" s="289"/>
      <c r="D348" s="289"/>
      <c r="E348" s="289"/>
    </row>
    <row r="349" spans="1:5" ht="15.75" customHeight="1">
      <c r="A349" s="291">
        <v>44869</v>
      </c>
      <c r="C349" s="289"/>
      <c r="D349" s="289"/>
      <c r="E349" s="289"/>
    </row>
    <row r="350" spans="1:5" ht="15.75" customHeight="1">
      <c r="A350" s="291">
        <v>44870</v>
      </c>
      <c r="C350" s="289"/>
      <c r="D350" s="289"/>
      <c r="E350" s="289"/>
    </row>
    <row r="351" spans="1:5" ht="15.75" customHeight="1">
      <c r="A351" s="291">
        <v>44871</v>
      </c>
      <c r="C351" s="289"/>
      <c r="D351" s="289"/>
      <c r="E351" s="289"/>
    </row>
    <row r="352" spans="1:5" ht="15.75" customHeight="1">
      <c r="A352" s="291">
        <v>44872</v>
      </c>
      <c r="C352" s="289"/>
      <c r="D352" s="289"/>
      <c r="E352" s="289"/>
    </row>
    <row r="353" spans="1:5" ht="15.75" customHeight="1">
      <c r="A353" s="291">
        <v>44873</v>
      </c>
      <c r="C353" s="289"/>
      <c r="D353" s="289"/>
      <c r="E353" s="289"/>
    </row>
    <row r="354" spans="1:5" ht="15.75" customHeight="1">
      <c r="A354" s="291">
        <v>44874</v>
      </c>
      <c r="C354" s="289"/>
      <c r="D354" s="289"/>
      <c r="E354" s="289"/>
    </row>
    <row r="355" spans="1:5" ht="15.75" customHeight="1">
      <c r="A355" s="291">
        <v>44875</v>
      </c>
      <c r="C355" s="289"/>
      <c r="D355" s="289"/>
      <c r="E355" s="289"/>
    </row>
    <row r="356" spans="1:5" ht="15.75" customHeight="1">
      <c r="A356" s="291">
        <v>44876</v>
      </c>
      <c r="C356" s="289"/>
      <c r="D356" s="289"/>
      <c r="E356" s="289"/>
    </row>
    <row r="357" spans="1:5" ht="15.75" customHeight="1">
      <c r="A357" s="291">
        <v>44877</v>
      </c>
      <c r="C357" s="289"/>
      <c r="D357" s="289"/>
      <c r="E357" s="289"/>
    </row>
    <row r="358" spans="1:5" ht="15.75" customHeight="1">
      <c r="A358" s="291">
        <v>44878</v>
      </c>
      <c r="C358" s="289"/>
      <c r="D358" s="289"/>
      <c r="E358" s="289"/>
    </row>
    <row r="359" spans="1:5" ht="15.75" customHeight="1">
      <c r="A359" s="291">
        <v>44879</v>
      </c>
      <c r="C359" s="289"/>
      <c r="D359" s="289"/>
      <c r="E359" s="289"/>
    </row>
    <row r="360" spans="1:5" ht="15.75" customHeight="1">
      <c r="A360" s="291">
        <v>44880</v>
      </c>
      <c r="C360" s="289"/>
      <c r="D360" s="289"/>
      <c r="E360" s="289"/>
    </row>
    <row r="361" spans="1:5" ht="15.75" customHeight="1">
      <c r="A361" s="291">
        <v>44881</v>
      </c>
      <c r="C361" s="289"/>
      <c r="D361" s="289"/>
      <c r="E361" s="289"/>
    </row>
    <row r="362" spans="1:5" ht="15.75" customHeight="1">
      <c r="A362" s="291">
        <v>44882</v>
      </c>
      <c r="C362" s="289"/>
      <c r="D362" s="289"/>
      <c r="E362" s="289"/>
    </row>
    <row r="363" spans="1:5" ht="15.75" customHeight="1">
      <c r="A363" s="291">
        <v>44883</v>
      </c>
      <c r="C363" s="289"/>
      <c r="D363" s="289"/>
      <c r="E363" s="289"/>
    </row>
    <row r="364" spans="1:5" ht="15.75" customHeight="1">
      <c r="A364" s="291">
        <v>44884</v>
      </c>
      <c r="C364" s="289"/>
      <c r="D364" s="289"/>
      <c r="E364" s="289"/>
    </row>
    <row r="365" spans="1:5" ht="15.75" customHeight="1">
      <c r="A365" s="291">
        <v>44885</v>
      </c>
      <c r="C365" s="289"/>
      <c r="D365" s="289"/>
      <c r="E365" s="289"/>
    </row>
    <row r="366" spans="1:5" ht="15.75" customHeight="1">
      <c r="A366" s="291">
        <v>44886</v>
      </c>
      <c r="C366" s="289"/>
      <c r="D366" s="289"/>
      <c r="E366" s="289"/>
    </row>
    <row r="367" spans="1:5" ht="15.75" customHeight="1">
      <c r="A367" s="291">
        <v>44887</v>
      </c>
      <c r="C367" s="289"/>
      <c r="D367" s="289"/>
      <c r="E367" s="289"/>
    </row>
    <row r="368" spans="1:5" ht="15.75" customHeight="1">
      <c r="A368" s="291">
        <v>44888</v>
      </c>
      <c r="C368" s="289"/>
      <c r="D368" s="289"/>
      <c r="E368" s="289"/>
    </row>
    <row r="369" spans="1:5" ht="15.75" customHeight="1">
      <c r="A369" s="291">
        <v>44889</v>
      </c>
      <c r="C369" s="289"/>
      <c r="D369" s="289"/>
      <c r="E369" s="289"/>
    </row>
    <row r="370" spans="1:5" ht="15.75" customHeight="1">
      <c r="A370" s="291">
        <v>44890</v>
      </c>
      <c r="C370" s="289"/>
      <c r="D370" s="289"/>
      <c r="E370" s="289"/>
    </row>
    <row r="371" spans="1:5" ht="15.75" customHeight="1">
      <c r="A371" s="291">
        <v>44891</v>
      </c>
      <c r="C371" s="289"/>
      <c r="D371" s="289"/>
      <c r="E371" s="289"/>
    </row>
    <row r="372" spans="1:5" ht="15.75" customHeight="1">
      <c r="A372" s="291">
        <v>44892</v>
      </c>
      <c r="C372" s="289"/>
      <c r="D372" s="289"/>
      <c r="E372" s="289"/>
    </row>
    <row r="373" spans="1:5" ht="15.75" customHeight="1">
      <c r="A373" s="291">
        <v>44893</v>
      </c>
      <c r="C373" s="289"/>
      <c r="D373" s="289"/>
      <c r="E373" s="289"/>
    </row>
    <row r="374" spans="1:5" ht="15.75" customHeight="1">
      <c r="A374" s="291">
        <v>44894</v>
      </c>
      <c r="C374" s="289"/>
      <c r="D374" s="289"/>
      <c r="E374" s="289"/>
    </row>
    <row r="375" spans="1:5" ht="15.75" customHeight="1">
      <c r="A375" s="291">
        <v>44895</v>
      </c>
      <c r="C375" s="289"/>
      <c r="D375" s="289"/>
      <c r="E375" s="289"/>
    </row>
    <row r="376" spans="1:5" ht="15.75" customHeight="1">
      <c r="A376" s="291">
        <v>44896</v>
      </c>
      <c r="C376" s="289"/>
      <c r="D376" s="289"/>
      <c r="E376" s="289"/>
    </row>
    <row r="377" spans="1:5" ht="15.75" customHeight="1">
      <c r="A377" s="291">
        <v>44897</v>
      </c>
      <c r="C377" s="289"/>
      <c r="D377" s="289"/>
      <c r="E377" s="289"/>
    </row>
    <row r="378" spans="1:5" ht="15.75" customHeight="1">
      <c r="A378" s="291">
        <v>44898</v>
      </c>
      <c r="C378" s="289"/>
      <c r="D378" s="289"/>
      <c r="E378" s="289"/>
    </row>
    <row r="379" spans="1:5" ht="15.75" customHeight="1">
      <c r="A379" s="291">
        <v>44899</v>
      </c>
      <c r="C379" s="289"/>
      <c r="D379" s="289"/>
      <c r="E379" s="289"/>
    </row>
    <row r="380" spans="1:5" ht="15.75" customHeight="1">
      <c r="A380" s="291">
        <v>44900</v>
      </c>
      <c r="C380" s="289"/>
      <c r="D380" s="289"/>
      <c r="E380" s="289"/>
    </row>
    <row r="381" spans="1:5" ht="15.75" customHeight="1">
      <c r="A381" s="291">
        <v>44901</v>
      </c>
      <c r="C381" s="289"/>
      <c r="D381" s="289"/>
      <c r="E381" s="289"/>
    </row>
    <row r="382" spans="1:5" ht="15.75" customHeight="1">
      <c r="A382" s="291">
        <v>44902</v>
      </c>
      <c r="C382" s="289"/>
      <c r="D382" s="289"/>
      <c r="E382" s="289"/>
    </row>
    <row r="383" spans="1:5" ht="15.75" customHeight="1">
      <c r="A383" s="291">
        <v>44903</v>
      </c>
      <c r="C383" s="289"/>
      <c r="D383" s="289"/>
      <c r="E383" s="289"/>
    </row>
    <row r="384" spans="1:5" ht="15.75" customHeight="1">
      <c r="A384" s="291">
        <v>44904</v>
      </c>
      <c r="C384" s="289"/>
      <c r="D384" s="289"/>
      <c r="E384" s="289"/>
    </row>
    <row r="385" spans="1:5" ht="15.75" customHeight="1">
      <c r="A385" s="291">
        <v>44905</v>
      </c>
      <c r="C385" s="289"/>
      <c r="D385" s="289"/>
      <c r="E385" s="289"/>
    </row>
    <row r="386" spans="1:5" ht="15.75" customHeight="1">
      <c r="A386" s="291">
        <v>44906</v>
      </c>
      <c r="C386" s="289"/>
      <c r="D386" s="289"/>
      <c r="E386" s="289"/>
    </row>
    <row r="387" spans="1:5" ht="15.75" customHeight="1">
      <c r="A387" s="291">
        <v>44907</v>
      </c>
      <c r="C387" s="289"/>
      <c r="D387" s="289"/>
      <c r="E387" s="289"/>
    </row>
    <row r="388" spans="1:5" ht="15.75" customHeight="1">
      <c r="A388" s="291">
        <v>44908</v>
      </c>
      <c r="C388" s="289"/>
      <c r="D388" s="289"/>
      <c r="E388" s="289"/>
    </row>
    <row r="389" spans="1:5" ht="15.75" customHeight="1">
      <c r="A389" s="291">
        <v>44909</v>
      </c>
      <c r="C389" s="289"/>
      <c r="D389" s="289"/>
      <c r="E389" s="289"/>
    </row>
    <row r="390" spans="1:5" ht="15.75" customHeight="1">
      <c r="A390" s="291">
        <v>44910</v>
      </c>
      <c r="C390" s="289"/>
      <c r="D390" s="289"/>
      <c r="E390" s="289"/>
    </row>
    <row r="391" spans="1:5" ht="15.75" customHeight="1">
      <c r="A391" s="291">
        <v>44911</v>
      </c>
      <c r="C391" s="289"/>
      <c r="D391" s="289"/>
      <c r="E391" s="289"/>
    </row>
    <row r="392" spans="1:5" ht="15.75" customHeight="1">
      <c r="A392" s="291">
        <v>44912</v>
      </c>
      <c r="C392" s="289"/>
      <c r="D392" s="289"/>
      <c r="E392" s="289"/>
    </row>
    <row r="393" spans="1:5" ht="15.75" customHeight="1">
      <c r="A393" s="291">
        <v>44913</v>
      </c>
      <c r="C393" s="289"/>
      <c r="D393" s="289"/>
      <c r="E393" s="289"/>
    </row>
    <row r="394" spans="1:5" ht="15.75" customHeight="1">
      <c r="A394" s="291">
        <v>44914</v>
      </c>
      <c r="C394" s="289"/>
      <c r="D394" s="289"/>
      <c r="E394" s="289"/>
    </row>
    <row r="395" spans="1:5" ht="15.75" customHeight="1">
      <c r="A395" s="291">
        <v>44915</v>
      </c>
      <c r="C395" s="289"/>
      <c r="D395" s="289"/>
      <c r="E395" s="289"/>
    </row>
    <row r="396" spans="1:5" ht="15.75" customHeight="1">
      <c r="A396" s="291">
        <v>44916</v>
      </c>
      <c r="C396" s="289"/>
      <c r="D396" s="289"/>
      <c r="E396" s="289"/>
    </row>
    <row r="397" spans="1:5" ht="15.75" customHeight="1">
      <c r="A397" s="291">
        <v>44917</v>
      </c>
      <c r="C397" s="289"/>
      <c r="D397" s="289"/>
      <c r="E397" s="289"/>
    </row>
    <row r="398" spans="1:5" ht="15.75" customHeight="1">
      <c r="A398" s="291">
        <v>44918</v>
      </c>
      <c r="C398" s="289"/>
      <c r="D398" s="289"/>
      <c r="E398" s="289"/>
    </row>
    <row r="399" spans="1:5" ht="15.75" customHeight="1">
      <c r="A399" s="291">
        <v>44919</v>
      </c>
      <c r="C399" s="289"/>
      <c r="D399" s="289"/>
      <c r="E399" s="289"/>
    </row>
    <row r="400" spans="1:5" ht="15.75" customHeight="1">
      <c r="A400" s="291">
        <v>44920</v>
      </c>
      <c r="C400" s="289"/>
      <c r="D400" s="289"/>
      <c r="E400" s="289"/>
    </row>
    <row r="401" spans="1:5" ht="15.75" customHeight="1">
      <c r="A401" s="291">
        <v>44921</v>
      </c>
      <c r="C401" s="289"/>
      <c r="D401" s="289"/>
      <c r="E401" s="289"/>
    </row>
    <row r="402" spans="1:5" ht="15.75" customHeight="1">
      <c r="A402" s="291">
        <v>44922</v>
      </c>
      <c r="C402" s="289"/>
      <c r="D402" s="289"/>
      <c r="E402" s="289"/>
    </row>
    <row r="403" spans="1:5" ht="15.75" customHeight="1">
      <c r="A403" s="291">
        <v>44923</v>
      </c>
      <c r="C403" s="289"/>
      <c r="D403" s="289"/>
      <c r="E403" s="289"/>
    </row>
    <row r="404" spans="1:5" ht="15.75" customHeight="1">
      <c r="A404" s="291">
        <v>44924</v>
      </c>
      <c r="C404" s="289"/>
      <c r="D404" s="289"/>
      <c r="E404" s="289"/>
    </row>
    <row r="405" spans="1:5" ht="15.75" customHeight="1">
      <c r="A405" s="291">
        <v>44925</v>
      </c>
      <c r="C405" s="289"/>
      <c r="D405" s="289"/>
      <c r="E405" s="289"/>
    </row>
    <row r="406" spans="1:5" ht="15.75" customHeight="1">
      <c r="A406" s="291">
        <v>44926</v>
      </c>
      <c r="C406" s="289"/>
      <c r="D406" s="289"/>
      <c r="E406" s="289"/>
    </row>
    <row r="407" spans="1:5" ht="15.75" customHeight="1">
      <c r="A407" s="291">
        <v>44927</v>
      </c>
      <c r="C407" s="289"/>
      <c r="D407" s="289"/>
      <c r="E407" s="289"/>
    </row>
    <row r="408" spans="1:5" ht="15.75" customHeight="1">
      <c r="A408" s="291">
        <v>44928</v>
      </c>
      <c r="C408" s="289"/>
      <c r="D408" s="289"/>
      <c r="E408" s="289"/>
    </row>
    <row r="409" spans="1:5" ht="15.75" customHeight="1">
      <c r="A409" s="291">
        <v>44929</v>
      </c>
      <c r="C409" s="289"/>
      <c r="D409" s="289"/>
      <c r="E409" s="289"/>
    </row>
    <row r="410" spans="1:5" ht="15.75" customHeight="1">
      <c r="A410" s="291">
        <v>44930</v>
      </c>
      <c r="C410" s="289"/>
      <c r="D410" s="289"/>
      <c r="E410" s="289"/>
    </row>
    <row r="411" spans="1:5" ht="15.75" customHeight="1">
      <c r="A411" s="291">
        <v>44931</v>
      </c>
      <c r="C411" s="289"/>
      <c r="D411" s="289"/>
      <c r="E411" s="289"/>
    </row>
    <row r="412" spans="1:5" ht="15.75" customHeight="1">
      <c r="A412" s="291">
        <v>44932</v>
      </c>
      <c r="C412" s="289"/>
      <c r="D412" s="289"/>
      <c r="E412" s="289"/>
    </row>
    <row r="413" spans="1:5" ht="15.75" customHeight="1">
      <c r="A413" s="291">
        <v>44933</v>
      </c>
      <c r="C413" s="289"/>
      <c r="D413" s="289"/>
      <c r="E413" s="289"/>
    </row>
    <row r="414" spans="1:5" ht="15.75" customHeight="1">
      <c r="A414" s="291">
        <v>44934</v>
      </c>
      <c r="C414" s="289"/>
      <c r="D414" s="289"/>
      <c r="E414" s="289"/>
    </row>
    <row r="415" spans="1:5" ht="15.75" customHeight="1">
      <c r="A415" s="291">
        <v>44935</v>
      </c>
      <c r="C415" s="289"/>
      <c r="D415" s="289"/>
      <c r="E415" s="289"/>
    </row>
    <row r="416" spans="1:5" ht="15.75" customHeight="1">
      <c r="A416" s="291">
        <v>44936</v>
      </c>
      <c r="C416" s="289"/>
      <c r="D416" s="289"/>
      <c r="E416" s="289"/>
    </row>
    <row r="417" spans="1:5" ht="15.75" customHeight="1">
      <c r="A417" s="291">
        <v>44937</v>
      </c>
      <c r="C417" s="289"/>
      <c r="D417" s="289"/>
      <c r="E417" s="289"/>
    </row>
    <row r="418" spans="1:5" ht="15.75" customHeight="1">
      <c r="A418" s="291">
        <v>44938</v>
      </c>
      <c r="C418" s="289"/>
      <c r="D418" s="289"/>
      <c r="E418" s="289"/>
    </row>
    <row r="419" spans="1:5" ht="15.75" customHeight="1">
      <c r="A419" s="291">
        <v>44939</v>
      </c>
      <c r="C419" s="289"/>
      <c r="D419" s="289"/>
      <c r="E419" s="289"/>
    </row>
    <row r="420" spans="1:5" ht="15.75" customHeight="1">
      <c r="A420" s="291">
        <v>44940</v>
      </c>
      <c r="C420" s="289"/>
      <c r="D420" s="289"/>
      <c r="E420" s="289"/>
    </row>
    <row r="421" spans="1:5" ht="15.75" customHeight="1">
      <c r="A421" s="291">
        <v>44941</v>
      </c>
      <c r="C421" s="289"/>
      <c r="D421" s="289"/>
      <c r="E421" s="289"/>
    </row>
    <row r="422" spans="1:5" ht="15.75" customHeight="1">
      <c r="A422" s="291">
        <v>44942</v>
      </c>
      <c r="C422" s="289"/>
      <c r="D422" s="289"/>
      <c r="E422" s="289"/>
    </row>
    <row r="423" spans="1:5" ht="15.75" customHeight="1">
      <c r="A423" s="291">
        <v>44943</v>
      </c>
      <c r="C423" s="289"/>
      <c r="D423" s="289"/>
      <c r="E423" s="289"/>
    </row>
    <row r="424" spans="1:5" ht="15.75" customHeight="1">
      <c r="A424" s="291">
        <v>44944</v>
      </c>
      <c r="C424" s="289"/>
      <c r="D424" s="289"/>
      <c r="E424" s="289"/>
    </row>
    <row r="425" spans="1:5" ht="15.75" customHeight="1">
      <c r="A425" s="291">
        <v>44945</v>
      </c>
      <c r="C425" s="289"/>
      <c r="D425" s="289"/>
      <c r="E425" s="289"/>
    </row>
    <row r="426" spans="1:5" ht="15.75" customHeight="1">
      <c r="A426" s="291">
        <v>44946</v>
      </c>
      <c r="C426" s="289"/>
      <c r="D426" s="289"/>
      <c r="E426" s="289"/>
    </row>
    <row r="427" spans="1:5" ht="15.75" customHeight="1">
      <c r="A427" s="291">
        <v>44947</v>
      </c>
      <c r="C427" s="289"/>
      <c r="D427" s="289"/>
      <c r="E427" s="289"/>
    </row>
    <row r="428" spans="1:5" ht="15.75" customHeight="1">
      <c r="A428" s="291">
        <v>44948</v>
      </c>
      <c r="C428" s="289"/>
      <c r="D428" s="289"/>
      <c r="E428" s="289"/>
    </row>
    <row r="429" spans="1:5" ht="15.75" customHeight="1">
      <c r="A429" s="291">
        <v>44949</v>
      </c>
      <c r="C429" s="289"/>
      <c r="D429" s="289"/>
      <c r="E429" s="289"/>
    </row>
    <row r="430" spans="1:5" ht="15.75" customHeight="1">
      <c r="A430" s="291">
        <v>44950</v>
      </c>
      <c r="C430" s="289"/>
      <c r="D430" s="289"/>
      <c r="E430" s="289"/>
    </row>
    <row r="431" spans="1:5" ht="15.75" customHeight="1">
      <c r="A431" s="291">
        <v>44951</v>
      </c>
      <c r="C431" s="289"/>
      <c r="D431" s="289"/>
      <c r="E431" s="289"/>
    </row>
    <row r="432" spans="1:5" ht="15.75" customHeight="1">
      <c r="A432" s="291">
        <v>44952</v>
      </c>
      <c r="C432" s="289"/>
      <c r="D432" s="289"/>
      <c r="E432" s="289"/>
    </row>
    <row r="433" spans="1:5" ht="15.75" customHeight="1">
      <c r="A433" s="291">
        <v>44953</v>
      </c>
      <c r="C433" s="289"/>
      <c r="D433" s="289"/>
      <c r="E433" s="289"/>
    </row>
    <row r="434" spans="1:5" ht="15.75" customHeight="1">
      <c r="A434" s="291">
        <v>44954</v>
      </c>
      <c r="C434" s="289"/>
      <c r="D434" s="289"/>
      <c r="E434" s="289"/>
    </row>
    <row r="435" spans="1:5" ht="15.75" customHeight="1">
      <c r="A435" s="291">
        <v>44955</v>
      </c>
      <c r="C435" s="289"/>
      <c r="D435" s="289"/>
      <c r="E435" s="289"/>
    </row>
    <row r="436" spans="1:5" ht="15.75" customHeight="1">
      <c r="A436" s="291">
        <v>44956</v>
      </c>
      <c r="C436" s="289"/>
      <c r="D436" s="289"/>
      <c r="E436" s="289"/>
    </row>
    <row r="437" spans="1:5" ht="15.75" customHeight="1">
      <c r="A437" s="291">
        <v>44957</v>
      </c>
      <c r="C437" s="289"/>
      <c r="D437" s="289"/>
      <c r="E437" s="289"/>
    </row>
    <row r="438" spans="1:5" ht="15.75" customHeight="1">
      <c r="A438" s="291">
        <v>44958</v>
      </c>
      <c r="C438" s="289"/>
      <c r="D438" s="289"/>
      <c r="E438" s="289"/>
    </row>
    <row r="439" spans="1:5" ht="15.75" customHeight="1">
      <c r="A439" s="291">
        <v>44959</v>
      </c>
      <c r="C439" s="289"/>
      <c r="D439" s="289"/>
      <c r="E439" s="289"/>
    </row>
    <row r="440" spans="1:5" ht="15.75" customHeight="1">
      <c r="A440" s="291">
        <v>44960</v>
      </c>
      <c r="C440" s="289"/>
      <c r="D440" s="289"/>
      <c r="E440" s="289"/>
    </row>
    <row r="441" spans="1:5" ht="15.75" customHeight="1">
      <c r="A441" s="291">
        <v>44961</v>
      </c>
      <c r="C441" s="289"/>
      <c r="D441" s="289"/>
      <c r="E441" s="289"/>
    </row>
    <row r="442" spans="1:5" ht="15.75" customHeight="1">
      <c r="A442" s="291">
        <v>44962</v>
      </c>
      <c r="C442" s="289"/>
      <c r="D442" s="289"/>
      <c r="E442" s="289"/>
    </row>
    <row r="443" spans="1:5" ht="15.75" customHeight="1">
      <c r="A443" s="291">
        <v>44963</v>
      </c>
      <c r="C443" s="289"/>
      <c r="D443" s="289"/>
      <c r="E443" s="289"/>
    </row>
    <row r="444" spans="1:5" ht="15.75" customHeight="1">
      <c r="A444" s="291">
        <v>44964</v>
      </c>
      <c r="C444" s="289"/>
      <c r="D444" s="289"/>
      <c r="E444" s="289"/>
    </row>
    <row r="445" spans="1:5" ht="15.75" customHeight="1">
      <c r="A445" s="291">
        <v>44965</v>
      </c>
      <c r="C445" s="289"/>
      <c r="D445" s="289"/>
      <c r="E445" s="289"/>
    </row>
    <row r="446" spans="1:5" ht="15.75" customHeight="1">
      <c r="A446" s="291">
        <v>44966</v>
      </c>
      <c r="C446" s="289"/>
      <c r="D446" s="289"/>
      <c r="E446" s="289"/>
    </row>
    <row r="447" spans="1:5" ht="15.75" customHeight="1">
      <c r="A447" s="291">
        <v>44967</v>
      </c>
      <c r="C447" s="289"/>
      <c r="D447" s="289"/>
      <c r="E447" s="289"/>
    </row>
    <row r="448" spans="1:5" ht="15.75" customHeight="1">
      <c r="A448" s="291">
        <v>44968</v>
      </c>
      <c r="C448" s="289"/>
      <c r="D448" s="289"/>
      <c r="E448" s="289"/>
    </row>
    <row r="449" spans="1:5" ht="15.75" customHeight="1">
      <c r="A449" s="291">
        <v>44969</v>
      </c>
      <c r="C449" s="289"/>
      <c r="D449" s="289"/>
      <c r="E449" s="289"/>
    </row>
    <row r="450" spans="1:5" ht="15.75" customHeight="1">
      <c r="A450" s="291">
        <v>44970</v>
      </c>
      <c r="C450" s="289"/>
      <c r="D450" s="289"/>
      <c r="E450" s="289"/>
    </row>
    <row r="451" spans="1:5" ht="15.75" customHeight="1">
      <c r="A451" s="291">
        <v>44971</v>
      </c>
      <c r="C451" s="289"/>
      <c r="D451" s="289"/>
      <c r="E451" s="289"/>
    </row>
    <row r="452" spans="1:5" ht="15.75" customHeight="1">
      <c r="A452" s="291">
        <v>44972</v>
      </c>
      <c r="C452" s="289"/>
      <c r="D452" s="289"/>
      <c r="E452" s="289"/>
    </row>
    <row r="453" spans="1:5" ht="15.75" customHeight="1">
      <c r="A453" s="291">
        <v>44973</v>
      </c>
      <c r="C453" s="289"/>
      <c r="D453" s="289"/>
      <c r="E453" s="289"/>
    </row>
    <row r="454" spans="1:5" ht="15.75" customHeight="1">
      <c r="A454" s="291">
        <v>44974</v>
      </c>
      <c r="C454" s="289"/>
      <c r="D454" s="289"/>
      <c r="E454" s="289"/>
    </row>
    <row r="455" spans="1:5" ht="15.75" customHeight="1">
      <c r="A455" s="291">
        <v>44975</v>
      </c>
      <c r="C455" s="289"/>
      <c r="D455" s="289"/>
      <c r="E455" s="289"/>
    </row>
    <row r="456" spans="1:5" ht="15.75" customHeight="1">
      <c r="A456" s="291">
        <v>44976</v>
      </c>
      <c r="C456" s="289"/>
      <c r="D456" s="289"/>
      <c r="E456" s="289"/>
    </row>
    <row r="457" spans="1:5" ht="15.75" customHeight="1">
      <c r="A457" s="291">
        <v>44977</v>
      </c>
      <c r="C457" s="289"/>
      <c r="D457" s="289"/>
      <c r="E457" s="289"/>
    </row>
    <row r="458" spans="1:5" ht="15.75" customHeight="1">
      <c r="A458" s="291">
        <v>44978</v>
      </c>
      <c r="C458" s="289"/>
      <c r="D458" s="289"/>
      <c r="E458" s="289"/>
    </row>
    <row r="459" spans="1:5" ht="15.75" customHeight="1">
      <c r="A459" s="291">
        <v>44979</v>
      </c>
      <c r="C459" s="289"/>
      <c r="D459" s="289"/>
      <c r="E459" s="289"/>
    </row>
    <row r="460" spans="1:5" ht="15.75" customHeight="1">
      <c r="A460" s="291">
        <v>44980</v>
      </c>
      <c r="C460" s="289"/>
      <c r="D460" s="289"/>
      <c r="E460" s="289"/>
    </row>
    <row r="461" spans="1:5" ht="15.75" customHeight="1">
      <c r="A461" s="291">
        <v>44981</v>
      </c>
      <c r="C461" s="289"/>
      <c r="D461" s="289"/>
      <c r="E461" s="289"/>
    </row>
    <row r="462" spans="1:5" ht="15.75" customHeight="1">
      <c r="A462" s="291">
        <v>44982</v>
      </c>
      <c r="C462" s="289"/>
      <c r="D462" s="289"/>
      <c r="E462" s="289"/>
    </row>
    <row r="463" spans="1:5" ht="15.75" customHeight="1">
      <c r="A463" s="291">
        <v>44983</v>
      </c>
      <c r="C463" s="289"/>
      <c r="D463" s="289"/>
      <c r="E463" s="289"/>
    </row>
    <row r="464" spans="1:5" ht="15.75" customHeight="1">
      <c r="A464" s="291">
        <v>44984</v>
      </c>
      <c r="C464" s="289"/>
      <c r="D464" s="289"/>
      <c r="E464" s="289"/>
    </row>
    <row r="465" spans="1:5" ht="15.75" customHeight="1">
      <c r="A465" s="291">
        <v>44985</v>
      </c>
      <c r="C465" s="289"/>
      <c r="D465" s="289"/>
      <c r="E465" s="289"/>
    </row>
    <row r="466" spans="1:5" ht="15.75" customHeight="1">
      <c r="A466" s="291">
        <v>44986</v>
      </c>
      <c r="C466" s="289"/>
      <c r="D466" s="289"/>
      <c r="E466" s="289"/>
    </row>
    <row r="467" spans="1:5" ht="15.75" customHeight="1">
      <c r="A467" s="291">
        <v>44987</v>
      </c>
      <c r="C467" s="289"/>
      <c r="D467" s="289"/>
      <c r="E467" s="289"/>
    </row>
    <row r="468" spans="1:5" ht="15.75" customHeight="1">
      <c r="A468" s="291">
        <v>44988</v>
      </c>
      <c r="C468" s="289"/>
      <c r="D468" s="289"/>
      <c r="E468" s="289"/>
    </row>
    <row r="469" spans="1:5" ht="15.75" customHeight="1">
      <c r="A469" s="291">
        <v>44989</v>
      </c>
      <c r="C469" s="289"/>
      <c r="D469" s="289"/>
      <c r="E469" s="289"/>
    </row>
    <row r="470" spans="1:5" ht="15.75" customHeight="1">
      <c r="A470" s="291">
        <v>44990</v>
      </c>
      <c r="C470" s="289"/>
      <c r="D470" s="289"/>
      <c r="E470" s="289"/>
    </row>
    <row r="471" spans="1:5" ht="15.75" customHeight="1">
      <c r="A471" s="291">
        <v>44991</v>
      </c>
      <c r="C471" s="289"/>
      <c r="D471" s="289"/>
      <c r="E471" s="289"/>
    </row>
    <row r="472" spans="1:5" ht="15.75" customHeight="1">
      <c r="A472" s="291">
        <v>44992</v>
      </c>
      <c r="C472" s="289"/>
      <c r="D472" s="289"/>
      <c r="E472" s="289"/>
    </row>
    <row r="473" spans="1:5" ht="15.75" customHeight="1">
      <c r="A473" s="291">
        <v>44993</v>
      </c>
      <c r="C473" s="289"/>
      <c r="D473" s="289"/>
      <c r="E473" s="289"/>
    </row>
    <row r="474" spans="1:5" ht="15.75" customHeight="1">
      <c r="A474" s="291">
        <v>44994</v>
      </c>
      <c r="C474" s="289"/>
      <c r="D474" s="289"/>
      <c r="E474" s="289"/>
    </row>
    <row r="475" spans="1:5" ht="15.75" customHeight="1">
      <c r="A475" s="291">
        <v>44995</v>
      </c>
      <c r="C475" s="289"/>
      <c r="D475" s="289"/>
      <c r="E475" s="289"/>
    </row>
    <row r="476" spans="1:5" ht="15.75" customHeight="1">
      <c r="A476" s="291">
        <v>44996</v>
      </c>
      <c r="C476" s="289"/>
      <c r="D476" s="289"/>
      <c r="E476" s="289"/>
    </row>
    <row r="477" spans="1:5" ht="15.75" customHeight="1">
      <c r="A477" s="291">
        <v>44997</v>
      </c>
      <c r="C477" s="289"/>
      <c r="D477" s="289"/>
      <c r="E477" s="289"/>
    </row>
    <row r="478" spans="1:5" ht="15.75" customHeight="1">
      <c r="A478" s="291">
        <v>44998</v>
      </c>
      <c r="C478" s="289"/>
      <c r="D478" s="289"/>
      <c r="E478" s="289"/>
    </row>
    <row r="479" spans="1:5" ht="15.75" customHeight="1">
      <c r="A479" s="291">
        <v>44999</v>
      </c>
      <c r="C479" s="289"/>
      <c r="D479" s="289"/>
      <c r="E479" s="289"/>
    </row>
    <row r="480" spans="1:5" ht="15.75" customHeight="1">
      <c r="A480" s="291">
        <v>45000</v>
      </c>
      <c r="C480" s="289"/>
      <c r="D480" s="289"/>
      <c r="E480" s="289"/>
    </row>
    <row r="481" spans="1:5" ht="15.75" customHeight="1">
      <c r="A481" s="291">
        <v>45001</v>
      </c>
      <c r="C481" s="289"/>
      <c r="D481" s="289"/>
      <c r="E481" s="289"/>
    </row>
    <row r="482" spans="1:5" ht="15.75" customHeight="1">
      <c r="A482" s="291">
        <v>45002</v>
      </c>
      <c r="C482" s="289"/>
      <c r="D482" s="289"/>
      <c r="E482" s="289"/>
    </row>
    <row r="483" spans="1:5" ht="15.75" customHeight="1">
      <c r="A483" s="291">
        <v>45003</v>
      </c>
      <c r="C483" s="289"/>
      <c r="D483" s="289"/>
      <c r="E483" s="289"/>
    </row>
    <row r="484" spans="1:5" ht="15.75" customHeight="1">
      <c r="A484" s="291">
        <v>45004</v>
      </c>
      <c r="C484" s="289"/>
      <c r="D484" s="289"/>
      <c r="E484" s="289"/>
    </row>
    <row r="485" spans="1:5" ht="15.75" customHeight="1">
      <c r="A485" s="291">
        <v>45005</v>
      </c>
      <c r="C485" s="289"/>
      <c r="D485" s="289"/>
      <c r="E485" s="289"/>
    </row>
    <row r="486" spans="1:5" ht="15.75" customHeight="1">
      <c r="A486" s="291">
        <v>45006</v>
      </c>
      <c r="C486" s="289"/>
      <c r="D486" s="289"/>
      <c r="E486" s="289"/>
    </row>
    <row r="487" spans="1:5" ht="15.75" customHeight="1">
      <c r="A487" s="291">
        <v>45007</v>
      </c>
      <c r="C487" s="289"/>
      <c r="D487" s="289"/>
      <c r="E487" s="289"/>
    </row>
    <row r="488" spans="1:5" ht="15.75" customHeight="1">
      <c r="A488" s="291">
        <v>45008</v>
      </c>
      <c r="C488" s="289"/>
      <c r="D488" s="289"/>
      <c r="E488" s="289"/>
    </row>
    <row r="489" spans="1:5" ht="15.75" customHeight="1">
      <c r="A489" s="291">
        <v>45009</v>
      </c>
      <c r="C489" s="289"/>
      <c r="D489" s="289"/>
      <c r="E489" s="289"/>
    </row>
    <row r="490" spans="1:5" ht="15.75" customHeight="1">
      <c r="A490" s="291">
        <v>45010</v>
      </c>
      <c r="C490" s="289"/>
      <c r="D490" s="289"/>
      <c r="E490" s="289"/>
    </row>
    <row r="491" spans="1:5" ht="15.75" customHeight="1">
      <c r="A491" s="291">
        <v>45011</v>
      </c>
      <c r="C491" s="289"/>
      <c r="D491" s="289"/>
      <c r="E491" s="289"/>
    </row>
    <row r="492" spans="1:5" ht="15.75" customHeight="1">
      <c r="A492" s="291">
        <v>45012</v>
      </c>
      <c r="C492" s="289"/>
      <c r="D492" s="289"/>
      <c r="E492" s="289"/>
    </row>
    <row r="493" spans="1:5" ht="15.75" customHeight="1">
      <c r="A493" s="291">
        <v>45013</v>
      </c>
      <c r="C493" s="289"/>
      <c r="D493" s="289"/>
      <c r="E493" s="289"/>
    </row>
    <row r="494" spans="1:5" ht="15.75" customHeight="1">
      <c r="A494" s="291">
        <v>45014</v>
      </c>
      <c r="C494" s="289"/>
      <c r="D494" s="289"/>
      <c r="E494" s="289"/>
    </row>
    <row r="495" spans="1:5" ht="15.75" customHeight="1">
      <c r="A495" s="291">
        <v>45015</v>
      </c>
      <c r="C495" s="289"/>
      <c r="D495" s="289"/>
      <c r="E495" s="289"/>
    </row>
    <row r="496" spans="1:5" ht="15.75" customHeight="1">
      <c r="A496" s="291">
        <v>45016</v>
      </c>
      <c r="C496" s="289"/>
      <c r="D496" s="289"/>
      <c r="E496" s="289"/>
    </row>
    <row r="497" spans="1:5" ht="15.75" customHeight="1">
      <c r="A497" s="291">
        <v>45017</v>
      </c>
      <c r="C497" s="289"/>
      <c r="D497" s="289"/>
      <c r="E497" s="289"/>
    </row>
    <row r="498" spans="1:5" ht="15.75" customHeight="1">
      <c r="A498" s="291">
        <v>45018</v>
      </c>
      <c r="C498" s="289"/>
      <c r="D498" s="289"/>
      <c r="E498" s="289"/>
    </row>
    <row r="499" spans="1:5" ht="15.75" customHeight="1">
      <c r="A499" s="291">
        <v>45019</v>
      </c>
      <c r="C499" s="289"/>
      <c r="D499" s="289"/>
      <c r="E499" s="289"/>
    </row>
    <row r="500" spans="1:5" ht="15.75" customHeight="1">
      <c r="A500" s="291">
        <v>45020</v>
      </c>
      <c r="C500" s="289"/>
      <c r="D500" s="289"/>
      <c r="E500" s="289"/>
    </row>
    <row r="501" spans="1:5" ht="15.75" customHeight="1">
      <c r="A501" s="291">
        <v>45021</v>
      </c>
      <c r="C501" s="289"/>
      <c r="D501" s="289"/>
      <c r="E501" s="289"/>
    </row>
    <row r="502" spans="1:5" ht="15.75" customHeight="1">
      <c r="A502" s="291">
        <v>45022</v>
      </c>
      <c r="C502" s="289"/>
      <c r="D502" s="289"/>
      <c r="E502" s="289"/>
    </row>
    <row r="503" spans="1:5" ht="15.75" customHeight="1">
      <c r="A503" s="291">
        <v>45023</v>
      </c>
      <c r="C503" s="289"/>
      <c r="D503" s="289"/>
      <c r="E503" s="289"/>
    </row>
    <row r="504" spans="1:5" ht="15.75" customHeight="1">
      <c r="A504" s="291">
        <v>45024</v>
      </c>
      <c r="C504" s="289"/>
      <c r="D504" s="289"/>
      <c r="E504" s="289"/>
    </row>
    <row r="505" spans="1:5" ht="15.75" customHeight="1">
      <c r="A505" s="291">
        <v>45025</v>
      </c>
      <c r="C505" s="289"/>
      <c r="D505" s="289"/>
      <c r="E505" s="289"/>
    </row>
    <row r="506" spans="1:5" ht="15.75" customHeight="1">
      <c r="A506" s="291">
        <v>45026</v>
      </c>
      <c r="C506" s="289"/>
      <c r="D506" s="289"/>
      <c r="E506" s="289"/>
    </row>
    <row r="507" spans="1:5" ht="15.75" customHeight="1">
      <c r="A507" s="291">
        <v>45027</v>
      </c>
      <c r="C507" s="289"/>
      <c r="D507" s="289"/>
      <c r="E507" s="289"/>
    </row>
    <row r="508" spans="1:5" ht="15.75" customHeight="1">
      <c r="A508" s="291">
        <v>45028</v>
      </c>
      <c r="C508" s="289"/>
      <c r="D508" s="289"/>
      <c r="E508" s="289"/>
    </row>
    <row r="509" spans="1:5" ht="15.75" customHeight="1">
      <c r="A509" s="291">
        <v>45029</v>
      </c>
      <c r="C509" s="289"/>
      <c r="D509" s="289"/>
      <c r="E509" s="289"/>
    </row>
    <row r="510" spans="1:5" ht="15.75" customHeight="1">
      <c r="A510" s="291">
        <v>45030</v>
      </c>
      <c r="C510" s="289"/>
      <c r="D510" s="289"/>
      <c r="E510" s="289"/>
    </row>
    <row r="511" spans="1:5" ht="15.75" customHeight="1">
      <c r="A511" s="291">
        <v>45031</v>
      </c>
      <c r="C511" s="289"/>
      <c r="D511" s="289"/>
      <c r="E511" s="289"/>
    </row>
    <row r="512" spans="1:5" ht="15.75" customHeight="1">
      <c r="A512" s="291">
        <v>45032</v>
      </c>
      <c r="C512" s="289"/>
      <c r="D512" s="289"/>
      <c r="E512" s="289"/>
    </row>
    <row r="513" spans="1:5" ht="15.75" customHeight="1">
      <c r="A513" s="291">
        <v>45033</v>
      </c>
      <c r="C513" s="289"/>
      <c r="D513" s="289"/>
      <c r="E513" s="289"/>
    </row>
    <row r="514" spans="1:5" ht="15.75" customHeight="1">
      <c r="A514" s="291">
        <v>45034</v>
      </c>
      <c r="C514" s="289"/>
      <c r="D514" s="289"/>
      <c r="E514" s="289"/>
    </row>
    <row r="515" spans="1:5" ht="15.75" customHeight="1">
      <c r="A515" s="291">
        <v>45035</v>
      </c>
      <c r="C515" s="289"/>
      <c r="D515" s="289"/>
      <c r="E515" s="289"/>
    </row>
    <row r="516" spans="1:5" ht="15.75" customHeight="1">
      <c r="A516" s="291">
        <v>45036</v>
      </c>
      <c r="C516" s="289"/>
      <c r="D516" s="289"/>
      <c r="E516" s="289"/>
    </row>
    <row r="517" spans="1:5" ht="15.75" customHeight="1">
      <c r="A517" s="291">
        <v>45037</v>
      </c>
      <c r="C517" s="289"/>
      <c r="D517" s="289"/>
      <c r="E517" s="289"/>
    </row>
    <row r="518" spans="1:5" ht="15.75" customHeight="1">
      <c r="A518" s="291">
        <v>45038</v>
      </c>
      <c r="C518" s="289"/>
      <c r="D518" s="289"/>
      <c r="E518" s="289"/>
    </row>
    <row r="519" spans="1:5" ht="15.75" customHeight="1">
      <c r="A519" s="291">
        <v>45039</v>
      </c>
      <c r="C519" s="289"/>
      <c r="D519" s="289"/>
      <c r="E519" s="289"/>
    </row>
    <row r="520" spans="1:5" ht="15.75" customHeight="1">
      <c r="A520" s="291">
        <v>45040</v>
      </c>
      <c r="C520" s="289"/>
      <c r="D520" s="289"/>
      <c r="E520" s="289"/>
    </row>
    <row r="521" spans="1:5" ht="15.75" customHeight="1">
      <c r="A521" s="291">
        <v>45041</v>
      </c>
      <c r="C521" s="289"/>
      <c r="D521" s="289"/>
      <c r="E521" s="289"/>
    </row>
    <row r="522" spans="1:5" ht="15.75" customHeight="1">
      <c r="A522" s="291">
        <v>45042</v>
      </c>
      <c r="C522" s="289"/>
      <c r="D522" s="289"/>
      <c r="E522" s="289"/>
    </row>
    <row r="523" spans="1:5" ht="15.75" customHeight="1">
      <c r="A523" s="291">
        <v>45043</v>
      </c>
      <c r="C523" s="289"/>
      <c r="D523" s="289"/>
      <c r="E523" s="289"/>
    </row>
    <row r="524" spans="1:5" ht="15.75" customHeight="1">
      <c r="A524" s="291">
        <v>45044</v>
      </c>
      <c r="C524" s="289"/>
      <c r="D524" s="289"/>
      <c r="E524" s="289"/>
    </row>
    <row r="525" spans="1:5" ht="15.75" customHeight="1">
      <c r="A525" s="291">
        <v>45045</v>
      </c>
      <c r="C525" s="289"/>
      <c r="D525" s="289"/>
      <c r="E525" s="289"/>
    </row>
    <row r="526" spans="1:5" ht="15.75" customHeight="1">
      <c r="A526" s="291">
        <v>45046</v>
      </c>
      <c r="C526" s="289"/>
      <c r="D526" s="289"/>
      <c r="E526" s="289"/>
    </row>
    <row r="527" spans="1:5" ht="15.75" customHeight="1">
      <c r="A527" s="291">
        <v>45047</v>
      </c>
      <c r="C527" s="289"/>
      <c r="D527" s="289"/>
      <c r="E527" s="289"/>
    </row>
    <row r="528" spans="1:5" ht="15.75" customHeight="1">
      <c r="A528" s="291">
        <v>45048</v>
      </c>
      <c r="C528" s="289"/>
      <c r="D528" s="289"/>
      <c r="E528" s="289"/>
    </row>
    <row r="529" spans="1:5" ht="15.75" customHeight="1">
      <c r="A529" s="291">
        <v>45049</v>
      </c>
      <c r="C529" s="289"/>
      <c r="D529" s="289"/>
      <c r="E529" s="289"/>
    </row>
    <row r="530" spans="1:5" ht="15.75" customHeight="1">
      <c r="A530" s="291">
        <v>45050</v>
      </c>
      <c r="C530" s="289"/>
      <c r="D530" s="289"/>
      <c r="E530" s="289"/>
    </row>
    <row r="531" spans="1:5" ht="15.75" customHeight="1">
      <c r="A531" s="291">
        <v>45051</v>
      </c>
      <c r="C531" s="289"/>
      <c r="D531" s="289"/>
      <c r="E531" s="289"/>
    </row>
    <row r="532" spans="1:5" ht="15.75" customHeight="1">
      <c r="A532" s="291">
        <v>45052</v>
      </c>
      <c r="C532" s="289"/>
      <c r="D532" s="289"/>
      <c r="E532" s="289"/>
    </row>
    <row r="533" spans="1:5" ht="15.75" customHeight="1">
      <c r="A533" s="291">
        <v>45053</v>
      </c>
      <c r="C533" s="289"/>
      <c r="D533" s="289"/>
      <c r="E533" s="289"/>
    </row>
    <row r="534" spans="1:5" ht="15.75" customHeight="1">
      <c r="A534" s="291">
        <v>45054</v>
      </c>
      <c r="C534" s="289"/>
      <c r="D534" s="289"/>
      <c r="E534" s="289"/>
    </row>
    <row r="535" spans="1:5" ht="15.75" customHeight="1">
      <c r="A535" s="291">
        <v>45055</v>
      </c>
      <c r="C535" s="289"/>
      <c r="D535" s="289"/>
      <c r="E535" s="289"/>
    </row>
    <row r="536" spans="1:5" ht="15.75" customHeight="1">
      <c r="A536" s="291">
        <v>45056</v>
      </c>
      <c r="C536" s="289"/>
      <c r="D536" s="289"/>
      <c r="E536" s="289"/>
    </row>
    <row r="537" spans="1:5" ht="15.75" customHeight="1">
      <c r="A537" s="291">
        <v>45057</v>
      </c>
      <c r="C537" s="289"/>
      <c r="D537" s="289"/>
      <c r="E537" s="289"/>
    </row>
    <row r="538" spans="1:5" ht="15.75" customHeight="1">
      <c r="A538" s="291">
        <v>45058</v>
      </c>
      <c r="C538" s="289"/>
      <c r="D538" s="289"/>
      <c r="E538" s="289"/>
    </row>
    <row r="539" spans="1:5" ht="15.75" customHeight="1">
      <c r="A539" s="291">
        <v>45059</v>
      </c>
      <c r="C539" s="289"/>
      <c r="D539" s="289"/>
      <c r="E539" s="289"/>
    </row>
    <row r="540" spans="1:5" ht="15.75" customHeight="1">
      <c r="A540" s="291">
        <v>45060</v>
      </c>
      <c r="C540" s="289"/>
      <c r="D540" s="289"/>
      <c r="E540" s="289"/>
    </row>
    <row r="541" spans="1:5" ht="15.75" customHeight="1">
      <c r="A541" s="291">
        <v>45061</v>
      </c>
      <c r="C541" s="289"/>
      <c r="D541" s="289"/>
      <c r="E541" s="289"/>
    </row>
    <row r="542" spans="1:5" ht="15.75" customHeight="1">
      <c r="A542" s="291">
        <v>45062</v>
      </c>
      <c r="C542" s="289"/>
      <c r="D542" s="289"/>
      <c r="E542" s="289"/>
    </row>
    <row r="543" spans="1:5" ht="15.75" customHeight="1">
      <c r="A543" s="291">
        <v>45063</v>
      </c>
      <c r="C543" s="289"/>
      <c r="D543" s="289"/>
      <c r="E543" s="289"/>
    </row>
    <row r="544" spans="1:5" ht="15.75" customHeight="1">
      <c r="A544" s="291">
        <v>45064</v>
      </c>
      <c r="C544" s="289"/>
      <c r="D544" s="289"/>
      <c r="E544" s="289"/>
    </row>
    <row r="545" spans="1:5" ht="15.75" customHeight="1">
      <c r="A545" s="291">
        <v>45065</v>
      </c>
      <c r="C545" s="289"/>
      <c r="D545" s="289"/>
      <c r="E545" s="289"/>
    </row>
    <row r="546" spans="1:5" ht="15.75" customHeight="1">
      <c r="A546" s="291">
        <v>45066</v>
      </c>
      <c r="C546" s="289"/>
      <c r="D546" s="289"/>
      <c r="E546" s="289"/>
    </row>
    <row r="547" spans="1:5" ht="15.75" customHeight="1">
      <c r="A547" s="291">
        <v>45067</v>
      </c>
      <c r="C547" s="289"/>
      <c r="D547" s="289"/>
      <c r="E547" s="289"/>
    </row>
    <row r="548" spans="1:5" ht="15.75" customHeight="1">
      <c r="A548" s="291">
        <v>45068</v>
      </c>
      <c r="C548" s="289"/>
      <c r="D548" s="289"/>
      <c r="E548" s="289"/>
    </row>
    <row r="549" spans="1:5" ht="15.75" customHeight="1">
      <c r="A549" s="291">
        <v>45069</v>
      </c>
      <c r="C549" s="289"/>
      <c r="D549" s="289"/>
      <c r="E549" s="289"/>
    </row>
    <row r="550" spans="1:5" ht="15.75" customHeight="1">
      <c r="A550" s="291">
        <v>45070</v>
      </c>
      <c r="C550" s="289"/>
      <c r="D550" s="289"/>
      <c r="E550" s="289"/>
    </row>
    <row r="551" spans="1:5" ht="15.75" customHeight="1">
      <c r="A551" s="291">
        <v>45071</v>
      </c>
      <c r="C551" s="289"/>
      <c r="D551" s="289"/>
      <c r="E551" s="289"/>
    </row>
    <row r="552" spans="1:5" ht="15.75" customHeight="1">
      <c r="A552" s="291">
        <v>45072</v>
      </c>
      <c r="C552" s="289"/>
      <c r="D552" s="289"/>
      <c r="E552" s="289"/>
    </row>
    <row r="553" spans="1:5" ht="15.75" customHeight="1">
      <c r="A553" s="291">
        <v>45073</v>
      </c>
      <c r="C553" s="289"/>
      <c r="D553" s="289"/>
      <c r="E553" s="289"/>
    </row>
    <row r="554" spans="1:5" ht="15.75" customHeight="1">
      <c r="A554" s="291">
        <v>45074</v>
      </c>
      <c r="C554" s="289"/>
      <c r="D554" s="289"/>
      <c r="E554" s="289"/>
    </row>
    <row r="555" spans="1:5" ht="15.75" customHeight="1">
      <c r="A555" s="291">
        <v>45075</v>
      </c>
      <c r="C555" s="289"/>
      <c r="D555" s="289"/>
      <c r="E555" s="289"/>
    </row>
    <row r="556" spans="1:5" ht="15.75" customHeight="1">
      <c r="A556" s="291">
        <v>45076</v>
      </c>
      <c r="C556" s="289"/>
      <c r="D556" s="289"/>
      <c r="E556" s="289"/>
    </row>
    <row r="557" spans="1:5" ht="15.75" customHeight="1">
      <c r="A557" s="291">
        <v>45077</v>
      </c>
      <c r="C557" s="289"/>
      <c r="D557" s="289"/>
      <c r="E557" s="289"/>
    </row>
    <row r="558" spans="1:5" ht="15.75" customHeight="1">
      <c r="A558" s="291">
        <v>45078</v>
      </c>
      <c r="C558" s="289"/>
      <c r="D558" s="289"/>
      <c r="E558" s="289"/>
    </row>
    <row r="559" spans="1:5" ht="15.75" customHeight="1">
      <c r="A559" s="291">
        <v>45079</v>
      </c>
      <c r="C559" s="289"/>
      <c r="D559" s="289"/>
      <c r="E559" s="289"/>
    </row>
    <row r="560" spans="1:5" ht="15.75" customHeight="1">
      <c r="A560" s="291">
        <v>45080</v>
      </c>
      <c r="C560" s="289"/>
      <c r="D560" s="289"/>
      <c r="E560" s="289"/>
    </row>
    <row r="561" spans="1:5" ht="15.75" customHeight="1">
      <c r="A561" s="291">
        <v>45081</v>
      </c>
      <c r="C561" s="289"/>
      <c r="D561" s="289"/>
      <c r="E561" s="289"/>
    </row>
    <row r="562" spans="1:5" ht="15.75" customHeight="1">
      <c r="A562" s="291">
        <v>45082</v>
      </c>
      <c r="C562" s="289"/>
      <c r="D562" s="289"/>
      <c r="E562" s="289"/>
    </row>
    <row r="563" spans="1:5" ht="15.75" customHeight="1">
      <c r="A563" s="291">
        <v>45083</v>
      </c>
      <c r="C563" s="289"/>
      <c r="D563" s="289"/>
      <c r="E563" s="289"/>
    </row>
    <row r="564" spans="1:5" ht="15.75" customHeight="1">
      <c r="A564" s="291">
        <v>45084</v>
      </c>
      <c r="C564" s="289"/>
      <c r="D564" s="289"/>
      <c r="E564" s="289"/>
    </row>
    <row r="565" spans="1:5" ht="15.75" customHeight="1">
      <c r="A565" s="291">
        <v>45085</v>
      </c>
      <c r="C565" s="289"/>
      <c r="D565" s="289"/>
      <c r="E565" s="289"/>
    </row>
    <row r="566" spans="1:5" ht="15.75" customHeight="1">
      <c r="A566" s="291">
        <v>45086</v>
      </c>
      <c r="C566" s="289"/>
      <c r="D566" s="289"/>
      <c r="E566" s="289"/>
    </row>
    <row r="567" spans="1:5" ht="15.75" customHeight="1">
      <c r="A567" s="291">
        <v>45087</v>
      </c>
      <c r="C567" s="289"/>
      <c r="D567" s="289"/>
      <c r="E567" s="289"/>
    </row>
    <row r="568" spans="1:5" ht="15.75" customHeight="1">
      <c r="A568" s="291">
        <v>45088</v>
      </c>
      <c r="C568" s="289"/>
      <c r="D568" s="289"/>
      <c r="E568" s="289"/>
    </row>
    <row r="569" spans="1:5" ht="15.75" customHeight="1">
      <c r="A569" s="291">
        <v>45089</v>
      </c>
      <c r="C569" s="289"/>
      <c r="D569" s="289"/>
      <c r="E569" s="289"/>
    </row>
    <row r="570" spans="1:5" ht="15.75" customHeight="1">
      <c r="A570" s="291">
        <v>45090</v>
      </c>
      <c r="C570" s="289"/>
      <c r="D570" s="289"/>
      <c r="E570" s="289"/>
    </row>
    <row r="571" spans="1:5" ht="15.75" customHeight="1">
      <c r="A571" s="291">
        <v>45091</v>
      </c>
      <c r="C571" s="289"/>
      <c r="D571" s="289"/>
      <c r="E571" s="289"/>
    </row>
    <row r="572" spans="1:5" ht="15.75" customHeight="1">
      <c r="A572" s="291">
        <v>45092</v>
      </c>
      <c r="C572" s="289"/>
      <c r="D572" s="289"/>
      <c r="E572" s="289"/>
    </row>
    <row r="573" spans="1:5" ht="15.75" customHeight="1">
      <c r="A573" s="291">
        <v>45093</v>
      </c>
      <c r="C573" s="289"/>
      <c r="D573" s="289"/>
      <c r="E573" s="289"/>
    </row>
    <row r="574" spans="1:5" ht="15.75" customHeight="1">
      <c r="A574" s="291">
        <v>45094</v>
      </c>
      <c r="C574" s="289"/>
      <c r="D574" s="289"/>
      <c r="E574" s="289"/>
    </row>
    <row r="575" spans="1:5" ht="15.75" customHeight="1">
      <c r="A575" s="291">
        <v>45095</v>
      </c>
      <c r="C575" s="289"/>
      <c r="D575" s="289"/>
      <c r="E575" s="289"/>
    </row>
    <row r="576" spans="1:5" ht="15.75" customHeight="1">
      <c r="A576" s="291">
        <v>45096</v>
      </c>
      <c r="C576" s="289"/>
      <c r="D576" s="289"/>
      <c r="E576" s="289"/>
    </row>
    <row r="577" spans="1:5" ht="15.75" customHeight="1">
      <c r="A577" s="291">
        <v>45097</v>
      </c>
      <c r="C577" s="289"/>
      <c r="D577" s="289"/>
      <c r="E577" s="289"/>
    </row>
    <row r="578" spans="1:5" ht="15.75" customHeight="1">
      <c r="A578" s="291">
        <v>45098</v>
      </c>
      <c r="C578" s="289"/>
      <c r="D578" s="289"/>
      <c r="E578" s="289"/>
    </row>
    <row r="579" spans="1:5" ht="15.75" customHeight="1">
      <c r="A579" s="291">
        <v>45099</v>
      </c>
      <c r="C579" s="289"/>
      <c r="D579" s="289"/>
      <c r="E579" s="289"/>
    </row>
    <row r="580" spans="1:5" ht="15.75" customHeight="1">
      <c r="A580" s="291">
        <v>45100</v>
      </c>
      <c r="C580" s="289"/>
      <c r="D580" s="289"/>
      <c r="E580" s="289"/>
    </row>
    <row r="581" spans="1:5" ht="15.75" customHeight="1">
      <c r="A581" s="291">
        <v>45101</v>
      </c>
      <c r="C581" s="289"/>
      <c r="D581" s="289"/>
      <c r="E581" s="289"/>
    </row>
    <row r="582" spans="1:5" ht="15.75" customHeight="1">
      <c r="A582" s="291">
        <v>45102</v>
      </c>
      <c r="C582" s="289"/>
      <c r="D582" s="289"/>
      <c r="E582" s="289"/>
    </row>
    <row r="583" spans="1:5" ht="15.75" customHeight="1">
      <c r="A583" s="291">
        <v>45103</v>
      </c>
      <c r="C583" s="289"/>
      <c r="D583" s="289"/>
      <c r="E583" s="289"/>
    </row>
    <row r="584" spans="1:5" ht="15.75" customHeight="1">
      <c r="A584" s="291">
        <v>45104</v>
      </c>
      <c r="C584" s="289"/>
      <c r="D584" s="289"/>
      <c r="E584" s="289"/>
    </row>
    <row r="585" spans="1:5" ht="15.75" customHeight="1">
      <c r="A585" s="291">
        <v>45105</v>
      </c>
      <c r="C585" s="289"/>
      <c r="D585" s="289"/>
      <c r="E585" s="289"/>
    </row>
    <row r="586" spans="1:5" ht="15.75" customHeight="1">
      <c r="A586" s="291">
        <v>45106</v>
      </c>
      <c r="C586" s="289"/>
      <c r="D586" s="289"/>
      <c r="E586" s="289"/>
    </row>
    <row r="587" spans="1:5" ht="15.75" customHeight="1">
      <c r="A587" s="291">
        <v>45107</v>
      </c>
      <c r="C587" s="289"/>
      <c r="D587" s="289"/>
      <c r="E587" s="289"/>
    </row>
    <row r="588" spans="1:5" ht="15.75" customHeight="1">
      <c r="A588" s="291">
        <v>45108</v>
      </c>
      <c r="C588" s="289"/>
      <c r="D588" s="289"/>
      <c r="E588" s="289"/>
    </row>
    <row r="589" spans="1:5" ht="15.75" customHeight="1">
      <c r="A589" s="291">
        <v>45109</v>
      </c>
      <c r="C589" s="289"/>
      <c r="D589" s="289"/>
      <c r="E589" s="289"/>
    </row>
    <row r="590" spans="1:5" ht="15.75" customHeight="1">
      <c r="A590" s="291">
        <v>45110</v>
      </c>
      <c r="C590" s="289"/>
      <c r="D590" s="289"/>
      <c r="E590" s="289"/>
    </row>
    <row r="591" spans="1:5" ht="15.75" customHeight="1">
      <c r="A591" s="291">
        <v>45111</v>
      </c>
      <c r="C591" s="289"/>
      <c r="D591" s="289"/>
      <c r="E591" s="289"/>
    </row>
    <row r="592" spans="1:5" ht="15.75" customHeight="1">
      <c r="A592" s="291">
        <v>45112</v>
      </c>
      <c r="C592" s="289"/>
      <c r="D592" s="289"/>
      <c r="E592" s="289"/>
    </row>
    <row r="593" spans="1:5" ht="15.75" customHeight="1">
      <c r="A593" s="291">
        <v>45113</v>
      </c>
      <c r="C593" s="289"/>
      <c r="D593" s="289"/>
      <c r="E593" s="289"/>
    </row>
    <row r="594" spans="1:5" ht="15.75" customHeight="1">
      <c r="A594" s="291">
        <v>45114</v>
      </c>
      <c r="C594" s="289"/>
      <c r="D594" s="289"/>
      <c r="E594" s="289"/>
    </row>
    <row r="595" spans="1:5" ht="15.75" customHeight="1">
      <c r="A595" s="291">
        <v>45115</v>
      </c>
      <c r="C595" s="289"/>
      <c r="D595" s="289"/>
      <c r="E595" s="289"/>
    </row>
    <row r="596" spans="1:5" ht="15.75" customHeight="1">
      <c r="A596" s="291">
        <v>45116</v>
      </c>
      <c r="C596" s="289"/>
      <c r="D596" s="289"/>
      <c r="E596" s="289"/>
    </row>
    <row r="597" spans="1:5" ht="15.75" customHeight="1">
      <c r="A597" s="291">
        <v>45117</v>
      </c>
      <c r="C597" s="289"/>
      <c r="D597" s="289"/>
      <c r="E597" s="289"/>
    </row>
    <row r="598" spans="1:5" ht="15.75" customHeight="1">
      <c r="A598" s="291">
        <v>45118</v>
      </c>
      <c r="C598" s="289"/>
      <c r="D598" s="289"/>
      <c r="E598" s="289"/>
    </row>
    <row r="599" spans="1:5" ht="15.75" customHeight="1">
      <c r="A599" s="291">
        <v>45119</v>
      </c>
      <c r="C599" s="289"/>
      <c r="D599" s="289"/>
      <c r="E599" s="289"/>
    </row>
    <row r="600" spans="1:5" ht="15.75" customHeight="1">
      <c r="A600" s="291">
        <v>45120</v>
      </c>
      <c r="C600" s="289"/>
      <c r="D600" s="289"/>
      <c r="E600" s="289"/>
    </row>
    <row r="601" spans="1:5" ht="15.75" customHeight="1">
      <c r="A601" s="291">
        <v>45121</v>
      </c>
      <c r="C601" s="289"/>
      <c r="D601" s="289"/>
      <c r="E601" s="289"/>
    </row>
    <row r="602" spans="1:5" ht="15.75" customHeight="1">
      <c r="A602" s="291">
        <v>45122</v>
      </c>
      <c r="C602" s="289"/>
      <c r="D602" s="289"/>
      <c r="E602" s="289"/>
    </row>
    <row r="603" spans="1:5" ht="15.75" customHeight="1">
      <c r="A603" s="291">
        <v>45123</v>
      </c>
      <c r="C603" s="289"/>
      <c r="D603" s="289"/>
      <c r="E603" s="289"/>
    </row>
    <row r="604" spans="1:5" ht="15.75" customHeight="1">
      <c r="A604" s="291">
        <v>45124</v>
      </c>
      <c r="C604" s="289"/>
      <c r="D604" s="289"/>
      <c r="E604" s="289"/>
    </row>
    <row r="605" spans="1:5" ht="15.75" customHeight="1">
      <c r="A605" s="291">
        <v>45125</v>
      </c>
      <c r="C605" s="289"/>
      <c r="D605" s="289"/>
      <c r="E605" s="289"/>
    </row>
    <row r="606" spans="1:5" ht="15.75" customHeight="1">
      <c r="A606" s="291">
        <v>45126</v>
      </c>
      <c r="C606" s="289"/>
      <c r="D606" s="289"/>
      <c r="E606" s="289"/>
    </row>
    <row r="607" spans="1:5" ht="15.75" customHeight="1">
      <c r="A607" s="291">
        <v>45127</v>
      </c>
      <c r="C607" s="289"/>
      <c r="D607" s="289"/>
      <c r="E607" s="289"/>
    </row>
    <row r="608" spans="1:5" ht="15.75" customHeight="1">
      <c r="A608" s="291">
        <v>45128</v>
      </c>
      <c r="C608" s="289"/>
      <c r="D608" s="289"/>
      <c r="E608" s="289"/>
    </row>
    <row r="609" spans="1:5" ht="15.75" customHeight="1">
      <c r="A609" s="291">
        <v>45129</v>
      </c>
      <c r="C609" s="289"/>
      <c r="D609" s="289"/>
      <c r="E609" s="289"/>
    </row>
    <row r="610" spans="1:5" ht="15.75" customHeight="1">
      <c r="A610" s="291">
        <v>45130</v>
      </c>
      <c r="C610" s="289"/>
      <c r="D610" s="289"/>
      <c r="E610" s="289"/>
    </row>
    <row r="611" spans="1:5" ht="15.75" customHeight="1">
      <c r="A611" s="291">
        <v>45131</v>
      </c>
      <c r="C611" s="289"/>
      <c r="D611" s="289"/>
      <c r="E611" s="289"/>
    </row>
    <row r="612" spans="1:5" ht="15.75" customHeight="1">
      <c r="A612" s="291">
        <v>45132</v>
      </c>
      <c r="C612" s="289"/>
      <c r="D612" s="289"/>
      <c r="E612" s="289"/>
    </row>
    <row r="613" spans="1:5" ht="15.75" customHeight="1">
      <c r="A613" s="291">
        <v>45133</v>
      </c>
      <c r="C613" s="289"/>
      <c r="D613" s="289"/>
      <c r="E613" s="289"/>
    </row>
    <row r="614" spans="1:5" ht="15.75" customHeight="1">
      <c r="A614" s="291">
        <v>45134</v>
      </c>
      <c r="C614" s="289"/>
      <c r="D614" s="289"/>
      <c r="E614" s="289"/>
    </row>
    <row r="615" spans="1:5" ht="15.75" customHeight="1">
      <c r="A615" s="291">
        <v>45135</v>
      </c>
      <c r="C615" s="289"/>
      <c r="D615" s="289"/>
      <c r="E615" s="289"/>
    </row>
    <row r="616" spans="1:5" ht="15.75" customHeight="1">
      <c r="A616" s="291">
        <v>45136</v>
      </c>
      <c r="C616" s="289"/>
      <c r="D616" s="289"/>
      <c r="E616" s="289"/>
    </row>
    <row r="617" spans="1:5" ht="15.75" customHeight="1">
      <c r="A617" s="291">
        <v>45137</v>
      </c>
      <c r="C617" s="289"/>
      <c r="D617" s="289"/>
      <c r="E617" s="289"/>
    </row>
    <row r="618" spans="1:5" ht="15.75" customHeight="1">
      <c r="A618" s="291">
        <v>45138</v>
      </c>
      <c r="C618" s="289"/>
      <c r="D618" s="289"/>
      <c r="E618" s="289"/>
    </row>
    <row r="619" spans="1:5" ht="15.75" customHeight="1">
      <c r="A619" s="291">
        <v>45139</v>
      </c>
      <c r="C619" s="289"/>
      <c r="D619" s="289"/>
      <c r="E619" s="289"/>
    </row>
    <row r="620" spans="1:5" ht="15.75" customHeight="1">
      <c r="A620" s="291">
        <v>45140</v>
      </c>
      <c r="C620" s="289"/>
      <c r="D620" s="289"/>
      <c r="E620" s="289"/>
    </row>
    <row r="621" spans="1:5" ht="15.75" customHeight="1">
      <c r="A621" s="291">
        <v>45141</v>
      </c>
      <c r="C621" s="289"/>
      <c r="D621" s="289"/>
      <c r="E621" s="289"/>
    </row>
    <row r="622" spans="1:5" ht="15.75" customHeight="1">
      <c r="A622" s="291">
        <v>45142</v>
      </c>
      <c r="C622" s="289"/>
      <c r="D622" s="289"/>
      <c r="E622" s="289"/>
    </row>
    <row r="623" spans="1:5" ht="15.75" customHeight="1">
      <c r="A623" s="291">
        <v>45143</v>
      </c>
      <c r="C623" s="289"/>
      <c r="D623" s="289"/>
      <c r="E623" s="289"/>
    </row>
    <row r="624" spans="1:5" ht="15.75" customHeight="1">
      <c r="A624" s="291">
        <v>45144</v>
      </c>
      <c r="C624" s="289"/>
      <c r="D624" s="289"/>
      <c r="E624" s="289"/>
    </row>
    <row r="625" spans="1:5" ht="15.75" customHeight="1">
      <c r="A625" s="291">
        <v>45145</v>
      </c>
      <c r="C625" s="289"/>
      <c r="D625" s="289"/>
      <c r="E625" s="289"/>
    </row>
    <row r="626" spans="1:5" ht="15.75" customHeight="1">
      <c r="A626" s="291">
        <v>45146</v>
      </c>
      <c r="C626" s="289"/>
      <c r="D626" s="289"/>
      <c r="E626" s="289"/>
    </row>
    <row r="627" spans="1:5" ht="15.75" customHeight="1">
      <c r="A627" s="291">
        <v>45147</v>
      </c>
      <c r="C627" s="289"/>
      <c r="D627" s="289"/>
      <c r="E627" s="289"/>
    </row>
    <row r="628" spans="1:5" ht="15.75" customHeight="1">
      <c r="A628" s="291">
        <v>45148</v>
      </c>
      <c r="C628" s="289"/>
      <c r="D628" s="289"/>
      <c r="E628" s="289"/>
    </row>
    <row r="629" spans="1:5" ht="15.75" customHeight="1">
      <c r="A629" s="291">
        <v>45149</v>
      </c>
      <c r="C629" s="289"/>
      <c r="D629" s="289"/>
      <c r="E629" s="289"/>
    </row>
    <row r="630" spans="1:5" ht="15.75" customHeight="1">
      <c r="A630" s="291">
        <v>45150</v>
      </c>
      <c r="C630" s="289"/>
      <c r="D630" s="289"/>
      <c r="E630" s="289"/>
    </row>
    <row r="631" spans="1:5" ht="15.75" customHeight="1">
      <c r="A631" s="291">
        <v>45151</v>
      </c>
      <c r="C631" s="289"/>
      <c r="D631" s="289"/>
      <c r="E631" s="289"/>
    </row>
    <row r="632" spans="1:5" ht="15.75" customHeight="1">
      <c r="A632" s="291">
        <v>45152</v>
      </c>
      <c r="C632" s="289"/>
      <c r="D632" s="289"/>
      <c r="E632" s="289"/>
    </row>
    <row r="633" spans="1:5" ht="15.75" customHeight="1">
      <c r="A633" s="291">
        <v>45153</v>
      </c>
      <c r="C633" s="289"/>
      <c r="D633" s="289"/>
      <c r="E633" s="289"/>
    </row>
    <row r="634" spans="1:5" ht="15.75" customHeight="1">
      <c r="A634" s="291">
        <v>45154</v>
      </c>
      <c r="C634" s="289"/>
      <c r="D634" s="289"/>
      <c r="E634" s="289"/>
    </row>
    <row r="635" spans="1:5" ht="15.75" customHeight="1">
      <c r="A635" s="291">
        <v>45155</v>
      </c>
      <c r="C635" s="289"/>
      <c r="D635" s="289"/>
      <c r="E635" s="289"/>
    </row>
    <row r="636" spans="1:5" ht="15.75" customHeight="1">
      <c r="A636" s="291">
        <v>45156</v>
      </c>
      <c r="C636" s="289"/>
      <c r="D636" s="289"/>
      <c r="E636" s="289"/>
    </row>
    <row r="637" spans="1:5" ht="15.75" customHeight="1">
      <c r="A637" s="291">
        <v>45157</v>
      </c>
      <c r="C637" s="289"/>
      <c r="D637" s="289"/>
      <c r="E637" s="289"/>
    </row>
    <row r="638" spans="1:5" ht="15.75" customHeight="1">
      <c r="A638" s="291">
        <v>45158</v>
      </c>
      <c r="C638" s="289"/>
      <c r="D638" s="289"/>
      <c r="E638" s="289"/>
    </row>
    <row r="639" spans="1:5" ht="15.75" customHeight="1">
      <c r="A639" s="291">
        <v>45159</v>
      </c>
      <c r="C639" s="289"/>
      <c r="D639" s="289"/>
      <c r="E639" s="289"/>
    </row>
    <row r="640" spans="1:5" ht="15.75" customHeight="1">
      <c r="A640" s="291">
        <v>45160</v>
      </c>
      <c r="C640" s="289"/>
      <c r="D640" s="289"/>
      <c r="E640" s="289"/>
    </row>
    <row r="641" spans="1:5" ht="15.75" customHeight="1">
      <c r="A641" s="291">
        <v>45161</v>
      </c>
      <c r="C641" s="289"/>
      <c r="D641" s="289"/>
      <c r="E641" s="289"/>
    </row>
    <row r="642" spans="1:5" ht="15.75" customHeight="1">
      <c r="A642" s="291">
        <v>45162</v>
      </c>
      <c r="C642" s="289"/>
      <c r="D642" s="289"/>
      <c r="E642" s="289"/>
    </row>
    <row r="643" spans="1:5" ht="15.75" customHeight="1">
      <c r="A643" s="291">
        <v>45163</v>
      </c>
      <c r="C643" s="289"/>
      <c r="D643" s="289"/>
      <c r="E643" s="289"/>
    </row>
    <row r="644" spans="1:5" ht="15.75" customHeight="1">
      <c r="A644" s="291">
        <v>45164</v>
      </c>
      <c r="C644" s="289"/>
      <c r="D644" s="289"/>
      <c r="E644" s="289"/>
    </row>
    <row r="645" spans="1:5" ht="15.75" customHeight="1">
      <c r="A645" s="291">
        <v>45165</v>
      </c>
      <c r="C645" s="289"/>
      <c r="D645" s="289"/>
      <c r="E645" s="289"/>
    </row>
    <row r="646" spans="1:5" ht="15.75" customHeight="1">
      <c r="A646" s="291">
        <v>45166</v>
      </c>
      <c r="C646" s="289"/>
      <c r="D646" s="289"/>
      <c r="E646" s="289"/>
    </row>
    <row r="647" spans="1:5" ht="15.75" customHeight="1">
      <c r="A647" s="291">
        <v>45167</v>
      </c>
      <c r="C647" s="289"/>
      <c r="D647" s="289"/>
      <c r="E647" s="289"/>
    </row>
    <row r="648" spans="1:5" ht="15.75" customHeight="1">
      <c r="A648" s="291">
        <v>45168</v>
      </c>
      <c r="C648" s="289"/>
      <c r="D648" s="289"/>
      <c r="E648" s="289"/>
    </row>
    <row r="649" spans="1:5" ht="15.75" customHeight="1">
      <c r="A649" s="291">
        <v>45169</v>
      </c>
      <c r="C649" s="289"/>
      <c r="D649" s="289"/>
      <c r="E649" s="289"/>
    </row>
    <row r="650" spans="1:5" ht="15.75" customHeight="1">
      <c r="A650" s="291">
        <v>45170</v>
      </c>
      <c r="C650" s="289"/>
      <c r="D650" s="289"/>
      <c r="E650" s="289"/>
    </row>
    <row r="651" spans="1:5" ht="15.75" customHeight="1">
      <c r="A651" s="291">
        <v>45171</v>
      </c>
      <c r="C651" s="289"/>
      <c r="D651" s="289"/>
      <c r="E651" s="289"/>
    </row>
    <row r="652" spans="1:5" ht="15.75" customHeight="1">
      <c r="A652" s="291">
        <v>45172</v>
      </c>
      <c r="C652" s="289"/>
      <c r="D652" s="289"/>
      <c r="E652" s="289"/>
    </row>
    <row r="653" spans="1:5" ht="15.75" customHeight="1">
      <c r="A653" s="291">
        <v>45173</v>
      </c>
      <c r="C653" s="289"/>
      <c r="D653" s="289"/>
      <c r="E653" s="289"/>
    </row>
    <row r="654" spans="1:5" ht="15.75" customHeight="1">
      <c r="A654" s="291">
        <v>45174</v>
      </c>
      <c r="C654" s="289"/>
      <c r="D654" s="289"/>
      <c r="E654" s="289"/>
    </row>
    <row r="655" spans="1:5" ht="15.75" customHeight="1">
      <c r="A655" s="291">
        <v>45175</v>
      </c>
      <c r="C655" s="289"/>
      <c r="D655" s="289"/>
      <c r="E655" s="289"/>
    </row>
    <row r="656" spans="1:5" ht="15.75" customHeight="1">
      <c r="A656" s="291">
        <v>45176</v>
      </c>
      <c r="C656" s="289"/>
      <c r="D656" s="289"/>
      <c r="E656" s="289"/>
    </row>
    <row r="657" spans="1:5" ht="15.75" customHeight="1">
      <c r="A657" s="291">
        <v>45177</v>
      </c>
      <c r="C657" s="289"/>
      <c r="D657" s="289"/>
      <c r="E657" s="289"/>
    </row>
    <row r="658" spans="1:5" ht="15.75" customHeight="1">
      <c r="A658" s="291">
        <v>45178</v>
      </c>
      <c r="C658" s="289"/>
      <c r="D658" s="289"/>
      <c r="E658" s="289"/>
    </row>
    <row r="659" spans="1:5" ht="15.75" customHeight="1">
      <c r="A659" s="291">
        <v>45179</v>
      </c>
      <c r="C659" s="289"/>
      <c r="D659" s="289"/>
      <c r="E659" s="289"/>
    </row>
    <row r="660" spans="1:5" ht="15.75" customHeight="1">
      <c r="A660" s="291">
        <v>45180</v>
      </c>
      <c r="C660" s="289"/>
      <c r="D660" s="289"/>
      <c r="E660" s="289"/>
    </row>
    <row r="661" spans="1:5" ht="15.75" customHeight="1">
      <c r="A661" s="291">
        <v>45181</v>
      </c>
      <c r="C661" s="289"/>
      <c r="D661" s="289"/>
      <c r="E661" s="289"/>
    </row>
    <row r="662" spans="1:5" ht="15.75" customHeight="1">
      <c r="A662" s="291">
        <v>45182</v>
      </c>
      <c r="C662" s="289"/>
      <c r="D662" s="289"/>
      <c r="E662" s="289"/>
    </row>
    <row r="663" spans="1:5" ht="15.75" customHeight="1">
      <c r="A663" s="291">
        <v>45183</v>
      </c>
      <c r="C663" s="289"/>
      <c r="D663" s="289"/>
      <c r="E663" s="289"/>
    </row>
    <row r="664" spans="1:5" ht="15.75" customHeight="1">
      <c r="A664" s="291">
        <v>45184</v>
      </c>
      <c r="C664" s="289"/>
      <c r="D664" s="289"/>
      <c r="E664" s="289"/>
    </row>
    <row r="665" spans="1:5" ht="15.75" customHeight="1">
      <c r="A665" s="291">
        <v>45185</v>
      </c>
      <c r="C665" s="289"/>
      <c r="D665" s="289"/>
      <c r="E665" s="289"/>
    </row>
    <row r="666" spans="1:5" ht="15.75" customHeight="1">
      <c r="A666" s="291">
        <v>45186</v>
      </c>
      <c r="C666" s="289"/>
      <c r="D666" s="289"/>
      <c r="E666" s="289"/>
    </row>
    <row r="667" spans="1:5" ht="15.75" customHeight="1">
      <c r="A667" s="291">
        <v>45187</v>
      </c>
      <c r="C667" s="289"/>
      <c r="D667" s="289"/>
      <c r="E667" s="289"/>
    </row>
    <row r="668" spans="1:5" ht="15.75" customHeight="1">
      <c r="A668" s="291">
        <v>45188</v>
      </c>
      <c r="C668" s="289"/>
      <c r="D668" s="289"/>
      <c r="E668" s="289"/>
    </row>
    <row r="669" spans="1:5" ht="15.75" customHeight="1">
      <c r="A669" s="291">
        <v>45189</v>
      </c>
      <c r="C669" s="289"/>
      <c r="D669" s="289"/>
      <c r="E669" s="289"/>
    </row>
    <row r="670" spans="1:5" ht="15.75" customHeight="1">
      <c r="A670" s="291">
        <v>45190</v>
      </c>
      <c r="C670" s="289"/>
      <c r="D670" s="289"/>
      <c r="E670" s="289"/>
    </row>
    <row r="671" spans="1:5" ht="15.75" customHeight="1">
      <c r="A671" s="291">
        <v>45191</v>
      </c>
      <c r="C671" s="289"/>
      <c r="D671" s="289"/>
      <c r="E671" s="289"/>
    </row>
    <row r="672" spans="1:5" ht="15.75" customHeight="1">
      <c r="A672" s="291">
        <v>45192</v>
      </c>
      <c r="C672" s="289"/>
      <c r="D672" s="289"/>
      <c r="E672" s="289"/>
    </row>
    <row r="673" spans="1:5" ht="15.75" customHeight="1">
      <c r="A673" s="291">
        <v>45193</v>
      </c>
      <c r="C673" s="289"/>
      <c r="D673" s="289"/>
      <c r="E673" s="289"/>
    </row>
    <row r="674" spans="1:5" ht="15.75" customHeight="1">
      <c r="A674" s="291">
        <v>45194</v>
      </c>
      <c r="C674" s="289"/>
      <c r="D674" s="289"/>
      <c r="E674" s="289"/>
    </row>
    <row r="675" spans="1:5" ht="15.75" customHeight="1">
      <c r="A675" s="291">
        <v>45195</v>
      </c>
      <c r="C675" s="289"/>
      <c r="D675" s="289"/>
      <c r="E675" s="289"/>
    </row>
    <row r="676" spans="1:5" ht="15.75" customHeight="1">
      <c r="A676" s="291">
        <v>45196</v>
      </c>
      <c r="C676" s="289"/>
      <c r="D676" s="289"/>
      <c r="E676" s="289"/>
    </row>
    <row r="677" spans="1:5" ht="15.75" customHeight="1">
      <c r="A677" s="291">
        <v>45197</v>
      </c>
      <c r="C677" s="289"/>
      <c r="D677" s="289"/>
      <c r="E677" s="289"/>
    </row>
    <row r="678" spans="1:5" ht="15.75" customHeight="1">
      <c r="A678" s="291">
        <v>45198</v>
      </c>
      <c r="C678" s="289"/>
      <c r="D678" s="289"/>
      <c r="E678" s="289"/>
    </row>
    <row r="679" spans="1:5" ht="15.75" customHeight="1">
      <c r="A679" s="291">
        <v>45199</v>
      </c>
      <c r="C679" s="289"/>
      <c r="D679" s="289"/>
      <c r="E679" s="289"/>
    </row>
    <row r="680" spans="1:5" ht="15.75" customHeight="1">
      <c r="A680" s="291">
        <v>45200</v>
      </c>
      <c r="C680" s="289"/>
      <c r="D680" s="289"/>
      <c r="E680" s="289"/>
    </row>
    <row r="681" spans="1:5" ht="15.75" customHeight="1">
      <c r="A681" s="291">
        <v>45201</v>
      </c>
      <c r="C681" s="289"/>
      <c r="D681" s="289"/>
      <c r="E681" s="289"/>
    </row>
    <row r="682" spans="1:5" ht="15.75" customHeight="1">
      <c r="A682" s="291">
        <v>45202</v>
      </c>
      <c r="C682" s="289"/>
      <c r="D682" s="289"/>
      <c r="E682" s="289"/>
    </row>
    <row r="683" spans="1:5" ht="15.75" customHeight="1">
      <c r="A683" s="291">
        <v>45203</v>
      </c>
      <c r="C683" s="289"/>
      <c r="D683" s="289"/>
      <c r="E683" s="289"/>
    </row>
    <row r="684" spans="1:5" ht="15.75" customHeight="1">
      <c r="A684" s="291">
        <v>45204</v>
      </c>
      <c r="C684" s="289"/>
      <c r="D684" s="289"/>
      <c r="E684" s="289"/>
    </row>
    <row r="685" spans="1:5" ht="15.75" customHeight="1">
      <c r="A685" s="291">
        <v>45205</v>
      </c>
      <c r="C685" s="289"/>
      <c r="D685" s="289"/>
      <c r="E685" s="289"/>
    </row>
    <row r="686" spans="1:5" ht="15.75" customHeight="1">
      <c r="A686" s="291">
        <v>45206</v>
      </c>
      <c r="C686" s="289"/>
      <c r="D686" s="289"/>
      <c r="E686" s="289"/>
    </row>
    <row r="687" spans="1:5" ht="15.75" customHeight="1">
      <c r="A687" s="291">
        <v>45207</v>
      </c>
      <c r="C687" s="289"/>
      <c r="D687" s="289"/>
      <c r="E687" s="289"/>
    </row>
    <row r="688" spans="1:5" ht="15.75" customHeight="1">
      <c r="A688" s="291">
        <v>45208</v>
      </c>
      <c r="C688" s="289"/>
      <c r="D688" s="289"/>
      <c r="E688" s="289"/>
    </row>
    <row r="689" spans="1:5" ht="15.75" customHeight="1">
      <c r="A689" s="291">
        <v>45209</v>
      </c>
      <c r="C689" s="289"/>
      <c r="D689" s="289"/>
      <c r="E689" s="289"/>
    </row>
    <row r="690" spans="1:5" ht="15.75" customHeight="1">
      <c r="A690" s="291">
        <v>45210</v>
      </c>
      <c r="C690" s="289"/>
      <c r="D690" s="289"/>
      <c r="E690" s="289"/>
    </row>
    <row r="691" spans="1:5" ht="15.75" customHeight="1">
      <c r="A691" s="291">
        <v>45211</v>
      </c>
      <c r="C691" s="289"/>
      <c r="D691" s="289"/>
      <c r="E691" s="289"/>
    </row>
    <row r="692" spans="1:5" ht="15.75" customHeight="1">
      <c r="A692" s="291">
        <v>45212</v>
      </c>
      <c r="C692" s="289"/>
      <c r="D692" s="289"/>
      <c r="E692" s="289"/>
    </row>
    <row r="693" spans="1:5" ht="15.75" customHeight="1">
      <c r="A693" s="291">
        <v>45213</v>
      </c>
      <c r="C693" s="289"/>
      <c r="D693" s="289"/>
      <c r="E693" s="289"/>
    </row>
    <row r="694" spans="1:5" ht="15.75" customHeight="1">
      <c r="A694" s="291">
        <v>45214</v>
      </c>
      <c r="C694" s="289"/>
      <c r="D694" s="289"/>
      <c r="E694" s="289"/>
    </row>
    <row r="695" spans="1:5" ht="15.75" customHeight="1">
      <c r="A695" s="291">
        <v>45215</v>
      </c>
      <c r="C695" s="289"/>
      <c r="D695" s="289"/>
      <c r="E695" s="289"/>
    </row>
    <row r="696" spans="1:5" ht="15.75" customHeight="1">
      <c r="A696" s="291">
        <v>45216</v>
      </c>
      <c r="C696" s="289"/>
      <c r="D696" s="289"/>
      <c r="E696" s="289"/>
    </row>
    <row r="697" spans="1:5" ht="15.75" customHeight="1">
      <c r="A697" s="291">
        <v>45217</v>
      </c>
      <c r="C697" s="289"/>
      <c r="D697" s="289"/>
      <c r="E697" s="289"/>
    </row>
    <row r="698" spans="1:5" ht="15.75" customHeight="1">
      <c r="A698" s="291">
        <v>45218</v>
      </c>
      <c r="C698" s="289"/>
      <c r="D698" s="289"/>
      <c r="E698" s="289"/>
    </row>
    <row r="699" spans="1:5" ht="15.75" customHeight="1">
      <c r="A699" s="291">
        <v>45219</v>
      </c>
      <c r="C699" s="289"/>
      <c r="D699" s="289"/>
      <c r="E699" s="289"/>
    </row>
    <row r="700" spans="1:5" ht="15.75" customHeight="1">
      <c r="A700" s="291">
        <v>45220</v>
      </c>
      <c r="C700" s="289"/>
      <c r="D700" s="289"/>
      <c r="E700" s="289"/>
    </row>
    <row r="701" spans="1:5" ht="15.75" customHeight="1">
      <c r="A701" s="291">
        <v>45221</v>
      </c>
      <c r="C701" s="289"/>
      <c r="D701" s="289"/>
      <c r="E701" s="289"/>
    </row>
    <row r="702" spans="1:5" ht="15.75" customHeight="1">
      <c r="A702" s="291">
        <v>45222</v>
      </c>
      <c r="C702" s="289"/>
      <c r="D702" s="289"/>
      <c r="E702" s="289"/>
    </row>
    <row r="703" spans="1:5" ht="15.75" customHeight="1">
      <c r="A703" s="291">
        <v>45223</v>
      </c>
      <c r="C703" s="289"/>
      <c r="D703" s="289"/>
      <c r="E703" s="289"/>
    </row>
    <row r="704" spans="1:5" ht="15.75" customHeight="1">
      <c r="A704" s="291">
        <v>45224</v>
      </c>
      <c r="C704" s="289"/>
      <c r="D704" s="289"/>
      <c r="E704" s="289"/>
    </row>
    <row r="705" spans="1:5" ht="15.75" customHeight="1">
      <c r="A705" s="291">
        <v>45225</v>
      </c>
      <c r="C705" s="289"/>
      <c r="D705" s="289"/>
      <c r="E705" s="289"/>
    </row>
    <row r="706" spans="1:5" ht="15.75" customHeight="1">
      <c r="A706" s="291">
        <v>45226</v>
      </c>
      <c r="C706" s="289"/>
      <c r="D706" s="289"/>
      <c r="E706" s="289"/>
    </row>
    <row r="707" spans="1:5" ht="15.75" customHeight="1">
      <c r="A707" s="291">
        <v>45227</v>
      </c>
      <c r="C707" s="289"/>
      <c r="D707" s="289"/>
      <c r="E707" s="289"/>
    </row>
    <row r="708" spans="1:5" ht="15.75" customHeight="1">
      <c r="A708" s="291">
        <v>45228</v>
      </c>
      <c r="C708" s="289"/>
      <c r="D708" s="289"/>
      <c r="E708" s="289"/>
    </row>
    <row r="709" spans="1:5" ht="15.75" customHeight="1">
      <c r="A709" s="291">
        <v>45229</v>
      </c>
      <c r="C709" s="289"/>
      <c r="D709" s="289"/>
      <c r="E709" s="289"/>
    </row>
    <row r="710" spans="1:5" ht="15.75" customHeight="1">
      <c r="A710" s="291">
        <v>45230</v>
      </c>
      <c r="C710" s="289"/>
      <c r="D710" s="289"/>
      <c r="E710" s="289"/>
    </row>
    <row r="711" spans="1:5" ht="15.75" customHeight="1">
      <c r="A711" s="291">
        <v>45231</v>
      </c>
      <c r="C711" s="289"/>
      <c r="D711" s="289"/>
      <c r="E711" s="289"/>
    </row>
    <row r="712" spans="1:5" ht="15.75" customHeight="1">
      <c r="A712" s="291">
        <v>45232</v>
      </c>
      <c r="C712" s="289"/>
      <c r="D712" s="289"/>
      <c r="E712" s="289"/>
    </row>
    <row r="713" spans="1:5" ht="15.75" customHeight="1">
      <c r="A713" s="291">
        <v>45233</v>
      </c>
      <c r="C713" s="289"/>
      <c r="D713" s="289"/>
      <c r="E713" s="289"/>
    </row>
    <row r="714" spans="1:5" ht="15.75" customHeight="1">
      <c r="A714" s="291">
        <v>45234</v>
      </c>
      <c r="C714" s="289"/>
      <c r="D714" s="289"/>
      <c r="E714" s="289"/>
    </row>
    <row r="715" spans="1:5" ht="15.75" customHeight="1">
      <c r="A715" s="291">
        <v>45235</v>
      </c>
      <c r="C715" s="289"/>
      <c r="D715" s="289"/>
      <c r="E715" s="289"/>
    </row>
    <row r="716" spans="1:5" ht="15.75" customHeight="1">
      <c r="A716" s="291">
        <v>45236</v>
      </c>
      <c r="C716" s="289"/>
      <c r="D716" s="289"/>
      <c r="E716" s="289"/>
    </row>
    <row r="717" spans="1:5" ht="15.75" customHeight="1">
      <c r="A717" s="291">
        <v>45237</v>
      </c>
      <c r="C717" s="289"/>
      <c r="D717" s="289"/>
      <c r="E717" s="289"/>
    </row>
    <row r="718" spans="1:5" ht="15.75" customHeight="1">
      <c r="A718" s="291">
        <v>45238</v>
      </c>
      <c r="C718" s="289"/>
      <c r="D718" s="289"/>
      <c r="E718" s="289"/>
    </row>
    <row r="719" spans="1:5" ht="15.75" customHeight="1">
      <c r="A719" s="291">
        <v>45239</v>
      </c>
      <c r="C719" s="289"/>
      <c r="D719" s="289"/>
      <c r="E719" s="289"/>
    </row>
    <row r="720" spans="1:5" ht="15.75" customHeight="1">
      <c r="A720" s="291">
        <v>45240</v>
      </c>
      <c r="C720" s="289"/>
      <c r="D720" s="289"/>
      <c r="E720" s="289"/>
    </row>
    <row r="721" spans="1:5" ht="15.75" customHeight="1">
      <c r="A721" s="291">
        <v>45241</v>
      </c>
      <c r="C721" s="289"/>
      <c r="D721" s="289"/>
      <c r="E721" s="289"/>
    </row>
    <row r="722" spans="1:5" ht="15.75" customHeight="1">
      <c r="A722" s="291">
        <v>45242</v>
      </c>
      <c r="C722" s="289"/>
      <c r="D722" s="289"/>
      <c r="E722" s="289"/>
    </row>
    <row r="723" spans="1:5" ht="15.75" customHeight="1">
      <c r="A723" s="291">
        <v>45243</v>
      </c>
      <c r="C723" s="289"/>
      <c r="D723" s="289"/>
      <c r="E723" s="289"/>
    </row>
    <row r="724" spans="1:5" ht="15.75" customHeight="1">
      <c r="A724" s="291">
        <v>45244</v>
      </c>
      <c r="C724" s="289"/>
      <c r="D724" s="289"/>
      <c r="E724" s="289"/>
    </row>
    <row r="725" spans="1:5" ht="15.75" customHeight="1">
      <c r="A725" s="291">
        <v>45245</v>
      </c>
      <c r="C725" s="289"/>
      <c r="D725" s="289"/>
      <c r="E725" s="289"/>
    </row>
    <row r="726" spans="1:5" ht="15.75" customHeight="1">
      <c r="A726" s="291">
        <v>45246</v>
      </c>
      <c r="C726" s="289"/>
      <c r="D726" s="289"/>
      <c r="E726" s="289"/>
    </row>
    <row r="727" spans="1:5" ht="15.75" customHeight="1">
      <c r="A727" s="291">
        <v>45247</v>
      </c>
      <c r="C727" s="289"/>
      <c r="D727" s="289"/>
      <c r="E727" s="289"/>
    </row>
    <row r="728" spans="1:5" ht="15.75" customHeight="1">
      <c r="A728" s="291">
        <v>45248</v>
      </c>
      <c r="C728" s="289"/>
      <c r="D728" s="289"/>
      <c r="E728" s="289"/>
    </row>
    <row r="729" spans="1:5" ht="15.75" customHeight="1">
      <c r="A729" s="291">
        <v>45249</v>
      </c>
      <c r="C729" s="289"/>
      <c r="D729" s="289"/>
      <c r="E729" s="289"/>
    </row>
    <row r="730" spans="1:5" ht="15.75" customHeight="1">
      <c r="A730" s="291">
        <v>45250</v>
      </c>
      <c r="C730" s="289"/>
      <c r="D730" s="289"/>
      <c r="E730" s="289"/>
    </row>
    <row r="731" spans="1:5" ht="15.75" customHeight="1">
      <c r="A731" s="291">
        <v>45251</v>
      </c>
      <c r="C731" s="289"/>
      <c r="D731" s="289"/>
      <c r="E731" s="289"/>
    </row>
    <row r="732" spans="1:5" ht="15.75" customHeight="1">
      <c r="A732" s="291">
        <v>45252</v>
      </c>
      <c r="C732" s="289"/>
      <c r="D732" s="289"/>
      <c r="E732" s="289"/>
    </row>
    <row r="733" spans="1:5" ht="15.75" customHeight="1">
      <c r="A733" s="291">
        <v>45253</v>
      </c>
      <c r="C733" s="289"/>
      <c r="D733" s="289"/>
      <c r="E733" s="289"/>
    </row>
    <row r="734" spans="1:5" ht="15.75" customHeight="1">
      <c r="A734" s="291">
        <v>45254</v>
      </c>
      <c r="C734" s="289"/>
      <c r="D734" s="289"/>
      <c r="E734" s="289"/>
    </row>
    <row r="735" spans="1:5" ht="15.75" customHeight="1">
      <c r="A735" s="291">
        <v>45255</v>
      </c>
      <c r="C735" s="289"/>
      <c r="D735" s="289"/>
      <c r="E735" s="289"/>
    </row>
    <row r="736" spans="1:5" ht="15.75" customHeight="1">
      <c r="A736" s="291">
        <v>45256</v>
      </c>
      <c r="C736" s="289"/>
      <c r="D736" s="289"/>
      <c r="E736" s="289"/>
    </row>
    <row r="737" spans="1:5" ht="15.75" customHeight="1">
      <c r="A737" s="291">
        <v>45257</v>
      </c>
      <c r="C737" s="289"/>
      <c r="D737" s="289"/>
      <c r="E737" s="289"/>
    </row>
    <row r="738" spans="1:5" ht="15.75" customHeight="1">
      <c r="A738" s="291">
        <v>45258</v>
      </c>
      <c r="C738" s="289"/>
      <c r="D738" s="289"/>
      <c r="E738" s="289"/>
    </row>
    <row r="739" spans="1:5" ht="15.75" customHeight="1">
      <c r="A739" s="291">
        <v>45259</v>
      </c>
      <c r="C739" s="289"/>
      <c r="D739" s="289"/>
      <c r="E739" s="289"/>
    </row>
    <row r="740" spans="1:5" ht="15.75" customHeight="1">
      <c r="A740" s="291">
        <v>45260</v>
      </c>
      <c r="C740" s="289"/>
      <c r="D740" s="289"/>
      <c r="E740" s="289"/>
    </row>
    <row r="741" spans="1:5" ht="15.75" customHeight="1">
      <c r="A741" s="291">
        <v>45261</v>
      </c>
      <c r="C741" s="289"/>
      <c r="D741" s="289"/>
      <c r="E741" s="289"/>
    </row>
    <row r="742" spans="1:5" ht="15.75" customHeight="1">
      <c r="A742" s="291">
        <v>45262</v>
      </c>
      <c r="C742" s="289"/>
      <c r="D742" s="289"/>
      <c r="E742" s="289"/>
    </row>
    <row r="743" spans="1:5" ht="15.75" customHeight="1">
      <c r="A743" s="291">
        <v>45263</v>
      </c>
      <c r="C743" s="289"/>
      <c r="D743" s="289"/>
      <c r="E743" s="289"/>
    </row>
    <row r="744" spans="1:5" ht="15.75" customHeight="1">
      <c r="A744" s="291">
        <v>45264</v>
      </c>
      <c r="C744" s="289"/>
      <c r="D744" s="289"/>
      <c r="E744" s="289"/>
    </row>
    <row r="745" spans="1:5" ht="15.75" customHeight="1">
      <c r="A745" s="291">
        <v>45265</v>
      </c>
      <c r="C745" s="289"/>
      <c r="D745" s="289"/>
      <c r="E745" s="289"/>
    </row>
    <row r="746" spans="1:5" ht="15.75" customHeight="1">
      <c r="A746" s="291">
        <v>45266</v>
      </c>
      <c r="C746" s="289"/>
      <c r="D746" s="289"/>
      <c r="E746" s="289"/>
    </row>
    <row r="747" spans="1:5" ht="15.75" customHeight="1">
      <c r="A747" s="291">
        <v>45267</v>
      </c>
      <c r="C747" s="289"/>
      <c r="D747" s="289"/>
      <c r="E747" s="289"/>
    </row>
    <row r="748" spans="1:5" ht="15.75" customHeight="1">
      <c r="A748" s="291">
        <v>45268</v>
      </c>
      <c r="C748" s="289"/>
      <c r="D748" s="289"/>
      <c r="E748" s="289"/>
    </row>
    <row r="749" spans="1:5" ht="15.75" customHeight="1">
      <c r="A749" s="291">
        <v>45269</v>
      </c>
      <c r="C749" s="289"/>
      <c r="D749" s="289"/>
      <c r="E749" s="289"/>
    </row>
    <row r="750" spans="1:5" ht="15.75" customHeight="1">
      <c r="A750" s="291">
        <v>45270</v>
      </c>
      <c r="C750" s="289"/>
      <c r="D750" s="289"/>
      <c r="E750" s="289"/>
    </row>
    <row r="751" spans="1:5" ht="15.75" customHeight="1">
      <c r="A751" s="291">
        <v>45271</v>
      </c>
      <c r="C751" s="289"/>
      <c r="D751" s="289"/>
      <c r="E751" s="289"/>
    </row>
    <row r="752" spans="1:5" ht="15.75" customHeight="1">
      <c r="A752" s="291">
        <v>45272</v>
      </c>
      <c r="C752" s="289"/>
      <c r="D752" s="289"/>
      <c r="E752" s="289"/>
    </row>
    <row r="753" spans="1:5" ht="15.75" customHeight="1">
      <c r="A753" s="291">
        <v>45273</v>
      </c>
      <c r="C753" s="289"/>
      <c r="D753" s="289"/>
      <c r="E753" s="289"/>
    </row>
    <row r="754" spans="1:5" ht="15.75" customHeight="1">
      <c r="A754" s="291">
        <v>45274</v>
      </c>
      <c r="C754" s="289"/>
      <c r="D754" s="289"/>
      <c r="E754" s="289"/>
    </row>
    <row r="755" spans="1:5" ht="15.75" customHeight="1">
      <c r="A755" s="291">
        <v>45275</v>
      </c>
      <c r="C755" s="289"/>
      <c r="D755" s="289"/>
      <c r="E755" s="289"/>
    </row>
    <row r="756" spans="1:5" ht="15.75" customHeight="1">
      <c r="A756" s="291">
        <v>45276</v>
      </c>
      <c r="C756" s="289"/>
      <c r="D756" s="289"/>
      <c r="E756" s="289"/>
    </row>
    <row r="757" spans="1:5" ht="15.75" customHeight="1">
      <c r="A757" s="291">
        <v>45277</v>
      </c>
      <c r="C757" s="289"/>
      <c r="D757" s="289"/>
      <c r="E757" s="289"/>
    </row>
    <row r="758" spans="1:5" ht="15.75" customHeight="1">
      <c r="A758" s="291">
        <v>45278</v>
      </c>
      <c r="C758" s="289"/>
      <c r="D758" s="289"/>
      <c r="E758" s="289"/>
    </row>
    <row r="759" spans="1:5" ht="15.75" customHeight="1">
      <c r="A759" s="291">
        <v>45279</v>
      </c>
      <c r="C759" s="289"/>
      <c r="D759" s="289"/>
      <c r="E759" s="289"/>
    </row>
    <row r="760" spans="1:5" ht="15.75" customHeight="1">
      <c r="A760" s="291">
        <v>45280</v>
      </c>
      <c r="C760" s="289"/>
      <c r="D760" s="289"/>
      <c r="E760" s="289"/>
    </row>
    <row r="761" spans="1:5" ht="15.75" customHeight="1">
      <c r="A761" s="291">
        <v>45281</v>
      </c>
      <c r="C761" s="289"/>
      <c r="D761" s="289"/>
      <c r="E761" s="289"/>
    </row>
    <row r="762" spans="1:5" ht="15.75" customHeight="1">
      <c r="A762" s="291">
        <v>45282</v>
      </c>
      <c r="C762" s="289"/>
      <c r="D762" s="289"/>
      <c r="E762" s="289"/>
    </row>
    <row r="763" spans="1:5" ht="15.75" customHeight="1">
      <c r="A763" s="291">
        <v>45283</v>
      </c>
      <c r="C763" s="289"/>
      <c r="D763" s="289"/>
      <c r="E763" s="289"/>
    </row>
    <row r="764" spans="1:5" ht="15.75" customHeight="1">
      <c r="A764" s="291">
        <v>45284</v>
      </c>
      <c r="C764" s="289"/>
      <c r="D764" s="289"/>
      <c r="E764" s="289"/>
    </row>
    <row r="765" spans="1:5" ht="15.75" customHeight="1">
      <c r="A765" s="291">
        <v>45285</v>
      </c>
      <c r="C765" s="289"/>
      <c r="D765" s="289"/>
      <c r="E765" s="289"/>
    </row>
    <row r="766" spans="1:5" ht="15.75" customHeight="1">
      <c r="A766" s="291">
        <v>45286</v>
      </c>
      <c r="C766" s="289"/>
      <c r="D766" s="289"/>
      <c r="E766" s="289"/>
    </row>
    <row r="767" spans="1:5" ht="15.75" customHeight="1">
      <c r="A767" s="291">
        <v>45287</v>
      </c>
      <c r="C767" s="289"/>
      <c r="D767" s="289"/>
      <c r="E767" s="289"/>
    </row>
    <row r="768" spans="1:5" ht="15.75" customHeight="1">
      <c r="A768" s="291">
        <v>45288</v>
      </c>
      <c r="C768" s="289"/>
      <c r="D768" s="289"/>
      <c r="E768" s="289"/>
    </row>
    <row r="769" spans="1:5" ht="15.75" customHeight="1">
      <c r="A769" s="291">
        <v>45289</v>
      </c>
      <c r="C769" s="289"/>
      <c r="D769" s="289"/>
      <c r="E769" s="289"/>
    </row>
    <row r="770" spans="1:5" ht="15.75" customHeight="1">
      <c r="A770" s="291">
        <v>45290</v>
      </c>
      <c r="C770" s="289"/>
      <c r="D770" s="289"/>
      <c r="E770" s="289"/>
    </row>
    <row r="771" spans="1:5" ht="15.75" customHeight="1">
      <c r="A771" s="291">
        <v>45291</v>
      </c>
      <c r="C771" s="289"/>
      <c r="D771" s="289"/>
      <c r="E771" s="289"/>
    </row>
    <row r="772" spans="1:5" ht="15.75" customHeight="1">
      <c r="A772" s="291">
        <v>45292</v>
      </c>
      <c r="C772" s="289"/>
      <c r="D772" s="289"/>
      <c r="E772" s="289"/>
    </row>
    <row r="773" spans="1:5" ht="15.75" customHeight="1">
      <c r="A773" s="291">
        <v>45293</v>
      </c>
      <c r="C773" s="289"/>
      <c r="D773" s="289"/>
      <c r="E773" s="289"/>
    </row>
    <row r="774" spans="1:5" ht="15.75" customHeight="1">
      <c r="A774" s="291">
        <v>45294</v>
      </c>
      <c r="C774" s="289"/>
      <c r="D774" s="289"/>
      <c r="E774" s="289"/>
    </row>
    <row r="775" spans="1:5" ht="15.75" customHeight="1">
      <c r="A775" s="291">
        <v>45295</v>
      </c>
      <c r="C775" s="289"/>
      <c r="D775" s="289"/>
      <c r="E775" s="289"/>
    </row>
    <row r="776" spans="1:5" ht="15.75" customHeight="1">
      <c r="A776" s="291">
        <v>45296</v>
      </c>
      <c r="C776" s="289"/>
      <c r="D776" s="289"/>
      <c r="E776" s="289"/>
    </row>
    <row r="777" spans="1:5" ht="15.75" customHeight="1">
      <c r="A777" s="291">
        <v>45297</v>
      </c>
      <c r="C777" s="289"/>
      <c r="D777" s="289"/>
      <c r="E777" s="289"/>
    </row>
    <row r="778" spans="1:5" ht="15.75" customHeight="1">
      <c r="A778" s="291">
        <v>45298</v>
      </c>
      <c r="C778" s="289"/>
      <c r="D778" s="289"/>
      <c r="E778" s="289"/>
    </row>
    <row r="779" spans="1:5" ht="15.75" customHeight="1">
      <c r="A779" s="291">
        <v>45299</v>
      </c>
      <c r="C779" s="289"/>
      <c r="D779" s="289"/>
      <c r="E779" s="289"/>
    </row>
    <row r="780" spans="1:5" ht="15.75" customHeight="1">
      <c r="A780" s="291">
        <v>45300</v>
      </c>
      <c r="C780" s="289"/>
      <c r="D780" s="289"/>
      <c r="E780" s="289"/>
    </row>
    <row r="781" spans="1:5" ht="15.75" customHeight="1">
      <c r="A781" s="291">
        <v>45301</v>
      </c>
      <c r="C781" s="289"/>
      <c r="D781" s="289"/>
      <c r="E781" s="289"/>
    </row>
    <row r="782" spans="1:5" ht="15.75" customHeight="1">
      <c r="A782" s="291">
        <v>45302</v>
      </c>
      <c r="C782" s="289"/>
      <c r="D782" s="289"/>
      <c r="E782" s="289"/>
    </row>
    <row r="783" spans="1:5" ht="15.75" customHeight="1">
      <c r="A783" s="291">
        <v>45303</v>
      </c>
      <c r="C783" s="289"/>
      <c r="D783" s="289"/>
      <c r="E783" s="289"/>
    </row>
    <row r="784" spans="1:5" ht="15.75" customHeight="1">
      <c r="A784" s="291">
        <v>45304</v>
      </c>
      <c r="C784" s="289"/>
      <c r="D784" s="289"/>
      <c r="E784" s="289"/>
    </row>
    <row r="785" spans="1:5" ht="15.75" customHeight="1">
      <c r="A785" s="291">
        <v>45305</v>
      </c>
      <c r="C785" s="289"/>
      <c r="D785" s="289"/>
      <c r="E785" s="289"/>
    </row>
    <row r="786" spans="1:5" ht="15.75" customHeight="1">
      <c r="A786" s="291">
        <v>45306</v>
      </c>
      <c r="C786" s="289"/>
      <c r="D786" s="289"/>
      <c r="E786" s="289"/>
    </row>
    <row r="787" spans="1:5" ht="15.75" customHeight="1">
      <c r="A787" s="291">
        <v>45307</v>
      </c>
      <c r="C787" s="289"/>
      <c r="D787" s="289"/>
      <c r="E787" s="289"/>
    </row>
    <row r="788" spans="1:5" ht="15.75" customHeight="1">
      <c r="A788" s="291">
        <v>45308</v>
      </c>
      <c r="C788" s="289"/>
      <c r="D788" s="289"/>
      <c r="E788" s="289"/>
    </row>
    <row r="789" spans="1:5" ht="15.75" customHeight="1">
      <c r="A789" s="291">
        <v>45309</v>
      </c>
      <c r="C789" s="289"/>
      <c r="D789" s="289"/>
      <c r="E789" s="289"/>
    </row>
    <row r="790" spans="1:5" ht="15.75" customHeight="1">
      <c r="A790" s="291">
        <v>45310</v>
      </c>
      <c r="C790" s="289"/>
      <c r="D790" s="289"/>
      <c r="E790" s="289"/>
    </row>
    <row r="791" spans="1:5" ht="15.75" customHeight="1">
      <c r="A791" s="291">
        <v>45311</v>
      </c>
      <c r="C791" s="289"/>
      <c r="D791" s="289"/>
      <c r="E791" s="289"/>
    </row>
    <row r="792" spans="1:5" ht="15.75" customHeight="1">
      <c r="A792" s="291">
        <v>45312</v>
      </c>
      <c r="C792" s="289"/>
      <c r="D792" s="289"/>
      <c r="E792" s="289"/>
    </row>
    <row r="793" spans="1:5" ht="15.75" customHeight="1">
      <c r="A793" s="291">
        <v>45313</v>
      </c>
      <c r="C793" s="289"/>
      <c r="D793" s="289"/>
      <c r="E793" s="289"/>
    </row>
    <row r="794" spans="1:5" ht="15.75" customHeight="1">
      <c r="A794" s="291">
        <v>45314</v>
      </c>
      <c r="C794" s="289"/>
      <c r="D794" s="289"/>
      <c r="E794" s="289"/>
    </row>
    <row r="795" spans="1:5" ht="15.75" customHeight="1">
      <c r="A795" s="291">
        <v>45315</v>
      </c>
      <c r="C795" s="289"/>
      <c r="D795" s="289"/>
      <c r="E795" s="289"/>
    </row>
    <row r="796" spans="1:5" ht="15.75" customHeight="1">
      <c r="A796" s="291">
        <v>45316</v>
      </c>
      <c r="C796" s="289"/>
      <c r="D796" s="289"/>
      <c r="E796" s="289"/>
    </row>
    <row r="797" spans="1:5" ht="15.75" customHeight="1">
      <c r="A797" s="291">
        <v>45317</v>
      </c>
      <c r="C797" s="289"/>
      <c r="D797" s="289"/>
      <c r="E797" s="289"/>
    </row>
    <row r="798" spans="1:5" ht="15.75" customHeight="1">
      <c r="A798" s="291">
        <v>45318</v>
      </c>
      <c r="C798" s="289"/>
      <c r="D798" s="289"/>
      <c r="E798" s="289"/>
    </row>
    <row r="799" spans="1:5" ht="15.75" customHeight="1">
      <c r="A799" s="291">
        <v>45319</v>
      </c>
      <c r="C799" s="289"/>
      <c r="D799" s="289"/>
      <c r="E799" s="289"/>
    </row>
    <row r="800" spans="1:5" ht="15.75" customHeight="1">
      <c r="A800" s="291">
        <v>45320</v>
      </c>
      <c r="C800" s="289"/>
      <c r="D800" s="289"/>
      <c r="E800" s="289"/>
    </row>
    <row r="801" spans="1:5" ht="15.75" customHeight="1">
      <c r="A801" s="291">
        <v>45321</v>
      </c>
      <c r="C801" s="289"/>
      <c r="D801" s="289"/>
      <c r="E801" s="289"/>
    </row>
    <row r="802" spans="1:5" ht="15.75" customHeight="1">
      <c r="A802" s="291">
        <v>45322</v>
      </c>
      <c r="C802" s="289"/>
      <c r="D802" s="289"/>
      <c r="E802" s="289"/>
    </row>
    <row r="803" spans="1:5" ht="15.75" customHeight="1">
      <c r="A803" s="291">
        <v>45323</v>
      </c>
      <c r="C803" s="289"/>
      <c r="D803" s="289"/>
      <c r="E803" s="289"/>
    </row>
    <row r="804" spans="1:5" ht="15.75" customHeight="1">
      <c r="A804" s="291">
        <v>45324</v>
      </c>
      <c r="C804" s="289"/>
      <c r="D804" s="289"/>
      <c r="E804" s="289"/>
    </row>
    <row r="805" spans="1:5" ht="15.75" customHeight="1">
      <c r="A805" s="291">
        <v>45325</v>
      </c>
      <c r="C805" s="289"/>
      <c r="D805" s="289"/>
      <c r="E805" s="289"/>
    </row>
    <row r="806" spans="1:5" ht="15.75" customHeight="1">
      <c r="A806" s="291">
        <v>45326</v>
      </c>
      <c r="C806" s="289"/>
      <c r="D806" s="289"/>
      <c r="E806" s="289"/>
    </row>
    <row r="807" spans="1:5" ht="15.75" customHeight="1">
      <c r="A807" s="291">
        <v>45327</v>
      </c>
      <c r="C807" s="289"/>
      <c r="D807" s="289"/>
      <c r="E807" s="289"/>
    </row>
    <row r="808" spans="1:5" ht="15.75" customHeight="1">
      <c r="A808" s="291">
        <v>45328</v>
      </c>
      <c r="C808" s="289"/>
      <c r="D808" s="289"/>
      <c r="E808" s="289"/>
    </row>
    <row r="809" spans="1:5" ht="15.75" customHeight="1">
      <c r="A809" s="291">
        <v>45329</v>
      </c>
      <c r="C809" s="289"/>
      <c r="D809" s="289"/>
      <c r="E809" s="289"/>
    </row>
    <row r="810" spans="1:5" ht="15.75" customHeight="1">
      <c r="A810" s="291">
        <v>45330</v>
      </c>
      <c r="C810" s="289"/>
      <c r="D810" s="289"/>
      <c r="E810" s="289"/>
    </row>
    <row r="811" spans="1:5" ht="15.75" customHeight="1">
      <c r="A811" s="291">
        <v>45331</v>
      </c>
      <c r="C811" s="289"/>
      <c r="D811" s="289"/>
      <c r="E811" s="289"/>
    </row>
    <row r="812" spans="1:5" ht="15.75" customHeight="1">
      <c r="A812" s="291">
        <v>45332</v>
      </c>
      <c r="C812" s="289"/>
      <c r="D812" s="289"/>
      <c r="E812" s="289"/>
    </row>
    <row r="813" spans="1:5" ht="15.75" customHeight="1">
      <c r="A813" s="291">
        <v>45333</v>
      </c>
      <c r="C813" s="289"/>
      <c r="D813" s="289"/>
      <c r="E813" s="289"/>
    </row>
    <row r="814" spans="1:5" ht="15.75" customHeight="1">
      <c r="A814" s="291">
        <v>45334</v>
      </c>
      <c r="C814" s="289"/>
      <c r="D814" s="289"/>
      <c r="E814" s="289"/>
    </row>
    <row r="815" spans="1:5" ht="15.75" customHeight="1">
      <c r="A815" s="291">
        <v>45335</v>
      </c>
      <c r="C815" s="289"/>
      <c r="D815" s="289"/>
      <c r="E815" s="289"/>
    </row>
    <row r="816" spans="1:5" ht="15.75" customHeight="1">
      <c r="A816" s="291">
        <v>45336</v>
      </c>
      <c r="C816" s="289"/>
      <c r="D816" s="289"/>
      <c r="E816" s="289"/>
    </row>
    <row r="817" spans="1:5" ht="15.75" customHeight="1">
      <c r="A817" s="291">
        <v>45337</v>
      </c>
      <c r="C817" s="289"/>
      <c r="D817" s="289"/>
      <c r="E817" s="289"/>
    </row>
    <row r="818" spans="1:5" ht="15.75" customHeight="1">
      <c r="A818" s="291">
        <v>45338</v>
      </c>
      <c r="C818" s="289"/>
      <c r="D818" s="289"/>
      <c r="E818" s="289"/>
    </row>
    <row r="819" spans="1:5" ht="15.75" customHeight="1">
      <c r="A819" s="291">
        <v>45339</v>
      </c>
      <c r="C819" s="289"/>
      <c r="D819" s="289"/>
      <c r="E819" s="289"/>
    </row>
    <row r="820" spans="1:5" ht="15.75" customHeight="1">
      <c r="A820" s="291">
        <v>45340</v>
      </c>
      <c r="C820" s="289"/>
      <c r="D820" s="289"/>
      <c r="E820" s="289"/>
    </row>
    <row r="821" spans="1:5" ht="15.75" customHeight="1">
      <c r="A821" s="291">
        <v>45341</v>
      </c>
      <c r="C821" s="289"/>
      <c r="D821" s="289"/>
      <c r="E821" s="289"/>
    </row>
    <row r="822" spans="1:5" ht="15.75" customHeight="1">
      <c r="A822" s="291">
        <v>45342</v>
      </c>
      <c r="C822" s="289"/>
      <c r="D822" s="289"/>
      <c r="E822" s="289"/>
    </row>
    <row r="823" spans="1:5" ht="15.75" customHeight="1">
      <c r="A823" s="291">
        <v>45343</v>
      </c>
      <c r="C823" s="289"/>
      <c r="D823" s="289"/>
      <c r="E823" s="289"/>
    </row>
    <row r="824" spans="1:5" ht="15.75" customHeight="1">
      <c r="A824" s="291">
        <v>45344</v>
      </c>
      <c r="C824" s="289"/>
      <c r="D824" s="289"/>
      <c r="E824" s="289"/>
    </row>
    <row r="825" spans="1:5" ht="15.75" customHeight="1">
      <c r="A825" s="291">
        <v>45345</v>
      </c>
      <c r="C825" s="289"/>
      <c r="D825" s="289"/>
      <c r="E825" s="289"/>
    </row>
    <row r="826" spans="1:5" ht="15.75" customHeight="1">
      <c r="A826" s="291">
        <v>45346</v>
      </c>
      <c r="C826" s="289"/>
      <c r="D826" s="289"/>
      <c r="E826" s="289"/>
    </row>
    <row r="827" spans="1:5" ht="15.75" customHeight="1">
      <c r="A827" s="291">
        <v>45347</v>
      </c>
      <c r="C827" s="289"/>
      <c r="D827" s="289"/>
      <c r="E827" s="289"/>
    </row>
    <row r="828" spans="1:5" ht="15.75" customHeight="1">
      <c r="A828" s="291">
        <v>45348</v>
      </c>
      <c r="C828" s="289"/>
      <c r="D828" s="289"/>
      <c r="E828" s="289"/>
    </row>
    <row r="829" spans="1:5" ht="15.75" customHeight="1">
      <c r="A829" s="291">
        <v>45349</v>
      </c>
      <c r="C829" s="289"/>
      <c r="D829" s="289"/>
      <c r="E829" s="289"/>
    </row>
    <row r="830" spans="1:5" ht="15.75" customHeight="1">
      <c r="A830" s="291">
        <v>45350</v>
      </c>
      <c r="C830" s="289"/>
      <c r="D830" s="289"/>
      <c r="E830" s="289"/>
    </row>
    <row r="831" spans="1:5" ht="15.75" customHeight="1">
      <c r="A831" s="291">
        <v>45351</v>
      </c>
      <c r="C831" s="289"/>
      <c r="D831" s="289"/>
      <c r="E831" s="289"/>
    </row>
    <row r="832" spans="1:5" ht="15.75" customHeight="1">
      <c r="A832" s="291">
        <v>45352</v>
      </c>
      <c r="C832" s="289"/>
      <c r="D832" s="289"/>
      <c r="E832" s="289"/>
    </row>
    <row r="833" spans="1:5" ht="15.75" customHeight="1">
      <c r="A833" s="291">
        <v>45353</v>
      </c>
      <c r="C833" s="289"/>
      <c r="D833" s="289"/>
      <c r="E833" s="289"/>
    </row>
    <row r="834" spans="1:5" ht="15.75" customHeight="1">
      <c r="A834" s="291">
        <v>45354</v>
      </c>
      <c r="C834" s="289"/>
      <c r="D834" s="289"/>
      <c r="E834" s="289"/>
    </row>
    <row r="835" spans="1:5" ht="15.75" customHeight="1">
      <c r="A835" s="291">
        <v>45355</v>
      </c>
      <c r="C835" s="289"/>
      <c r="D835" s="289"/>
      <c r="E835" s="289"/>
    </row>
    <row r="836" spans="1:5" ht="15.75" customHeight="1">
      <c r="A836" s="291">
        <v>45356</v>
      </c>
      <c r="C836" s="289"/>
      <c r="D836" s="289"/>
      <c r="E836" s="289"/>
    </row>
    <row r="837" spans="1:5" ht="15.75" customHeight="1">
      <c r="A837" s="291">
        <v>45357</v>
      </c>
      <c r="C837" s="289"/>
      <c r="D837" s="289"/>
      <c r="E837" s="289"/>
    </row>
    <row r="838" spans="1:5" ht="15.75" customHeight="1">
      <c r="A838" s="291">
        <v>45358</v>
      </c>
      <c r="C838" s="289"/>
      <c r="D838" s="289"/>
      <c r="E838" s="289"/>
    </row>
    <row r="839" spans="1:5" ht="15.75" customHeight="1">
      <c r="A839" s="291">
        <v>45359</v>
      </c>
      <c r="C839" s="289"/>
      <c r="D839" s="289"/>
      <c r="E839" s="289"/>
    </row>
    <row r="840" spans="1:5" ht="15.75" customHeight="1">
      <c r="A840" s="291">
        <v>45360</v>
      </c>
      <c r="C840" s="289"/>
      <c r="D840" s="289"/>
      <c r="E840" s="289"/>
    </row>
    <row r="841" spans="1:5" ht="15.75" customHeight="1">
      <c r="A841" s="291">
        <v>45361</v>
      </c>
      <c r="C841" s="289"/>
      <c r="D841" s="289"/>
      <c r="E841" s="289"/>
    </row>
    <row r="842" spans="1:5" ht="15.75" customHeight="1">
      <c r="A842" s="291">
        <v>45362</v>
      </c>
      <c r="C842" s="289"/>
      <c r="D842" s="289"/>
      <c r="E842" s="289"/>
    </row>
    <row r="843" spans="1:5" ht="15.75" customHeight="1">
      <c r="A843" s="291">
        <v>45363</v>
      </c>
      <c r="C843" s="289"/>
      <c r="D843" s="289"/>
      <c r="E843" s="289"/>
    </row>
    <row r="844" spans="1:5" ht="15.75" customHeight="1">
      <c r="A844" s="291">
        <v>45364</v>
      </c>
      <c r="C844" s="289"/>
      <c r="D844" s="289"/>
      <c r="E844" s="289"/>
    </row>
    <row r="845" spans="1:5" ht="15.75" customHeight="1">
      <c r="A845" s="291">
        <v>45365</v>
      </c>
      <c r="C845" s="289"/>
      <c r="D845" s="289"/>
      <c r="E845" s="289"/>
    </row>
    <row r="846" spans="1:5" ht="15.75" customHeight="1">
      <c r="A846" s="291">
        <v>45366</v>
      </c>
      <c r="C846" s="289"/>
      <c r="D846" s="289"/>
      <c r="E846" s="289"/>
    </row>
    <row r="847" spans="1:5" ht="15.75" customHeight="1">
      <c r="A847" s="291">
        <v>45367</v>
      </c>
      <c r="C847" s="289"/>
      <c r="D847" s="289"/>
      <c r="E847" s="289"/>
    </row>
    <row r="848" spans="1:5" ht="15.75" customHeight="1">
      <c r="A848" s="291">
        <v>45368</v>
      </c>
      <c r="C848" s="289"/>
      <c r="D848" s="289"/>
      <c r="E848" s="289"/>
    </row>
    <row r="849" spans="1:5" ht="15.75" customHeight="1">
      <c r="A849" s="291">
        <v>45369</v>
      </c>
      <c r="C849" s="289"/>
      <c r="D849" s="289"/>
      <c r="E849" s="289"/>
    </row>
    <row r="850" spans="1:5" ht="15.75" customHeight="1">
      <c r="A850" s="291">
        <v>45370</v>
      </c>
      <c r="C850" s="289"/>
      <c r="D850" s="289"/>
      <c r="E850" s="289"/>
    </row>
    <row r="851" spans="1:5" ht="15.75" customHeight="1">
      <c r="A851" s="291">
        <v>45371</v>
      </c>
      <c r="C851" s="289"/>
      <c r="D851" s="289"/>
      <c r="E851" s="289"/>
    </row>
    <row r="852" spans="1:5" ht="15.75" customHeight="1">
      <c r="A852" s="291">
        <v>45372</v>
      </c>
      <c r="C852" s="289"/>
      <c r="D852" s="289"/>
      <c r="E852" s="289"/>
    </row>
    <row r="853" spans="1:5" ht="15.75" customHeight="1">
      <c r="A853" s="291">
        <v>45373</v>
      </c>
      <c r="C853" s="289"/>
      <c r="D853" s="289"/>
      <c r="E853" s="289"/>
    </row>
    <row r="854" spans="1:5" ht="15.75" customHeight="1">
      <c r="A854" s="291">
        <v>45374</v>
      </c>
      <c r="C854" s="289"/>
      <c r="D854" s="289"/>
      <c r="E854" s="289"/>
    </row>
    <row r="855" spans="1:5" ht="15.75" customHeight="1">
      <c r="A855" s="291">
        <v>45375</v>
      </c>
      <c r="C855" s="289"/>
      <c r="D855" s="289"/>
      <c r="E855" s="289"/>
    </row>
    <row r="856" spans="1:5" ht="15.75" customHeight="1">
      <c r="A856" s="291">
        <v>45376</v>
      </c>
      <c r="C856" s="289"/>
      <c r="D856" s="289"/>
      <c r="E856" s="289"/>
    </row>
    <row r="857" spans="1:5" ht="15.75" customHeight="1">
      <c r="A857" s="291">
        <v>45377</v>
      </c>
      <c r="C857" s="289"/>
      <c r="D857" s="289"/>
      <c r="E857" s="289"/>
    </row>
    <row r="858" spans="1:5" ht="15.75" customHeight="1">
      <c r="A858" s="291">
        <v>45378</v>
      </c>
      <c r="C858" s="289"/>
      <c r="D858" s="289"/>
      <c r="E858" s="289"/>
    </row>
    <row r="859" spans="1:5" ht="15.75" customHeight="1">
      <c r="A859" s="291">
        <v>45379</v>
      </c>
      <c r="C859" s="289"/>
      <c r="D859" s="289"/>
      <c r="E859" s="289"/>
    </row>
    <row r="860" spans="1:5" ht="15.75" customHeight="1">
      <c r="A860" s="291">
        <v>45380</v>
      </c>
      <c r="C860" s="289"/>
      <c r="D860" s="289"/>
      <c r="E860" s="289"/>
    </row>
    <row r="861" spans="1:5" ht="15.75" customHeight="1">
      <c r="A861" s="291">
        <v>45381</v>
      </c>
      <c r="C861" s="289"/>
      <c r="D861" s="289"/>
      <c r="E861" s="289"/>
    </row>
    <row r="862" spans="1:5" ht="15.75" customHeight="1">
      <c r="A862" s="291">
        <v>45382</v>
      </c>
      <c r="C862" s="289"/>
      <c r="D862" s="289"/>
      <c r="E862" s="289"/>
    </row>
    <row r="863" spans="1:5" ht="15.75" customHeight="1">
      <c r="A863" s="291">
        <v>45383</v>
      </c>
      <c r="C863" s="289"/>
      <c r="D863" s="289"/>
      <c r="E863" s="289"/>
    </row>
    <row r="864" spans="1:5" ht="15.75" customHeight="1">
      <c r="A864" s="291">
        <v>45384</v>
      </c>
      <c r="C864" s="289"/>
      <c r="D864" s="289"/>
      <c r="E864" s="289"/>
    </row>
    <row r="865" spans="1:5" ht="15.75" customHeight="1">
      <c r="A865" s="291">
        <v>45385</v>
      </c>
      <c r="C865" s="289"/>
      <c r="D865" s="289"/>
      <c r="E865" s="289"/>
    </row>
    <row r="866" spans="1:5" ht="15.75" customHeight="1">
      <c r="A866" s="291">
        <v>45386</v>
      </c>
      <c r="C866" s="289"/>
      <c r="D866" s="289"/>
      <c r="E866" s="289"/>
    </row>
    <row r="867" spans="1:5" ht="15.75" customHeight="1">
      <c r="A867" s="291">
        <v>45387</v>
      </c>
      <c r="C867" s="289"/>
      <c r="D867" s="289"/>
      <c r="E867" s="289"/>
    </row>
    <row r="868" spans="1:5" ht="15.75" customHeight="1">
      <c r="A868" s="291">
        <v>45388</v>
      </c>
      <c r="C868" s="289"/>
      <c r="D868" s="289"/>
      <c r="E868" s="289"/>
    </row>
    <row r="869" spans="1:5" ht="15.75" customHeight="1">
      <c r="A869" s="291">
        <v>45389</v>
      </c>
      <c r="C869" s="289"/>
      <c r="D869" s="289"/>
      <c r="E869" s="289"/>
    </row>
    <row r="870" spans="1:5" ht="15.75" customHeight="1">
      <c r="A870" s="291">
        <v>45390</v>
      </c>
      <c r="C870" s="289"/>
      <c r="D870" s="289"/>
      <c r="E870" s="289"/>
    </row>
    <row r="871" spans="1:5" ht="15.75" customHeight="1">
      <c r="A871" s="291">
        <v>45391</v>
      </c>
      <c r="C871" s="289"/>
      <c r="D871" s="289"/>
      <c r="E871" s="289"/>
    </row>
    <row r="872" spans="1:5" ht="15.75" customHeight="1">
      <c r="A872" s="291">
        <v>45392</v>
      </c>
      <c r="C872" s="289"/>
      <c r="D872" s="289"/>
      <c r="E872" s="289"/>
    </row>
    <row r="873" spans="1:5" ht="15.75" customHeight="1">
      <c r="A873" s="291">
        <v>45393</v>
      </c>
      <c r="C873" s="289"/>
      <c r="D873" s="289"/>
      <c r="E873" s="289"/>
    </row>
    <row r="874" spans="1:5" ht="15.75" customHeight="1">
      <c r="A874" s="291">
        <v>45394</v>
      </c>
      <c r="C874" s="289"/>
      <c r="D874" s="289"/>
      <c r="E874" s="289"/>
    </row>
    <row r="875" spans="1:5" ht="15.75" customHeight="1">
      <c r="A875" s="291">
        <v>45395</v>
      </c>
      <c r="C875" s="289"/>
      <c r="D875" s="289"/>
      <c r="E875" s="289"/>
    </row>
    <row r="876" spans="1:5" ht="15.75" customHeight="1">
      <c r="A876" s="291">
        <v>45396</v>
      </c>
      <c r="C876" s="289"/>
      <c r="D876" s="289"/>
      <c r="E876" s="289"/>
    </row>
    <row r="877" spans="1:5" ht="15.75" customHeight="1">
      <c r="A877" s="291">
        <v>45397</v>
      </c>
      <c r="C877" s="289"/>
      <c r="D877" s="289"/>
      <c r="E877" s="289"/>
    </row>
    <row r="878" spans="1:5" ht="15.75" customHeight="1">
      <c r="A878" s="291">
        <v>45398</v>
      </c>
      <c r="C878" s="289"/>
      <c r="D878" s="289"/>
      <c r="E878" s="289"/>
    </row>
    <row r="879" spans="1:5" ht="15.75" customHeight="1">
      <c r="A879" s="291">
        <v>45399</v>
      </c>
      <c r="C879" s="289"/>
      <c r="D879" s="289"/>
      <c r="E879" s="289"/>
    </row>
    <row r="880" spans="1:5" ht="15.75" customHeight="1">
      <c r="A880" s="291">
        <v>45400</v>
      </c>
      <c r="C880" s="289"/>
      <c r="D880" s="289"/>
      <c r="E880" s="289"/>
    </row>
    <row r="881" spans="1:5" ht="15.75" customHeight="1">
      <c r="A881" s="291">
        <v>45401</v>
      </c>
      <c r="C881" s="289"/>
      <c r="D881" s="289"/>
      <c r="E881" s="289"/>
    </row>
    <row r="882" spans="1:5" ht="15.75" customHeight="1">
      <c r="A882" s="291">
        <v>45402</v>
      </c>
      <c r="C882" s="289"/>
      <c r="D882" s="289"/>
      <c r="E882" s="289"/>
    </row>
    <row r="883" spans="1:5" ht="15.75" customHeight="1">
      <c r="A883" s="291">
        <v>45403</v>
      </c>
      <c r="C883" s="289"/>
      <c r="D883" s="289"/>
      <c r="E883" s="289"/>
    </row>
    <row r="884" spans="1:5" ht="15.75" customHeight="1">
      <c r="A884" s="291">
        <v>45404</v>
      </c>
      <c r="C884" s="289"/>
      <c r="D884" s="289"/>
      <c r="E884" s="289"/>
    </row>
    <row r="885" spans="1:5" ht="15.75" customHeight="1">
      <c r="A885" s="291">
        <v>45405</v>
      </c>
      <c r="C885" s="289"/>
      <c r="D885" s="289"/>
      <c r="E885" s="289"/>
    </row>
    <row r="886" spans="1:5" ht="15.75" customHeight="1">
      <c r="A886" s="291">
        <v>45406</v>
      </c>
      <c r="C886" s="289"/>
      <c r="D886" s="289"/>
      <c r="E886" s="289"/>
    </row>
    <row r="887" spans="1:5" ht="15.75" customHeight="1">
      <c r="A887" s="291">
        <v>45407</v>
      </c>
      <c r="C887" s="289"/>
      <c r="D887" s="289"/>
      <c r="E887" s="289"/>
    </row>
    <row r="888" spans="1:5" ht="15.75" customHeight="1">
      <c r="A888" s="291">
        <v>45408</v>
      </c>
      <c r="C888" s="289"/>
      <c r="D888" s="289"/>
      <c r="E888" s="289"/>
    </row>
    <row r="889" spans="1:5" ht="15.75" customHeight="1">
      <c r="A889" s="291">
        <v>45409</v>
      </c>
      <c r="C889" s="289"/>
      <c r="D889" s="289"/>
      <c r="E889" s="289"/>
    </row>
    <row r="890" spans="1:5" ht="15.75" customHeight="1">
      <c r="A890" s="291">
        <v>45410</v>
      </c>
      <c r="C890" s="289"/>
      <c r="D890" s="289"/>
      <c r="E890" s="289"/>
    </row>
    <row r="891" spans="1:5" ht="15.75" customHeight="1">
      <c r="A891" s="291">
        <v>45411</v>
      </c>
      <c r="C891" s="289"/>
      <c r="D891" s="289"/>
      <c r="E891" s="289"/>
    </row>
    <row r="892" spans="1:5" ht="15.75" customHeight="1">
      <c r="A892" s="291">
        <v>45412</v>
      </c>
      <c r="C892" s="289"/>
      <c r="D892" s="289"/>
      <c r="E892" s="289"/>
    </row>
    <row r="893" spans="1:5" ht="15.75" customHeight="1">
      <c r="A893" s="291">
        <v>45413</v>
      </c>
      <c r="C893" s="289"/>
      <c r="D893" s="289"/>
      <c r="E893" s="289"/>
    </row>
    <row r="894" spans="1:5" ht="15.75" customHeight="1">
      <c r="A894" s="291">
        <v>45414</v>
      </c>
      <c r="C894" s="289"/>
      <c r="D894" s="289"/>
      <c r="E894" s="289"/>
    </row>
    <row r="895" spans="1:5" ht="15.75" customHeight="1">
      <c r="A895" s="291">
        <v>45415</v>
      </c>
      <c r="C895" s="289"/>
      <c r="D895" s="289"/>
      <c r="E895" s="289"/>
    </row>
    <row r="896" spans="1:5" ht="15.75" customHeight="1">
      <c r="A896" s="291">
        <v>45416</v>
      </c>
      <c r="C896" s="289"/>
      <c r="D896" s="289"/>
      <c r="E896" s="289"/>
    </row>
    <row r="897" spans="1:5" ht="15.75" customHeight="1">
      <c r="A897" s="291">
        <v>45417</v>
      </c>
      <c r="C897" s="289"/>
      <c r="D897" s="289"/>
      <c r="E897" s="289"/>
    </row>
    <row r="898" spans="1:5" ht="15.75" customHeight="1">
      <c r="A898" s="291">
        <v>45418</v>
      </c>
      <c r="C898" s="289"/>
      <c r="D898" s="289"/>
      <c r="E898" s="289"/>
    </row>
    <row r="899" spans="1:5" ht="15.75" customHeight="1">
      <c r="A899" s="291">
        <v>45419</v>
      </c>
      <c r="C899" s="289"/>
      <c r="D899" s="289"/>
      <c r="E899" s="289"/>
    </row>
    <row r="900" spans="1:5" ht="15.75" customHeight="1">
      <c r="A900" s="291">
        <v>45420</v>
      </c>
      <c r="C900" s="289"/>
      <c r="D900" s="289"/>
      <c r="E900" s="289"/>
    </row>
    <row r="901" spans="1:5" ht="15.75" customHeight="1">
      <c r="A901" s="291">
        <v>45421</v>
      </c>
      <c r="C901" s="289"/>
      <c r="D901" s="289"/>
      <c r="E901" s="289"/>
    </row>
    <row r="902" spans="1:5" ht="15.75" customHeight="1">
      <c r="A902" s="291">
        <v>45422</v>
      </c>
      <c r="C902" s="289"/>
      <c r="D902" s="289"/>
      <c r="E902" s="289"/>
    </row>
    <row r="903" spans="1:5" ht="15.75" customHeight="1">
      <c r="A903" s="291">
        <v>45423</v>
      </c>
      <c r="C903" s="289"/>
      <c r="D903" s="289"/>
      <c r="E903" s="289"/>
    </row>
    <row r="904" spans="1:5" ht="15.75" customHeight="1">
      <c r="A904" s="291">
        <v>45424</v>
      </c>
      <c r="C904" s="289"/>
      <c r="D904" s="289"/>
      <c r="E904" s="289"/>
    </row>
    <row r="905" spans="1:5" ht="15.75" customHeight="1">
      <c r="A905" s="291">
        <v>45425</v>
      </c>
      <c r="C905" s="289"/>
      <c r="D905" s="289"/>
      <c r="E905" s="289"/>
    </row>
    <row r="906" spans="1:5" ht="15.75" customHeight="1">
      <c r="A906" s="291">
        <v>45426</v>
      </c>
      <c r="C906" s="289"/>
      <c r="D906" s="289"/>
      <c r="E906" s="289"/>
    </row>
    <row r="907" spans="1:5" ht="15.75" customHeight="1">
      <c r="A907" s="291">
        <v>45427</v>
      </c>
      <c r="C907" s="289"/>
      <c r="D907" s="289"/>
      <c r="E907" s="289"/>
    </row>
    <row r="908" spans="1:5" ht="15.75" customHeight="1">
      <c r="A908" s="291">
        <v>45428</v>
      </c>
      <c r="C908" s="289"/>
      <c r="D908" s="289"/>
      <c r="E908" s="289"/>
    </row>
    <row r="909" spans="1:5" ht="15.75" customHeight="1">
      <c r="A909" s="291">
        <v>45429</v>
      </c>
      <c r="C909" s="289"/>
      <c r="D909" s="289"/>
      <c r="E909" s="289"/>
    </row>
    <row r="910" spans="1:5" ht="15.75" customHeight="1">
      <c r="A910" s="291">
        <v>45430</v>
      </c>
      <c r="C910" s="289"/>
      <c r="D910" s="289"/>
      <c r="E910" s="289"/>
    </row>
    <row r="911" spans="1:5" ht="15.75" customHeight="1">
      <c r="A911" s="291">
        <v>45431</v>
      </c>
      <c r="C911" s="289"/>
      <c r="D911" s="289"/>
      <c r="E911" s="289"/>
    </row>
    <row r="912" spans="1:5" ht="15.75" customHeight="1">
      <c r="A912" s="291">
        <v>45432</v>
      </c>
      <c r="C912" s="289"/>
      <c r="D912" s="289"/>
      <c r="E912" s="289"/>
    </row>
    <row r="913" spans="1:5" ht="15.75" customHeight="1">
      <c r="A913" s="291">
        <v>45433</v>
      </c>
      <c r="C913" s="289"/>
      <c r="D913" s="289"/>
      <c r="E913" s="289"/>
    </row>
    <row r="914" spans="1:5" ht="15.75" customHeight="1">
      <c r="A914" s="291">
        <v>45434</v>
      </c>
      <c r="C914" s="289"/>
      <c r="D914" s="289"/>
      <c r="E914" s="289"/>
    </row>
    <row r="915" spans="1:5" ht="15.75" customHeight="1">
      <c r="A915" s="291">
        <v>45435</v>
      </c>
      <c r="C915" s="289"/>
      <c r="D915" s="289"/>
      <c r="E915" s="289"/>
    </row>
    <row r="916" spans="1:5" ht="15.75" customHeight="1">
      <c r="A916" s="291">
        <v>45436</v>
      </c>
      <c r="C916" s="289"/>
      <c r="D916" s="289"/>
      <c r="E916" s="289"/>
    </row>
    <row r="917" spans="1:5" ht="15.75" customHeight="1">
      <c r="A917" s="291">
        <v>45437</v>
      </c>
      <c r="C917" s="289"/>
      <c r="D917" s="289"/>
      <c r="E917" s="289"/>
    </row>
    <row r="918" spans="1:5" ht="15.75" customHeight="1">
      <c r="A918" s="291">
        <v>45438</v>
      </c>
      <c r="C918" s="289"/>
      <c r="D918" s="289"/>
      <c r="E918" s="289"/>
    </row>
    <row r="919" spans="1:5" ht="15.75" customHeight="1">
      <c r="A919" s="291">
        <v>45439</v>
      </c>
      <c r="C919" s="289"/>
      <c r="D919" s="289"/>
      <c r="E919" s="289"/>
    </row>
    <row r="920" spans="1:5" ht="15.75" customHeight="1">
      <c r="A920" s="291">
        <v>45440</v>
      </c>
      <c r="C920" s="289"/>
      <c r="D920" s="289"/>
      <c r="E920" s="289"/>
    </row>
    <row r="921" spans="1:5" ht="15.75" customHeight="1">
      <c r="A921" s="291">
        <v>45441</v>
      </c>
      <c r="C921" s="289"/>
      <c r="D921" s="289"/>
      <c r="E921" s="289"/>
    </row>
    <row r="922" spans="1:5" ht="15.75" customHeight="1">
      <c r="A922" s="291">
        <v>45442</v>
      </c>
      <c r="C922" s="289"/>
      <c r="D922" s="289"/>
      <c r="E922" s="289"/>
    </row>
    <row r="923" spans="1:5" ht="15.75" customHeight="1">
      <c r="A923" s="291">
        <v>45443</v>
      </c>
      <c r="C923" s="289"/>
      <c r="D923" s="289"/>
      <c r="E923" s="289"/>
    </row>
    <row r="924" spans="1:5" ht="15.75" customHeight="1">
      <c r="A924" s="291">
        <v>45444</v>
      </c>
      <c r="C924" s="289"/>
      <c r="D924" s="289"/>
      <c r="E924" s="289"/>
    </row>
    <row r="925" spans="1:5" ht="15.75" customHeight="1">
      <c r="A925" s="291">
        <v>45445</v>
      </c>
      <c r="C925" s="289"/>
      <c r="D925" s="289"/>
      <c r="E925" s="289"/>
    </row>
    <row r="926" spans="1:5" ht="15.75" customHeight="1">
      <c r="A926" s="291">
        <v>45446</v>
      </c>
      <c r="C926" s="289"/>
      <c r="D926" s="289"/>
      <c r="E926" s="289"/>
    </row>
    <row r="927" spans="1:5" ht="15.75" customHeight="1">
      <c r="A927" s="291">
        <v>45447</v>
      </c>
      <c r="C927" s="289"/>
      <c r="D927" s="289"/>
      <c r="E927" s="289"/>
    </row>
    <row r="928" spans="1:5" ht="15.75" customHeight="1">
      <c r="A928" s="291">
        <v>45448</v>
      </c>
      <c r="C928" s="289"/>
      <c r="D928" s="289"/>
      <c r="E928" s="289"/>
    </row>
    <row r="929" spans="1:5" ht="15.75" customHeight="1">
      <c r="A929" s="291">
        <v>45449</v>
      </c>
      <c r="C929" s="289"/>
      <c r="D929" s="289"/>
      <c r="E929" s="289"/>
    </row>
    <row r="930" spans="1:5" ht="15.75" customHeight="1">
      <c r="A930" s="291">
        <v>45450</v>
      </c>
      <c r="C930" s="289"/>
      <c r="D930" s="289"/>
      <c r="E930" s="289"/>
    </row>
    <row r="931" spans="1:5" ht="15.75" customHeight="1">
      <c r="A931" s="291">
        <v>45451</v>
      </c>
      <c r="C931" s="289"/>
      <c r="D931" s="289"/>
      <c r="E931" s="289"/>
    </row>
    <row r="932" spans="1:5" ht="15.75" customHeight="1">
      <c r="A932" s="291">
        <v>45452</v>
      </c>
      <c r="C932" s="289"/>
      <c r="D932" s="289"/>
      <c r="E932" s="289"/>
    </row>
    <row r="933" spans="1:5" ht="15.75" customHeight="1">
      <c r="A933" s="291">
        <v>45453</v>
      </c>
      <c r="C933" s="289"/>
      <c r="D933" s="289"/>
      <c r="E933" s="289"/>
    </row>
    <row r="934" spans="1:5" ht="15.75" customHeight="1">
      <c r="A934" s="291">
        <v>45454</v>
      </c>
      <c r="C934" s="289"/>
      <c r="D934" s="289"/>
      <c r="E934" s="289"/>
    </row>
    <row r="935" spans="1:5" ht="15.75" customHeight="1">
      <c r="A935" s="291">
        <v>45455</v>
      </c>
      <c r="C935" s="289"/>
      <c r="D935" s="289"/>
      <c r="E935" s="289"/>
    </row>
    <row r="936" spans="1:5" ht="15.75" customHeight="1">
      <c r="A936" s="291">
        <v>45456</v>
      </c>
      <c r="C936" s="289"/>
      <c r="D936" s="289"/>
      <c r="E936" s="289"/>
    </row>
    <row r="937" spans="1:5" ht="15.75" customHeight="1">
      <c r="A937" s="291">
        <v>45457</v>
      </c>
      <c r="C937" s="289"/>
      <c r="D937" s="289"/>
      <c r="E937" s="289"/>
    </row>
    <row r="938" spans="1:5" ht="15.75" customHeight="1">
      <c r="A938" s="291">
        <v>45458</v>
      </c>
      <c r="C938" s="289"/>
      <c r="D938" s="289"/>
      <c r="E938" s="289"/>
    </row>
    <row r="939" spans="1:5" ht="15.75" customHeight="1">
      <c r="A939" s="291">
        <v>45459</v>
      </c>
      <c r="C939" s="289"/>
      <c r="D939" s="289"/>
      <c r="E939" s="289"/>
    </row>
    <row r="940" spans="1:5" ht="15.75" customHeight="1">
      <c r="A940" s="291">
        <v>45460</v>
      </c>
      <c r="C940" s="289"/>
      <c r="D940" s="289"/>
      <c r="E940" s="289"/>
    </row>
    <row r="941" spans="1:5" ht="15.75" customHeight="1">
      <c r="A941" s="291">
        <v>45461</v>
      </c>
      <c r="C941" s="289"/>
      <c r="D941" s="289"/>
      <c r="E941" s="289"/>
    </row>
    <row r="942" spans="1:5" ht="15.75" customHeight="1">
      <c r="A942" s="291">
        <v>45462</v>
      </c>
      <c r="C942" s="289"/>
      <c r="D942" s="289"/>
      <c r="E942" s="289"/>
    </row>
    <row r="943" spans="1:5" ht="15.75" customHeight="1">
      <c r="A943" s="291">
        <v>45463</v>
      </c>
      <c r="C943" s="289"/>
      <c r="D943" s="289"/>
      <c r="E943" s="289"/>
    </row>
    <row r="944" spans="1:5" ht="15.75" customHeight="1">
      <c r="A944" s="291">
        <v>45464</v>
      </c>
      <c r="C944" s="289"/>
      <c r="D944" s="289"/>
      <c r="E944" s="289"/>
    </row>
    <row r="945" spans="1:5" ht="15.75" customHeight="1">
      <c r="A945" s="291">
        <v>45465</v>
      </c>
      <c r="C945" s="289"/>
      <c r="D945" s="289"/>
      <c r="E945" s="289"/>
    </row>
    <row r="946" spans="1:5" ht="15.75" customHeight="1">
      <c r="A946" s="291">
        <v>45466</v>
      </c>
      <c r="C946" s="289"/>
      <c r="D946" s="289"/>
      <c r="E946" s="289"/>
    </row>
    <row r="947" spans="1:5" ht="15.75" customHeight="1">
      <c r="A947" s="291">
        <v>45467</v>
      </c>
      <c r="C947" s="289"/>
      <c r="D947" s="289"/>
      <c r="E947" s="289"/>
    </row>
    <row r="948" spans="1:5" ht="15.75" customHeight="1">
      <c r="A948" s="291">
        <v>45468</v>
      </c>
      <c r="C948" s="289"/>
      <c r="D948" s="289"/>
      <c r="E948" s="289"/>
    </row>
    <row r="949" spans="1:5" ht="15.75" customHeight="1">
      <c r="A949" s="291">
        <v>45469</v>
      </c>
      <c r="C949" s="289"/>
      <c r="D949" s="289"/>
      <c r="E949" s="289"/>
    </row>
    <row r="950" spans="1:5" ht="15.75" customHeight="1">
      <c r="A950" s="291">
        <v>45470</v>
      </c>
      <c r="C950" s="289"/>
      <c r="D950" s="289"/>
      <c r="E950" s="289"/>
    </row>
    <row r="951" spans="1:5" ht="15.75" customHeight="1">
      <c r="A951" s="291">
        <v>45471</v>
      </c>
      <c r="C951" s="289"/>
      <c r="D951" s="289"/>
      <c r="E951" s="289"/>
    </row>
    <row r="952" spans="1:5" ht="15.75" customHeight="1">
      <c r="A952" s="291">
        <v>45472</v>
      </c>
      <c r="C952" s="289"/>
      <c r="D952" s="289"/>
      <c r="E952" s="289"/>
    </row>
    <row r="953" spans="1:5" ht="15.75" customHeight="1">
      <c r="A953" s="291">
        <v>45473</v>
      </c>
      <c r="C953" s="289"/>
      <c r="D953" s="289"/>
      <c r="E953" s="289"/>
    </row>
    <row r="954" spans="1:5" ht="15.75" customHeight="1">
      <c r="A954" s="291">
        <v>45474</v>
      </c>
      <c r="C954" s="289"/>
      <c r="D954" s="289"/>
      <c r="E954" s="289"/>
    </row>
    <row r="955" spans="1:5" ht="15.75" customHeight="1">
      <c r="A955" s="291">
        <v>45475</v>
      </c>
      <c r="C955" s="289"/>
      <c r="D955" s="289"/>
      <c r="E955" s="289"/>
    </row>
    <row r="956" spans="1:5" ht="15.75" customHeight="1">
      <c r="A956" s="291">
        <v>45476</v>
      </c>
      <c r="C956" s="289"/>
      <c r="D956" s="289"/>
      <c r="E956" s="289"/>
    </row>
    <row r="957" spans="1:5" ht="15.75" customHeight="1">
      <c r="A957" s="291">
        <v>45477</v>
      </c>
      <c r="C957" s="289"/>
      <c r="D957" s="289"/>
      <c r="E957" s="289"/>
    </row>
    <row r="958" spans="1:5" ht="15.75" customHeight="1">
      <c r="A958" s="291">
        <v>45478</v>
      </c>
      <c r="C958" s="289"/>
      <c r="D958" s="289"/>
      <c r="E958" s="289"/>
    </row>
    <row r="959" spans="1:5" ht="15.75" customHeight="1">
      <c r="A959" s="291">
        <v>45479</v>
      </c>
      <c r="C959" s="289"/>
      <c r="D959" s="289"/>
      <c r="E959" s="289"/>
    </row>
    <row r="960" spans="1:5" ht="15.75" customHeight="1">
      <c r="A960" s="291">
        <v>45480</v>
      </c>
      <c r="C960" s="289"/>
      <c r="D960" s="289"/>
      <c r="E960" s="289"/>
    </row>
    <row r="961" spans="1:5" ht="15.75" customHeight="1">
      <c r="A961" s="291">
        <v>45481</v>
      </c>
      <c r="C961" s="289"/>
      <c r="D961" s="289"/>
      <c r="E961" s="289"/>
    </row>
    <row r="962" spans="1:5" ht="15.75" customHeight="1">
      <c r="A962" s="291">
        <v>45482</v>
      </c>
      <c r="C962" s="289"/>
      <c r="D962" s="289"/>
      <c r="E962" s="289"/>
    </row>
    <row r="963" spans="1:5" ht="15.75" customHeight="1">
      <c r="A963" s="291">
        <v>45483</v>
      </c>
      <c r="C963" s="289"/>
      <c r="D963" s="289"/>
      <c r="E963" s="289"/>
    </row>
    <row r="964" spans="1:5" ht="15.75" customHeight="1">
      <c r="A964" s="291">
        <v>45484</v>
      </c>
      <c r="C964" s="289"/>
      <c r="D964" s="289"/>
      <c r="E964" s="289"/>
    </row>
    <row r="965" spans="1:5" ht="15.75" customHeight="1">
      <c r="A965" s="291">
        <v>45485</v>
      </c>
      <c r="C965" s="289"/>
      <c r="D965" s="289"/>
      <c r="E965" s="289"/>
    </row>
    <row r="966" spans="1:5" ht="15.75" customHeight="1">
      <c r="A966" s="291">
        <v>45486</v>
      </c>
      <c r="C966" s="289"/>
      <c r="D966" s="289"/>
      <c r="E966" s="289"/>
    </row>
    <row r="967" spans="1:5" ht="15.75" customHeight="1">
      <c r="A967" s="291">
        <v>45487</v>
      </c>
      <c r="C967" s="289"/>
      <c r="D967" s="289"/>
      <c r="E967" s="289"/>
    </row>
    <row r="968" spans="1:5" ht="15.75" customHeight="1">
      <c r="A968" s="291">
        <v>45488</v>
      </c>
      <c r="C968" s="289"/>
      <c r="D968" s="289"/>
      <c r="E968" s="289"/>
    </row>
    <row r="969" spans="1:5" ht="15.75" customHeight="1">
      <c r="A969" s="291">
        <v>45489</v>
      </c>
      <c r="C969" s="289"/>
      <c r="D969" s="289"/>
      <c r="E969" s="289"/>
    </row>
    <row r="970" spans="1:5" ht="15.75" customHeight="1">
      <c r="A970" s="291">
        <v>45490</v>
      </c>
      <c r="C970" s="289"/>
      <c r="D970" s="289"/>
      <c r="E970" s="289"/>
    </row>
    <row r="971" spans="1:5" ht="15.75" customHeight="1">
      <c r="A971" s="291">
        <v>45491</v>
      </c>
      <c r="C971" s="289"/>
      <c r="D971" s="289"/>
      <c r="E971" s="289"/>
    </row>
    <row r="972" spans="1:5" ht="15.75" customHeight="1">
      <c r="A972" s="291">
        <v>45492</v>
      </c>
      <c r="C972" s="289"/>
      <c r="D972" s="289"/>
      <c r="E972" s="289"/>
    </row>
    <row r="973" spans="1:5" ht="15.75" customHeight="1">
      <c r="A973" s="291">
        <v>45493</v>
      </c>
      <c r="C973" s="289"/>
      <c r="D973" s="289"/>
      <c r="E973" s="289"/>
    </row>
    <row r="974" spans="1:5" ht="15.75" customHeight="1">
      <c r="A974" s="291">
        <v>45494</v>
      </c>
      <c r="C974" s="289"/>
      <c r="D974" s="289"/>
      <c r="E974" s="289"/>
    </row>
    <row r="975" spans="1:5" ht="15.75" customHeight="1">
      <c r="A975" s="291">
        <v>45495</v>
      </c>
      <c r="C975" s="289"/>
      <c r="D975" s="289"/>
      <c r="E975" s="289"/>
    </row>
    <row r="976" spans="1:5" ht="15.75" customHeight="1">
      <c r="A976" s="291">
        <v>45496</v>
      </c>
      <c r="C976" s="289"/>
      <c r="D976" s="289"/>
      <c r="E976" s="289"/>
    </row>
    <row r="977" spans="1:5" ht="15.75" customHeight="1">
      <c r="A977" s="291">
        <v>45497</v>
      </c>
      <c r="C977" s="289"/>
      <c r="D977" s="289"/>
      <c r="E977" s="289"/>
    </row>
    <row r="978" spans="1:5" ht="15.75" customHeight="1">
      <c r="A978" s="291">
        <v>45498</v>
      </c>
      <c r="C978" s="289"/>
      <c r="D978" s="289"/>
      <c r="E978" s="289"/>
    </row>
    <row r="979" spans="1:5" ht="15.75" customHeight="1">
      <c r="A979" s="291">
        <v>45499</v>
      </c>
      <c r="C979" s="289"/>
      <c r="D979" s="289"/>
      <c r="E979" s="289"/>
    </row>
    <row r="980" spans="1:5" ht="15.75" customHeight="1">
      <c r="A980" s="291">
        <v>45500</v>
      </c>
      <c r="C980" s="289"/>
      <c r="D980" s="289"/>
      <c r="E980" s="289"/>
    </row>
    <row r="981" spans="1:5" ht="15.75" customHeight="1">
      <c r="A981" s="291">
        <v>45501</v>
      </c>
      <c r="C981" s="289"/>
      <c r="D981" s="289"/>
      <c r="E981" s="289"/>
    </row>
    <row r="982" spans="1:5" ht="15.75" customHeight="1">
      <c r="A982" s="291">
        <v>45502</v>
      </c>
      <c r="C982" s="289"/>
      <c r="D982" s="289"/>
      <c r="E982" s="289"/>
    </row>
    <row r="983" spans="1:5" ht="15.75" customHeight="1">
      <c r="A983" s="291">
        <v>45503</v>
      </c>
      <c r="C983" s="289"/>
      <c r="D983" s="289"/>
      <c r="E983" s="289"/>
    </row>
    <row r="984" spans="1:5" ht="15.75" customHeight="1">
      <c r="A984" s="291">
        <v>45504</v>
      </c>
      <c r="C984" s="289"/>
      <c r="D984" s="289"/>
      <c r="E984" s="289"/>
    </row>
    <row r="985" spans="1:5" ht="15.75" customHeight="1">
      <c r="A985" s="291">
        <v>45505</v>
      </c>
      <c r="C985" s="289"/>
      <c r="D985" s="289"/>
      <c r="E985" s="289"/>
    </row>
    <row r="986" spans="1:5" ht="15.75" customHeight="1">
      <c r="A986" s="291">
        <v>45506</v>
      </c>
      <c r="C986" s="289"/>
      <c r="D986" s="289"/>
      <c r="E986" s="289"/>
    </row>
    <row r="987" spans="1:5" ht="15.75" customHeight="1">
      <c r="A987" s="291">
        <v>45507</v>
      </c>
      <c r="C987" s="289"/>
      <c r="D987" s="289"/>
      <c r="E987" s="289"/>
    </row>
    <row r="988" spans="1:5" ht="15.75" customHeight="1">
      <c r="A988" s="291">
        <v>45508</v>
      </c>
      <c r="C988" s="289"/>
      <c r="D988" s="289"/>
      <c r="E988" s="289"/>
    </row>
    <row r="989" spans="1:5" ht="15.75" customHeight="1">
      <c r="A989" s="291">
        <v>45509</v>
      </c>
      <c r="C989" s="289"/>
      <c r="D989" s="289"/>
      <c r="E989" s="289"/>
    </row>
    <row r="990" spans="1:5" ht="15.75" customHeight="1">
      <c r="A990" s="291">
        <v>45510</v>
      </c>
      <c r="C990" s="289"/>
      <c r="D990" s="289"/>
      <c r="E990" s="289"/>
    </row>
    <row r="991" spans="1:5" ht="15.75" customHeight="1">
      <c r="A991" s="291">
        <v>45511</v>
      </c>
      <c r="C991" s="289"/>
      <c r="D991" s="289"/>
      <c r="E991" s="289"/>
    </row>
    <row r="992" spans="1:5" ht="15.75" customHeight="1">
      <c r="A992" s="291">
        <v>45512</v>
      </c>
      <c r="C992" s="289"/>
      <c r="D992" s="289"/>
      <c r="E992" s="289"/>
    </row>
    <row r="993" spans="1:5" ht="15.75" customHeight="1">
      <c r="A993" s="291">
        <v>45513</v>
      </c>
      <c r="C993" s="289"/>
      <c r="D993" s="289"/>
      <c r="E993" s="289"/>
    </row>
    <row r="994" spans="1:5" ht="15.75" customHeight="1">
      <c r="A994" s="291">
        <v>45514</v>
      </c>
      <c r="C994" s="289"/>
      <c r="D994" s="289"/>
      <c r="E994" s="289"/>
    </row>
    <row r="995" spans="1:5" ht="15.75" customHeight="1">
      <c r="A995" s="291">
        <v>45515</v>
      </c>
      <c r="C995" s="289"/>
      <c r="D995" s="289"/>
      <c r="E995" s="289"/>
    </row>
    <row r="996" spans="1:5" ht="15.75" customHeight="1">
      <c r="A996" s="291">
        <v>45516</v>
      </c>
      <c r="C996" s="289"/>
      <c r="D996" s="289"/>
      <c r="E996" s="289"/>
    </row>
    <row r="997" spans="1:5" ht="15.75" customHeight="1">
      <c r="A997" s="291">
        <v>45517</v>
      </c>
      <c r="C997" s="289"/>
      <c r="D997" s="289"/>
      <c r="E997" s="289"/>
    </row>
    <row r="998" spans="1:5" ht="15.75" customHeight="1">
      <c r="A998" s="291">
        <v>45518</v>
      </c>
      <c r="C998" s="289"/>
      <c r="D998" s="289"/>
      <c r="E998" s="289"/>
    </row>
    <row r="999" spans="1:5" ht="15.75" customHeight="1">
      <c r="A999" s="291">
        <v>45519</v>
      </c>
      <c r="C999" s="289"/>
      <c r="D999" s="289"/>
      <c r="E999" s="289"/>
    </row>
    <row r="1000" spans="1:5" ht="15.75" customHeight="1">
      <c r="A1000" s="291">
        <v>45520</v>
      </c>
      <c r="C1000" s="289"/>
      <c r="D1000" s="289"/>
      <c r="E1000" s="289"/>
    </row>
    <row r="1001" spans="1:5" ht="15.75" customHeight="1">
      <c r="A1001" s="291">
        <v>45521</v>
      </c>
      <c r="C1001" s="289"/>
      <c r="D1001" s="289"/>
      <c r="E1001" s="289"/>
    </row>
    <row r="1002" spans="1:5" ht="15.75" customHeight="1">
      <c r="A1002" s="291">
        <v>45522</v>
      </c>
    </row>
    <row r="1003" spans="1:5" ht="15.75" customHeight="1">
      <c r="A1003" s="291">
        <v>45523</v>
      </c>
    </row>
    <row r="1004" spans="1:5" ht="15.75" customHeight="1">
      <c r="A1004" s="291">
        <v>45524</v>
      </c>
    </row>
    <row r="1005" spans="1:5" ht="15.75" customHeight="1">
      <c r="A1005" s="291">
        <v>45525</v>
      </c>
    </row>
    <row r="1006" spans="1:5" ht="15.75" customHeight="1">
      <c r="A1006" s="291">
        <v>45526</v>
      </c>
    </row>
    <row r="1007" spans="1:5" ht="15.75" customHeight="1">
      <c r="A1007" s="291">
        <v>45527</v>
      </c>
    </row>
    <row r="1008" spans="1:5" ht="15.75" customHeight="1">
      <c r="A1008" s="291">
        <v>45528</v>
      </c>
    </row>
    <row r="1009" spans="1:1" ht="15.75" customHeight="1">
      <c r="A1009" s="291">
        <v>45529</v>
      </c>
    </row>
    <row r="1010" spans="1:1" ht="15.75" customHeight="1">
      <c r="A1010" s="291">
        <v>45530</v>
      </c>
    </row>
    <row r="1011" spans="1:1" ht="15.75" customHeight="1">
      <c r="A1011" s="291">
        <v>45531</v>
      </c>
    </row>
    <row r="1012" spans="1:1" ht="15.75" customHeight="1">
      <c r="A1012" s="291">
        <v>45532</v>
      </c>
    </row>
    <row r="1013" spans="1:1" ht="15.75" customHeight="1">
      <c r="A1013" s="291">
        <v>45533</v>
      </c>
    </row>
    <row r="1014" spans="1:1" ht="15.75" customHeight="1">
      <c r="A1014" s="291">
        <v>45534</v>
      </c>
    </row>
    <row r="1015" spans="1:1" ht="15.75" customHeight="1">
      <c r="A1015" s="291">
        <v>45535</v>
      </c>
    </row>
    <row r="1016" spans="1:1" ht="15.75" customHeight="1">
      <c r="A1016" s="291">
        <v>45536</v>
      </c>
    </row>
    <row r="1017" spans="1:1" ht="15.75" customHeight="1">
      <c r="A1017" s="291">
        <v>45537</v>
      </c>
    </row>
    <row r="1018" spans="1:1" ht="15.75" customHeight="1">
      <c r="A1018" s="291">
        <v>45538</v>
      </c>
    </row>
    <row r="1019" spans="1:1" ht="15.75" customHeight="1">
      <c r="A1019" s="291">
        <v>45539</v>
      </c>
    </row>
    <row r="1020" spans="1:1" ht="15.75" customHeight="1">
      <c r="A1020" s="291">
        <v>45540</v>
      </c>
    </row>
    <row r="1021" spans="1:1" ht="15.75" customHeight="1">
      <c r="A1021" s="291">
        <v>45541</v>
      </c>
    </row>
    <row r="1022" spans="1:1" ht="15.75" customHeight="1">
      <c r="A1022" s="291">
        <v>45542</v>
      </c>
    </row>
    <row r="1023" spans="1:1" ht="15.75" customHeight="1">
      <c r="A1023" s="291">
        <v>45543</v>
      </c>
    </row>
    <row r="1024" spans="1:1" ht="15.75" customHeight="1">
      <c r="A1024" s="291">
        <v>45544</v>
      </c>
    </row>
    <row r="1025" spans="1:1" ht="15.75" customHeight="1">
      <c r="A1025" s="291">
        <v>45545</v>
      </c>
    </row>
    <row r="1026" spans="1:1" ht="15.75" customHeight="1">
      <c r="A1026" s="291">
        <v>45546</v>
      </c>
    </row>
    <row r="1027" spans="1:1" ht="15.75" customHeight="1">
      <c r="A1027" s="291">
        <v>45547</v>
      </c>
    </row>
    <row r="1028" spans="1:1" ht="15.75" customHeight="1">
      <c r="A1028" s="291">
        <v>45548</v>
      </c>
    </row>
    <row r="1029" spans="1:1" ht="15.75" customHeight="1">
      <c r="A1029" s="291">
        <v>45549</v>
      </c>
    </row>
    <row r="1030" spans="1:1" ht="15.75" customHeight="1">
      <c r="A1030" s="291">
        <v>45550</v>
      </c>
    </row>
    <row r="1031" spans="1:1" ht="15.75" customHeight="1">
      <c r="A1031" s="291">
        <v>45551</v>
      </c>
    </row>
    <row r="1032" spans="1:1" ht="15.75" customHeight="1">
      <c r="A1032" s="291">
        <v>45552</v>
      </c>
    </row>
    <row r="1033" spans="1:1" ht="15.75" customHeight="1">
      <c r="A1033" s="291">
        <v>45553</v>
      </c>
    </row>
    <row r="1034" spans="1:1" ht="15.75" customHeight="1">
      <c r="A1034" s="291">
        <v>45554</v>
      </c>
    </row>
    <row r="1035" spans="1:1" ht="15.75" customHeight="1">
      <c r="A1035" s="291">
        <v>45555</v>
      </c>
    </row>
    <row r="1036" spans="1:1" ht="15.75" customHeight="1">
      <c r="A1036" s="291">
        <v>45556</v>
      </c>
    </row>
    <row r="1037" spans="1:1" ht="15.75" customHeight="1">
      <c r="A1037" s="291">
        <v>45557</v>
      </c>
    </row>
    <row r="1038" spans="1:1" ht="15.75" customHeight="1">
      <c r="A1038" s="291">
        <v>45558</v>
      </c>
    </row>
    <row r="1039" spans="1:1" ht="15.75" customHeight="1">
      <c r="A1039" s="291">
        <v>45559</v>
      </c>
    </row>
    <row r="1040" spans="1:1" ht="15.75" customHeight="1">
      <c r="A1040" s="291">
        <v>45560</v>
      </c>
    </row>
    <row r="1041" spans="1:1" ht="15.75" customHeight="1">
      <c r="A1041" s="291">
        <v>45561</v>
      </c>
    </row>
    <row r="1042" spans="1:1" ht="15.75" customHeight="1">
      <c r="A1042" s="291">
        <v>45562</v>
      </c>
    </row>
    <row r="1043" spans="1:1" ht="15.75" customHeight="1">
      <c r="A1043" s="291">
        <v>45563</v>
      </c>
    </row>
    <row r="1044" spans="1:1" ht="15.75" customHeight="1">
      <c r="A1044" s="291">
        <v>45564</v>
      </c>
    </row>
    <row r="1045" spans="1:1" ht="15.75" customHeight="1">
      <c r="A1045" s="291">
        <v>45565</v>
      </c>
    </row>
    <row r="1046" spans="1:1" ht="15.75" customHeight="1">
      <c r="A1046" s="291">
        <v>45566</v>
      </c>
    </row>
    <row r="1047" spans="1:1" ht="15.75" customHeight="1">
      <c r="A1047" s="291">
        <v>45567</v>
      </c>
    </row>
    <row r="1048" spans="1:1" ht="15.75" customHeight="1">
      <c r="A1048" s="291">
        <v>45568</v>
      </c>
    </row>
    <row r="1049" spans="1:1" ht="15.75" customHeight="1">
      <c r="A1049" s="291">
        <v>45569</v>
      </c>
    </row>
    <row r="1050" spans="1:1" ht="15.75" customHeight="1">
      <c r="A1050" s="291">
        <v>45570</v>
      </c>
    </row>
    <row r="1051" spans="1:1" ht="15.75" customHeight="1">
      <c r="A1051" s="291">
        <v>45571</v>
      </c>
    </row>
    <row r="1052" spans="1:1" ht="15.75" customHeight="1">
      <c r="A1052" s="291">
        <v>45572</v>
      </c>
    </row>
    <row r="1053" spans="1:1" ht="15.75" customHeight="1">
      <c r="A1053" s="291">
        <v>45573</v>
      </c>
    </row>
    <row r="1054" spans="1:1" ht="15.75" customHeight="1">
      <c r="A1054" s="291">
        <v>45574</v>
      </c>
    </row>
    <row r="1055" spans="1:1" ht="15.75" customHeight="1">
      <c r="A1055" s="291">
        <v>45575</v>
      </c>
    </row>
    <row r="1056" spans="1:1" ht="15.75" customHeight="1">
      <c r="A1056" s="291">
        <v>45576</v>
      </c>
    </row>
    <row r="1057" spans="1:1" ht="15.75" customHeight="1">
      <c r="A1057" s="291">
        <v>45577</v>
      </c>
    </row>
    <row r="1058" spans="1:1" ht="15.75" customHeight="1">
      <c r="A1058" s="291">
        <v>45578</v>
      </c>
    </row>
    <row r="1059" spans="1:1" ht="15.75" customHeight="1">
      <c r="A1059" s="291">
        <v>45579</v>
      </c>
    </row>
    <row r="1060" spans="1:1" ht="15.75" customHeight="1">
      <c r="A1060" s="291">
        <v>45580</v>
      </c>
    </row>
    <row r="1061" spans="1:1" ht="15.75" customHeight="1">
      <c r="A1061" s="291">
        <v>45581</v>
      </c>
    </row>
    <row r="1062" spans="1:1" ht="15.75" customHeight="1">
      <c r="A1062" s="291">
        <v>45582</v>
      </c>
    </row>
    <row r="1063" spans="1:1" ht="15.75" customHeight="1">
      <c r="A1063" s="291">
        <v>45583</v>
      </c>
    </row>
    <row r="1064" spans="1:1" ht="15.75" customHeight="1">
      <c r="A1064" s="291">
        <v>45584</v>
      </c>
    </row>
    <row r="1065" spans="1:1" ht="15.75" customHeight="1">
      <c r="A1065" s="291">
        <v>45585</v>
      </c>
    </row>
    <row r="1066" spans="1:1" ht="15.75" customHeight="1">
      <c r="A1066" s="291">
        <v>45586</v>
      </c>
    </row>
    <row r="1067" spans="1:1" ht="15.75" customHeight="1">
      <c r="A1067" s="291">
        <v>45587</v>
      </c>
    </row>
    <row r="1068" spans="1:1" ht="15.75" customHeight="1">
      <c r="A1068" s="291">
        <v>45588</v>
      </c>
    </row>
    <row r="1069" spans="1:1" ht="15.75" customHeight="1">
      <c r="A1069" s="291">
        <v>45589</v>
      </c>
    </row>
    <row r="1070" spans="1:1" ht="15.75" customHeight="1">
      <c r="A1070" s="291">
        <v>45590</v>
      </c>
    </row>
    <row r="1071" spans="1:1" ht="15.75" customHeight="1">
      <c r="A1071" s="291">
        <v>45591</v>
      </c>
    </row>
    <row r="1072" spans="1:1" ht="15.75" customHeight="1">
      <c r="A1072" s="291">
        <v>45592</v>
      </c>
    </row>
    <row r="1073" spans="1:1" ht="15.75" customHeight="1">
      <c r="A1073" s="291">
        <v>45593</v>
      </c>
    </row>
    <row r="1074" spans="1:1" ht="15.75" customHeight="1">
      <c r="A1074" s="291">
        <v>45594</v>
      </c>
    </row>
    <row r="1075" spans="1:1" ht="15.75" customHeight="1">
      <c r="A1075" s="291">
        <v>45595</v>
      </c>
    </row>
    <row r="1076" spans="1:1" ht="15.75" customHeight="1">
      <c r="A1076" s="291">
        <v>45596</v>
      </c>
    </row>
    <row r="1077" spans="1:1" ht="15.75" customHeight="1">
      <c r="A1077" s="291">
        <v>45597</v>
      </c>
    </row>
    <row r="1078" spans="1:1" ht="15.75" customHeight="1">
      <c r="A1078" s="291">
        <v>45598</v>
      </c>
    </row>
    <row r="1079" spans="1:1" ht="15.75" customHeight="1">
      <c r="A1079" s="291">
        <v>45599</v>
      </c>
    </row>
    <row r="1080" spans="1:1" ht="15.75" customHeight="1">
      <c r="A1080" s="291">
        <v>45600</v>
      </c>
    </row>
    <row r="1081" spans="1:1" ht="15.75" customHeight="1">
      <c r="A1081" s="291">
        <v>45601</v>
      </c>
    </row>
    <row r="1082" spans="1:1" ht="15.75" customHeight="1">
      <c r="A1082" s="291">
        <v>45602</v>
      </c>
    </row>
    <row r="1083" spans="1:1" ht="15.75" customHeight="1">
      <c r="A1083" s="291">
        <v>45603</v>
      </c>
    </row>
    <row r="1084" spans="1:1" ht="15.75" customHeight="1">
      <c r="A1084" s="291">
        <v>45604</v>
      </c>
    </row>
    <row r="1085" spans="1:1" ht="15.75" customHeight="1">
      <c r="A1085" s="291">
        <v>45605</v>
      </c>
    </row>
    <row r="1086" spans="1:1" ht="15.75" customHeight="1">
      <c r="A1086" s="291">
        <v>45606</v>
      </c>
    </row>
    <row r="1087" spans="1:1" ht="15.75" customHeight="1">
      <c r="A1087" s="291">
        <v>45607</v>
      </c>
    </row>
    <row r="1088" spans="1:1" ht="15.75" customHeight="1">
      <c r="A1088" s="291">
        <v>45608</v>
      </c>
    </row>
    <row r="1089" spans="1:1" ht="15.75" customHeight="1">
      <c r="A1089" s="291">
        <v>45609</v>
      </c>
    </row>
    <row r="1090" spans="1:1" ht="15.75" customHeight="1">
      <c r="A1090" s="291">
        <v>45610</v>
      </c>
    </row>
    <row r="1091" spans="1:1" ht="15.75" customHeight="1">
      <c r="A1091" s="291">
        <v>45611</v>
      </c>
    </row>
    <row r="1092" spans="1:1" ht="15.75" customHeight="1">
      <c r="A1092" s="291">
        <v>45612</v>
      </c>
    </row>
    <row r="1093" spans="1:1" ht="15.75" customHeight="1">
      <c r="A1093" s="291">
        <v>45613</v>
      </c>
    </row>
    <row r="1094" spans="1:1" ht="15.75" customHeight="1">
      <c r="A1094" s="291">
        <v>45614</v>
      </c>
    </row>
    <row r="1095" spans="1:1" ht="15.75" customHeight="1">
      <c r="A1095" s="291">
        <v>45615</v>
      </c>
    </row>
    <row r="1096" spans="1:1" ht="15.75" customHeight="1">
      <c r="A1096" s="291">
        <v>45616</v>
      </c>
    </row>
    <row r="1097" spans="1:1" ht="15.75" customHeight="1">
      <c r="A1097" s="291">
        <v>45617</v>
      </c>
    </row>
    <row r="1098" spans="1:1" ht="15.75" customHeight="1">
      <c r="A1098" s="291">
        <v>45618</v>
      </c>
    </row>
    <row r="1099" spans="1:1" ht="15.75" customHeight="1">
      <c r="A1099" s="291">
        <v>45619</v>
      </c>
    </row>
    <row r="1100" spans="1:1" ht="15.75" customHeight="1">
      <c r="A1100" s="291">
        <v>45620</v>
      </c>
    </row>
    <row r="1101" spans="1:1" ht="15.75" customHeight="1">
      <c r="A1101" s="291">
        <v>45621</v>
      </c>
    </row>
    <row r="1102" spans="1:1" ht="15.75" customHeight="1">
      <c r="A1102" s="291">
        <v>45622</v>
      </c>
    </row>
    <row r="1103" spans="1:1" ht="15.75" customHeight="1">
      <c r="A1103" s="291">
        <v>45623</v>
      </c>
    </row>
    <row r="1104" spans="1:1" ht="15.75" customHeight="1">
      <c r="A1104" s="291">
        <v>45624</v>
      </c>
    </row>
    <row r="1105" spans="1:1" ht="15.75" customHeight="1">
      <c r="A1105" s="291">
        <v>45625</v>
      </c>
    </row>
    <row r="1106" spans="1:1" ht="15.75" customHeight="1">
      <c r="A1106" s="291">
        <v>45626</v>
      </c>
    </row>
    <row r="1107" spans="1:1" ht="15.75" customHeight="1">
      <c r="A1107" s="291">
        <v>45627</v>
      </c>
    </row>
    <row r="1108" spans="1:1" ht="15.75" customHeight="1">
      <c r="A1108" s="291">
        <v>45628</v>
      </c>
    </row>
    <row r="1109" spans="1:1" ht="15.75" customHeight="1">
      <c r="A1109" s="291">
        <v>45629</v>
      </c>
    </row>
    <row r="1110" spans="1:1" ht="15.75" customHeight="1">
      <c r="A1110" s="291">
        <v>45630</v>
      </c>
    </row>
    <row r="1111" spans="1:1" ht="15.75" customHeight="1">
      <c r="A1111" s="291">
        <v>45631</v>
      </c>
    </row>
    <row r="1112" spans="1:1" ht="15.75" customHeight="1">
      <c r="A1112" s="291">
        <v>45632</v>
      </c>
    </row>
    <row r="1113" spans="1:1" ht="15.75" customHeight="1">
      <c r="A1113" s="291">
        <v>45633</v>
      </c>
    </row>
    <row r="1114" spans="1:1" ht="15.75" customHeight="1">
      <c r="A1114" s="291">
        <v>45634</v>
      </c>
    </row>
    <row r="1115" spans="1:1" ht="15.75" customHeight="1">
      <c r="A1115" s="291">
        <v>45635</v>
      </c>
    </row>
    <row r="1116" spans="1:1" ht="15.75" customHeight="1">
      <c r="A1116" s="291">
        <v>45636</v>
      </c>
    </row>
    <row r="1117" spans="1:1" ht="15.75" customHeight="1">
      <c r="A1117" s="291">
        <v>45637</v>
      </c>
    </row>
    <row r="1118" spans="1:1" ht="15.75" customHeight="1">
      <c r="A1118" s="291">
        <v>45638</v>
      </c>
    </row>
    <row r="1119" spans="1:1" ht="15.75" customHeight="1">
      <c r="A1119" s="291">
        <v>45639</v>
      </c>
    </row>
    <row r="1120" spans="1:1" ht="15.75" customHeight="1">
      <c r="A1120" s="291">
        <v>45640</v>
      </c>
    </row>
    <row r="1121" spans="1:1" ht="15.75" customHeight="1">
      <c r="A1121" s="291">
        <v>45641</v>
      </c>
    </row>
    <row r="1122" spans="1:1" ht="15.75" customHeight="1">
      <c r="A1122" s="291">
        <v>45642</v>
      </c>
    </row>
    <row r="1123" spans="1:1" ht="15.75" customHeight="1">
      <c r="A1123" s="291">
        <v>45643</v>
      </c>
    </row>
    <row r="1124" spans="1:1" ht="15.75" customHeight="1">
      <c r="A1124" s="291">
        <v>45644</v>
      </c>
    </row>
    <row r="1125" spans="1:1" ht="15.75" customHeight="1">
      <c r="A1125" s="291">
        <v>45645</v>
      </c>
    </row>
    <row r="1126" spans="1:1" ht="15.75" customHeight="1">
      <c r="A1126" s="291">
        <v>45646</v>
      </c>
    </row>
    <row r="1127" spans="1:1" ht="15.75" customHeight="1">
      <c r="A1127" s="291">
        <v>45647</v>
      </c>
    </row>
    <row r="1128" spans="1:1" ht="15.75" customHeight="1">
      <c r="A1128" s="291">
        <v>45648</v>
      </c>
    </row>
    <row r="1129" spans="1:1" ht="15.75" customHeight="1">
      <c r="A1129" s="291">
        <v>45649</v>
      </c>
    </row>
    <row r="1130" spans="1:1" ht="15.75" customHeight="1">
      <c r="A1130" s="291">
        <v>45650</v>
      </c>
    </row>
    <row r="1131" spans="1:1" ht="15.75" customHeight="1">
      <c r="A1131" s="291">
        <v>45651</v>
      </c>
    </row>
    <row r="1132" spans="1:1" ht="15.75" customHeight="1">
      <c r="A1132" s="291">
        <v>45652</v>
      </c>
    </row>
    <row r="1133" spans="1:1" ht="15.75" customHeight="1">
      <c r="A1133" s="291">
        <v>45653</v>
      </c>
    </row>
    <row r="1134" spans="1:1" ht="15.75" customHeight="1">
      <c r="A1134" s="291">
        <v>45654</v>
      </c>
    </row>
    <row r="1135" spans="1:1" ht="15.75" customHeight="1">
      <c r="A1135" s="291">
        <v>45655</v>
      </c>
    </row>
    <row r="1136" spans="1:1" ht="15.75" customHeight="1">
      <c r="A1136" s="291">
        <v>45656</v>
      </c>
    </row>
    <row r="1137" spans="1:1" ht="15.75" customHeight="1">
      <c r="A1137" s="291">
        <v>45657</v>
      </c>
    </row>
    <row r="1138" spans="1:1" ht="15.75" customHeight="1">
      <c r="A1138" s="291">
        <v>45658</v>
      </c>
    </row>
    <row r="1139" spans="1:1" ht="15.75" customHeight="1">
      <c r="A1139" s="291">
        <v>45659</v>
      </c>
    </row>
    <row r="1140" spans="1:1" ht="15.75" customHeight="1">
      <c r="A1140" s="291">
        <v>45660</v>
      </c>
    </row>
    <row r="1141" spans="1:1" ht="15.75" customHeight="1">
      <c r="A1141" s="291">
        <v>45661</v>
      </c>
    </row>
    <row r="1142" spans="1:1" ht="15.75" customHeight="1">
      <c r="A1142" s="291">
        <v>45662</v>
      </c>
    </row>
    <row r="1143" spans="1:1" ht="15.75" customHeight="1">
      <c r="A1143" s="291">
        <v>45663</v>
      </c>
    </row>
    <row r="1144" spans="1:1" ht="15.75" customHeight="1">
      <c r="A1144" s="291">
        <v>45664</v>
      </c>
    </row>
    <row r="1145" spans="1:1" ht="15.75" customHeight="1">
      <c r="A1145" s="291">
        <v>45665</v>
      </c>
    </row>
    <row r="1146" spans="1:1" ht="15.75" customHeight="1">
      <c r="A1146" s="291">
        <v>45666</v>
      </c>
    </row>
    <row r="1147" spans="1:1" ht="15.75" customHeight="1">
      <c r="A1147" s="291">
        <v>45667</v>
      </c>
    </row>
    <row r="1148" spans="1:1" ht="15.75" customHeight="1">
      <c r="A1148" s="291">
        <v>45668</v>
      </c>
    </row>
    <row r="1149" spans="1:1" ht="15.75" customHeight="1">
      <c r="A1149" s="291">
        <v>45669</v>
      </c>
    </row>
    <row r="1150" spans="1:1" ht="15.75" customHeight="1">
      <c r="A1150" s="291">
        <v>45670</v>
      </c>
    </row>
    <row r="1151" spans="1:1" ht="15.75" customHeight="1">
      <c r="A1151" s="291">
        <v>45671</v>
      </c>
    </row>
    <row r="1152" spans="1:1" ht="15.75" customHeight="1">
      <c r="A1152" s="291">
        <v>45672</v>
      </c>
    </row>
    <row r="1153" spans="1:1" ht="15.75" customHeight="1">
      <c r="A1153" s="291">
        <v>45673</v>
      </c>
    </row>
    <row r="1154" spans="1:1" ht="15.75" customHeight="1">
      <c r="A1154" s="291">
        <v>45674</v>
      </c>
    </row>
    <row r="1155" spans="1:1" ht="15.75" customHeight="1">
      <c r="A1155" s="291">
        <v>45675</v>
      </c>
    </row>
    <row r="1156" spans="1:1" ht="15.75" customHeight="1">
      <c r="A1156" s="291">
        <v>45676</v>
      </c>
    </row>
    <row r="1157" spans="1:1" ht="15.75" customHeight="1">
      <c r="A1157" s="291">
        <v>45677</v>
      </c>
    </row>
    <row r="1158" spans="1:1" ht="15.75" customHeight="1">
      <c r="A1158" s="291">
        <v>45678</v>
      </c>
    </row>
    <row r="1159" spans="1:1" ht="15.75" customHeight="1">
      <c r="A1159" s="291">
        <v>45679</v>
      </c>
    </row>
    <row r="1160" spans="1:1" ht="15.75" customHeight="1">
      <c r="A1160" s="291">
        <v>45680</v>
      </c>
    </row>
    <row r="1161" spans="1:1" ht="15.75" customHeight="1">
      <c r="A1161" s="291">
        <v>45681</v>
      </c>
    </row>
    <row r="1162" spans="1:1" ht="15.75" customHeight="1">
      <c r="A1162" s="291">
        <v>45682</v>
      </c>
    </row>
    <row r="1163" spans="1:1" ht="15.75" customHeight="1">
      <c r="A1163" s="291">
        <v>45683</v>
      </c>
    </row>
    <row r="1164" spans="1:1" ht="15.75" customHeight="1">
      <c r="A1164" s="291">
        <v>45684</v>
      </c>
    </row>
    <row r="1165" spans="1:1" ht="15.75" customHeight="1">
      <c r="A1165" s="291">
        <v>45685</v>
      </c>
    </row>
    <row r="1166" spans="1:1" ht="15.75" customHeight="1">
      <c r="A1166" s="291">
        <v>45686</v>
      </c>
    </row>
    <row r="1167" spans="1:1" ht="15.75" customHeight="1">
      <c r="A1167" s="291">
        <v>45687</v>
      </c>
    </row>
    <row r="1168" spans="1:1" ht="15.75" customHeight="1">
      <c r="A1168" s="291">
        <v>45688</v>
      </c>
    </row>
    <row r="1169" spans="1:1" ht="15.75" customHeight="1">
      <c r="A1169" s="291">
        <v>45689</v>
      </c>
    </row>
    <row r="1170" spans="1:1" ht="15.75" customHeight="1">
      <c r="A1170" s="291">
        <v>45690</v>
      </c>
    </row>
    <row r="1171" spans="1:1" ht="15.75" customHeight="1">
      <c r="A1171" s="291">
        <v>45691</v>
      </c>
    </row>
    <row r="1172" spans="1:1" ht="15.75" customHeight="1">
      <c r="A1172" s="291">
        <v>45692</v>
      </c>
    </row>
    <row r="1173" spans="1:1" ht="15.75" customHeight="1">
      <c r="A1173" s="291">
        <v>45693</v>
      </c>
    </row>
    <row r="1174" spans="1:1" ht="15.75" customHeight="1">
      <c r="A1174" s="291">
        <v>45694</v>
      </c>
    </row>
    <row r="1175" spans="1:1" ht="15.75" customHeight="1">
      <c r="A1175" s="291">
        <v>45695</v>
      </c>
    </row>
    <row r="1176" spans="1:1" ht="15.75" customHeight="1">
      <c r="A1176" s="291">
        <v>45696</v>
      </c>
    </row>
    <row r="1177" spans="1:1" ht="15.75" customHeight="1">
      <c r="A1177" s="291">
        <v>45697</v>
      </c>
    </row>
    <row r="1178" spans="1:1" ht="15.75" customHeight="1">
      <c r="A1178" s="291">
        <v>45698</v>
      </c>
    </row>
    <row r="1179" spans="1:1" ht="15.75" customHeight="1">
      <c r="A1179" s="291">
        <v>45699</v>
      </c>
    </row>
    <row r="1180" spans="1:1" ht="15.75" customHeight="1">
      <c r="A1180" s="291">
        <v>45700</v>
      </c>
    </row>
    <row r="1181" spans="1:1" ht="15.75" customHeight="1">
      <c r="A1181" s="291">
        <v>45701</v>
      </c>
    </row>
    <row r="1182" spans="1:1" ht="15.75" customHeight="1">
      <c r="A1182" s="291">
        <v>45702</v>
      </c>
    </row>
    <row r="1183" spans="1:1" ht="15.75" customHeight="1">
      <c r="A1183" s="291">
        <v>45703</v>
      </c>
    </row>
    <row r="1184" spans="1:1" ht="15.75" customHeight="1">
      <c r="A1184" s="291">
        <v>45704</v>
      </c>
    </row>
    <row r="1185" spans="1:1" ht="15.75" customHeight="1">
      <c r="A1185" s="291">
        <v>45705</v>
      </c>
    </row>
    <row r="1186" spans="1:1" ht="15.75" customHeight="1">
      <c r="A1186" s="291">
        <v>45706</v>
      </c>
    </row>
    <row r="1187" spans="1:1" ht="15.75" customHeight="1">
      <c r="A1187" s="291">
        <v>45707</v>
      </c>
    </row>
    <row r="1188" spans="1:1" ht="15.75" customHeight="1">
      <c r="A1188" s="291">
        <v>45708</v>
      </c>
    </row>
    <row r="1189" spans="1:1" ht="15.75" customHeight="1">
      <c r="A1189" s="291">
        <v>45709</v>
      </c>
    </row>
    <row r="1190" spans="1:1" ht="15.75" customHeight="1">
      <c r="A1190" s="291">
        <v>45710</v>
      </c>
    </row>
    <row r="1191" spans="1:1" ht="15.75" customHeight="1">
      <c r="A1191" s="291">
        <v>45711</v>
      </c>
    </row>
    <row r="1192" spans="1:1" ht="15.75" customHeight="1">
      <c r="A1192" s="291">
        <v>45712</v>
      </c>
    </row>
    <row r="1193" spans="1:1" ht="15.75" customHeight="1">
      <c r="A1193" s="291">
        <v>45713</v>
      </c>
    </row>
    <row r="1194" spans="1:1" ht="15.75" customHeight="1">
      <c r="A1194" s="291">
        <v>45714</v>
      </c>
    </row>
    <row r="1195" spans="1:1" ht="15.75" customHeight="1">
      <c r="A1195" s="291">
        <v>45715</v>
      </c>
    </row>
    <row r="1196" spans="1:1" ht="15.75" customHeight="1">
      <c r="A1196" s="291">
        <v>45716</v>
      </c>
    </row>
    <row r="1197" spans="1:1" ht="15.75" customHeight="1">
      <c r="A1197" s="291">
        <v>45717</v>
      </c>
    </row>
    <row r="1198" spans="1:1" ht="15.75" customHeight="1">
      <c r="A1198" s="291">
        <v>45718</v>
      </c>
    </row>
    <row r="1199" spans="1:1" ht="15.75" customHeight="1">
      <c r="A1199" s="291">
        <v>45719</v>
      </c>
    </row>
    <row r="1200" spans="1:1" ht="15.75" customHeight="1">
      <c r="A1200" s="291">
        <v>45720</v>
      </c>
    </row>
    <row r="1201" spans="1:1" ht="15.75" customHeight="1">
      <c r="A1201" s="291">
        <v>45721</v>
      </c>
    </row>
    <row r="1202" spans="1:1" ht="15.75" customHeight="1">
      <c r="A1202" s="291">
        <v>45722</v>
      </c>
    </row>
    <row r="1203" spans="1:1" ht="15.75" customHeight="1">
      <c r="A1203" s="291">
        <v>45723</v>
      </c>
    </row>
    <row r="1204" spans="1:1" ht="15.75" customHeight="1">
      <c r="A1204" s="291">
        <v>45724</v>
      </c>
    </row>
    <row r="1205" spans="1:1" ht="15.75" customHeight="1">
      <c r="A1205" s="291">
        <v>45725</v>
      </c>
    </row>
    <row r="1206" spans="1:1" ht="15.75" customHeight="1">
      <c r="A1206" s="291">
        <v>45726</v>
      </c>
    </row>
    <row r="1207" spans="1:1" ht="15.75" customHeight="1">
      <c r="A1207" s="291">
        <v>45727</v>
      </c>
    </row>
    <row r="1208" spans="1:1" ht="15.75" customHeight="1">
      <c r="A1208" s="291">
        <v>45728</v>
      </c>
    </row>
    <row r="1209" spans="1:1" ht="15.75" customHeight="1">
      <c r="A1209" s="291">
        <v>45729</v>
      </c>
    </row>
    <row r="1210" spans="1:1" ht="15.75" customHeight="1">
      <c r="A1210" s="291">
        <v>45730</v>
      </c>
    </row>
    <row r="1211" spans="1:1" ht="15.75" customHeight="1">
      <c r="A1211" s="291">
        <v>45731</v>
      </c>
    </row>
    <row r="1212" spans="1:1" ht="15.75" customHeight="1">
      <c r="A1212" s="291">
        <v>45732</v>
      </c>
    </row>
    <row r="1213" spans="1:1" ht="15.75" customHeight="1">
      <c r="A1213" s="291">
        <v>45733</v>
      </c>
    </row>
    <row r="1214" spans="1:1" ht="15.75" customHeight="1">
      <c r="A1214" s="291">
        <v>45734</v>
      </c>
    </row>
    <row r="1215" spans="1:1" ht="15.75" customHeight="1">
      <c r="A1215" s="291">
        <v>45735</v>
      </c>
    </row>
    <row r="1216" spans="1:1" ht="15.75" customHeight="1">
      <c r="A1216" s="291">
        <v>45736</v>
      </c>
    </row>
    <row r="1217" spans="1:1" ht="15.75" customHeight="1">
      <c r="A1217" s="291">
        <v>45737</v>
      </c>
    </row>
    <row r="1218" spans="1:1" ht="15.75" customHeight="1">
      <c r="A1218" s="291">
        <v>45738</v>
      </c>
    </row>
    <row r="1219" spans="1:1" ht="15.75" customHeight="1">
      <c r="A1219" s="291">
        <v>45739</v>
      </c>
    </row>
    <row r="1220" spans="1:1" ht="15.75" customHeight="1">
      <c r="A1220" s="291">
        <v>45740</v>
      </c>
    </row>
    <row r="1221" spans="1:1" ht="15.75" customHeight="1">
      <c r="A1221" s="291">
        <v>45741</v>
      </c>
    </row>
    <row r="1222" spans="1:1" ht="15.75" customHeight="1">
      <c r="A1222" s="291">
        <v>45742</v>
      </c>
    </row>
    <row r="1223" spans="1:1" ht="15.75" customHeight="1">
      <c r="A1223" s="291">
        <v>45743</v>
      </c>
    </row>
    <row r="1224" spans="1:1" ht="15.75" customHeight="1">
      <c r="A1224" s="291">
        <v>45744</v>
      </c>
    </row>
    <row r="1225" spans="1:1" ht="15.75" customHeight="1">
      <c r="A1225" s="291">
        <v>45745</v>
      </c>
    </row>
    <row r="1226" spans="1:1" ht="15.75" customHeight="1">
      <c r="A1226" s="291">
        <v>45746</v>
      </c>
    </row>
    <row r="1227" spans="1:1" ht="15.75" customHeight="1">
      <c r="A1227" s="291">
        <v>45747</v>
      </c>
    </row>
    <row r="1228" spans="1:1" ht="15.75" customHeight="1">
      <c r="A1228" s="291">
        <v>45748</v>
      </c>
    </row>
    <row r="1229" spans="1:1" ht="15.75" customHeight="1">
      <c r="A1229" s="291">
        <v>45749</v>
      </c>
    </row>
    <row r="1230" spans="1:1" ht="15.75" customHeight="1">
      <c r="A1230" s="291">
        <v>45750</v>
      </c>
    </row>
    <row r="1231" spans="1:1" ht="15.75" customHeight="1">
      <c r="A1231" s="291">
        <v>45751</v>
      </c>
    </row>
    <row r="1232" spans="1:1" ht="15.75" customHeight="1">
      <c r="A1232" s="291">
        <v>45752</v>
      </c>
    </row>
    <row r="1233" spans="1:1" ht="15.75" customHeight="1">
      <c r="A1233" s="291">
        <v>45753</v>
      </c>
    </row>
    <row r="1234" spans="1:1" ht="15.75" customHeight="1">
      <c r="A1234" s="291">
        <v>45754</v>
      </c>
    </row>
    <row r="1235" spans="1:1" ht="15.75" customHeight="1">
      <c r="A1235" s="291">
        <v>45755</v>
      </c>
    </row>
    <row r="1236" spans="1:1" ht="15.75" customHeight="1">
      <c r="A1236" s="291">
        <v>45756</v>
      </c>
    </row>
    <row r="1237" spans="1:1" ht="15.75" customHeight="1">
      <c r="A1237" s="291">
        <v>45757</v>
      </c>
    </row>
    <row r="1238" spans="1:1" ht="15.75" customHeight="1">
      <c r="A1238" s="291">
        <v>45758</v>
      </c>
    </row>
    <row r="1239" spans="1:1" ht="15.75" customHeight="1">
      <c r="A1239" s="291">
        <v>45759</v>
      </c>
    </row>
    <row r="1240" spans="1:1" ht="15.75" customHeight="1">
      <c r="A1240" s="291">
        <v>45760</v>
      </c>
    </row>
    <row r="1241" spans="1:1" ht="15.75" customHeight="1">
      <c r="A1241" s="291">
        <v>45761</v>
      </c>
    </row>
    <row r="1242" spans="1:1" ht="15.75" customHeight="1">
      <c r="A1242" s="291">
        <v>45762</v>
      </c>
    </row>
    <row r="1243" spans="1:1" ht="15.75" customHeight="1">
      <c r="A1243" s="291">
        <v>45763</v>
      </c>
    </row>
    <row r="1244" spans="1:1" ht="15.75" customHeight="1">
      <c r="A1244" s="291">
        <v>45764</v>
      </c>
    </row>
    <row r="1245" spans="1:1" ht="15.75" customHeight="1">
      <c r="A1245" s="291">
        <v>45765</v>
      </c>
    </row>
    <row r="1246" spans="1:1" ht="15.75" customHeight="1">
      <c r="A1246" s="291">
        <v>45766</v>
      </c>
    </row>
    <row r="1247" spans="1:1" ht="15.75" customHeight="1">
      <c r="A1247" s="291">
        <v>45767</v>
      </c>
    </row>
    <row r="1248" spans="1:1" ht="15.75" customHeight="1">
      <c r="A1248" s="291">
        <v>45768</v>
      </c>
    </row>
    <row r="1249" spans="1:1" ht="15.75" customHeight="1">
      <c r="A1249" s="291">
        <v>45769</v>
      </c>
    </row>
    <row r="1250" spans="1:1" ht="15.75" customHeight="1">
      <c r="A1250" s="291">
        <v>45770</v>
      </c>
    </row>
    <row r="1251" spans="1:1" ht="15.75" customHeight="1">
      <c r="A1251" s="291">
        <v>45771</v>
      </c>
    </row>
    <row r="1252" spans="1:1" ht="15.75" customHeight="1">
      <c r="A1252" s="291">
        <v>45772</v>
      </c>
    </row>
    <row r="1253" spans="1:1" ht="15.75" customHeight="1">
      <c r="A1253" s="291">
        <v>45773</v>
      </c>
    </row>
    <row r="1254" spans="1:1" ht="15.75" customHeight="1">
      <c r="A1254" s="291">
        <v>45774</v>
      </c>
    </row>
    <row r="1255" spans="1:1" ht="15.75" customHeight="1">
      <c r="A1255" s="291">
        <v>45775</v>
      </c>
    </row>
    <row r="1256" spans="1:1" ht="15.75" customHeight="1">
      <c r="A1256" s="291">
        <v>45776</v>
      </c>
    </row>
    <row r="1257" spans="1:1" ht="15.75" customHeight="1">
      <c r="A1257" s="291">
        <v>45777</v>
      </c>
    </row>
    <row r="1258" spans="1:1" ht="15.75" customHeight="1">
      <c r="A1258" s="291">
        <v>45778</v>
      </c>
    </row>
    <row r="1259" spans="1:1" ht="15.75" customHeight="1">
      <c r="A1259" s="291">
        <v>45779</v>
      </c>
    </row>
    <row r="1260" spans="1:1" ht="15.75" customHeight="1">
      <c r="A1260" s="291">
        <v>45780</v>
      </c>
    </row>
    <row r="1261" spans="1:1" ht="15.75" customHeight="1">
      <c r="A1261" s="291">
        <v>45781</v>
      </c>
    </row>
    <row r="1262" spans="1:1" ht="15.75" customHeight="1">
      <c r="A1262" s="291">
        <v>45782</v>
      </c>
    </row>
    <row r="1263" spans="1:1" ht="15.75" customHeight="1">
      <c r="A1263" s="291">
        <v>45783</v>
      </c>
    </row>
    <row r="1264" spans="1:1" ht="15.75" customHeight="1">
      <c r="A1264" s="291">
        <v>45784</v>
      </c>
    </row>
    <row r="1265" spans="1:1" ht="15.75" customHeight="1">
      <c r="A1265" s="291">
        <v>45785</v>
      </c>
    </row>
    <row r="1266" spans="1:1" ht="15.75" customHeight="1">
      <c r="A1266" s="291">
        <v>45786</v>
      </c>
    </row>
    <row r="1267" spans="1:1" ht="15.75" customHeight="1">
      <c r="A1267" s="291">
        <v>45787</v>
      </c>
    </row>
    <row r="1268" spans="1:1" ht="15.75" customHeight="1">
      <c r="A1268" s="291">
        <v>45788</v>
      </c>
    </row>
    <row r="1269" spans="1:1" ht="15.75" customHeight="1">
      <c r="A1269" s="291">
        <v>45789</v>
      </c>
    </row>
    <row r="1270" spans="1:1" ht="15.75" customHeight="1">
      <c r="A1270" s="291">
        <v>45790</v>
      </c>
    </row>
    <row r="1271" spans="1:1" ht="15.75" customHeight="1">
      <c r="A1271" s="291">
        <v>45791</v>
      </c>
    </row>
    <row r="1272" spans="1:1" ht="15.75" customHeight="1">
      <c r="A1272" s="291">
        <v>45792</v>
      </c>
    </row>
    <row r="1273" spans="1:1" ht="15.75" customHeight="1">
      <c r="A1273" s="291">
        <v>45793</v>
      </c>
    </row>
    <row r="1274" spans="1:1" ht="15.75" customHeight="1">
      <c r="A1274" s="291">
        <v>45794</v>
      </c>
    </row>
    <row r="1275" spans="1:1" ht="15.75" customHeight="1">
      <c r="A1275" s="291">
        <v>45795</v>
      </c>
    </row>
    <row r="1276" spans="1:1" ht="15.75" customHeight="1">
      <c r="A1276" s="291">
        <v>45796</v>
      </c>
    </row>
    <row r="1277" spans="1:1" ht="15.75" customHeight="1">
      <c r="A1277" s="291">
        <v>45797</v>
      </c>
    </row>
    <row r="1278" spans="1:1" ht="15.75" customHeight="1">
      <c r="A1278" s="291">
        <v>45798</v>
      </c>
    </row>
    <row r="1279" spans="1:1" ht="15.75" customHeight="1">
      <c r="A1279" s="291">
        <v>45799</v>
      </c>
    </row>
    <row r="1280" spans="1:1" ht="15.75" customHeight="1">
      <c r="A1280" s="291">
        <v>45800</v>
      </c>
    </row>
    <row r="1281" spans="1:1" ht="15.75" customHeight="1">
      <c r="A1281" s="291">
        <v>45801</v>
      </c>
    </row>
    <row r="1282" spans="1:1" ht="15.75" customHeight="1">
      <c r="A1282" s="291">
        <v>45802</v>
      </c>
    </row>
    <row r="1283" spans="1:1" ht="15.75" customHeight="1">
      <c r="A1283" s="291">
        <v>45803</v>
      </c>
    </row>
    <row r="1284" spans="1:1" ht="15.75" customHeight="1">
      <c r="A1284" s="291">
        <v>45804</v>
      </c>
    </row>
    <row r="1285" spans="1:1" ht="15.75" customHeight="1">
      <c r="A1285" s="291">
        <v>45805</v>
      </c>
    </row>
    <row r="1286" spans="1:1" ht="15.75" customHeight="1">
      <c r="A1286" s="291">
        <v>45806</v>
      </c>
    </row>
    <row r="1287" spans="1:1" ht="15.75" customHeight="1">
      <c r="A1287" s="291">
        <v>45807</v>
      </c>
    </row>
    <row r="1288" spans="1:1" ht="15.75" customHeight="1">
      <c r="A1288" s="291">
        <v>45808</v>
      </c>
    </row>
    <row r="1289" spans="1:1" ht="15.75" customHeight="1">
      <c r="A1289" s="291">
        <v>45809</v>
      </c>
    </row>
    <row r="1290" spans="1:1" ht="15.75" customHeight="1">
      <c r="A1290" s="291">
        <v>45810</v>
      </c>
    </row>
    <row r="1291" spans="1:1" ht="15.75" customHeight="1">
      <c r="A1291" s="291">
        <v>45811</v>
      </c>
    </row>
    <row r="1292" spans="1:1" ht="15.75" customHeight="1">
      <c r="A1292" s="291">
        <v>45812</v>
      </c>
    </row>
    <row r="1293" spans="1:1" ht="15.75" customHeight="1">
      <c r="A1293" s="291">
        <v>45813</v>
      </c>
    </row>
    <row r="1294" spans="1:1" ht="15.75" customHeight="1">
      <c r="A1294" s="291">
        <v>45814</v>
      </c>
    </row>
    <row r="1295" spans="1:1" ht="15.75" customHeight="1">
      <c r="A1295" s="291">
        <v>45815</v>
      </c>
    </row>
    <row r="1296" spans="1:1" ht="15.75" customHeight="1">
      <c r="A1296" s="291">
        <v>45816</v>
      </c>
    </row>
    <row r="1297" spans="1:1" ht="15.75" customHeight="1">
      <c r="A1297" s="291">
        <v>45817</v>
      </c>
    </row>
    <row r="1298" spans="1:1" ht="15.75" customHeight="1">
      <c r="A1298" s="291">
        <v>45818</v>
      </c>
    </row>
    <row r="1299" spans="1:1" ht="15.75" customHeight="1">
      <c r="A1299" s="291">
        <v>45819</v>
      </c>
    </row>
    <row r="1300" spans="1:1" ht="15.75" customHeight="1">
      <c r="A1300" s="291">
        <v>45820</v>
      </c>
    </row>
    <row r="1301" spans="1:1" ht="15.75" customHeight="1">
      <c r="A1301" s="291">
        <v>45821</v>
      </c>
    </row>
    <row r="1302" spans="1:1" ht="15.75" customHeight="1">
      <c r="A1302" s="291">
        <v>45822</v>
      </c>
    </row>
    <row r="1303" spans="1:1" ht="15.75" customHeight="1">
      <c r="A1303" s="291">
        <v>45823</v>
      </c>
    </row>
    <row r="1304" spans="1:1" ht="15.75" customHeight="1">
      <c r="A1304" s="291">
        <v>45824</v>
      </c>
    </row>
    <row r="1305" spans="1:1" ht="15.75" customHeight="1">
      <c r="A1305" s="291">
        <v>45825</v>
      </c>
    </row>
    <row r="1306" spans="1:1" ht="15.75" customHeight="1">
      <c r="A1306" s="291">
        <v>45826</v>
      </c>
    </row>
    <row r="1307" spans="1:1" ht="15.75" customHeight="1">
      <c r="A1307" s="291">
        <v>45827</v>
      </c>
    </row>
    <row r="1308" spans="1:1" ht="15.75" customHeight="1">
      <c r="A1308" s="291">
        <v>45828</v>
      </c>
    </row>
    <row r="1309" spans="1:1" ht="15.75" customHeight="1">
      <c r="A1309" s="291">
        <v>45829</v>
      </c>
    </row>
    <row r="1310" spans="1:1" ht="15.75" customHeight="1">
      <c r="A1310" s="291">
        <v>45830</v>
      </c>
    </row>
    <row r="1311" spans="1:1" ht="15.75" customHeight="1">
      <c r="A1311" s="291">
        <v>45831</v>
      </c>
    </row>
    <row r="1312" spans="1:1" ht="15.75" customHeight="1">
      <c r="A1312" s="291">
        <v>45832</v>
      </c>
    </row>
    <row r="1313" spans="1:1" ht="15.75" customHeight="1">
      <c r="A1313" s="291">
        <v>45833</v>
      </c>
    </row>
    <row r="1314" spans="1:1" ht="15.75" customHeight="1">
      <c r="A1314" s="291">
        <v>45834</v>
      </c>
    </row>
    <row r="1315" spans="1:1" ht="15.75" customHeight="1">
      <c r="A1315" s="291">
        <v>45835</v>
      </c>
    </row>
    <row r="1316" spans="1:1" ht="15.75" customHeight="1">
      <c r="A1316" s="291">
        <v>45836</v>
      </c>
    </row>
    <row r="1317" spans="1:1" ht="15.75" customHeight="1">
      <c r="A1317" s="291">
        <v>45837</v>
      </c>
    </row>
    <row r="1318" spans="1:1" ht="15.75" customHeight="1">
      <c r="A1318" s="291">
        <v>45838</v>
      </c>
    </row>
    <row r="1319" spans="1:1" ht="15.75" customHeight="1">
      <c r="A1319" s="291">
        <v>45839</v>
      </c>
    </row>
    <row r="1320" spans="1:1" ht="15.75" customHeight="1">
      <c r="A1320" s="291">
        <v>45840</v>
      </c>
    </row>
    <row r="1321" spans="1:1" ht="15.75" customHeight="1">
      <c r="A1321" s="291">
        <v>45841</v>
      </c>
    </row>
    <row r="1322" spans="1:1" ht="15.75" customHeight="1">
      <c r="A1322" s="291">
        <v>45842</v>
      </c>
    </row>
    <row r="1323" spans="1:1" ht="15.75" customHeight="1">
      <c r="A1323" s="291">
        <v>45843</v>
      </c>
    </row>
    <row r="1324" spans="1:1" ht="15.75" customHeight="1">
      <c r="A1324" s="291">
        <v>45844</v>
      </c>
    </row>
    <row r="1325" spans="1:1" ht="15.75" customHeight="1">
      <c r="A1325" s="291">
        <v>45845</v>
      </c>
    </row>
    <row r="1326" spans="1:1" ht="15.75" customHeight="1">
      <c r="A1326" s="291">
        <v>45846</v>
      </c>
    </row>
    <row r="1327" spans="1:1" ht="15.75" customHeight="1">
      <c r="A1327" s="291">
        <v>45847</v>
      </c>
    </row>
    <row r="1328" spans="1:1" ht="15.75" customHeight="1">
      <c r="A1328" s="291">
        <v>45848</v>
      </c>
    </row>
    <row r="1329" spans="1:1" ht="15.75" customHeight="1">
      <c r="A1329" s="291">
        <v>45849</v>
      </c>
    </row>
    <row r="1330" spans="1:1" ht="15.75" customHeight="1">
      <c r="A1330" s="291">
        <v>45850</v>
      </c>
    </row>
    <row r="1331" spans="1:1" ht="15.75" customHeight="1">
      <c r="A1331" s="291">
        <v>45851</v>
      </c>
    </row>
    <row r="1332" spans="1:1" ht="15.75" customHeight="1">
      <c r="A1332" s="291">
        <v>45852</v>
      </c>
    </row>
    <row r="1333" spans="1:1" ht="15.75" customHeight="1">
      <c r="A1333" s="291">
        <v>45853</v>
      </c>
    </row>
    <row r="1334" spans="1:1" ht="15.75" customHeight="1">
      <c r="A1334" s="291">
        <v>45854</v>
      </c>
    </row>
    <row r="1335" spans="1:1" ht="15.75" customHeight="1">
      <c r="A1335" s="291">
        <v>45855</v>
      </c>
    </row>
    <row r="1336" spans="1:1" ht="15.75" customHeight="1">
      <c r="A1336" s="291">
        <v>45856</v>
      </c>
    </row>
    <row r="1337" spans="1:1" ht="15.75" customHeight="1">
      <c r="A1337" s="291">
        <v>45857</v>
      </c>
    </row>
    <row r="1338" spans="1:1" ht="15.75" customHeight="1">
      <c r="A1338" s="291">
        <v>45858</v>
      </c>
    </row>
    <row r="1339" spans="1:1" ht="15.75" customHeight="1">
      <c r="A1339" s="291">
        <v>45859</v>
      </c>
    </row>
    <row r="1340" spans="1:1" ht="15.75" customHeight="1">
      <c r="A1340" s="291">
        <v>45860</v>
      </c>
    </row>
    <row r="1341" spans="1:1" ht="15.75" customHeight="1">
      <c r="A1341" s="291">
        <v>45861</v>
      </c>
    </row>
    <row r="1342" spans="1:1" ht="15.75" customHeight="1">
      <c r="A1342" s="291">
        <v>45862</v>
      </c>
    </row>
    <row r="1343" spans="1:1" ht="15.75" customHeight="1">
      <c r="A1343" s="291">
        <v>45863</v>
      </c>
    </row>
    <row r="1344" spans="1:1" ht="15.75" customHeight="1">
      <c r="A1344" s="291">
        <v>45864</v>
      </c>
    </row>
    <row r="1345" spans="1:7" ht="15.75" customHeight="1">
      <c r="A1345" s="291">
        <v>45865</v>
      </c>
    </row>
    <row r="1346" spans="1:7" ht="15.75" customHeight="1">
      <c r="A1346" s="291">
        <v>45866</v>
      </c>
      <c r="B1346" s="290">
        <v>71.105000000000004</v>
      </c>
      <c r="C1346" s="289">
        <f>AVERAGE(B1346:B1350)</f>
        <v>73.509</v>
      </c>
      <c r="D1346" s="289"/>
      <c r="E1346" s="289">
        <f t="shared" ref="E1346:E1359" si="7">AVERAGE(B1346:B1454)</f>
        <v>71.722499999999997</v>
      </c>
      <c r="F1346" s="288">
        <f t="shared" ref="F1346:F1359" si="8">B1346/158.987</f>
        <v>0.44723782447621507</v>
      </c>
      <c r="G1346" s="288">
        <f t="shared" ref="G1346:G1359" si="9">F1346*52</f>
        <v>23.256366872763184</v>
      </c>
    </row>
    <row r="1347" spans="1:7" ht="15.75" customHeight="1">
      <c r="A1347" s="291">
        <v>45867</v>
      </c>
      <c r="B1347" s="290">
        <v>72.5</v>
      </c>
      <c r="C1347" s="289"/>
      <c r="D1347" s="289"/>
      <c r="E1347" s="289">
        <f t="shared" si="7"/>
        <v>71.791111111111107</v>
      </c>
      <c r="F1347" s="288">
        <f t="shared" si="8"/>
        <v>0.45601212677766106</v>
      </c>
      <c r="G1347" s="288">
        <f t="shared" si="9"/>
        <v>23.712630592438376</v>
      </c>
    </row>
    <row r="1348" spans="1:7" ht="15.75" customHeight="1">
      <c r="A1348" s="291">
        <v>45868</v>
      </c>
      <c r="B1348" s="290">
        <v>74.95</v>
      </c>
      <c r="C1348" s="289"/>
      <c r="D1348" s="289"/>
      <c r="E1348" s="289">
        <f t="shared" si="7"/>
        <v>71.702499999999986</v>
      </c>
      <c r="F1348" s="288">
        <f t="shared" si="8"/>
        <v>0.47142219175152689</v>
      </c>
      <c r="G1348" s="288">
        <f t="shared" si="9"/>
        <v>24.513953971079399</v>
      </c>
    </row>
    <row r="1349" spans="1:7" ht="15.75" customHeight="1">
      <c r="A1349" s="291">
        <v>45869</v>
      </c>
      <c r="B1349" s="290">
        <v>75.25</v>
      </c>
      <c r="C1349" s="289"/>
      <c r="D1349" s="289"/>
      <c r="E1349" s="289">
        <f t="shared" si="7"/>
        <v>71.238571428571433</v>
      </c>
      <c r="F1349" s="288">
        <f t="shared" si="8"/>
        <v>0.47330913848302064</v>
      </c>
      <c r="G1349" s="288">
        <f t="shared" si="9"/>
        <v>24.612075201117072</v>
      </c>
    </row>
    <row r="1350" spans="1:7" ht="15.75" customHeight="1">
      <c r="A1350" s="291">
        <v>45870</v>
      </c>
      <c r="B1350" s="290">
        <v>73.739999999999995</v>
      </c>
      <c r="C1350" s="289"/>
      <c r="D1350" s="289"/>
      <c r="E1350" s="289">
        <f t="shared" si="7"/>
        <v>70.570000000000007</v>
      </c>
      <c r="F1350" s="288">
        <f t="shared" si="8"/>
        <v>0.46381150660116865</v>
      </c>
      <c r="G1350" s="288">
        <f t="shared" si="9"/>
        <v>24.118198343260769</v>
      </c>
    </row>
    <row r="1351" spans="1:7" ht="15.75" customHeight="1">
      <c r="A1351" s="291">
        <v>45871</v>
      </c>
      <c r="C1351" s="289"/>
      <c r="D1351" s="289"/>
      <c r="E1351" s="289">
        <f t="shared" si="7"/>
        <v>69.936000000000007</v>
      </c>
      <c r="F1351" s="288">
        <f t="shared" si="8"/>
        <v>0</v>
      </c>
      <c r="G1351" s="288">
        <f t="shared" si="9"/>
        <v>0</v>
      </c>
    </row>
    <row r="1352" spans="1:7" ht="15.75" customHeight="1">
      <c r="A1352" s="291">
        <v>45872</v>
      </c>
      <c r="C1352" s="289"/>
      <c r="D1352" s="289"/>
      <c r="E1352" s="289">
        <f t="shared" si="7"/>
        <v>69.936000000000007</v>
      </c>
      <c r="F1352" s="288">
        <f t="shared" si="8"/>
        <v>0</v>
      </c>
      <c r="G1352" s="288">
        <f t="shared" si="9"/>
        <v>0</v>
      </c>
    </row>
    <row r="1353" spans="1:7" ht="15.75" customHeight="1">
      <c r="A1353" s="291">
        <v>45873</v>
      </c>
      <c r="B1353" s="290">
        <v>71.17</v>
      </c>
      <c r="C1353" s="289">
        <f>AVERAGE(B1353:B1357)</f>
        <v>69.936000000000007</v>
      </c>
      <c r="D1353" s="289"/>
      <c r="E1353" s="289">
        <f t="shared" si="7"/>
        <v>69.936000000000007</v>
      </c>
      <c r="F1353" s="288">
        <f t="shared" si="8"/>
        <v>0.4476466629347054</v>
      </c>
      <c r="G1353" s="288">
        <f t="shared" si="9"/>
        <v>23.27762647260468</v>
      </c>
    </row>
    <row r="1354" spans="1:7" ht="15.75" customHeight="1">
      <c r="A1354" s="291">
        <v>45874</v>
      </c>
      <c r="B1354" s="290">
        <v>70.33</v>
      </c>
      <c r="C1354" s="289"/>
      <c r="D1354" s="289"/>
      <c r="E1354" s="289">
        <f t="shared" si="7"/>
        <v>69.627499999999998</v>
      </c>
      <c r="F1354" s="288">
        <f t="shared" si="8"/>
        <v>0.44236321208652279</v>
      </c>
      <c r="G1354" s="288">
        <f t="shared" si="9"/>
        <v>23.002887028499185</v>
      </c>
    </row>
    <row r="1355" spans="1:7" ht="15.75" customHeight="1">
      <c r="A1355" s="291">
        <v>45875</v>
      </c>
      <c r="B1355" s="290">
        <v>70.349999999999994</v>
      </c>
      <c r="C1355" s="289"/>
      <c r="D1355" s="289"/>
      <c r="E1355" s="289">
        <f t="shared" si="7"/>
        <v>69.393333333333331</v>
      </c>
      <c r="F1355" s="288">
        <f t="shared" si="8"/>
        <v>0.44248900853528905</v>
      </c>
      <c r="G1355" s="288">
        <f t="shared" si="9"/>
        <v>23.009428443835031</v>
      </c>
    </row>
    <row r="1356" spans="1:7" ht="15.75" customHeight="1">
      <c r="A1356" s="291">
        <v>45876</v>
      </c>
      <c r="B1356" s="290">
        <v>69.33</v>
      </c>
      <c r="C1356" s="289"/>
      <c r="D1356" s="289"/>
      <c r="E1356" s="289">
        <f t="shared" si="7"/>
        <v>68.914999999999992</v>
      </c>
      <c r="F1356" s="288">
        <f t="shared" si="8"/>
        <v>0.43607338964821024</v>
      </c>
      <c r="G1356" s="288">
        <f t="shared" si="9"/>
        <v>22.675816261706931</v>
      </c>
    </row>
    <row r="1357" spans="1:7" ht="15.75" customHeight="1">
      <c r="A1357" s="291">
        <v>45877</v>
      </c>
      <c r="B1357" s="290">
        <v>68.5</v>
      </c>
      <c r="C1357" s="289"/>
      <c r="D1357" s="289"/>
      <c r="E1357" s="289">
        <f t="shared" si="7"/>
        <v>68.5</v>
      </c>
      <c r="F1357" s="288">
        <f t="shared" si="8"/>
        <v>0.4308528370244108</v>
      </c>
      <c r="G1357" s="288">
        <f t="shared" si="9"/>
        <v>22.404347525269362</v>
      </c>
    </row>
    <row r="1358" spans="1:7" ht="15.75" customHeight="1">
      <c r="A1358" s="291">
        <v>45878</v>
      </c>
      <c r="C1358" s="289"/>
      <c r="D1358" s="289"/>
      <c r="E1358" s="289" t="e">
        <f t="shared" si="7"/>
        <v>#DIV/0!</v>
      </c>
      <c r="F1358" s="288">
        <f t="shared" si="8"/>
        <v>0</v>
      </c>
      <c r="G1358" s="288">
        <f t="shared" si="9"/>
        <v>0</v>
      </c>
    </row>
    <row r="1359" spans="1:7" ht="15.75" customHeight="1">
      <c r="A1359" s="291">
        <v>45879</v>
      </c>
      <c r="C1359" s="289"/>
      <c r="D1359" s="289"/>
      <c r="E1359" s="289" t="e">
        <f t="shared" si="7"/>
        <v>#DIV/0!</v>
      </c>
      <c r="F1359" s="288">
        <f t="shared" si="8"/>
        <v>0</v>
      </c>
      <c r="G1359" s="288">
        <f t="shared" si="9"/>
        <v>0</v>
      </c>
    </row>
    <row r="1360" spans="1:7" ht="15.75" customHeight="1">
      <c r="A1360" s="291">
        <v>45880</v>
      </c>
    </row>
    <row r="1361" spans="1:1" ht="15.75" customHeight="1">
      <c r="A1361" s="291">
        <v>45881</v>
      </c>
    </row>
    <row r="1362" spans="1:1" ht="15.75" customHeight="1">
      <c r="A1362" s="291">
        <v>45882</v>
      </c>
    </row>
    <row r="1363" spans="1:1" ht="15.75" customHeight="1">
      <c r="A1363" s="291">
        <v>45883</v>
      </c>
    </row>
    <row r="1364" spans="1:1" ht="15.75" customHeight="1">
      <c r="A1364" s="291">
        <v>45884</v>
      </c>
    </row>
    <row r="1365" spans="1:1" ht="15.75" customHeight="1">
      <c r="A1365" s="291">
        <v>45885</v>
      </c>
    </row>
    <row r="1366" spans="1:1" ht="15.75" customHeight="1">
      <c r="A1366" s="291">
        <v>45886</v>
      </c>
    </row>
    <row r="1367" spans="1:1" ht="15.75" customHeight="1">
      <c r="A1367" s="291">
        <v>45887</v>
      </c>
    </row>
    <row r="1368" spans="1:1" ht="15.75" customHeight="1">
      <c r="A1368" s="291">
        <v>45888</v>
      </c>
    </row>
    <row r="1369" spans="1:1" ht="15.75" customHeight="1">
      <c r="A1369" s="291">
        <v>45889</v>
      </c>
    </row>
    <row r="1370" spans="1:1" ht="15.75" customHeight="1">
      <c r="A1370" s="291">
        <v>45890</v>
      </c>
    </row>
    <row r="1371" spans="1:1" ht="15.75" customHeight="1">
      <c r="A1371" s="291">
        <v>45891</v>
      </c>
    </row>
    <row r="1372" spans="1:1" ht="15.75" customHeight="1">
      <c r="A1372" s="291">
        <v>45892</v>
      </c>
    </row>
    <row r="1373" spans="1:1" ht="15.75" customHeight="1">
      <c r="A1373" s="291">
        <v>45893</v>
      </c>
    </row>
    <row r="1374" spans="1:1" ht="15.75" customHeight="1">
      <c r="A1374" s="291">
        <v>45894</v>
      </c>
    </row>
    <row r="1375" spans="1:1" ht="15.75" customHeight="1">
      <c r="A1375" s="291">
        <v>45895</v>
      </c>
    </row>
    <row r="1376" spans="1:1" ht="15.75" customHeight="1">
      <c r="A1376" s="291">
        <v>45896</v>
      </c>
    </row>
    <row r="1377" spans="1:1" ht="15.75" customHeight="1">
      <c r="A1377" s="291">
        <v>45897</v>
      </c>
    </row>
    <row r="1378" spans="1:1" ht="15.75" customHeight="1">
      <c r="A1378" s="291">
        <v>45898</v>
      </c>
    </row>
    <row r="1379" spans="1:1" ht="15.75" customHeight="1">
      <c r="A1379" s="291">
        <v>45899</v>
      </c>
    </row>
    <row r="1380" spans="1:1" ht="15.75" customHeight="1">
      <c r="A1380" s="291">
        <v>45900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1"/>
  <sheetViews>
    <sheetView workbookViewId="0">
      <selection activeCell="B27" sqref="B27"/>
    </sheetView>
  </sheetViews>
  <sheetFormatPr defaultColWidth="8.77734375" defaultRowHeight="14.4"/>
  <cols>
    <col min="1" max="1" width="10.5546875" bestFit="1" customWidth="1"/>
  </cols>
  <sheetData>
    <row r="1" spans="2:2">
      <c r="B1" t="s">
        <v>403</v>
      </c>
    </row>
    <row r="20" spans="1:2">
      <c r="A20" t="s">
        <v>779</v>
      </c>
    </row>
    <row r="21" spans="1:2">
      <c r="A21" t="s">
        <v>780</v>
      </c>
      <c r="B21" t="s">
        <v>781</v>
      </c>
    </row>
    <row r="22" spans="1:2">
      <c r="A22" s="577">
        <v>41699</v>
      </c>
      <c r="B22">
        <v>1.19</v>
      </c>
    </row>
    <row r="23" spans="1:2">
      <c r="A23" s="577">
        <v>41730</v>
      </c>
      <c r="B23">
        <v>1.23</v>
      </c>
    </row>
    <row r="24" spans="1:2">
      <c r="A24" s="577">
        <v>41760</v>
      </c>
      <c r="B24">
        <v>1.25</v>
      </c>
    </row>
    <row r="25" spans="1:2">
      <c r="A25" s="577">
        <v>41791</v>
      </c>
      <c r="B25">
        <v>1.23</v>
      </c>
    </row>
    <row r="26" spans="1:2">
      <c r="A26" s="577">
        <v>41821</v>
      </c>
      <c r="B26">
        <v>1.24</v>
      </c>
    </row>
    <row r="27" spans="1:2">
      <c r="A27" s="577">
        <v>41852</v>
      </c>
    </row>
    <row r="28" spans="1:2">
      <c r="A28" s="577">
        <v>41883</v>
      </c>
    </row>
    <row r="29" spans="1:2">
      <c r="A29" s="577">
        <v>41913</v>
      </c>
    </row>
    <row r="30" spans="1:2">
      <c r="A30" s="577">
        <v>41944</v>
      </c>
    </row>
    <row r="31" spans="1:2">
      <c r="A31" s="577">
        <v>41974</v>
      </c>
    </row>
    <row r="32" spans="1:2">
      <c r="A32" s="577">
        <v>42005</v>
      </c>
    </row>
    <row r="33" spans="1:1">
      <c r="A33" s="577">
        <v>42036</v>
      </c>
    </row>
    <row r="34" spans="1:1">
      <c r="A34" s="577">
        <v>42064</v>
      </c>
    </row>
    <row r="35" spans="1:1">
      <c r="A35" s="577">
        <v>42095</v>
      </c>
    </row>
    <row r="36" spans="1:1">
      <c r="A36" s="577">
        <v>42125</v>
      </c>
    </row>
    <row r="37" spans="1:1">
      <c r="A37" s="577">
        <v>42156</v>
      </c>
    </row>
    <row r="38" spans="1:1">
      <c r="A38" s="577">
        <v>42186</v>
      </c>
    </row>
    <row r="39" spans="1:1">
      <c r="A39" s="577">
        <v>42217</v>
      </c>
    </row>
    <row r="40" spans="1:1">
      <c r="A40" s="577">
        <v>42248</v>
      </c>
    </row>
    <row r="41" spans="1:1">
      <c r="A41" s="577">
        <v>42278</v>
      </c>
    </row>
    <row r="42" spans="1:1">
      <c r="A42" s="577">
        <v>42309</v>
      </c>
    </row>
    <row r="43" spans="1:1">
      <c r="A43" s="577">
        <v>42339</v>
      </c>
    </row>
    <row r="44" spans="1:1">
      <c r="A44" s="577">
        <v>42370</v>
      </c>
    </row>
    <row r="45" spans="1:1">
      <c r="A45" s="577">
        <v>42401</v>
      </c>
    </row>
    <row r="46" spans="1:1">
      <c r="A46" s="577">
        <v>42430</v>
      </c>
    </row>
    <row r="47" spans="1:1">
      <c r="A47" s="577">
        <v>42461</v>
      </c>
    </row>
    <row r="48" spans="1:1">
      <c r="A48" s="577">
        <v>42491</v>
      </c>
    </row>
    <row r="49" spans="1:1">
      <c r="A49" s="577">
        <v>42522</v>
      </c>
    </row>
    <row r="50" spans="1:1">
      <c r="A50" s="577">
        <v>42552</v>
      </c>
    </row>
    <row r="51" spans="1:1">
      <c r="A51" s="577">
        <v>42583</v>
      </c>
    </row>
    <row r="52" spans="1:1">
      <c r="A52" s="577">
        <v>42614</v>
      </c>
    </row>
    <row r="53" spans="1:1">
      <c r="A53" s="577">
        <v>42644</v>
      </c>
    </row>
    <row r="54" spans="1:1">
      <c r="A54" s="577">
        <v>42675</v>
      </c>
    </row>
    <row r="55" spans="1:1">
      <c r="A55" s="577">
        <v>42705</v>
      </c>
    </row>
    <row r="56" spans="1:1">
      <c r="A56" s="577">
        <v>42736</v>
      </c>
    </row>
    <row r="57" spans="1:1">
      <c r="A57" s="577">
        <v>42767</v>
      </c>
    </row>
    <row r="58" spans="1:1">
      <c r="A58" s="577">
        <v>42795</v>
      </c>
    </row>
    <row r="59" spans="1:1">
      <c r="A59" s="577">
        <v>42826</v>
      </c>
    </row>
    <row r="60" spans="1:1">
      <c r="A60" s="577">
        <v>42856</v>
      </c>
    </row>
    <row r="61" spans="1:1">
      <c r="A61" s="577">
        <v>42887</v>
      </c>
    </row>
    <row r="62" spans="1:1">
      <c r="A62" s="577">
        <v>42917</v>
      </c>
    </row>
    <row r="63" spans="1:1">
      <c r="A63" s="577">
        <v>42948</v>
      </c>
    </row>
    <row r="64" spans="1:1">
      <c r="A64" s="577">
        <v>42979</v>
      </c>
    </row>
    <row r="65" spans="1:1">
      <c r="A65" s="577">
        <v>43009</v>
      </c>
    </row>
    <row r="66" spans="1:1">
      <c r="A66" s="577">
        <v>43040</v>
      </c>
    </row>
    <row r="67" spans="1:1">
      <c r="A67" s="577">
        <v>43070</v>
      </c>
    </row>
    <row r="68" spans="1:1">
      <c r="A68" s="577">
        <v>43101</v>
      </c>
    </row>
    <row r="69" spans="1:1">
      <c r="A69" s="577">
        <v>43132</v>
      </c>
    </row>
    <row r="70" spans="1:1">
      <c r="A70" s="577">
        <v>43160</v>
      </c>
    </row>
    <row r="71" spans="1:1">
      <c r="A71" s="577">
        <v>43191</v>
      </c>
    </row>
    <row r="72" spans="1:1">
      <c r="A72" s="577">
        <v>43221</v>
      </c>
    </row>
    <row r="73" spans="1:1">
      <c r="A73" s="577">
        <v>43252</v>
      </c>
    </row>
    <row r="74" spans="1:1">
      <c r="A74" s="577">
        <v>43282</v>
      </c>
    </row>
    <row r="75" spans="1:1">
      <c r="A75" s="577">
        <v>43313</v>
      </c>
    </row>
    <row r="76" spans="1:1">
      <c r="A76" s="577">
        <v>43344</v>
      </c>
    </row>
    <row r="77" spans="1:1">
      <c r="A77" s="577">
        <v>43374</v>
      </c>
    </row>
    <row r="78" spans="1:1">
      <c r="A78" s="577">
        <v>43405</v>
      </c>
    </row>
    <row r="79" spans="1:1">
      <c r="A79" s="577">
        <v>43435</v>
      </c>
    </row>
    <row r="80" spans="1:1">
      <c r="A80" s="577">
        <v>43466</v>
      </c>
    </row>
    <row r="81" spans="1:1">
      <c r="A81" s="577">
        <v>43497</v>
      </c>
    </row>
    <row r="82" spans="1:1">
      <c r="A82" s="577">
        <v>43525</v>
      </c>
    </row>
    <row r="83" spans="1:1">
      <c r="A83" s="577">
        <v>43556</v>
      </c>
    </row>
    <row r="84" spans="1:1">
      <c r="A84" s="577">
        <v>43586</v>
      </c>
    </row>
    <row r="85" spans="1:1">
      <c r="A85" s="577">
        <v>43617</v>
      </c>
    </row>
    <row r="86" spans="1:1">
      <c r="A86" s="577">
        <v>43647</v>
      </c>
    </row>
    <row r="87" spans="1:1">
      <c r="A87" s="577">
        <v>43678</v>
      </c>
    </row>
    <row r="88" spans="1:1">
      <c r="A88" s="577">
        <v>43709</v>
      </c>
    </row>
    <row r="89" spans="1:1">
      <c r="A89" s="577">
        <v>43739</v>
      </c>
    </row>
    <row r="90" spans="1:1">
      <c r="A90" s="577">
        <v>43770</v>
      </c>
    </row>
    <row r="91" spans="1:1">
      <c r="A91" s="577">
        <v>43800</v>
      </c>
    </row>
    <row r="92" spans="1:1">
      <c r="A92" s="577">
        <v>43831</v>
      </c>
    </row>
    <row r="93" spans="1:1">
      <c r="A93" s="577">
        <v>43862</v>
      </c>
    </row>
    <row r="94" spans="1:1">
      <c r="A94" s="577">
        <v>43891</v>
      </c>
    </row>
    <row r="95" spans="1:1">
      <c r="A95" s="577">
        <v>43922</v>
      </c>
    </row>
    <row r="96" spans="1:1">
      <c r="A96" s="577">
        <v>43952</v>
      </c>
    </row>
    <row r="97" spans="1:1">
      <c r="A97" s="577">
        <v>43983</v>
      </c>
    </row>
    <row r="98" spans="1:1">
      <c r="A98" s="577">
        <v>44013</v>
      </c>
    </row>
    <row r="99" spans="1:1">
      <c r="A99" s="577">
        <v>44044</v>
      </c>
    </row>
    <row r="100" spans="1:1">
      <c r="A100" s="577">
        <v>44075</v>
      </c>
    </row>
    <row r="101" spans="1:1">
      <c r="A101" s="577">
        <v>44105</v>
      </c>
    </row>
    <row r="102" spans="1:1">
      <c r="A102" s="577">
        <v>44136</v>
      </c>
    </row>
    <row r="103" spans="1:1">
      <c r="A103" s="577">
        <v>44166</v>
      </c>
    </row>
    <row r="104" spans="1:1">
      <c r="A104" s="577">
        <v>44197</v>
      </c>
    </row>
    <row r="105" spans="1:1">
      <c r="A105" s="577">
        <v>44228</v>
      </c>
    </row>
    <row r="106" spans="1:1">
      <c r="A106" s="577">
        <v>44256</v>
      </c>
    </row>
    <row r="107" spans="1:1">
      <c r="A107" s="577">
        <v>44287</v>
      </c>
    </row>
    <row r="108" spans="1:1">
      <c r="A108" s="577">
        <v>44317</v>
      </c>
    </row>
    <row r="109" spans="1:1">
      <c r="A109" s="577">
        <v>44348</v>
      </c>
    </row>
    <row r="110" spans="1:1">
      <c r="A110" s="577">
        <v>44378</v>
      </c>
    </row>
    <row r="111" spans="1:1">
      <c r="A111" s="577">
        <v>44409</v>
      </c>
    </row>
    <row r="112" spans="1:1">
      <c r="A112" s="577">
        <v>44440</v>
      </c>
    </row>
    <row r="113" spans="1:1">
      <c r="A113" s="577">
        <v>44470</v>
      </c>
    </row>
    <row r="114" spans="1:1">
      <c r="A114" s="577">
        <v>44501</v>
      </c>
    </row>
    <row r="115" spans="1:1">
      <c r="A115" s="577">
        <v>44531</v>
      </c>
    </row>
    <row r="116" spans="1:1">
      <c r="A116" s="577">
        <v>44562</v>
      </c>
    </row>
    <row r="117" spans="1:1">
      <c r="A117" s="577">
        <v>44593</v>
      </c>
    </row>
    <row r="118" spans="1:1">
      <c r="A118" s="577">
        <v>44621</v>
      </c>
    </row>
    <row r="119" spans="1:1">
      <c r="A119" s="577">
        <v>44652</v>
      </c>
    </row>
    <row r="120" spans="1:1">
      <c r="A120" s="577">
        <v>44682</v>
      </c>
    </row>
    <row r="121" spans="1:1">
      <c r="A121" s="577">
        <v>44713</v>
      </c>
    </row>
    <row r="122" spans="1:1">
      <c r="A122" s="577">
        <v>44743</v>
      </c>
    </row>
    <row r="123" spans="1:1">
      <c r="A123" s="577">
        <v>44774</v>
      </c>
    </row>
    <row r="124" spans="1:1">
      <c r="A124" s="577">
        <v>44805</v>
      </c>
    </row>
    <row r="125" spans="1:1">
      <c r="A125" s="577">
        <v>44835</v>
      </c>
    </row>
    <row r="126" spans="1:1">
      <c r="A126" s="577">
        <v>44866</v>
      </c>
    </row>
    <row r="127" spans="1:1">
      <c r="A127" s="577">
        <v>44896</v>
      </c>
    </row>
    <row r="128" spans="1:1">
      <c r="A128" s="577">
        <v>44927</v>
      </c>
    </row>
    <row r="129" spans="1:1">
      <c r="A129" s="577">
        <v>44958</v>
      </c>
    </row>
    <row r="130" spans="1:1">
      <c r="A130" s="577">
        <v>44986</v>
      </c>
    </row>
    <row r="131" spans="1:1">
      <c r="A131" s="577">
        <v>45017</v>
      </c>
    </row>
    <row r="132" spans="1:1">
      <c r="A132" s="577">
        <v>45047</v>
      </c>
    </row>
    <row r="133" spans="1:1">
      <c r="A133" s="577">
        <v>45078</v>
      </c>
    </row>
    <row r="134" spans="1:1">
      <c r="A134" s="577">
        <v>45108</v>
      </c>
    </row>
    <row r="135" spans="1:1">
      <c r="A135" s="577">
        <v>45139</v>
      </c>
    </row>
    <row r="136" spans="1:1">
      <c r="A136" s="577">
        <v>45170</v>
      </c>
    </row>
    <row r="137" spans="1:1">
      <c r="A137" s="577">
        <v>45200</v>
      </c>
    </row>
    <row r="138" spans="1:1">
      <c r="A138" s="577">
        <v>45231</v>
      </c>
    </row>
    <row r="139" spans="1:1">
      <c r="A139" s="577">
        <v>45261</v>
      </c>
    </row>
    <row r="140" spans="1:1">
      <c r="A140" s="577">
        <v>45292</v>
      </c>
    </row>
    <row r="141" spans="1:1">
      <c r="A141" s="577">
        <v>45323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35"/>
  <sheetViews>
    <sheetView workbookViewId="0">
      <selection sqref="A1:M1"/>
    </sheetView>
  </sheetViews>
  <sheetFormatPr defaultColWidth="10.77734375" defaultRowHeight="21"/>
  <cols>
    <col min="1" max="13" width="10.77734375" style="47"/>
    <col min="14" max="14" width="12.44140625" style="47" bestFit="1" customWidth="1"/>
    <col min="15" max="16384" width="10.77734375" style="47"/>
  </cols>
  <sheetData>
    <row r="1" spans="1:15" ht="30" customHeight="1">
      <c r="A1" s="608" t="s">
        <v>318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10"/>
      <c r="N1" s="79"/>
    </row>
    <row r="2" spans="1:15" ht="18" customHeight="1">
      <c r="A2" s="611" t="s">
        <v>319</v>
      </c>
      <c r="B2" s="612"/>
      <c r="C2" s="612"/>
      <c r="D2" s="612"/>
      <c r="E2" s="612"/>
      <c r="F2" s="612"/>
      <c r="G2" s="612"/>
      <c r="H2" s="612"/>
      <c r="I2" s="612"/>
      <c r="J2" s="612"/>
      <c r="K2" s="612"/>
      <c r="L2" s="612"/>
      <c r="M2" s="613"/>
      <c r="N2" s="80"/>
    </row>
    <row r="3" spans="1:15" ht="18" customHeight="1">
      <c r="A3" s="611" t="s">
        <v>320</v>
      </c>
      <c r="B3" s="614"/>
      <c r="C3" s="614"/>
      <c r="D3" s="614"/>
      <c r="E3" s="614"/>
      <c r="F3" s="614"/>
      <c r="G3" s="614"/>
      <c r="H3" s="614"/>
      <c r="I3" s="614"/>
      <c r="J3" s="614"/>
      <c r="K3" s="614"/>
      <c r="L3" s="614"/>
      <c r="M3" s="615"/>
      <c r="N3" s="81"/>
    </row>
    <row r="4" spans="1:15" ht="18" customHeight="1">
      <c r="A4" s="611" t="s">
        <v>321</v>
      </c>
      <c r="B4" s="612"/>
      <c r="C4" s="612"/>
      <c r="D4" s="612"/>
      <c r="E4" s="612"/>
      <c r="F4" s="612"/>
      <c r="G4" s="612"/>
      <c r="H4" s="612"/>
      <c r="I4" s="612"/>
      <c r="J4" s="612"/>
      <c r="K4" s="612"/>
      <c r="L4" s="612"/>
      <c r="M4" s="613"/>
      <c r="N4" s="80"/>
    </row>
    <row r="5" spans="1:15" ht="6" customHeight="1" thickBot="1">
      <c r="A5" s="48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50"/>
      <c r="N5" s="82"/>
    </row>
    <row r="6" spans="1:15" ht="18" customHeight="1">
      <c r="A6" s="605">
        <v>2022</v>
      </c>
      <c r="B6" s="606"/>
      <c r="C6" s="606"/>
      <c r="D6" s="606"/>
      <c r="E6" s="606"/>
      <c r="F6" s="606"/>
      <c r="G6" s="606"/>
      <c r="H6" s="606"/>
      <c r="I6" s="606"/>
      <c r="J6" s="606"/>
      <c r="K6" s="606"/>
      <c r="L6" s="606"/>
      <c r="M6" s="607"/>
      <c r="N6" s="52"/>
    </row>
    <row r="7" spans="1:15" ht="18" customHeight="1" thickBot="1">
      <c r="A7" s="51" t="s">
        <v>322</v>
      </c>
      <c r="B7" s="52" t="s">
        <v>323</v>
      </c>
      <c r="C7" s="52" t="s">
        <v>324</v>
      </c>
      <c r="D7" s="52" t="s">
        <v>325</v>
      </c>
      <c r="E7" s="52" t="s">
        <v>326</v>
      </c>
      <c r="F7" s="52" t="s">
        <v>236</v>
      </c>
      <c r="G7" s="52" t="s">
        <v>327</v>
      </c>
      <c r="H7" s="52" t="s">
        <v>328</v>
      </c>
      <c r="I7" s="52" t="s">
        <v>329</v>
      </c>
      <c r="J7" s="52" t="s">
        <v>330</v>
      </c>
      <c r="K7" s="52" t="s">
        <v>331</v>
      </c>
      <c r="L7" s="52" t="s">
        <v>332</v>
      </c>
      <c r="M7" s="53" t="s">
        <v>333</v>
      </c>
      <c r="N7" s="52"/>
    </row>
    <row r="8" spans="1:15" ht="18" customHeight="1">
      <c r="A8" s="54">
        <v>1</v>
      </c>
      <c r="B8" s="55" t="s">
        <v>334</v>
      </c>
      <c r="C8" s="55" t="s">
        <v>334</v>
      </c>
      <c r="D8" s="55">
        <v>51.384999999999998</v>
      </c>
      <c r="E8" s="55">
        <v>51.905999999999999</v>
      </c>
      <c r="F8" s="55" t="s">
        <v>334</v>
      </c>
      <c r="G8" s="55">
        <v>52.411999999999999</v>
      </c>
      <c r="H8" s="55">
        <v>54.97</v>
      </c>
      <c r="I8" s="55">
        <v>55.322000000000003</v>
      </c>
      <c r="J8" s="55"/>
      <c r="K8" s="55"/>
      <c r="L8" s="55"/>
      <c r="M8" s="56"/>
      <c r="N8" s="83">
        <v>2022</v>
      </c>
      <c r="O8" s="47">
        <f>AVERAGE(B8:M38)</f>
        <v>53.057430303030316</v>
      </c>
    </row>
    <row r="9" spans="1:15" ht="18" customHeight="1">
      <c r="A9" s="57">
        <v>2</v>
      </c>
      <c r="B9" s="58" t="s">
        <v>334</v>
      </c>
      <c r="C9" s="58">
        <v>51.134999999999998</v>
      </c>
      <c r="D9" s="58">
        <v>51.249000000000002</v>
      </c>
      <c r="E9" s="58" t="s">
        <v>334</v>
      </c>
      <c r="F9" s="58">
        <v>52.335000000000001</v>
      </c>
      <c r="G9" s="58">
        <v>52.460999999999999</v>
      </c>
      <c r="H9" s="58" t="s">
        <v>334</v>
      </c>
      <c r="I9" s="58">
        <v>55.396000000000001</v>
      </c>
      <c r="J9" s="58"/>
      <c r="K9" s="58"/>
      <c r="L9" s="58"/>
      <c r="M9" s="59"/>
      <c r="N9" s="58"/>
    </row>
    <row r="10" spans="1:15" ht="18" customHeight="1">
      <c r="A10" s="57">
        <v>3</v>
      </c>
      <c r="B10" s="58">
        <v>50.973999999999997</v>
      </c>
      <c r="C10" s="58">
        <v>51.101999999999997</v>
      </c>
      <c r="D10" s="58">
        <v>51.390999999999998</v>
      </c>
      <c r="E10" s="58" t="s">
        <v>334</v>
      </c>
      <c r="F10" s="58" t="s">
        <v>334</v>
      </c>
      <c r="G10" s="58">
        <v>52.58</v>
      </c>
      <c r="H10" s="58" t="s">
        <v>334</v>
      </c>
      <c r="I10" s="58">
        <v>55.393000000000001</v>
      </c>
      <c r="J10" s="58"/>
      <c r="K10" s="58"/>
      <c r="L10" s="58"/>
      <c r="M10" s="59"/>
      <c r="N10" s="58"/>
    </row>
    <row r="11" spans="1:15" ht="18" customHeight="1">
      <c r="A11" s="57">
        <v>4</v>
      </c>
      <c r="B11" s="58">
        <v>50.988999999999997</v>
      </c>
      <c r="C11" s="58">
        <v>51.040999999999997</v>
      </c>
      <c r="D11" s="58">
        <v>51.47</v>
      </c>
      <c r="E11" s="58">
        <v>51.664000000000001</v>
      </c>
      <c r="F11" s="58">
        <v>52.296999999999997</v>
      </c>
      <c r="G11" s="58" t="s">
        <v>334</v>
      </c>
      <c r="H11" s="58">
        <v>55.116999999999997</v>
      </c>
      <c r="I11" s="58">
        <v>55.673999999999999</v>
      </c>
      <c r="J11" s="58"/>
      <c r="K11" s="58"/>
      <c r="L11" s="58"/>
      <c r="M11" s="59"/>
      <c r="N11" s="58"/>
    </row>
    <row r="12" spans="1:15" ht="18" customHeight="1">
      <c r="A12" s="57">
        <v>5</v>
      </c>
      <c r="B12" s="58">
        <v>51.246000000000002</v>
      </c>
      <c r="C12" s="58" t="s">
        <v>334</v>
      </c>
      <c r="D12" s="58" t="s">
        <v>334</v>
      </c>
      <c r="E12" s="58">
        <v>51.45</v>
      </c>
      <c r="F12" s="58">
        <v>52.46</v>
      </c>
      <c r="G12" s="58" t="s">
        <v>334</v>
      </c>
      <c r="H12" s="58">
        <v>55.09</v>
      </c>
      <c r="I12" s="58">
        <v>55.712000000000003</v>
      </c>
      <c r="J12" s="58"/>
      <c r="K12" s="58"/>
      <c r="L12" s="58"/>
      <c r="M12" s="59"/>
      <c r="N12" s="58"/>
    </row>
    <row r="13" spans="1:15" ht="18" customHeight="1">
      <c r="A13" s="57">
        <v>6</v>
      </c>
      <c r="B13" s="58">
        <v>51.107999999999997</v>
      </c>
      <c r="C13" s="58" t="s">
        <v>334</v>
      </c>
      <c r="D13" s="58" t="s">
        <v>334</v>
      </c>
      <c r="E13" s="58">
        <v>51.262</v>
      </c>
      <c r="F13" s="58">
        <v>52.331000000000003</v>
      </c>
      <c r="G13" s="58">
        <v>52.820999999999998</v>
      </c>
      <c r="H13" s="58">
        <v>55.084000000000003</v>
      </c>
      <c r="I13" s="58" t="s">
        <v>334</v>
      </c>
      <c r="J13" s="58"/>
      <c r="K13" s="58"/>
      <c r="L13" s="58"/>
      <c r="M13" s="59"/>
      <c r="N13" s="58"/>
    </row>
    <row r="14" spans="1:15" ht="18" customHeight="1">
      <c r="A14" s="57">
        <v>7</v>
      </c>
      <c r="B14" s="58">
        <v>51.131</v>
      </c>
      <c r="C14" s="58">
        <v>51.029000000000003</v>
      </c>
      <c r="D14" s="58">
        <v>51.695999999999998</v>
      </c>
      <c r="E14" s="58">
        <v>51.386000000000003</v>
      </c>
      <c r="F14" s="58" t="s">
        <v>334</v>
      </c>
      <c r="G14" s="58">
        <v>52.915999999999997</v>
      </c>
      <c r="H14" s="58">
        <v>55.573999999999998</v>
      </c>
      <c r="I14" s="58" t="s">
        <v>334</v>
      </c>
      <c r="J14" s="58"/>
      <c r="K14" s="58"/>
      <c r="L14" s="58"/>
      <c r="M14" s="59"/>
      <c r="N14" s="58"/>
    </row>
    <row r="15" spans="1:15" ht="18" customHeight="1">
      <c r="A15" s="57">
        <v>8</v>
      </c>
      <c r="B15" s="58" t="s">
        <v>334</v>
      </c>
      <c r="C15" s="58">
        <v>51.292999999999999</v>
      </c>
      <c r="D15" s="58">
        <v>52.061</v>
      </c>
      <c r="E15" s="58">
        <v>51.384999999999998</v>
      </c>
      <c r="F15" s="58" t="s">
        <v>334</v>
      </c>
      <c r="G15" s="58">
        <v>52.921999999999997</v>
      </c>
      <c r="H15" s="58">
        <v>55.908999999999999</v>
      </c>
      <c r="I15" s="58">
        <v>55.293999999999997</v>
      </c>
      <c r="J15" s="58"/>
      <c r="K15" s="58"/>
      <c r="L15" s="58"/>
      <c r="M15" s="59"/>
      <c r="N15" s="58"/>
    </row>
    <row r="16" spans="1:15" ht="18" customHeight="1">
      <c r="A16" s="57">
        <v>9</v>
      </c>
      <c r="B16" s="58" t="s">
        <v>334</v>
      </c>
      <c r="C16" s="58">
        <v>51.436</v>
      </c>
      <c r="D16" s="58">
        <v>52.195</v>
      </c>
      <c r="E16" s="58" t="s">
        <v>334</v>
      </c>
      <c r="F16" s="58" t="s">
        <v>334</v>
      </c>
      <c r="G16" s="58">
        <v>52.899000000000001</v>
      </c>
      <c r="H16" s="58" t="s">
        <v>334</v>
      </c>
      <c r="I16" s="58">
        <v>55.594000000000001</v>
      </c>
      <c r="J16" s="58"/>
      <c r="K16" s="58"/>
      <c r="L16" s="58"/>
      <c r="M16" s="59"/>
      <c r="N16" s="58"/>
    </row>
    <row r="17" spans="1:14" ht="18" customHeight="1">
      <c r="A17" s="57">
        <v>10</v>
      </c>
      <c r="B17" s="58">
        <v>51.249000000000002</v>
      </c>
      <c r="C17" s="58">
        <v>51.377000000000002</v>
      </c>
      <c r="D17" s="58">
        <v>52.238999999999997</v>
      </c>
      <c r="E17" s="58" t="s">
        <v>334</v>
      </c>
      <c r="F17" s="58">
        <v>52.484999999999999</v>
      </c>
      <c r="G17" s="58">
        <v>52.945</v>
      </c>
      <c r="H17" s="58" t="s">
        <v>334</v>
      </c>
      <c r="I17" s="58">
        <v>55.542000000000002</v>
      </c>
      <c r="J17" s="58"/>
      <c r="K17" s="58"/>
      <c r="L17" s="58"/>
      <c r="M17" s="59"/>
      <c r="N17" s="58"/>
    </row>
    <row r="18" spans="1:14" ht="18" customHeight="1">
      <c r="A18" s="57">
        <v>11</v>
      </c>
      <c r="B18" s="58">
        <v>51.347000000000001</v>
      </c>
      <c r="C18" s="58">
        <v>51.267000000000003</v>
      </c>
      <c r="D18" s="58">
        <v>52.155000000000001</v>
      </c>
      <c r="E18" s="58">
        <v>51.527999999999999</v>
      </c>
      <c r="F18" s="58">
        <v>52.402000000000001</v>
      </c>
      <c r="G18" s="58" t="s">
        <v>334</v>
      </c>
      <c r="H18" s="58">
        <v>55.970999999999997</v>
      </c>
      <c r="I18" s="58">
        <v>55.752000000000002</v>
      </c>
      <c r="J18" s="58"/>
      <c r="K18" s="58"/>
      <c r="L18" s="58"/>
      <c r="M18" s="59"/>
      <c r="N18" s="58"/>
    </row>
    <row r="19" spans="1:14" ht="18" customHeight="1">
      <c r="A19" s="57">
        <v>12</v>
      </c>
      <c r="B19" s="58">
        <v>51.173999999999999</v>
      </c>
      <c r="C19" s="58" t="s">
        <v>334</v>
      </c>
      <c r="D19" s="58" t="s">
        <v>334</v>
      </c>
      <c r="E19" s="58">
        <v>51.914000000000001</v>
      </c>
      <c r="F19" s="58">
        <v>52.267000000000003</v>
      </c>
      <c r="G19" s="58" t="s">
        <v>334</v>
      </c>
      <c r="H19" s="58">
        <v>55.947000000000003</v>
      </c>
      <c r="I19" s="58">
        <v>55.473999999999997</v>
      </c>
      <c r="J19" s="58"/>
      <c r="K19" s="58"/>
      <c r="L19" s="58"/>
      <c r="M19" s="59"/>
      <c r="N19" s="58"/>
    </row>
    <row r="20" spans="1:14" ht="18" customHeight="1">
      <c r="A20" s="57">
        <v>13</v>
      </c>
      <c r="B20" s="58">
        <v>51.1</v>
      </c>
      <c r="C20" s="58" t="s">
        <v>334</v>
      </c>
      <c r="D20" s="58" t="s">
        <v>334</v>
      </c>
      <c r="E20" s="58">
        <v>52.174999999999997</v>
      </c>
      <c r="F20" s="58">
        <v>52.386000000000003</v>
      </c>
      <c r="G20" s="58">
        <v>52.951000000000001</v>
      </c>
      <c r="H20" s="58">
        <v>56.317999999999998</v>
      </c>
      <c r="I20" s="58" t="s">
        <v>334</v>
      </c>
      <c r="J20" s="58"/>
      <c r="K20" s="58"/>
      <c r="L20" s="58"/>
      <c r="M20" s="59"/>
      <c r="N20" s="58"/>
    </row>
    <row r="21" spans="1:14" ht="18" customHeight="1">
      <c r="A21" s="57">
        <v>14</v>
      </c>
      <c r="B21" s="58">
        <v>51.115000000000002</v>
      </c>
      <c r="C21" s="58">
        <v>51.329000000000001</v>
      </c>
      <c r="D21" s="58">
        <v>52.268000000000001</v>
      </c>
      <c r="E21" s="58" t="s">
        <v>334</v>
      </c>
      <c r="F21" s="58" t="s">
        <v>334</v>
      </c>
      <c r="G21" s="58">
        <v>53.249000000000002</v>
      </c>
      <c r="H21" s="58">
        <v>56.338999999999999</v>
      </c>
      <c r="I21" s="58" t="s">
        <v>334</v>
      </c>
      <c r="J21" s="58"/>
      <c r="K21" s="58"/>
      <c r="L21" s="58"/>
      <c r="M21" s="59"/>
      <c r="N21" s="58"/>
    </row>
    <row r="22" spans="1:14" ht="18" customHeight="1">
      <c r="A22" s="57">
        <v>15</v>
      </c>
      <c r="B22" s="58" t="s">
        <v>334</v>
      </c>
      <c r="C22" s="58">
        <v>51.375</v>
      </c>
      <c r="D22" s="58">
        <v>52.423000000000002</v>
      </c>
      <c r="E22" s="58" t="s">
        <v>334</v>
      </c>
      <c r="F22" s="58" t="s">
        <v>334</v>
      </c>
      <c r="G22" s="58">
        <v>53.273000000000003</v>
      </c>
      <c r="H22" s="58">
        <v>56.241999999999997</v>
      </c>
      <c r="I22" s="58">
        <v>55.531999999999996</v>
      </c>
      <c r="J22" s="58"/>
      <c r="K22" s="58"/>
      <c r="L22" s="58"/>
      <c r="M22" s="59"/>
      <c r="N22" s="58"/>
    </row>
    <row r="23" spans="1:14" ht="18" customHeight="1">
      <c r="A23" s="57">
        <v>16</v>
      </c>
      <c r="B23" s="58" t="s">
        <v>334</v>
      </c>
      <c r="C23" s="58">
        <v>51.37</v>
      </c>
      <c r="D23" s="58">
        <v>52.402000000000001</v>
      </c>
      <c r="E23" s="58" t="s">
        <v>334</v>
      </c>
      <c r="F23" s="58">
        <v>52.433999999999997</v>
      </c>
      <c r="G23" s="58">
        <v>53.37</v>
      </c>
      <c r="H23" s="58" t="s">
        <v>334</v>
      </c>
      <c r="I23" s="58">
        <v>55.843000000000004</v>
      </c>
      <c r="J23" s="58"/>
      <c r="K23" s="58"/>
      <c r="L23" s="58"/>
      <c r="M23" s="59"/>
      <c r="N23" s="58"/>
    </row>
    <row r="24" spans="1:14" ht="18" customHeight="1">
      <c r="A24" s="57">
        <v>17</v>
      </c>
      <c r="B24" s="58">
        <v>51.07</v>
      </c>
      <c r="C24" s="58">
        <v>51.295999999999999</v>
      </c>
      <c r="D24" s="58">
        <v>52.284999999999997</v>
      </c>
      <c r="E24" s="58" t="s">
        <v>334</v>
      </c>
      <c r="F24" s="58">
        <v>52.454999999999998</v>
      </c>
      <c r="G24" s="58">
        <v>53.372</v>
      </c>
      <c r="H24" s="58" t="s">
        <v>334</v>
      </c>
      <c r="I24" s="58">
        <v>55.966000000000001</v>
      </c>
      <c r="J24" s="58"/>
      <c r="K24" s="58"/>
      <c r="L24" s="58"/>
      <c r="M24" s="59"/>
      <c r="N24" s="58"/>
    </row>
    <row r="25" spans="1:14" ht="18" customHeight="1">
      <c r="A25" s="57">
        <v>18</v>
      </c>
      <c r="B25" s="58">
        <v>51.277999999999999</v>
      </c>
      <c r="C25" s="58">
        <v>51.287999999999997</v>
      </c>
      <c r="D25" s="58">
        <v>52.167000000000002</v>
      </c>
      <c r="E25" s="58">
        <v>51.975000000000001</v>
      </c>
      <c r="F25" s="58">
        <v>52.448</v>
      </c>
      <c r="G25" s="58" t="s">
        <v>334</v>
      </c>
      <c r="H25" s="58">
        <v>56.369</v>
      </c>
      <c r="I25" s="58">
        <v>55.826000000000001</v>
      </c>
      <c r="J25" s="58"/>
      <c r="K25" s="58"/>
      <c r="L25" s="58"/>
      <c r="M25" s="59"/>
      <c r="N25" s="58"/>
    </row>
    <row r="26" spans="1:14" ht="18" customHeight="1">
      <c r="A26" s="57">
        <v>19</v>
      </c>
      <c r="B26" s="58">
        <v>51.32</v>
      </c>
      <c r="C26" s="58" t="s">
        <v>334</v>
      </c>
      <c r="D26" s="58" t="s">
        <v>334</v>
      </c>
      <c r="E26" s="58">
        <v>52.231000000000002</v>
      </c>
      <c r="F26" s="58">
        <v>52.421999999999997</v>
      </c>
      <c r="G26" s="58" t="s">
        <v>334</v>
      </c>
      <c r="H26" s="58">
        <v>56.341000000000001</v>
      </c>
      <c r="I26" s="58">
        <v>55.856000000000002</v>
      </c>
      <c r="J26" s="58"/>
      <c r="K26" s="58"/>
      <c r="L26" s="58"/>
      <c r="M26" s="59"/>
      <c r="N26" s="58"/>
    </row>
    <row r="27" spans="1:14" ht="18" customHeight="1">
      <c r="A27" s="57">
        <v>20</v>
      </c>
      <c r="B27" s="58">
        <v>51.457999999999998</v>
      </c>
      <c r="C27" s="58" t="s">
        <v>334</v>
      </c>
      <c r="D27" s="58" t="s">
        <v>334</v>
      </c>
      <c r="E27" s="58">
        <v>52.381</v>
      </c>
      <c r="F27" s="58">
        <v>52.39</v>
      </c>
      <c r="G27" s="58">
        <v>53.551000000000002</v>
      </c>
      <c r="H27" s="58">
        <v>56.335000000000001</v>
      </c>
      <c r="I27" s="58" t="s">
        <v>334</v>
      </c>
      <c r="J27" s="58"/>
      <c r="K27" s="58"/>
      <c r="L27" s="58"/>
      <c r="M27" s="59"/>
      <c r="N27" s="58"/>
    </row>
    <row r="28" spans="1:14" ht="18" customHeight="1">
      <c r="A28" s="57">
        <v>21</v>
      </c>
      <c r="B28" s="58">
        <v>51.427999999999997</v>
      </c>
      <c r="C28" s="58">
        <v>51.314</v>
      </c>
      <c r="D28" s="58">
        <v>52.335999999999999</v>
      </c>
      <c r="E28" s="58">
        <v>52.453000000000003</v>
      </c>
      <c r="F28" s="58" t="s">
        <v>334</v>
      </c>
      <c r="G28" s="58">
        <v>54.005000000000003</v>
      </c>
      <c r="H28" s="58">
        <v>56.277000000000001</v>
      </c>
      <c r="I28" s="58" t="s">
        <v>334</v>
      </c>
      <c r="J28" s="58"/>
      <c r="K28" s="58"/>
      <c r="L28" s="58"/>
      <c r="M28" s="59"/>
      <c r="N28" s="58"/>
    </row>
    <row r="29" spans="1:14" ht="18" customHeight="1">
      <c r="A29" s="57">
        <v>22</v>
      </c>
      <c r="B29" s="58" t="s">
        <v>334</v>
      </c>
      <c r="C29" s="58">
        <v>51.393000000000001</v>
      </c>
      <c r="D29" s="58">
        <v>52.365000000000002</v>
      </c>
      <c r="E29" s="58">
        <v>52.395000000000003</v>
      </c>
      <c r="F29" s="58" t="s">
        <v>334</v>
      </c>
      <c r="G29" s="58">
        <v>54.207000000000001</v>
      </c>
      <c r="H29" s="58">
        <v>56.344999999999999</v>
      </c>
      <c r="I29" s="58">
        <v>55.978999999999999</v>
      </c>
      <c r="J29" s="58"/>
      <c r="K29" s="58"/>
      <c r="L29" s="58"/>
      <c r="M29" s="59"/>
      <c r="N29" s="58"/>
    </row>
    <row r="30" spans="1:14" ht="18" customHeight="1">
      <c r="A30" s="57">
        <v>23</v>
      </c>
      <c r="B30" s="58" t="s">
        <v>334</v>
      </c>
      <c r="C30" s="58">
        <v>51.445</v>
      </c>
      <c r="D30" s="58">
        <v>52.427</v>
      </c>
      <c r="E30" s="58" t="s">
        <v>334</v>
      </c>
      <c r="F30" s="58">
        <v>52.271000000000001</v>
      </c>
      <c r="G30" s="58">
        <v>54.484000000000002</v>
      </c>
      <c r="H30" s="58" t="s">
        <v>334</v>
      </c>
      <c r="I30" s="58">
        <v>56.106999999999999</v>
      </c>
      <c r="J30" s="58"/>
      <c r="K30" s="58"/>
      <c r="L30" s="58"/>
      <c r="M30" s="59"/>
      <c r="N30" s="58"/>
    </row>
    <row r="31" spans="1:14" ht="18" customHeight="1">
      <c r="A31" s="57">
        <v>24</v>
      </c>
      <c r="B31" s="58">
        <v>51.423000000000002</v>
      </c>
      <c r="C31" s="58">
        <v>51.271000000000001</v>
      </c>
      <c r="D31" s="58">
        <v>52.372999999999998</v>
      </c>
      <c r="E31" s="58" t="s">
        <v>334</v>
      </c>
      <c r="F31" s="58">
        <v>52.25</v>
      </c>
      <c r="G31" s="58">
        <v>54.491</v>
      </c>
      <c r="H31" s="58" t="s">
        <v>334</v>
      </c>
      <c r="I31" s="58" t="s">
        <v>334</v>
      </c>
      <c r="J31" s="58"/>
      <c r="K31" s="58"/>
      <c r="L31" s="58"/>
      <c r="M31" s="59"/>
      <c r="N31" s="58"/>
    </row>
    <row r="32" spans="1:14" ht="18" customHeight="1">
      <c r="A32" s="57">
        <v>25</v>
      </c>
      <c r="B32" s="58">
        <v>51.311999999999998</v>
      </c>
      <c r="C32" s="58" t="s">
        <v>334</v>
      </c>
      <c r="D32" s="58">
        <v>52.363999999999997</v>
      </c>
      <c r="E32" s="58">
        <v>52.337000000000003</v>
      </c>
      <c r="F32" s="58">
        <v>52.329000000000001</v>
      </c>
      <c r="G32" s="58" t="s">
        <v>334</v>
      </c>
      <c r="H32" s="58">
        <v>56.326999999999998</v>
      </c>
      <c r="I32" s="58">
        <v>56.201000000000001</v>
      </c>
      <c r="J32" s="58"/>
      <c r="K32" s="58"/>
      <c r="L32" s="58"/>
      <c r="M32" s="59"/>
      <c r="N32" s="58"/>
    </row>
    <row r="33" spans="1:15" ht="18" customHeight="1">
      <c r="A33" s="57">
        <v>26</v>
      </c>
      <c r="B33" s="58">
        <v>51.313000000000002</v>
      </c>
      <c r="C33" s="58" t="s">
        <v>334</v>
      </c>
      <c r="D33" s="58" t="s">
        <v>334</v>
      </c>
      <c r="E33" s="58">
        <v>52.427999999999997</v>
      </c>
      <c r="F33" s="58">
        <v>52.348999999999997</v>
      </c>
      <c r="G33" s="58" t="s">
        <v>334</v>
      </c>
      <c r="H33" s="58">
        <v>56.183999999999997</v>
      </c>
      <c r="I33" s="58">
        <v>56.008000000000003</v>
      </c>
      <c r="J33" s="58"/>
      <c r="K33" s="58"/>
      <c r="L33" s="58"/>
      <c r="M33" s="59"/>
      <c r="N33" s="58"/>
    </row>
    <row r="34" spans="1:15" ht="18" customHeight="1">
      <c r="A34" s="57">
        <v>27</v>
      </c>
      <c r="B34" s="58">
        <v>51.24</v>
      </c>
      <c r="C34" s="58" t="s">
        <v>334</v>
      </c>
      <c r="D34" s="58" t="s">
        <v>334</v>
      </c>
      <c r="E34" s="58">
        <v>52.255000000000003</v>
      </c>
      <c r="F34" s="58">
        <v>52.378999999999998</v>
      </c>
      <c r="G34" s="58">
        <v>54.838999999999999</v>
      </c>
      <c r="H34" s="58">
        <v>55.646999999999998</v>
      </c>
      <c r="I34" s="58" t="s">
        <v>334</v>
      </c>
      <c r="J34" s="58"/>
      <c r="K34" s="58"/>
      <c r="L34" s="58"/>
      <c r="M34" s="59"/>
      <c r="N34" s="58"/>
    </row>
    <row r="35" spans="1:15" ht="18" customHeight="1">
      <c r="A35" s="57">
        <v>28</v>
      </c>
      <c r="B35" s="58">
        <v>51.393000000000001</v>
      </c>
      <c r="C35" s="58">
        <v>51.290999999999997</v>
      </c>
      <c r="D35" s="58">
        <v>52.210999999999999</v>
      </c>
      <c r="E35" s="58">
        <v>52.261000000000003</v>
      </c>
      <c r="F35" s="58" t="s">
        <v>334</v>
      </c>
      <c r="G35" s="58">
        <v>54.981999999999999</v>
      </c>
      <c r="H35" s="58">
        <v>55.634999999999998</v>
      </c>
      <c r="I35" s="58" t="s">
        <v>334</v>
      </c>
      <c r="J35" s="58"/>
      <c r="K35" s="58"/>
      <c r="L35" s="58"/>
      <c r="M35" s="59"/>
      <c r="N35" s="58"/>
    </row>
    <row r="36" spans="1:15" ht="18" customHeight="1">
      <c r="A36" s="57">
        <v>29</v>
      </c>
      <c r="B36" s="58" t="s">
        <v>334</v>
      </c>
      <c r="C36" s="58" t="s">
        <v>335</v>
      </c>
      <c r="D36" s="58">
        <v>52.21</v>
      </c>
      <c r="E36" s="58">
        <v>52.158000000000001</v>
      </c>
      <c r="F36" s="58" t="s">
        <v>334</v>
      </c>
      <c r="G36" s="58">
        <v>54.756999999999998</v>
      </c>
      <c r="H36" s="58">
        <v>55.722000000000001</v>
      </c>
      <c r="I36" s="58" t="s">
        <v>334</v>
      </c>
      <c r="J36" s="58"/>
      <c r="K36" s="58"/>
      <c r="L36" s="58"/>
      <c r="M36" s="59"/>
      <c r="N36" s="58"/>
    </row>
    <row r="37" spans="1:15" ht="18" customHeight="1">
      <c r="A37" s="57">
        <v>30</v>
      </c>
      <c r="B37" s="58" t="s">
        <v>334</v>
      </c>
      <c r="C37" s="58" t="s">
        <v>335</v>
      </c>
      <c r="D37" s="58">
        <v>52.069000000000003</v>
      </c>
      <c r="E37" s="58" t="s">
        <v>334</v>
      </c>
      <c r="F37" s="58">
        <v>52.302</v>
      </c>
      <c r="G37" s="58">
        <v>55.021000000000001</v>
      </c>
      <c r="H37" s="58" t="s">
        <v>334</v>
      </c>
      <c r="I37" s="58">
        <v>56.037999999999997</v>
      </c>
      <c r="J37" s="58"/>
      <c r="K37" s="58"/>
      <c r="L37" s="58"/>
      <c r="M37" s="59"/>
      <c r="N37" s="58"/>
    </row>
    <row r="38" spans="1:15" ht="18" customHeight="1">
      <c r="A38" s="57">
        <v>31</v>
      </c>
      <c r="B38" s="58">
        <v>51.273000000000003</v>
      </c>
      <c r="C38" s="58" t="s">
        <v>335</v>
      </c>
      <c r="D38" s="58">
        <v>51.96</v>
      </c>
      <c r="E38" s="58" t="s">
        <v>336</v>
      </c>
      <c r="F38" s="58">
        <v>52.243000000000002</v>
      </c>
      <c r="G38" s="58" t="s">
        <v>336</v>
      </c>
      <c r="H38" s="58" t="s">
        <v>334</v>
      </c>
      <c r="I38" s="58">
        <v>56.243000000000002</v>
      </c>
      <c r="J38" s="58"/>
      <c r="K38" s="58"/>
      <c r="L38" s="58"/>
      <c r="M38" s="59"/>
      <c r="N38" s="58"/>
    </row>
    <row r="39" spans="1:15" ht="18" customHeight="1" thickBot="1">
      <c r="A39" s="60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2"/>
      <c r="N39" s="58"/>
    </row>
    <row r="40" spans="1:15" ht="18" customHeight="1">
      <c r="A40" s="605">
        <v>2021</v>
      </c>
      <c r="B40" s="606"/>
      <c r="C40" s="606"/>
      <c r="D40" s="606"/>
      <c r="E40" s="606"/>
      <c r="F40" s="606"/>
      <c r="G40" s="606"/>
      <c r="H40" s="606"/>
      <c r="I40" s="606"/>
      <c r="J40" s="606"/>
      <c r="K40" s="606"/>
      <c r="L40" s="606"/>
      <c r="M40" s="607"/>
      <c r="N40" s="52"/>
    </row>
    <row r="41" spans="1:15" ht="18" customHeight="1" thickBot="1">
      <c r="A41" s="51" t="s">
        <v>322</v>
      </c>
      <c r="B41" s="52" t="s">
        <v>323</v>
      </c>
      <c r="C41" s="52" t="s">
        <v>324</v>
      </c>
      <c r="D41" s="52" t="s">
        <v>325</v>
      </c>
      <c r="E41" s="52" t="s">
        <v>326</v>
      </c>
      <c r="F41" s="52" t="s">
        <v>236</v>
      </c>
      <c r="G41" s="52" t="s">
        <v>327</v>
      </c>
      <c r="H41" s="52" t="s">
        <v>328</v>
      </c>
      <c r="I41" s="52" t="s">
        <v>329</v>
      </c>
      <c r="J41" s="52" t="s">
        <v>330</v>
      </c>
      <c r="K41" s="52" t="s">
        <v>331</v>
      </c>
      <c r="L41" s="52" t="s">
        <v>332</v>
      </c>
      <c r="M41" s="53" t="s">
        <v>333</v>
      </c>
      <c r="N41" s="52"/>
    </row>
    <row r="42" spans="1:15" ht="18" customHeight="1">
      <c r="A42" s="54">
        <v>1</v>
      </c>
      <c r="B42" s="55" t="s">
        <v>334</v>
      </c>
      <c r="C42" s="55">
        <v>48.076000000000001</v>
      </c>
      <c r="D42" s="55">
        <v>48.652999999999999</v>
      </c>
      <c r="E42" s="55" t="s">
        <v>334</v>
      </c>
      <c r="F42" s="55" t="s">
        <v>334</v>
      </c>
      <c r="G42" s="55">
        <v>47.722999999999999</v>
      </c>
      <c r="H42" s="55">
        <v>48.704000000000001</v>
      </c>
      <c r="I42" s="55" t="s">
        <v>334</v>
      </c>
      <c r="J42" s="55">
        <v>49.762</v>
      </c>
      <c r="K42" s="55">
        <v>50.878999999999998</v>
      </c>
      <c r="L42" s="55" t="s">
        <v>334</v>
      </c>
      <c r="M42" s="56">
        <v>50.384</v>
      </c>
      <c r="N42" s="83">
        <v>2021</v>
      </c>
      <c r="O42" s="47">
        <f>AVERAGE(B42:M72)</f>
        <v>49.272838709677451</v>
      </c>
    </row>
    <row r="43" spans="1:15" ht="18" customHeight="1">
      <c r="A43" s="57">
        <v>2</v>
      </c>
      <c r="B43" s="58" t="s">
        <v>334</v>
      </c>
      <c r="C43" s="58">
        <v>48.061999999999998</v>
      </c>
      <c r="D43" s="58">
        <v>48.600999999999999</v>
      </c>
      <c r="E43" s="58" t="s">
        <v>334</v>
      </c>
      <c r="F43" s="58" t="s">
        <v>334</v>
      </c>
      <c r="G43" s="58">
        <v>47.665999999999997</v>
      </c>
      <c r="H43" s="58">
        <v>49.003999999999998</v>
      </c>
      <c r="I43" s="58">
        <v>50.222999999999999</v>
      </c>
      <c r="J43" s="58">
        <v>49.927999999999997</v>
      </c>
      <c r="K43" s="58" t="s">
        <v>334</v>
      </c>
      <c r="L43" s="58">
        <v>50.552</v>
      </c>
      <c r="M43" s="59">
        <v>50.387</v>
      </c>
      <c r="N43" s="58"/>
    </row>
    <row r="44" spans="1:15" ht="18" customHeight="1">
      <c r="A44" s="57">
        <v>3</v>
      </c>
      <c r="B44" s="58" t="s">
        <v>334</v>
      </c>
      <c r="C44" s="58">
        <v>48.058999999999997</v>
      </c>
      <c r="D44" s="58">
        <v>48.570999999999998</v>
      </c>
      <c r="E44" s="58" t="s">
        <v>334</v>
      </c>
      <c r="F44" s="58">
        <v>48.155999999999999</v>
      </c>
      <c r="G44" s="58">
        <v>47.820999999999998</v>
      </c>
      <c r="H44" s="58" t="s">
        <v>334</v>
      </c>
      <c r="I44" s="58">
        <v>49.997999999999998</v>
      </c>
      <c r="J44" s="58">
        <v>50.012</v>
      </c>
      <c r="K44" s="58" t="s">
        <v>334</v>
      </c>
      <c r="L44" s="58">
        <v>50.453000000000003</v>
      </c>
      <c r="M44" s="59">
        <v>50.401000000000003</v>
      </c>
      <c r="N44" s="58"/>
    </row>
    <row r="45" spans="1:15" ht="18" customHeight="1">
      <c r="A45" s="57">
        <v>4</v>
      </c>
      <c r="B45" s="58">
        <v>48.021000000000001</v>
      </c>
      <c r="C45" s="58">
        <v>48.021999999999998</v>
      </c>
      <c r="D45" s="58">
        <v>48.530999999999999</v>
      </c>
      <c r="E45" s="58" t="s">
        <v>334</v>
      </c>
      <c r="F45" s="58">
        <v>48.088000000000001</v>
      </c>
      <c r="G45" s="58">
        <v>47.805999999999997</v>
      </c>
      <c r="H45" s="58" t="s">
        <v>334</v>
      </c>
      <c r="I45" s="58">
        <v>49.844999999999999</v>
      </c>
      <c r="J45" s="58" t="s">
        <v>334</v>
      </c>
      <c r="K45" s="58">
        <v>50.890999999999998</v>
      </c>
      <c r="L45" s="58">
        <v>50.54</v>
      </c>
      <c r="M45" s="59" t="s">
        <v>334</v>
      </c>
      <c r="N45" s="58"/>
    </row>
    <row r="46" spans="1:15" ht="18" customHeight="1">
      <c r="A46" s="57">
        <v>5</v>
      </c>
      <c r="B46" s="58">
        <v>48.021999999999998</v>
      </c>
      <c r="C46" s="58">
        <v>48.064999999999998</v>
      </c>
      <c r="D46" s="58">
        <v>48.573</v>
      </c>
      <c r="E46" s="58">
        <v>48.543999999999997</v>
      </c>
      <c r="F46" s="58">
        <v>48.042999999999999</v>
      </c>
      <c r="G46" s="58" t="s">
        <v>334</v>
      </c>
      <c r="H46" s="58">
        <v>49.165999999999997</v>
      </c>
      <c r="I46" s="58">
        <v>49.716999999999999</v>
      </c>
      <c r="J46" s="58" t="s">
        <v>334</v>
      </c>
      <c r="K46" s="58">
        <v>50.744</v>
      </c>
      <c r="L46" s="58">
        <v>50.567</v>
      </c>
      <c r="M46" s="59" t="s">
        <v>334</v>
      </c>
      <c r="N46" s="58"/>
    </row>
    <row r="47" spans="1:15" ht="18" customHeight="1">
      <c r="A47" s="57">
        <v>6</v>
      </c>
      <c r="B47" s="58">
        <v>48.043999999999997</v>
      </c>
      <c r="C47" s="58" t="s">
        <v>334</v>
      </c>
      <c r="D47" s="58" t="s">
        <v>334</v>
      </c>
      <c r="E47" s="58">
        <v>48.555999999999997</v>
      </c>
      <c r="F47" s="58">
        <v>48.027000000000001</v>
      </c>
      <c r="G47" s="58" t="s">
        <v>334</v>
      </c>
      <c r="H47" s="58">
        <v>49.228999999999999</v>
      </c>
      <c r="I47" s="58">
        <v>50.012</v>
      </c>
      <c r="J47" s="58">
        <v>49.780999999999999</v>
      </c>
      <c r="K47" s="58">
        <v>50.710999999999999</v>
      </c>
      <c r="L47" s="58" t="s">
        <v>334</v>
      </c>
      <c r="M47" s="59">
        <v>50.405000000000001</v>
      </c>
      <c r="N47" s="58"/>
    </row>
    <row r="48" spans="1:15" ht="18" customHeight="1">
      <c r="A48" s="57">
        <v>7</v>
      </c>
      <c r="B48" s="58">
        <v>48.06</v>
      </c>
      <c r="C48" s="58" t="s">
        <v>334</v>
      </c>
      <c r="D48" s="58" t="s">
        <v>334</v>
      </c>
      <c r="E48" s="58">
        <v>48.573999999999998</v>
      </c>
      <c r="F48" s="58">
        <v>47.978999999999999</v>
      </c>
      <c r="G48" s="58">
        <v>47.8</v>
      </c>
      <c r="H48" s="58">
        <v>49.411000000000001</v>
      </c>
      <c r="I48" s="58" t="s">
        <v>334</v>
      </c>
      <c r="J48" s="58">
        <v>49.93</v>
      </c>
      <c r="K48" s="58">
        <v>50.76</v>
      </c>
      <c r="L48" s="58" t="s">
        <v>334</v>
      </c>
      <c r="M48" s="59">
        <v>50.37</v>
      </c>
      <c r="N48" s="58"/>
    </row>
    <row r="49" spans="1:14" ht="18" customHeight="1">
      <c r="A49" s="57">
        <v>8</v>
      </c>
      <c r="B49" s="58">
        <v>48.052999999999997</v>
      </c>
      <c r="C49" s="58">
        <v>48.09</v>
      </c>
      <c r="D49" s="58">
        <v>48.598999999999997</v>
      </c>
      <c r="E49" s="58">
        <v>48.576000000000001</v>
      </c>
      <c r="F49" s="58" t="s">
        <v>334</v>
      </c>
      <c r="G49" s="58">
        <v>47.692</v>
      </c>
      <c r="H49" s="58">
        <v>49.786000000000001</v>
      </c>
      <c r="I49" s="58" t="s">
        <v>334</v>
      </c>
      <c r="J49" s="58">
        <v>49.948</v>
      </c>
      <c r="K49" s="58">
        <v>50.732999999999997</v>
      </c>
      <c r="L49" s="58">
        <v>50.488999999999997</v>
      </c>
      <c r="M49" s="59" t="s">
        <v>334</v>
      </c>
      <c r="N49" s="58"/>
    </row>
    <row r="50" spans="1:14" ht="18" customHeight="1">
      <c r="A50" s="57">
        <v>9</v>
      </c>
      <c r="B50" s="58" t="s">
        <v>334</v>
      </c>
      <c r="C50" s="58">
        <v>48.048999999999999</v>
      </c>
      <c r="D50" s="58">
        <v>48.564</v>
      </c>
      <c r="E50" s="58" t="s">
        <v>334</v>
      </c>
      <c r="F50" s="58" t="s">
        <v>334</v>
      </c>
      <c r="G50" s="58">
        <v>47.69</v>
      </c>
      <c r="H50" s="58">
        <v>49.87</v>
      </c>
      <c r="I50" s="58">
        <v>50.360999999999997</v>
      </c>
      <c r="J50" s="58">
        <v>50.136000000000003</v>
      </c>
      <c r="K50" s="58" t="s">
        <v>334</v>
      </c>
      <c r="L50" s="58">
        <v>50.241</v>
      </c>
      <c r="M50" s="59">
        <v>50.302999999999997</v>
      </c>
      <c r="N50" s="58"/>
    </row>
    <row r="51" spans="1:14" ht="18" customHeight="1">
      <c r="A51" s="57">
        <v>10</v>
      </c>
      <c r="B51" s="58" t="s">
        <v>334</v>
      </c>
      <c r="C51" s="58">
        <v>48.045000000000002</v>
      </c>
      <c r="D51" s="58">
        <v>48.543999999999997</v>
      </c>
      <c r="E51" s="58" t="s">
        <v>334</v>
      </c>
      <c r="F51" s="58">
        <v>47.9</v>
      </c>
      <c r="G51" s="58">
        <v>47.738999999999997</v>
      </c>
      <c r="H51" s="58" t="s">
        <v>334</v>
      </c>
      <c r="I51" s="58">
        <v>50.366</v>
      </c>
      <c r="J51" s="58">
        <v>50.05</v>
      </c>
      <c r="K51" s="58" t="s">
        <v>334</v>
      </c>
      <c r="L51" s="58">
        <v>50.033000000000001</v>
      </c>
      <c r="M51" s="59">
        <v>50.277000000000001</v>
      </c>
      <c r="N51" s="58"/>
    </row>
    <row r="52" spans="1:14" ht="18" customHeight="1">
      <c r="A52" s="57">
        <v>11</v>
      </c>
      <c r="B52" s="58">
        <v>48.079000000000001</v>
      </c>
      <c r="C52" s="58">
        <v>48.04</v>
      </c>
      <c r="D52" s="58">
        <v>48.564</v>
      </c>
      <c r="E52" s="58" t="s">
        <v>334</v>
      </c>
      <c r="F52" s="58">
        <v>47.825000000000003</v>
      </c>
      <c r="G52" s="58">
        <v>47.728000000000002</v>
      </c>
      <c r="H52" s="58" t="s">
        <v>334</v>
      </c>
      <c r="I52" s="58">
        <v>50.393999999999998</v>
      </c>
      <c r="J52" s="58" t="s">
        <v>334</v>
      </c>
      <c r="K52" s="58">
        <v>50.487000000000002</v>
      </c>
      <c r="L52" s="58">
        <v>50.067999999999998</v>
      </c>
      <c r="M52" s="59" t="s">
        <v>334</v>
      </c>
      <c r="N52" s="58"/>
    </row>
    <row r="53" spans="1:14" ht="18" customHeight="1">
      <c r="A53" s="57">
        <v>12</v>
      </c>
      <c r="B53" s="58">
        <v>48.091000000000001</v>
      </c>
      <c r="C53" s="58" t="s">
        <v>334</v>
      </c>
      <c r="D53" s="58">
        <v>48.518999999999998</v>
      </c>
      <c r="E53" s="58">
        <v>48.579000000000001</v>
      </c>
      <c r="F53" s="58">
        <v>47.87</v>
      </c>
      <c r="G53" s="58" t="s">
        <v>334</v>
      </c>
      <c r="H53" s="58">
        <v>50.082999999999998</v>
      </c>
      <c r="I53" s="58">
        <v>50.411000000000001</v>
      </c>
      <c r="J53" s="58" t="s">
        <v>334</v>
      </c>
      <c r="K53" s="58">
        <v>50.664999999999999</v>
      </c>
      <c r="L53" s="58">
        <v>50.188000000000002</v>
      </c>
      <c r="M53" s="59" t="s">
        <v>334</v>
      </c>
      <c r="N53" s="58"/>
    </row>
    <row r="54" spans="1:14" ht="18" customHeight="1">
      <c r="A54" s="57">
        <v>13</v>
      </c>
      <c r="B54" s="58">
        <v>48.066000000000003</v>
      </c>
      <c r="C54" s="58" t="s">
        <v>334</v>
      </c>
      <c r="D54" s="58" t="s">
        <v>334</v>
      </c>
      <c r="E54" s="58">
        <v>48.564</v>
      </c>
      <c r="F54" s="58" t="s">
        <v>334</v>
      </c>
      <c r="G54" s="58" t="s">
        <v>334</v>
      </c>
      <c r="H54" s="58">
        <v>50.110999999999997</v>
      </c>
      <c r="I54" s="58">
        <v>50.393000000000001</v>
      </c>
      <c r="J54" s="58">
        <v>49.896999999999998</v>
      </c>
      <c r="K54" s="58">
        <v>50.828000000000003</v>
      </c>
      <c r="L54" s="58" t="s">
        <v>334</v>
      </c>
      <c r="M54" s="59">
        <v>50.33</v>
      </c>
      <c r="N54" s="58"/>
    </row>
    <row r="55" spans="1:14" ht="18" customHeight="1">
      <c r="A55" s="57">
        <v>14</v>
      </c>
      <c r="B55" s="58">
        <v>48.048999999999999</v>
      </c>
      <c r="C55" s="58" t="s">
        <v>334</v>
      </c>
      <c r="D55" s="58" t="s">
        <v>334</v>
      </c>
      <c r="E55" s="58">
        <v>48.554000000000002</v>
      </c>
      <c r="F55" s="58">
        <v>47.834000000000003</v>
      </c>
      <c r="G55" s="58">
        <v>47.710999999999999</v>
      </c>
      <c r="H55" s="58">
        <v>50.137999999999998</v>
      </c>
      <c r="I55" s="58" t="s">
        <v>334</v>
      </c>
      <c r="J55" s="58">
        <v>50.005000000000003</v>
      </c>
      <c r="K55" s="58">
        <v>50.688000000000002</v>
      </c>
      <c r="L55" s="58" t="s">
        <v>334</v>
      </c>
      <c r="M55" s="59">
        <v>50.332000000000001</v>
      </c>
      <c r="N55" s="58"/>
    </row>
    <row r="56" spans="1:14" ht="18" customHeight="1">
      <c r="A56" s="57">
        <v>15</v>
      </c>
      <c r="B56" s="58">
        <v>48.067</v>
      </c>
      <c r="C56" s="58">
        <v>48.031999999999996</v>
      </c>
      <c r="D56" s="58">
        <v>48.435000000000002</v>
      </c>
      <c r="E56" s="58">
        <v>48.5</v>
      </c>
      <c r="F56" s="58" t="s">
        <v>334</v>
      </c>
      <c r="G56" s="58">
        <v>47.829000000000001</v>
      </c>
      <c r="H56" s="58">
        <v>50.177999999999997</v>
      </c>
      <c r="I56" s="58" t="s">
        <v>334</v>
      </c>
      <c r="J56" s="58">
        <v>49.908999999999999</v>
      </c>
      <c r="K56" s="58">
        <v>50.609000000000002</v>
      </c>
      <c r="L56" s="58">
        <v>50.002000000000002</v>
      </c>
      <c r="M56" s="59">
        <v>50.360999999999997</v>
      </c>
      <c r="N56" s="58"/>
    </row>
    <row r="57" spans="1:14" ht="18" customHeight="1">
      <c r="A57" s="57">
        <v>16</v>
      </c>
      <c r="B57" s="58" t="s">
        <v>334</v>
      </c>
      <c r="C57" s="58">
        <v>47.951999999999998</v>
      </c>
      <c r="D57" s="58">
        <v>48.493000000000002</v>
      </c>
      <c r="E57" s="58">
        <v>48.478999999999999</v>
      </c>
      <c r="F57" s="58" t="s">
        <v>334</v>
      </c>
      <c r="G57" s="58">
        <v>47.962000000000003</v>
      </c>
      <c r="H57" s="58">
        <v>50.279000000000003</v>
      </c>
      <c r="I57" s="58">
        <v>50.417999999999999</v>
      </c>
      <c r="J57" s="58">
        <v>49.856000000000002</v>
      </c>
      <c r="K57" s="58" t="s">
        <v>334</v>
      </c>
      <c r="L57" s="58">
        <v>49.930999999999997</v>
      </c>
      <c r="M57" s="59">
        <v>50.334000000000003</v>
      </c>
      <c r="N57" s="58"/>
    </row>
    <row r="58" spans="1:14" ht="18" customHeight="1">
      <c r="A58" s="57">
        <v>17</v>
      </c>
      <c r="B58" s="58" t="s">
        <v>334</v>
      </c>
      <c r="C58" s="58">
        <v>48.054000000000002</v>
      </c>
      <c r="D58" s="58">
        <v>48.567999999999998</v>
      </c>
      <c r="E58" s="58" t="s">
        <v>334</v>
      </c>
      <c r="F58" s="58">
        <v>47.825000000000003</v>
      </c>
      <c r="G58" s="58">
        <v>48.128</v>
      </c>
      <c r="H58" s="58" t="s">
        <v>334</v>
      </c>
      <c r="I58" s="58">
        <v>50.531999999999996</v>
      </c>
      <c r="J58" s="58">
        <v>49.851999999999997</v>
      </c>
      <c r="K58" s="58" t="s">
        <v>334</v>
      </c>
      <c r="L58" s="58">
        <v>50.271999999999998</v>
      </c>
      <c r="M58" s="59">
        <v>50.134999999999998</v>
      </c>
      <c r="N58" s="58"/>
    </row>
    <row r="59" spans="1:14" ht="18" customHeight="1">
      <c r="A59" s="57">
        <v>18</v>
      </c>
      <c r="B59" s="58">
        <v>48.052999999999997</v>
      </c>
      <c r="C59" s="58">
        <v>48.384</v>
      </c>
      <c r="D59" s="58">
        <v>48.658000000000001</v>
      </c>
      <c r="E59" s="58" t="s">
        <v>334</v>
      </c>
      <c r="F59" s="58">
        <v>47.822000000000003</v>
      </c>
      <c r="G59" s="58">
        <v>48.368000000000002</v>
      </c>
      <c r="H59" s="58" t="s">
        <v>334</v>
      </c>
      <c r="I59" s="58">
        <v>50.558</v>
      </c>
      <c r="J59" s="58" t="s">
        <v>334</v>
      </c>
      <c r="K59" s="58">
        <v>50.686</v>
      </c>
      <c r="L59" s="58">
        <v>50.395000000000003</v>
      </c>
      <c r="M59" s="59" t="s">
        <v>334</v>
      </c>
      <c r="N59" s="58"/>
    </row>
    <row r="60" spans="1:14" ht="18" customHeight="1">
      <c r="A60" s="57">
        <v>19</v>
      </c>
      <c r="B60" s="58">
        <v>48.066000000000003</v>
      </c>
      <c r="C60" s="58">
        <v>48.405000000000001</v>
      </c>
      <c r="D60" s="58">
        <v>48.673000000000002</v>
      </c>
      <c r="E60" s="58">
        <v>48.393000000000001</v>
      </c>
      <c r="F60" s="58">
        <v>47.860999999999997</v>
      </c>
      <c r="G60" s="58" t="s">
        <v>334</v>
      </c>
      <c r="H60" s="58">
        <v>50.203000000000003</v>
      </c>
      <c r="I60" s="58">
        <v>50.35</v>
      </c>
      <c r="J60" s="58" t="s">
        <v>334</v>
      </c>
      <c r="K60" s="58">
        <v>50.807000000000002</v>
      </c>
      <c r="L60" s="58">
        <v>50.302999999999997</v>
      </c>
      <c r="M60" s="59" t="s">
        <v>334</v>
      </c>
      <c r="N60" s="58"/>
    </row>
    <row r="61" spans="1:14" ht="18" customHeight="1">
      <c r="A61" s="57">
        <v>20</v>
      </c>
      <c r="B61" s="58">
        <v>48.069000000000003</v>
      </c>
      <c r="C61" s="58" t="s">
        <v>334</v>
      </c>
      <c r="D61" s="58" t="s">
        <v>334</v>
      </c>
      <c r="E61" s="58">
        <v>48.399000000000001</v>
      </c>
      <c r="F61" s="58">
        <v>47.83</v>
      </c>
      <c r="G61" s="58" t="s">
        <v>334</v>
      </c>
      <c r="H61" s="58" t="s">
        <v>334</v>
      </c>
      <c r="I61" s="58">
        <v>50.512999999999998</v>
      </c>
      <c r="J61" s="58">
        <v>49.972999999999999</v>
      </c>
      <c r="K61" s="58">
        <v>50.755000000000003</v>
      </c>
      <c r="L61" s="58" t="s">
        <v>334</v>
      </c>
      <c r="M61" s="59">
        <v>49.963999999999999</v>
      </c>
      <c r="N61" s="58"/>
    </row>
    <row r="62" spans="1:14" ht="18" customHeight="1">
      <c r="A62" s="57">
        <v>21</v>
      </c>
      <c r="B62" s="58">
        <v>48.042000000000002</v>
      </c>
      <c r="C62" s="58" t="s">
        <v>334</v>
      </c>
      <c r="D62" s="58" t="s">
        <v>334</v>
      </c>
      <c r="E62" s="58">
        <v>48.302</v>
      </c>
      <c r="F62" s="58">
        <v>47.917999999999999</v>
      </c>
      <c r="G62" s="58">
        <v>48.387</v>
      </c>
      <c r="H62" s="58">
        <v>50.444000000000003</v>
      </c>
      <c r="I62" s="58" t="s">
        <v>334</v>
      </c>
      <c r="J62" s="58">
        <v>50.152000000000001</v>
      </c>
      <c r="K62" s="58">
        <v>50.802</v>
      </c>
      <c r="L62" s="58" t="s">
        <v>334</v>
      </c>
      <c r="M62" s="59">
        <v>49.954000000000001</v>
      </c>
      <c r="N62" s="58"/>
    </row>
    <row r="63" spans="1:14" ht="18" customHeight="1">
      <c r="A63" s="57">
        <v>22</v>
      </c>
      <c r="B63" s="58">
        <v>48.046999999999997</v>
      </c>
      <c r="C63" s="58">
        <v>48.44</v>
      </c>
      <c r="D63" s="58">
        <v>48.673999999999999</v>
      </c>
      <c r="E63" s="58">
        <v>48.387999999999998</v>
      </c>
      <c r="F63" s="58" t="s">
        <v>334</v>
      </c>
      <c r="G63" s="58">
        <v>48.63</v>
      </c>
      <c r="H63" s="58">
        <v>50.311999999999998</v>
      </c>
      <c r="I63" s="58" t="s">
        <v>334</v>
      </c>
      <c r="J63" s="58">
        <v>50.133000000000003</v>
      </c>
      <c r="K63" s="58">
        <v>50.814999999999998</v>
      </c>
      <c r="L63" s="58">
        <v>50.332000000000001</v>
      </c>
      <c r="M63" s="59">
        <v>49.914000000000001</v>
      </c>
      <c r="N63" s="58"/>
    </row>
    <row r="64" spans="1:14" ht="18" customHeight="1">
      <c r="A64" s="57">
        <v>23</v>
      </c>
      <c r="B64" s="58" t="s">
        <v>334</v>
      </c>
      <c r="C64" s="58">
        <v>48.561999999999998</v>
      </c>
      <c r="D64" s="58">
        <v>48.584000000000003</v>
      </c>
      <c r="E64" s="58">
        <v>48.402000000000001</v>
      </c>
      <c r="F64" s="58" t="s">
        <v>334</v>
      </c>
      <c r="G64" s="58">
        <v>48.716999999999999</v>
      </c>
      <c r="H64" s="58">
        <v>50.234999999999999</v>
      </c>
      <c r="I64" s="58">
        <v>50.423999999999999</v>
      </c>
      <c r="J64" s="58">
        <v>50.182000000000002</v>
      </c>
      <c r="K64" s="58" t="s">
        <v>334</v>
      </c>
      <c r="L64" s="58">
        <v>50.661999999999999</v>
      </c>
      <c r="M64" s="59">
        <v>50.037999999999997</v>
      </c>
      <c r="N64" s="58"/>
    </row>
    <row r="65" spans="1:15" ht="18" customHeight="1">
      <c r="A65" s="57">
        <v>24</v>
      </c>
      <c r="B65" s="58" t="s">
        <v>334</v>
      </c>
      <c r="C65" s="58">
        <v>48.701000000000001</v>
      </c>
      <c r="D65" s="58">
        <v>48.606000000000002</v>
      </c>
      <c r="E65" s="58" t="s">
        <v>334</v>
      </c>
      <c r="F65" s="58">
        <v>47.896999999999998</v>
      </c>
      <c r="G65" s="58">
        <v>48.790999999999997</v>
      </c>
      <c r="H65" s="58" t="s">
        <v>334</v>
      </c>
      <c r="I65" s="58">
        <v>50.23</v>
      </c>
      <c r="J65" s="58">
        <v>50.372</v>
      </c>
      <c r="K65" s="58" t="s">
        <v>334</v>
      </c>
      <c r="L65" s="58">
        <v>50.677</v>
      </c>
      <c r="M65" s="59">
        <v>50.118000000000002</v>
      </c>
      <c r="N65" s="58"/>
    </row>
    <row r="66" spans="1:15" ht="18" customHeight="1">
      <c r="A66" s="57">
        <v>25</v>
      </c>
      <c r="B66" s="58">
        <v>48.076000000000001</v>
      </c>
      <c r="C66" s="58" t="s">
        <v>334</v>
      </c>
      <c r="D66" s="58">
        <v>48.680999999999997</v>
      </c>
      <c r="E66" s="58" t="s">
        <v>334</v>
      </c>
      <c r="F66" s="58">
        <v>48.018999999999998</v>
      </c>
      <c r="G66" s="58">
        <v>48.838000000000001</v>
      </c>
      <c r="H66" s="58" t="s">
        <v>334</v>
      </c>
      <c r="I66" s="58">
        <v>50.158999999999999</v>
      </c>
      <c r="J66" s="58" t="s">
        <v>334</v>
      </c>
      <c r="K66" s="58">
        <v>50.832000000000001</v>
      </c>
      <c r="L66" s="58">
        <v>50.518000000000001</v>
      </c>
      <c r="M66" s="59" t="s">
        <v>334</v>
      </c>
      <c r="N66" s="58"/>
    </row>
    <row r="67" spans="1:15" ht="18" customHeight="1">
      <c r="A67" s="57">
        <v>26</v>
      </c>
      <c r="B67" s="58">
        <v>48.067</v>
      </c>
      <c r="C67" s="58">
        <v>48.637</v>
      </c>
      <c r="D67" s="58">
        <v>48.631</v>
      </c>
      <c r="E67" s="58">
        <v>48.383000000000003</v>
      </c>
      <c r="F67" s="58">
        <v>48.079000000000001</v>
      </c>
      <c r="G67" s="58" t="s">
        <v>334</v>
      </c>
      <c r="H67" s="58">
        <v>50.238</v>
      </c>
      <c r="I67" s="58">
        <v>50.073999999999998</v>
      </c>
      <c r="J67" s="58" t="s">
        <v>334</v>
      </c>
      <c r="K67" s="58">
        <v>50.767000000000003</v>
      </c>
      <c r="L67" s="58">
        <v>50.46</v>
      </c>
      <c r="M67" s="59" t="s">
        <v>334</v>
      </c>
      <c r="N67" s="58"/>
    </row>
    <row r="68" spans="1:15" ht="18" customHeight="1">
      <c r="A68" s="57">
        <v>27</v>
      </c>
      <c r="B68" s="58">
        <v>48.061999999999998</v>
      </c>
      <c r="C68" s="58" t="s">
        <v>334</v>
      </c>
      <c r="D68" s="58" t="s">
        <v>334</v>
      </c>
      <c r="E68" s="58">
        <v>48.347000000000001</v>
      </c>
      <c r="F68" s="58">
        <v>48.137999999999998</v>
      </c>
      <c r="G68" s="58" t="s">
        <v>334</v>
      </c>
      <c r="H68" s="58">
        <v>50.341000000000001</v>
      </c>
      <c r="I68" s="58">
        <v>49.902999999999999</v>
      </c>
      <c r="J68" s="58">
        <v>50.421999999999997</v>
      </c>
      <c r="K68" s="58">
        <v>50.720999999999997</v>
      </c>
      <c r="L68" s="58" t="s">
        <v>334</v>
      </c>
      <c r="M68" s="59">
        <v>50.02</v>
      </c>
      <c r="N68" s="58"/>
    </row>
    <row r="69" spans="1:15" ht="18" customHeight="1">
      <c r="A69" s="57">
        <v>28</v>
      </c>
      <c r="B69" s="58">
        <v>48.073</v>
      </c>
      <c r="C69" s="58" t="s">
        <v>334</v>
      </c>
      <c r="D69" s="58" t="s">
        <v>334</v>
      </c>
      <c r="E69" s="58">
        <v>48.408000000000001</v>
      </c>
      <c r="F69" s="58">
        <v>48.091000000000001</v>
      </c>
      <c r="G69" s="58">
        <v>48.57</v>
      </c>
      <c r="H69" s="58">
        <v>50.338000000000001</v>
      </c>
      <c r="I69" s="58" t="s">
        <v>334</v>
      </c>
      <c r="J69" s="58">
        <v>50.920999999999999</v>
      </c>
      <c r="K69" s="58">
        <v>50.781999999999996</v>
      </c>
      <c r="L69" s="58" t="s">
        <v>334</v>
      </c>
      <c r="M69" s="59">
        <v>50.134</v>
      </c>
      <c r="N69" s="58"/>
    </row>
    <row r="70" spans="1:15" ht="18" customHeight="1">
      <c r="A70" s="57">
        <v>29</v>
      </c>
      <c r="B70" s="58">
        <v>48.121000000000002</v>
      </c>
      <c r="C70" s="58" t="s">
        <v>335</v>
      </c>
      <c r="D70" s="58">
        <v>48.545999999999999</v>
      </c>
      <c r="E70" s="58">
        <v>48.44</v>
      </c>
      <c r="F70" s="58" t="s">
        <v>334</v>
      </c>
      <c r="G70" s="58">
        <v>48.603999999999999</v>
      </c>
      <c r="H70" s="58">
        <v>50.39</v>
      </c>
      <c r="I70" s="58" t="s">
        <v>334</v>
      </c>
      <c r="J70" s="58">
        <v>50.947000000000003</v>
      </c>
      <c r="K70" s="58">
        <v>50.77</v>
      </c>
      <c r="L70" s="58">
        <v>50.457999999999998</v>
      </c>
      <c r="M70" s="59">
        <v>50.268999999999998</v>
      </c>
      <c r="N70" s="58"/>
    </row>
    <row r="71" spans="1:15" ht="18" customHeight="1">
      <c r="A71" s="57">
        <v>30</v>
      </c>
      <c r="B71" s="58" t="s">
        <v>334</v>
      </c>
      <c r="C71" s="58" t="s">
        <v>335</v>
      </c>
      <c r="D71" s="58">
        <v>48.475000000000001</v>
      </c>
      <c r="E71" s="58">
        <v>48.39</v>
      </c>
      <c r="F71" s="58" t="s">
        <v>334</v>
      </c>
      <c r="G71" s="58">
        <v>48.543999999999997</v>
      </c>
      <c r="H71" s="58">
        <v>50.341999999999999</v>
      </c>
      <c r="I71" s="58" t="s">
        <v>334</v>
      </c>
      <c r="J71" s="58">
        <v>50.959000000000003</v>
      </c>
      <c r="K71" s="58" t="s">
        <v>334</v>
      </c>
      <c r="L71" s="58" t="s">
        <v>334</v>
      </c>
      <c r="M71" s="59" t="s">
        <v>334</v>
      </c>
      <c r="N71" s="58"/>
    </row>
    <row r="72" spans="1:15" ht="18" customHeight="1">
      <c r="A72" s="57">
        <v>31</v>
      </c>
      <c r="B72" s="58" t="s">
        <v>334</v>
      </c>
      <c r="C72" s="58" t="s">
        <v>335</v>
      </c>
      <c r="D72" s="58">
        <v>48.466000000000001</v>
      </c>
      <c r="E72" s="58" t="s">
        <v>335</v>
      </c>
      <c r="F72" s="58">
        <v>47.901000000000003</v>
      </c>
      <c r="G72" s="58" t="s">
        <v>335</v>
      </c>
      <c r="H72" s="58" t="s">
        <v>334</v>
      </c>
      <c r="I72" s="58">
        <v>50.04</v>
      </c>
      <c r="J72" s="58" t="s">
        <v>335</v>
      </c>
      <c r="K72" s="58" t="s">
        <v>334</v>
      </c>
      <c r="L72" s="58" t="s">
        <v>335</v>
      </c>
      <c r="M72" s="59">
        <v>50.774000000000001</v>
      </c>
      <c r="N72" s="58"/>
    </row>
    <row r="73" spans="1:15" ht="18" customHeight="1" thickBot="1">
      <c r="A73" s="60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2"/>
      <c r="N73" s="58"/>
    </row>
    <row r="74" spans="1:15" ht="18" customHeight="1">
      <c r="A74" s="605">
        <v>2020</v>
      </c>
      <c r="B74" s="606"/>
      <c r="C74" s="606"/>
      <c r="D74" s="606"/>
      <c r="E74" s="606"/>
      <c r="F74" s="606"/>
      <c r="G74" s="606"/>
      <c r="H74" s="606"/>
      <c r="I74" s="606"/>
      <c r="J74" s="606"/>
      <c r="K74" s="606"/>
      <c r="L74" s="606"/>
      <c r="M74" s="607"/>
      <c r="N74" s="52"/>
    </row>
    <row r="75" spans="1:15" ht="18" customHeight="1" thickBot="1">
      <c r="A75" s="51" t="s">
        <v>322</v>
      </c>
      <c r="B75" s="52" t="s">
        <v>323</v>
      </c>
      <c r="C75" s="52" t="s">
        <v>324</v>
      </c>
      <c r="D75" s="52" t="s">
        <v>325</v>
      </c>
      <c r="E75" s="52" t="s">
        <v>326</v>
      </c>
      <c r="F75" s="52" t="s">
        <v>236</v>
      </c>
      <c r="G75" s="52" t="s">
        <v>327</v>
      </c>
      <c r="H75" s="52" t="s">
        <v>328</v>
      </c>
      <c r="I75" s="52" t="s">
        <v>329</v>
      </c>
      <c r="J75" s="52" t="s">
        <v>330</v>
      </c>
      <c r="K75" s="52" t="s">
        <v>331</v>
      </c>
      <c r="L75" s="52" t="s">
        <v>332</v>
      </c>
      <c r="M75" s="53" t="s">
        <v>333</v>
      </c>
      <c r="N75" s="52"/>
    </row>
    <row r="76" spans="1:15" ht="18" customHeight="1">
      <c r="A76" s="54">
        <v>1</v>
      </c>
      <c r="B76" s="55" t="s">
        <v>334</v>
      </c>
      <c r="C76" s="55" t="s">
        <v>334</v>
      </c>
      <c r="D76" s="55" t="s">
        <v>334</v>
      </c>
      <c r="E76" s="55">
        <v>50.78</v>
      </c>
      <c r="F76" s="55" t="s">
        <v>334</v>
      </c>
      <c r="G76" s="55">
        <v>50.585000000000001</v>
      </c>
      <c r="H76" s="55">
        <v>49.79</v>
      </c>
      <c r="I76" s="55" t="s">
        <v>334</v>
      </c>
      <c r="J76" s="55">
        <v>48.482999999999997</v>
      </c>
      <c r="K76" s="55">
        <v>48.421999999999997</v>
      </c>
      <c r="L76" s="55" t="s">
        <v>334</v>
      </c>
      <c r="M76" s="56">
        <v>48.085000000000001</v>
      </c>
      <c r="N76" s="83">
        <v>2020</v>
      </c>
      <c r="O76" s="47">
        <f>AVERAGE(B76:M106)</f>
        <v>49.635363636363643</v>
      </c>
    </row>
    <row r="77" spans="1:15" ht="18" customHeight="1">
      <c r="A77" s="57">
        <v>2</v>
      </c>
      <c r="B77" s="58">
        <v>50.802</v>
      </c>
      <c r="C77" s="58" t="s">
        <v>334</v>
      </c>
      <c r="D77" s="58">
        <v>50.896999999999998</v>
      </c>
      <c r="E77" s="58">
        <v>50.781999999999996</v>
      </c>
      <c r="F77" s="58" t="s">
        <v>334</v>
      </c>
      <c r="G77" s="58">
        <v>50.438000000000002</v>
      </c>
      <c r="H77" s="58">
        <v>49.813000000000002</v>
      </c>
      <c r="I77" s="58" t="s">
        <v>334</v>
      </c>
      <c r="J77" s="58">
        <v>48.475999999999999</v>
      </c>
      <c r="K77" s="58">
        <v>48.457999999999998</v>
      </c>
      <c r="L77" s="58" t="s">
        <v>334</v>
      </c>
      <c r="M77" s="59">
        <v>48.11</v>
      </c>
      <c r="N77" s="58"/>
    </row>
    <row r="78" spans="1:15" ht="18" customHeight="1">
      <c r="A78" s="57">
        <v>3</v>
      </c>
      <c r="B78" s="58">
        <v>50.646000000000001</v>
      </c>
      <c r="C78" s="58">
        <v>50.854999999999997</v>
      </c>
      <c r="D78" s="58">
        <v>50.856000000000002</v>
      </c>
      <c r="E78" s="58">
        <v>50.911000000000001</v>
      </c>
      <c r="F78" s="58" t="s">
        <v>334</v>
      </c>
      <c r="G78" s="58">
        <v>50.344000000000001</v>
      </c>
      <c r="H78" s="58">
        <v>49.777000000000001</v>
      </c>
      <c r="I78" s="58">
        <v>49.113999999999997</v>
      </c>
      <c r="J78" s="58">
        <v>48.591000000000001</v>
      </c>
      <c r="K78" s="58" t="s">
        <v>334</v>
      </c>
      <c r="L78" s="58">
        <v>48.396000000000001</v>
      </c>
      <c r="M78" s="59">
        <v>48.043999999999997</v>
      </c>
      <c r="N78" s="58"/>
    </row>
    <row r="79" spans="1:15" ht="18" customHeight="1">
      <c r="A79" s="57">
        <v>4</v>
      </c>
      <c r="B79" s="58" t="s">
        <v>334</v>
      </c>
      <c r="C79" s="58">
        <v>50.945999999999998</v>
      </c>
      <c r="D79" s="58">
        <v>50.686</v>
      </c>
      <c r="E79" s="58" t="s">
        <v>334</v>
      </c>
      <c r="F79" s="58">
        <v>50.444000000000003</v>
      </c>
      <c r="G79" s="58">
        <v>50.17</v>
      </c>
      <c r="H79" s="58" t="s">
        <v>334</v>
      </c>
      <c r="I79" s="58">
        <v>49.103999999999999</v>
      </c>
      <c r="J79" s="58">
        <v>48.531999999999996</v>
      </c>
      <c r="K79" s="58" t="s">
        <v>334</v>
      </c>
      <c r="L79" s="58">
        <v>48.378999999999998</v>
      </c>
      <c r="M79" s="59">
        <v>48.045999999999999</v>
      </c>
      <c r="N79" s="58"/>
    </row>
    <row r="80" spans="1:15" ht="18" customHeight="1">
      <c r="A80" s="57">
        <v>5</v>
      </c>
      <c r="B80" s="58" t="s">
        <v>334</v>
      </c>
      <c r="C80" s="58">
        <v>50.762999999999998</v>
      </c>
      <c r="D80" s="58">
        <v>50.582000000000001</v>
      </c>
      <c r="E80" s="58" t="s">
        <v>334</v>
      </c>
      <c r="F80" s="58">
        <v>50.576000000000001</v>
      </c>
      <c r="G80" s="58">
        <v>49.981999999999999</v>
      </c>
      <c r="H80" s="58" t="s">
        <v>334</v>
      </c>
      <c r="I80" s="58">
        <v>49.113999999999997</v>
      </c>
      <c r="J80" s="58" t="s">
        <v>334</v>
      </c>
      <c r="K80" s="58">
        <v>48.463000000000001</v>
      </c>
      <c r="L80" s="58">
        <v>48.392000000000003</v>
      </c>
      <c r="M80" s="59" t="s">
        <v>334</v>
      </c>
      <c r="N80" s="58"/>
    </row>
    <row r="81" spans="1:14" ht="18" customHeight="1">
      <c r="A81" s="57">
        <v>6</v>
      </c>
      <c r="B81" s="58">
        <v>50.872</v>
      </c>
      <c r="C81" s="58">
        <v>50.841000000000001</v>
      </c>
      <c r="D81" s="58">
        <v>50.603999999999999</v>
      </c>
      <c r="E81" s="58">
        <v>50.758000000000003</v>
      </c>
      <c r="F81" s="58">
        <v>50.543999999999997</v>
      </c>
      <c r="G81" s="58" t="s">
        <v>334</v>
      </c>
      <c r="H81" s="58">
        <v>49.631</v>
      </c>
      <c r="I81" s="58">
        <v>49.054000000000002</v>
      </c>
      <c r="J81" s="58" t="s">
        <v>334</v>
      </c>
      <c r="K81" s="58">
        <v>48.427999999999997</v>
      </c>
      <c r="L81" s="58">
        <v>48.35</v>
      </c>
      <c r="M81" s="59" t="s">
        <v>334</v>
      </c>
      <c r="N81" s="58"/>
    </row>
    <row r="82" spans="1:14" ht="18" customHeight="1">
      <c r="A82" s="57">
        <v>7</v>
      </c>
      <c r="B82" s="58">
        <v>51.161000000000001</v>
      </c>
      <c r="C82" s="58">
        <v>50.78</v>
      </c>
      <c r="D82" s="58" t="s">
        <v>334</v>
      </c>
      <c r="E82" s="58">
        <v>50.762</v>
      </c>
      <c r="F82" s="58">
        <v>50.555999999999997</v>
      </c>
      <c r="G82" s="58" t="s">
        <v>334</v>
      </c>
      <c r="H82" s="58">
        <v>49.459000000000003</v>
      </c>
      <c r="I82" s="58">
        <v>49.055</v>
      </c>
      <c r="J82" s="58">
        <v>48.587000000000003</v>
      </c>
      <c r="K82" s="58">
        <v>48.377000000000002</v>
      </c>
      <c r="L82" s="58" t="s">
        <v>334</v>
      </c>
      <c r="M82" s="59">
        <v>48.033000000000001</v>
      </c>
      <c r="N82" s="58"/>
    </row>
    <row r="83" spans="1:14" ht="18" customHeight="1">
      <c r="A83" s="57">
        <v>8</v>
      </c>
      <c r="B83" s="58">
        <v>50.841000000000001</v>
      </c>
      <c r="C83" s="58" t="s">
        <v>334</v>
      </c>
      <c r="D83" s="58" t="s">
        <v>334</v>
      </c>
      <c r="E83" s="58">
        <v>50.701000000000001</v>
      </c>
      <c r="F83" s="58">
        <v>50.514000000000003</v>
      </c>
      <c r="G83" s="58">
        <v>49.904000000000003</v>
      </c>
      <c r="H83" s="58">
        <v>49.405999999999999</v>
      </c>
      <c r="I83" s="58" t="s">
        <v>334</v>
      </c>
      <c r="J83" s="58">
        <v>48.616</v>
      </c>
      <c r="K83" s="58">
        <v>48.444000000000003</v>
      </c>
      <c r="L83" s="58" t="s">
        <v>334</v>
      </c>
      <c r="M83" s="59" t="s">
        <v>334</v>
      </c>
      <c r="N83" s="58"/>
    </row>
    <row r="84" spans="1:14" ht="18" customHeight="1">
      <c r="A84" s="57">
        <v>9</v>
      </c>
      <c r="B84" s="58">
        <v>50.956000000000003</v>
      </c>
      <c r="C84" s="58" t="s">
        <v>334</v>
      </c>
      <c r="D84" s="58">
        <v>50.701999999999998</v>
      </c>
      <c r="E84" s="58" t="s">
        <v>334</v>
      </c>
      <c r="F84" s="58" t="s">
        <v>334</v>
      </c>
      <c r="G84" s="58">
        <v>49.886000000000003</v>
      </c>
      <c r="H84" s="58">
        <v>49.55</v>
      </c>
      <c r="I84" s="58" t="s">
        <v>334</v>
      </c>
      <c r="J84" s="58">
        <v>48.625999999999998</v>
      </c>
      <c r="K84" s="58">
        <v>48.377000000000002</v>
      </c>
      <c r="L84" s="58">
        <v>48.271999999999998</v>
      </c>
      <c r="M84" s="59">
        <v>48.070999999999998</v>
      </c>
      <c r="N84" s="58"/>
    </row>
    <row r="85" spans="1:14" ht="18" customHeight="1">
      <c r="A85" s="57">
        <v>10</v>
      </c>
      <c r="B85" s="58">
        <v>50.603000000000002</v>
      </c>
      <c r="C85" s="58">
        <v>50.783000000000001</v>
      </c>
      <c r="D85" s="58">
        <v>50.625999999999998</v>
      </c>
      <c r="E85" s="58" t="s">
        <v>334</v>
      </c>
      <c r="F85" s="58" t="s">
        <v>334</v>
      </c>
      <c r="G85" s="58">
        <v>49.951000000000001</v>
      </c>
      <c r="H85" s="58">
        <v>49.444000000000003</v>
      </c>
      <c r="I85" s="58">
        <v>49.082000000000001</v>
      </c>
      <c r="J85" s="58">
        <v>48.615000000000002</v>
      </c>
      <c r="K85" s="58" t="s">
        <v>334</v>
      </c>
      <c r="L85" s="58">
        <v>48.134</v>
      </c>
      <c r="M85" s="59">
        <v>48.081000000000003</v>
      </c>
      <c r="N85" s="58"/>
    </row>
    <row r="86" spans="1:14" ht="18" customHeight="1">
      <c r="A86" s="57">
        <v>11</v>
      </c>
      <c r="B86" s="58" t="s">
        <v>334</v>
      </c>
      <c r="C86" s="58">
        <v>50.781999999999996</v>
      </c>
      <c r="D86" s="58">
        <v>50.512999999999998</v>
      </c>
      <c r="E86" s="58" t="s">
        <v>334</v>
      </c>
      <c r="F86" s="58">
        <v>50.457999999999998</v>
      </c>
      <c r="G86" s="58">
        <v>49.954000000000001</v>
      </c>
      <c r="H86" s="58" t="s">
        <v>334</v>
      </c>
      <c r="I86" s="58">
        <v>49.037999999999997</v>
      </c>
      <c r="J86" s="58">
        <v>48.579000000000001</v>
      </c>
      <c r="K86" s="58" t="s">
        <v>334</v>
      </c>
      <c r="L86" s="58">
        <v>48.237000000000002</v>
      </c>
      <c r="M86" s="59">
        <v>48.067</v>
      </c>
      <c r="N86" s="58"/>
    </row>
    <row r="87" spans="1:14" ht="18" customHeight="1">
      <c r="A87" s="57">
        <v>12</v>
      </c>
      <c r="B87" s="58" t="s">
        <v>334</v>
      </c>
      <c r="C87" s="58">
        <v>50.7</v>
      </c>
      <c r="D87" s="58">
        <v>50.506999999999998</v>
      </c>
      <c r="E87" s="58" t="s">
        <v>334</v>
      </c>
      <c r="F87" s="58">
        <v>50.347999999999999</v>
      </c>
      <c r="G87" s="58" t="s">
        <v>334</v>
      </c>
      <c r="H87" s="58" t="s">
        <v>334</v>
      </c>
      <c r="I87" s="58">
        <v>48.97</v>
      </c>
      <c r="J87" s="58" t="s">
        <v>334</v>
      </c>
      <c r="K87" s="58">
        <v>48.308</v>
      </c>
      <c r="L87" s="58" t="s">
        <v>334</v>
      </c>
      <c r="M87" s="59" t="s">
        <v>334</v>
      </c>
      <c r="N87" s="58"/>
    </row>
    <row r="88" spans="1:14" ht="18" customHeight="1">
      <c r="A88" s="57">
        <v>13</v>
      </c>
      <c r="B88" s="58" t="s">
        <v>334</v>
      </c>
      <c r="C88" s="58">
        <v>50.569000000000003</v>
      </c>
      <c r="D88" s="58">
        <v>50.86</v>
      </c>
      <c r="E88" s="58">
        <v>50.642000000000003</v>
      </c>
      <c r="F88" s="58">
        <v>50.353999999999999</v>
      </c>
      <c r="G88" s="58" t="s">
        <v>334</v>
      </c>
      <c r="H88" s="58">
        <v>49.49</v>
      </c>
      <c r="I88" s="58">
        <v>48.962000000000003</v>
      </c>
      <c r="J88" s="58" t="s">
        <v>334</v>
      </c>
      <c r="K88" s="58">
        <v>48.38</v>
      </c>
      <c r="L88" s="58">
        <v>48.290999999999997</v>
      </c>
      <c r="M88" s="59" t="s">
        <v>334</v>
      </c>
      <c r="N88" s="58"/>
    </row>
    <row r="89" spans="1:14" ht="18" customHeight="1">
      <c r="A89" s="57">
        <v>14</v>
      </c>
      <c r="B89" s="58">
        <v>50.704999999999998</v>
      </c>
      <c r="C89" s="58">
        <v>50.503999999999998</v>
      </c>
      <c r="D89" s="58" t="s">
        <v>334</v>
      </c>
      <c r="E89" s="58">
        <v>50.616</v>
      </c>
      <c r="F89" s="58">
        <v>50.281999999999996</v>
      </c>
      <c r="G89" s="58" t="s">
        <v>334</v>
      </c>
      <c r="H89" s="58">
        <v>49.406999999999996</v>
      </c>
      <c r="I89" s="58">
        <v>48.89</v>
      </c>
      <c r="J89" s="58">
        <v>48.551000000000002</v>
      </c>
      <c r="K89" s="58">
        <v>48.555999999999997</v>
      </c>
      <c r="L89" s="58" t="s">
        <v>334</v>
      </c>
      <c r="M89" s="59">
        <v>48.072000000000003</v>
      </c>
      <c r="N89" s="58"/>
    </row>
    <row r="90" spans="1:14" ht="18" customHeight="1">
      <c r="A90" s="57">
        <v>15</v>
      </c>
      <c r="B90" s="58">
        <v>50.512</v>
      </c>
      <c r="C90" s="58" t="s">
        <v>334</v>
      </c>
      <c r="D90" s="58" t="s">
        <v>334</v>
      </c>
      <c r="E90" s="58">
        <v>50.591999999999999</v>
      </c>
      <c r="F90" s="58">
        <v>50.372</v>
      </c>
      <c r="G90" s="58">
        <v>49.935000000000002</v>
      </c>
      <c r="H90" s="58">
        <v>49.543999999999997</v>
      </c>
      <c r="I90" s="58" t="s">
        <v>334</v>
      </c>
      <c r="J90" s="58">
        <v>48.521999999999998</v>
      </c>
      <c r="K90" s="58">
        <v>48.622999999999998</v>
      </c>
      <c r="L90" s="58" t="s">
        <v>334</v>
      </c>
      <c r="M90" s="59">
        <v>48.054000000000002</v>
      </c>
      <c r="N90" s="58"/>
    </row>
    <row r="91" spans="1:14" ht="18" customHeight="1">
      <c r="A91" s="57">
        <v>16</v>
      </c>
      <c r="B91" s="58">
        <v>50.7</v>
      </c>
      <c r="C91" s="58" t="s">
        <v>334</v>
      </c>
      <c r="D91" s="58">
        <v>51.118000000000002</v>
      </c>
      <c r="E91" s="58">
        <v>50.628</v>
      </c>
      <c r="F91" s="58" t="s">
        <v>334</v>
      </c>
      <c r="G91" s="58">
        <v>50.292999999999999</v>
      </c>
      <c r="H91" s="58">
        <v>49.466000000000001</v>
      </c>
      <c r="I91" s="58" t="s">
        <v>334</v>
      </c>
      <c r="J91" s="58">
        <v>48.427999999999997</v>
      </c>
      <c r="K91" s="58">
        <v>48.62</v>
      </c>
      <c r="L91" s="58">
        <v>48.302</v>
      </c>
      <c r="M91" s="59">
        <v>48.058999999999997</v>
      </c>
      <c r="N91" s="58"/>
    </row>
    <row r="92" spans="1:14" ht="18" customHeight="1">
      <c r="A92" s="57">
        <v>17</v>
      </c>
      <c r="B92" s="58">
        <v>50.76</v>
      </c>
      <c r="C92" s="58">
        <v>50.49</v>
      </c>
      <c r="D92" s="58" t="s">
        <v>334</v>
      </c>
      <c r="E92" s="58">
        <v>50.713000000000001</v>
      </c>
      <c r="F92" s="58" t="s">
        <v>334</v>
      </c>
      <c r="G92" s="58">
        <v>50.146000000000001</v>
      </c>
      <c r="H92" s="58">
        <v>49.543999999999997</v>
      </c>
      <c r="I92" s="58">
        <v>48.805</v>
      </c>
      <c r="J92" s="58">
        <v>48.393999999999998</v>
      </c>
      <c r="K92" s="58" t="s">
        <v>334</v>
      </c>
      <c r="L92" s="58">
        <v>48.168999999999997</v>
      </c>
      <c r="M92" s="59">
        <v>48.058999999999997</v>
      </c>
      <c r="N92" s="58"/>
    </row>
    <row r="93" spans="1:14" ht="18" customHeight="1">
      <c r="A93" s="57">
        <v>18</v>
      </c>
      <c r="B93" s="58" t="s">
        <v>334</v>
      </c>
      <c r="C93" s="58">
        <v>50.564999999999998</v>
      </c>
      <c r="D93" s="58">
        <v>51.173999999999999</v>
      </c>
      <c r="E93" s="58" t="s">
        <v>334</v>
      </c>
      <c r="F93" s="58">
        <v>50.588000000000001</v>
      </c>
      <c r="G93" s="58">
        <v>50.137</v>
      </c>
      <c r="H93" s="58" t="s">
        <v>334</v>
      </c>
      <c r="I93" s="58">
        <v>48.686999999999998</v>
      </c>
      <c r="J93" s="58">
        <v>48.454000000000001</v>
      </c>
      <c r="K93" s="58" t="s">
        <v>334</v>
      </c>
      <c r="L93" s="58">
        <v>48.24</v>
      </c>
      <c r="M93" s="59">
        <v>48.058999999999997</v>
      </c>
      <c r="N93" s="58"/>
    </row>
    <row r="94" spans="1:14" ht="18" customHeight="1">
      <c r="A94" s="57">
        <v>19</v>
      </c>
      <c r="B94" s="58" t="s">
        <v>334</v>
      </c>
      <c r="C94" s="58">
        <v>50.613</v>
      </c>
      <c r="D94" s="58">
        <v>51.32</v>
      </c>
      <c r="E94" s="58" t="s">
        <v>334</v>
      </c>
      <c r="F94" s="58">
        <v>50.78</v>
      </c>
      <c r="G94" s="58">
        <v>50.037999999999997</v>
      </c>
      <c r="H94" s="58" t="s">
        <v>334</v>
      </c>
      <c r="I94" s="58">
        <v>48.627000000000002</v>
      </c>
      <c r="J94" s="58" t="s">
        <v>334</v>
      </c>
      <c r="K94" s="58">
        <v>48.634</v>
      </c>
      <c r="L94" s="58">
        <v>48.265000000000001</v>
      </c>
      <c r="M94" s="59" t="s">
        <v>334</v>
      </c>
      <c r="N94" s="58"/>
    </row>
    <row r="95" spans="1:14" ht="18" customHeight="1">
      <c r="A95" s="57">
        <v>20</v>
      </c>
      <c r="B95" s="58">
        <v>50.898000000000003</v>
      </c>
      <c r="C95" s="58">
        <v>50.573</v>
      </c>
      <c r="D95" s="58">
        <v>51.215000000000003</v>
      </c>
      <c r="E95" s="58">
        <v>50.786999999999999</v>
      </c>
      <c r="F95" s="58">
        <v>50.786999999999999</v>
      </c>
      <c r="G95" s="58" t="s">
        <v>334</v>
      </c>
      <c r="H95" s="58">
        <v>49.493000000000002</v>
      </c>
      <c r="I95" s="58">
        <v>48.561</v>
      </c>
      <c r="J95" s="58" t="s">
        <v>334</v>
      </c>
      <c r="K95" s="58">
        <v>48.578000000000003</v>
      </c>
      <c r="L95" s="58">
        <v>48.279000000000003</v>
      </c>
      <c r="M95" s="59" t="s">
        <v>334</v>
      </c>
      <c r="N95" s="58"/>
    </row>
    <row r="96" spans="1:14" ht="18" customHeight="1">
      <c r="A96" s="57">
        <v>21</v>
      </c>
      <c r="B96" s="58">
        <v>50.944000000000003</v>
      </c>
      <c r="C96" s="58">
        <v>50.622</v>
      </c>
      <c r="D96" s="58" t="s">
        <v>334</v>
      </c>
      <c r="E96" s="58">
        <v>50.88</v>
      </c>
      <c r="F96" s="58">
        <v>50.694000000000003</v>
      </c>
      <c r="G96" s="58" t="s">
        <v>334</v>
      </c>
      <c r="H96" s="58">
        <v>49.414999999999999</v>
      </c>
      <c r="I96" s="58" t="s">
        <v>334</v>
      </c>
      <c r="J96" s="58">
        <v>48.41</v>
      </c>
      <c r="K96" s="58">
        <v>48.578000000000003</v>
      </c>
      <c r="L96" s="58" t="s">
        <v>334</v>
      </c>
      <c r="M96" s="59">
        <v>48.055999999999997</v>
      </c>
      <c r="N96" s="58"/>
    </row>
    <row r="97" spans="1:15" ht="18" customHeight="1">
      <c r="A97" s="57">
        <v>22</v>
      </c>
      <c r="B97" s="58">
        <v>51.039000000000001</v>
      </c>
      <c r="C97" s="58" t="s">
        <v>334</v>
      </c>
      <c r="D97" s="58" t="s">
        <v>334</v>
      </c>
      <c r="E97" s="58">
        <v>50.835999999999999</v>
      </c>
      <c r="F97" s="58">
        <v>50.582000000000001</v>
      </c>
      <c r="G97" s="58">
        <v>50.152000000000001</v>
      </c>
      <c r="H97" s="58">
        <v>49.316000000000003</v>
      </c>
      <c r="I97" s="58" t="s">
        <v>334</v>
      </c>
      <c r="J97" s="58">
        <v>48.366999999999997</v>
      </c>
      <c r="K97" s="58">
        <v>48.588999999999999</v>
      </c>
      <c r="L97" s="58" t="s">
        <v>334</v>
      </c>
      <c r="M97" s="59">
        <v>48.061999999999998</v>
      </c>
      <c r="N97" s="58"/>
    </row>
    <row r="98" spans="1:15" ht="18" customHeight="1">
      <c r="A98" s="57">
        <v>23</v>
      </c>
      <c r="B98" s="58">
        <v>50.942</v>
      </c>
      <c r="C98" s="58" t="s">
        <v>334</v>
      </c>
      <c r="D98" s="58">
        <v>50.947000000000003</v>
      </c>
      <c r="E98" s="58">
        <v>50.835000000000001</v>
      </c>
      <c r="F98" s="58" t="s">
        <v>334</v>
      </c>
      <c r="G98" s="58">
        <v>50.069000000000003</v>
      </c>
      <c r="H98" s="58">
        <v>49.338999999999999</v>
      </c>
      <c r="I98" s="58" t="s">
        <v>334</v>
      </c>
      <c r="J98" s="58">
        <v>48.448999999999998</v>
      </c>
      <c r="K98" s="58">
        <v>48.59</v>
      </c>
      <c r="L98" s="58">
        <v>48.25</v>
      </c>
      <c r="M98" s="59">
        <v>48.091000000000001</v>
      </c>
      <c r="N98" s="58"/>
    </row>
    <row r="99" spans="1:15" ht="18" customHeight="1">
      <c r="A99" s="57">
        <v>24</v>
      </c>
      <c r="B99" s="58">
        <v>50.963000000000001</v>
      </c>
      <c r="C99" s="58">
        <v>50.767000000000003</v>
      </c>
      <c r="D99" s="58">
        <v>51.220999999999997</v>
      </c>
      <c r="E99" s="58">
        <v>50.704000000000001</v>
      </c>
      <c r="F99" s="58" t="s">
        <v>334</v>
      </c>
      <c r="G99" s="58">
        <v>50.183</v>
      </c>
      <c r="H99" s="58">
        <v>49.411000000000001</v>
      </c>
      <c r="I99" s="58">
        <v>48.654000000000003</v>
      </c>
      <c r="J99" s="58">
        <v>48.508000000000003</v>
      </c>
      <c r="K99" s="58" t="s">
        <v>334</v>
      </c>
      <c r="L99" s="58">
        <v>48.192</v>
      </c>
      <c r="M99" s="59" t="s">
        <v>334</v>
      </c>
      <c r="N99" s="58"/>
    </row>
    <row r="100" spans="1:15" ht="18" customHeight="1">
      <c r="A100" s="57">
        <v>25</v>
      </c>
      <c r="B100" s="58" t="s">
        <v>334</v>
      </c>
      <c r="C100" s="58" t="s">
        <v>334</v>
      </c>
      <c r="D100" s="58">
        <v>51.076000000000001</v>
      </c>
      <c r="E100" s="58" t="s">
        <v>334</v>
      </c>
      <c r="F100" s="58" t="s">
        <v>334</v>
      </c>
      <c r="G100" s="58">
        <v>50.072000000000003</v>
      </c>
      <c r="H100" s="58" t="s">
        <v>334</v>
      </c>
      <c r="I100" s="58">
        <v>48.651000000000003</v>
      </c>
      <c r="J100" s="58">
        <v>48.545000000000002</v>
      </c>
      <c r="K100" s="58" t="s">
        <v>334</v>
      </c>
      <c r="L100" s="58">
        <v>48.177</v>
      </c>
      <c r="M100" s="59" t="s">
        <v>334</v>
      </c>
      <c r="N100" s="58"/>
    </row>
    <row r="101" spans="1:15" ht="18" customHeight="1">
      <c r="A101" s="57">
        <v>26</v>
      </c>
      <c r="B101" s="58" t="s">
        <v>334</v>
      </c>
      <c r="C101" s="58">
        <v>51.014000000000003</v>
      </c>
      <c r="D101" s="58">
        <v>51.048000000000002</v>
      </c>
      <c r="E101" s="58" t="s">
        <v>334</v>
      </c>
      <c r="F101" s="58">
        <v>50.74</v>
      </c>
      <c r="G101" s="58">
        <v>50.012999999999998</v>
      </c>
      <c r="H101" s="58" t="s">
        <v>334</v>
      </c>
      <c r="I101" s="58">
        <v>48.503999999999998</v>
      </c>
      <c r="J101" s="58" t="s">
        <v>334</v>
      </c>
      <c r="K101" s="58">
        <v>48.587000000000003</v>
      </c>
      <c r="L101" s="58">
        <v>48.11</v>
      </c>
      <c r="M101" s="59" t="s">
        <v>334</v>
      </c>
      <c r="N101" s="58"/>
    </row>
    <row r="102" spans="1:15" ht="18" customHeight="1">
      <c r="A102" s="57">
        <v>27</v>
      </c>
      <c r="B102" s="58">
        <v>50.899000000000001</v>
      </c>
      <c r="C102" s="58">
        <v>51.046999999999997</v>
      </c>
      <c r="D102" s="58">
        <v>51.073999999999998</v>
      </c>
      <c r="E102" s="58">
        <v>50.750999999999998</v>
      </c>
      <c r="F102" s="58">
        <v>50.616999999999997</v>
      </c>
      <c r="G102" s="58" t="s">
        <v>334</v>
      </c>
      <c r="H102" s="58">
        <v>49.35</v>
      </c>
      <c r="I102" s="58">
        <v>48.53</v>
      </c>
      <c r="J102" s="58" t="s">
        <v>334</v>
      </c>
      <c r="K102" s="58">
        <v>48.39</v>
      </c>
      <c r="L102" s="58">
        <v>48.101999999999997</v>
      </c>
      <c r="M102" s="59" t="s">
        <v>334</v>
      </c>
      <c r="N102" s="58"/>
    </row>
    <row r="103" spans="1:15" ht="18" customHeight="1">
      <c r="A103" s="57">
        <v>28</v>
      </c>
      <c r="B103" s="58">
        <v>50.872</v>
      </c>
      <c r="C103" s="58">
        <v>50.936999999999998</v>
      </c>
      <c r="D103" s="58" t="s">
        <v>334</v>
      </c>
      <c r="E103" s="58">
        <v>50.74</v>
      </c>
      <c r="F103" s="58">
        <v>50.593000000000004</v>
      </c>
      <c r="G103" s="58" t="s">
        <v>334</v>
      </c>
      <c r="H103" s="58">
        <v>49.222999999999999</v>
      </c>
      <c r="I103" s="58">
        <v>48.621000000000002</v>
      </c>
      <c r="J103" s="58">
        <v>48.472000000000001</v>
      </c>
      <c r="K103" s="58">
        <v>48.436</v>
      </c>
      <c r="L103" s="58" t="s">
        <v>334</v>
      </c>
      <c r="M103" s="59">
        <v>48.061999999999998</v>
      </c>
      <c r="N103" s="58"/>
    </row>
    <row r="104" spans="1:15" ht="18" customHeight="1">
      <c r="A104" s="57">
        <v>29</v>
      </c>
      <c r="B104" s="58">
        <v>50.817999999999998</v>
      </c>
      <c r="C104" s="58" t="s">
        <v>334</v>
      </c>
      <c r="D104" s="58" t="s">
        <v>334</v>
      </c>
      <c r="E104" s="58">
        <v>50.691000000000003</v>
      </c>
      <c r="F104" s="58">
        <v>50.726999999999997</v>
      </c>
      <c r="G104" s="58">
        <v>49.939</v>
      </c>
      <c r="H104" s="58">
        <v>49.201000000000001</v>
      </c>
      <c r="I104" s="58" t="s">
        <v>334</v>
      </c>
      <c r="J104" s="58">
        <v>48.454999999999998</v>
      </c>
      <c r="K104" s="58">
        <v>48.369</v>
      </c>
      <c r="L104" s="58" t="s">
        <v>334</v>
      </c>
      <c r="M104" s="59">
        <v>48.036000000000001</v>
      </c>
      <c r="N104" s="58"/>
    </row>
    <row r="105" spans="1:15" ht="18" customHeight="1">
      <c r="A105" s="57">
        <v>30</v>
      </c>
      <c r="B105" s="58">
        <v>50.773000000000003</v>
      </c>
      <c r="C105" s="58" t="s">
        <v>335</v>
      </c>
      <c r="D105" s="58">
        <v>50.905000000000001</v>
      </c>
      <c r="E105" s="58">
        <v>50.588999999999999</v>
      </c>
      <c r="F105" s="58" t="s">
        <v>334</v>
      </c>
      <c r="G105" s="58">
        <v>49.850999999999999</v>
      </c>
      <c r="H105" s="58">
        <v>49.216999999999999</v>
      </c>
      <c r="I105" s="58" t="s">
        <v>334</v>
      </c>
      <c r="J105" s="58">
        <v>48.465000000000003</v>
      </c>
      <c r="K105" s="58">
        <v>48.401000000000003</v>
      </c>
      <c r="L105" s="58" t="s">
        <v>334</v>
      </c>
      <c r="M105" s="59" t="s">
        <v>334</v>
      </c>
      <c r="N105" s="58"/>
    </row>
    <row r="106" spans="1:15" ht="18" customHeight="1">
      <c r="A106" s="57">
        <v>31</v>
      </c>
      <c r="B106" s="58">
        <v>50.904000000000003</v>
      </c>
      <c r="C106" s="58" t="s">
        <v>335</v>
      </c>
      <c r="D106" s="58">
        <v>51.043999999999997</v>
      </c>
      <c r="E106" s="58" t="s">
        <v>335</v>
      </c>
      <c r="F106" s="58" t="s">
        <v>334</v>
      </c>
      <c r="G106" s="58" t="s">
        <v>335</v>
      </c>
      <c r="H106" s="58" t="s">
        <v>334</v>
      </c>
      <c r="I106" s="58" t="s">
        <v>334</v>
      </c>
      <c r="J106" s="58" t="s">
        <v>335</v>
      </c>
      <c r="K106" s="58" t="s">
        <v>334</v>
      </c>
      <c r="L106" s="58" t="s">
        <v>335</v>
      </c>
      <c r="M106" s="59" t="s">
        <v>334</v>
      </c>
      <c r="N106" s="58"/>
    </row>
    <row r="107" spans="1:15" ht="18" customHeight="1" thickBot="1">
      <c r="A107" s="60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2"/>
      <c r="N107" s="58"/>
    </row>
    <row r="108" spans="1:15" ht="18" customHeight="1">
      <c r="A108" s="605">
        <v>2019</v>
      </c>
      <c r="B108" s="606"/>
      <c r="C108" s="606"/>
      <c r="D108" s="606"/>
      <c r="E108" s="606"/>
      <c r="F108" s="606"/>
      <c r="G108" s="606"/>
      <c r="H108" s="606"/>
      <c r="I108" s="606"/>
      <c r="J108" s="606"/>
      <c r="K108" s="606"/>
      <c r="L108" s="606"/>
      <c r="M108" s="607"/>
      <c r="N108" s="52"/>
    </row>
    <row r="109" spans="1:15" ht="18" customHeight="1" thickBot="1">
      <c r="A109" s="51" t="s">
        <v>322</v>
      </c>
      <c r="B109" s="52" t="s">
        <v>323</v>
      </c>
      <c r="C109" s="52" t="s">
        <v>324</v>
      </c>
      <c r="D109" s="52" t="s">
        <v>325</v>
      </c>
      <c r="E109" s="52" t="s">
        <v>326</v>
      </c>
      <c r="F109" s="52" t="s">
        <v>236</v>
      </c>
      <c r="G109" s="52" t="s">
        <v>327</v>
      </c>
      <c r="H109" s="52" t="s">
        <v>328</v>
      </c>
      <c r="I109" s="52" t="s">
        <v>329</v>
      </c>
      <c r="J109" s="52" t="s">
        <v>330</v>
      </c>
      <c r="K109" s="52" t="s">
        <v>331</v>
      </c>
      <c r="L109" s="52" t="s">
        <v>332</v>
      </c>
      <c r="M109" s="53" t="s">
        <v>333</v>
      </c>
      <c r="N109" s="52"/>
    </row>
    <row r="110" spans="1:15" ht="18" customHeight="1">
      <c r="A110" s="54">
        <v>1</v>
      </c>
      <c r="B110" s="55" t="s">
        <v>334</v>
      </c>
      <c r="C110" s="55">
        <v>52.161000000000001</v>
      </c>
      <c r="D110" s="55">
        <v>51.768999999999998</v>
      </c>
      <c r="E110" s="55">
        <v>52.628999999999998</v>
      </c>
      <c r="F110" s="55" t="s">
        <v>334</v>
      </c>
      <c r="G110" s="55" t="s">
        <v>334</v>
      </c>
      <c r="H110" s="55">
        <v>51.232999999999997</v>
      </c>
      <c r="I110" s="55">
        <v>50.865000000000002</v>
      </c>
      <c r="J110" s="55" t="s">
        <v>334</v>
      </c>
      <c r="K110" s="55">
        <v>51.795000000000002</v>
      </c>
      <c r="L110" s="55" t="s">
        <v>334</v>
      </c>
      <c r="M110" s="56" t="s">
        <v>334</v>
      </c>
      <c r="N110" s="83">
        <v>2019</v>
      </c>
      <c r="O110" s="47">
        <f>AVERAGE(B110:M140)</f>
        <v>51.79688429752067</v>
      </c>
    </row>
    <row r="111" spans="1:15" ht="18" customHeight="1">
      <c r="A111" s="57">
        <v>2</v>
      </c>
      <c r="B111" s="58">
        <v>52.563000000000002</v>
      </c>
      <c r="C111" s="58" t="s">
        <v>334</v>
      </c>
      <c r="D111" s="58" t="s">
        <v>334</v>
      </c>
      <c r="E111" s="58">
        <v>52.515999999999998</v>
      </c>
      <c r="F111" s="58">
        <v>52.097999999999999</v>
      </c>
      <c r="G111" s="58" t="s">
        <v>334</v>
      </c>
      <c r="H111" s="58">
        <v>51.164000000000001</v>
      </c>
      <c r="I111" s="58">
        <v>51.104999999999997</v>
      </c>
      <c r="J111" s="58">
        <v>52.128999999999998</v>
      </c>
      <c r="K111" s="58">
        <v>51.860999999999997</v>
      </c>
      <c r="L111" s="58" t="s">
        <v>334</v>
      </c>
      <c r="M111" s="59">
        <v>50.758000000000003</v>
      </c>
      <c r="N111" s="58"/>
    </row>
    <row r="112" spans="1:15" ht="18" customHeight="1">
      <c r="A112" s="57">
        <v>3</v>
      </c>
      <c r="B112" s="58">
        <v>52.570999999999998</v>
      </c>
      <c r="C112" s="58" t="s">
        <v>334</v>
      </c>
      <c r="D112" s="58" t="s">
        <v>334</v>
      </c>
      <c r="E112" s="58">
        <v>52.509</v>
      </c>
      <c r="F112" s="58">
        <v>51.82</v>
      </c>
      <c r="G112" s="58">
        <v>52.222000000000001</v>
      </c>
      <c r="H112" s="58">
        <v>51.106000000000002</v>
      </c>
      <c r="I112" s="58" t="s">
        <v>334</v>
      </c>
      <c r="J112" s="58">
        <v>52.136000000000003</v>
      </c>
      <c r="K112" s="58">
        <v>51.92</v>
      </c>
      <c r="L112" s="58" t="s">
        <v>334</v>
      </c>
      <c r="M112" s="59">
        <v>50.892000000000003</v>
      </c>
      <c r="N112" s="58"/>
    </row>
    <row r="113" spans="1:14" ht="18" customHeight="1">
      <c r="A113" s="57">
        <v>4</v>
      </c>
      <c r="B113" s="58">
        <v>52.625</v>
      </c>
      <c r="C113" s="58">
        <v>52.234999999999999</v>
      </c>
      <c r="D113" s="58">
        <v>51.776000000000003</v>
      </c>
      <c r="E113" s="58">
        <v>52.262</v>
      </c>
      <c r="F113" s="58" t="s">
        <v>334</v>
      </c>
      <c r="G113" s="58">
        <v>52.015999999999998</v>
      </c>
      <c r="H113" s="58">
        <v>51.188000000000002</v>
      </c>
      <c r="I113" s="58" t="s">
        <v>334</v>
      </c>
      <c r="J113" s="58">
        <v>52.258000000000003</v>
      </c>
      <c r="K113" s="58">
        <v>51.95</v>
      </c>
      <c r="L113" s="58">
        <v>50.768999999999998</v>
      </c>
      <c r="M113" s="59">
        <v>51.058999999999997</v>
      </c>
      <c r="N113" s="58"/>
    </row>
    <row r="114" spans="1:14" ht="18" customHeight="1">
      <c r="A114" s="57">
        <v>5</v>
      </c>
      <c r="B114" s="58" t="s">
        <v>334</v>
      </c>
      <c r="C114" s="58" t="s">
        <v>334</v>
      </c>
      <c r="D114" s="58">
        <v>51.761000000000003</v>
      </c>
      <c r="E114" s="58">
        <v>52.104999999999997</v>
      </c>
      <c r="F114" s="58" t="s">
        <v>334</v>
      </c>
      <c r="G114" s="58" t="s">
        <v>334</v>
      </c>
      <c r="H114" s="58">
        <v>51.095999999999997</v>
      </c>
      <c r="I114" s="58">
        <v>51.366999999999997</v>
      </c>
      <c r="J114" s="58">
        <v>52.128999999999998</v>
      </c>
      <c r="K114" s="58" t="s">
        <v>334</v>
      </c>
      <c r="L114" s="58">
        <v>50.494999999999997</v>
      </c>
      <c r="M114" s="59">
        <v>51.067</v>
      </c>
      <c r="N114" s="58"/>
    </row>
    <row r="115" spans="1:14" ht="18" customHeight="1">
      <c r="A115" s="57">
        <v>6</v>
      </c>
      <c r="B115" s="58" t="s">
        <v>334</v>
      </c>
      <c r="C115" s="58">
        <v>52.357999999999997</v>
      </c>
      <c r="D115" s="58">
        <v>52.036999999999999</v>
      </c>
      <c r="E115" s="58" t="s">
        <v>334</v>
      </c>
      <c r="F115" s="58">
        <v>51.93</v>
      </c>
      <c r="G115" s="58">
        <v>51.758000000000003</v>
      </c>
      <c r="H115" s="58" t="s">
        <v>334</v>
      </c>
      <c r="I115" s="58">
        <v>51.75</v>
      </c>
      <c r="J115" s="58">
        <v>51.883000000000003</v>
      </c>
      <c r="K115" s="58" t="s">
        <v>334</v>
      </c>
      <c r="L115" s="58">
        <v>50.542999999999999</v>
      </c>
      <c r="M115" s="59">
        <v>50.859000000000002</v>
      </c>
      <c r="N115" s="58"/>
    </row>
    <row r="116" spans="1:14" ht="18" customHeight="1">
      <c r="A116" s="57">
        <v>7</v>
      </c>
      <c r="B116" s="58">
        <v>52.56</v>
      </c>
      <c r="C116" s="58">
        <v>52.31</v>
      </c>
      <c r="D116" s="58">
        <v>52.280999999999999</v>
      </c>
      <c r="E116" s="58" t="s">
        <v>334</v>
      </c>
      <c r="F116" s="58">
        <v>52.006</v>
      </c>
      <c r="G116" s="58">
        <v>51.771999999999998</v>
      </c>
      <c r="H116" s="58" t="s">
        <v>334</v>
      </c>
      <c r="I116" s="58">
        <v>52.003</v>
      </c>
      <c r="J116" s="58" t="s">
        <v>334</v>
      </c>
      <c r="K116" s="58">
        <v>51.707999999999998</v>
      </c>
      <c r="L116" s="58">
        <v>50.56</v>
      </c>
      <c r="M116" s="59" t="s">
        <v>334</v>
      </c>
      <c r="N116" s="58"/>
    </row>
    <row r="117" spans="1:14" ht="18" customHeight="1">
      <c r="A117" s="57">
        <v>8</v>
      </c>
      <c r="B117" s="58">
        <v>52.357999999999997</v>
      </c>
      <c r="C117" s="58">
        <v>52.29</v>
      </c>
      <c r="D117" s="58">
        <v>52.16</v>
      </c>
      <c r="E117" s="58">
        <v>52.186</v>
      </c>
      <c r="F117" s="58">
        <v>51.896000000000001</v>
      </c>
      <c r="G117" s="58" t="s">
        <v>334</v>
      </c>
      <c r="H117" s="58">
        <v>51.156999999999996</v>
      </c>
      <c r="I117" s="58">
        <v>52.186</v>
      </c>
      <c r="J117" s="58" t="s">
        <v>334</v>
      </c>
      <c r="K117" s="58">
        <v>51.862000000000002</v>
      </c>
      <c r="L117" s="58">
        <v>50.55</v>
      </c>
      <c r="M117" s="59" t="s">
        <v>334</v>
      </c>
      <c r="N117" s="58"/>
    </row>
    <row r="118" spans="1:14" ht="18" customHeight="1">
      <c r="A118" s="57">
        <v>9</v>
      </c>
      <c r="B118" s="58">
        <v>52.454000000000001</v>
      </c>
      <c r="C118" s="58" t="s">
        <v>334</v>
      </c>
      <c r="D118" s="58" t="s">
        <v>334</v>
      </c>
      <c r="E118" s="58" t="s">
        <v>334</v>
      </c>
      <c r="F118" s="58">
        <v>52.024000000000001</v>
      </c>
      <c r="G118" s="58" t="s">
        <v>334</v>
      </c>
      <c r="H118" s="58">
        <v>51.332999999999998</v>
      </c>
      <c r="I118" s="58">
        <v>52.23</v>
      </c>
      <c r="J118" s="58">
        <v>51.959000000000003</v>
      </c>
      <c r="K118" s="58">
        <v>51.790999999999997</v>
      </c>
      <c r="L118" s="58" t="s">
        <v>334</v>
      </c>
      <c r="M118" s="59">
        <v>50.765000000000001</v>
      </c>
      <c r="N118" s="58"/>
    </row>
    <row r="119" spans="1:14" ht="18" customHeight="1">
      <c r="A119" s="57">
        <v>10</v>
      </c>
      <c r="B119" s="58">
        <v>52.375999999999998</v>
      </c>
      <c r="C119" s="58" t="s">
        <v>334</v>
      </c>
      <c r="D119" s="58" t="s">
        <v>334</v>
      </c>
      <c r="E119" s="58">
        <v>52.182000000000002</v>
      </c>
      <c r="F119" s="58">
        <v>52.247999999999998</v>
      </c>
      <c r="G119" s="58">
        <v>51.758000000000003</v>
      </c>
      <c r="H119" s="58">
        <v>51.326999999999998</v>
      </c>
      <c r="I119" s="58" t="s">
        <v>334</v>
      </c>
      <c r="J119" s="58">
        <v>51.844000000000001</v>
      </c>
      <c r="K119" s="58">
        <v>51.828000000000003</v>
      </c>
      <c r="L119" s="58" t="s">
        <v>334</v>
      </c>
      <c r="M119" s="59">
        <v>50.835999999999999</v>
      </c>
      <c r="N119" s="58"/>
    </row>
    <row r="120" spans="1:14" ht="18" customHeight="1">
      <c r="A120" s="57">
        <v>11</v>
      </c>
      <c r="B120" s="58">
        <v>52.170999999999999</v>
      </c>
      <c r="C120" s="58">
        <v>52.161000000000001</v>
      </c>
      <c r="D120" s="58">
        <v>52.277000000000001</v>
      </c>
      <c r="E120" s="58">
        <v>52.009</v>
      </c>
      <c r="F120" s="58" t="s">
        <v>334</v>
      </c>
      <c r="G120" s="58">
        <v>52.075000000000003</v>
      </c>
      <c r="H120" s="58">
        <v>51.408000000000001</v>
      </c>
      <c r="I120" s="58" t="s">
        <v>334</v>
      </c>
      <c r="J120" s="58">
        <v>51.942999999999998</v>
      </c>
      <c r="K120" s="58">
        <v>51.689</v>
      </c>
      <c r="L120" s="58">
        <v>50.488999999999997</v>
      </c>
      <c r="M120" s="59">
        <v>50.735999999999997</v>
      </c>
      <c r="N120" s="58"/>
    </row>
    <row r="121" spans="1:14" ht="18" customHeight="1">
      <c r="A121" s="57">
        <v>12</v>
      </c>
      <c r="B121" s="58" t="s">
        <v>334</v>
      </c>
      <c r="C121" s="58">
        <v>51.997999999999998</v>
      </c>
      <c r="D121" s="58">
        <v>52.204000000000001</v>
      </c>
      <c r="E121" s="58">
        <v>51.85</v>
      </c>
      <c r="F121" s="58" t="s">
        <v>334</v>
      </c>
      <c r="G121" s="58" t="s">
        <v>334</v>
      </c>
      <c r="H121" s="58">
        <v>51.259</v>
      </c>
      <c r="I121" s="58" t="s">
        <v>334</v>
      </c>
      <c r="J121" s="58">
        <v>52.133000000000003</v>
      </c>
      <c r="K121" s="58" t="s">
        <v>334</v>
      </c>
      <c r="L121" s="58">
        <v>50.716999999999999</v>
      </c>
      <c r="M121" s="59">
        <v>50.762999999999998</v>
      </c>
      <c r="N121" s="58"/>
    </row>
    <row r="122" spans="1:14" ht="18" customHeight="1">
      <c r="A122" s="57">
        <v>13</v>
      </c>
      <c r="B122" s="58" t="s">
        <v>334</v>
      </c>
      <c r="C122" s="58">
        <v>52.195</v>
      </c>
      <c r="D122" s="58">
        <v>52.372999999999998</v>
      </c>
      <c r="E122" s="58" t="s">
        <v>334</v>
      </c>
      <c r="F122" s="58" t="s">
        <v>334</v>
      </c>
      <c r="G122" s="58">
        <v>51.969000000000001</v>
      </c>
      <c r="H122" s="58" t="s">
        <v>334</v>
      </c>
      <c r="I122" s="58">
        <v>51.901000000000003</v>
      </c>
      <c r="J122" s="58">
        <v>52.000999999999998</v>
      </c>
      <c r="K122" s="58" t="s">
        <v>334</v>
      </c>
      <c r="L122" s="58">
        <v>50.801000000000002</v>
      </c>
      <c r="M122" s="59">
        <v>50.732999999999997</v>
      </c>
      <c r="N122" s="58"/>
    </row>
    <row r="123" spans="1:14" ht="18" customHeight="1">
      <c r="A123" s="57">
        <v>14</v>
      </c>
      <c r="B123" s="58">
        <v>52.234999999999999</v>
      </c>
      <c r="C123" s="58">
        <v>52.003</v>
      </c>
      <c r="D123" s="58">
        <v>52.716000000000001</v>
      </c>
      <c r="E123" s="58" t="s">
        <v>334</v>
      </c>
      <c r="F123" s="58">
        <v>52.173999999999999</v>
      </c>
      <c r="G123" s="58">
        <v>51.923000000000002</v>
      </c>
      <c r="H123" s="58" t="s">
        <v>334</v>
      </c>
      <c r="I123" s="58">
        <v>52.192999999999998</v>
      </c>
      <c r="J123" s="58" t="s">
        <v>334</v>
      </c>
      <c r="K123" s="58">
        <v>51.536999999999999</v>
      </c>
      <c r="L123" s="58">
        <v>50.875999999999998</v>
      </c>
      <c r="M123" s="59" t="s">
        <v>334</v>
      </c>
      <c r="N123" s="58"/>
    </row>
    <row r="124" spans="1:14" ht="18" customHeight="1">
      <c r="A124" s="57">
        <v>15</v>
      </c>
      <c r="B124" s="58">
        <v>52.197000000000003</v>
      </c>
      <c r="C124" s="58">
        <v>52.262999999999998</v>
      </c>
      <c r="D124" s="58">
        <v>52.591000000000001</v>
      </c>
      <c r="E124" s="58">
        <v>51.929000000000002</v>
      </c>
      <c r="F124" s="58">
        <v>52.387999999999998</v>
      </c>
      <c r="G124" s="58" t="s">
        <v>334</v>
      </c>
      <c r="H124" s="58">
        <v>51.164000000000001</v>
      </c>
      <c r="I124" s="58">
        <v>52.195</v>
      </c>
      <c r="J124" s="58" t="s">
        <v>334</v>
      </c>
      <c r="K124" s="58">
        <v>51.506</v>
      </c>
      <c r="L124" s="58">
        <v>50.826000000000001</v>
      </c>
      <c r="M124" s="59" t="s">
        <v>334</v>
      </c>
      <c r="N124" s="58"/>
    </row>
    <row r="125" spans="1:14" ht="18" customHeight="1">
      <c r="A125" s="57">
        <v>16</v>
      </c>
      <c r="B125" s="58">
        <v>52.128</v>
      </c>
      <c r="C125" s="58" t="s">
        <v>334</v>
      </c>
      <c r="D125" s="58" t="s">
        <v>334</v>
      </c>
      <c r="E125" s="58">
        <v>51.679000000000002</v>
      </c>
      <c r="F125" s="58">
        <v>52.353999999999999</v>
      </c>
      <c r="G125" s="58" t="s">
        <v>334</v>
      </c>
      <c r="H125" s="58">
        <v>51.088000000000001</v>
      </c>
      <c r="I125" s="58">
        <v>52.518999999999998</v>
      </c>
      <c r="J125" s="58">
        <v>51.835000000000001</v>
      </c>
      <c r="K125" s="58">
        <v>51.588000000000001</v>
      </c>
      <c r="L125" s="58" t="s">
        <v>334</v>
      </c>
      <c r="M125" s="59">
        <v>50.569000000000003</v>
      </c>
      <c r="N125" s="58"/>
    </row>
    <row r="126" spans="1:14" ht="18" customHeight="1">
      <c r="A126" s="57">
        <v>17</v>
      </c>
      <c r="B126" s="58">
        <v>52.165999999999997</v>
      </c>
      <c r="C126" s="58" t="s">
        <v>334</v>
      </c>
      <c r="D126" s="58" t="s">
        <v>334</v>
      </c>
      <c r="E126" s="58">
        <v>51.723999999999997</v>
      </c>
      <c r="F126" s="58">
        <v>52.408999999999999</v>
      </c>
      <c r="G126" s="58">
        <v>51.914000000000001</v>
      </c>
      <c r="H126" s="58">
        <v>50.944000000000003</v>
      </c>
      <c r="I126" s="58" t="s">
        <v>334</v>
      </c>
      <c r="J126" s="58">
        <v>52.262</v>
      </c>
      <c r="K126" s="58">
        <v>51.677999999999997</v>
      </c>
      <c r="L126" s="58" t="s">
        <v>334</v>
      </c>
      <c r="M126" s="59">
        <v>50.613999999999997</v>
      </c>
      <c r="N126" s="58"/>
    </row>
    <row r="127" spans="1:14" ht="18" customHeight="1">
      <c r="A127" s="57">
        <v>18</v>
      </c>
      <c r="B127" s="58">
        <v>52.287999999999997</v>
      </c>
      <c r="C127" s="58">
        <v>52.439</v>
      </c>
      <c r="D127" s="58">
        <v>52.689</v>
      </c>
      <c r="E127" s="58" t="s">
        <v>334</v>
      </c>
      <c r="F127" s="58" t="s">
        <v>334</v>
      </c>
      <c r="G127" s="58">
        <v>52.124000000000002</v>
      </c>
      <c r="H127" s="58">
        <v>51.009</v>
      </c>
      <c r="I127" s="58" t="s">
        <v>334</v>
      </c>
      <c r="J127" s="58">
        <v>52.337000000000003</v>
      </c>
      <c r="K127" s="58">
        <v>51.485999999999997</v>
      </c>
      <c r="L127" s="58">
        <v>50.591999999999999</v>
      </c>
      <c r="M127" s="59">
        <v>50.606999999999999</v>
      </c>
      <c r="N127" s="58"/>
    </row>
    <row r="128" spans="1:14" ht="18" customHeight="1">
      <c r="A128" s="57">
        <v>19</v>
      </c>
      <c r="B128" s="58" t="s">
        <v>334</v>
      </c>
      <c r="C128" s="58">
        <v>52.344000000000001</v>
      </c>
      <c r="D128" s="58">
        <v>52.683</v>
      </c>
      <c r="E128" s="58" t="s">
        <v>334</v>
      </c>
      <c r="F128" s="58" t="s">
        <v>334</v>
      </c>
      <c r="G128" s="58">
        <v>52.116</v>
      </c>
      <c r="H128" s="58">
        <v>51.029000000000003</v>
      </c>
      <c r="I128" s="58">
        <v>52.466999999999999</v>
      </c>
      <c r="J128" s="58">
        <v>52.215000000000003</v>
      </c>
      <c r="K128" s="58" t="s">
        <v>334</v>
      </c>
      <c r="L128" s="58">
        <v>50.618000000000002</v>
      </c>
      <c r="M128" s="59">
        <v>50.597000000000001</v>
      </c>
      <c r="N128" s="58"/>
    </row>
    <row r="129" spans="1:15" ht="18" customHeight="1">
      <c r="A129" s="57">
        <v>20</v>
      </c>
      <c r="B129" s="58" t="s">
        <v>334</v>
      </c>
      <c r="C129" s="58">
        <v>52.313000000000002</v>
      </c>
      <c r="D129" s="58">
        <v>52.786999999999999</v>
      </c>
      <c r="E129" s="58" t="s">
        <v>334</v>
      </c>
      <c r="F129" s="58">
        <v>52.536999999999999</v>
      </c>
      <c r="G129" s="58">
        <v>51.886000000000003</v>
      </c>
      <c r="H129" s="58" t="s">
        <v>334</v>
      </c>
      <c r="I129" s="58">
        <v>52.308</v>
      </c>
      <c r="J129" s="58">
        <v>52.28</v>
      </c>
      <c r="K129" s="58" t="s">
        <v>334</v>
      </c>
      <c r="L129" s="58">
        <v>50.804000000000002</v>
      </c>
      <c r="M129" s="59">
        <v>50.63</v>
      </c>
      <c r="N129" s="58"/>
    </row>
    <row r="130" spans="1:15" ht="18" customHeight="1">
      <c r="A130" s="57">
        <v>21</v>
      </c>
      <c r="B130" s="58">
        <v>52.454999999999998</v>
      </c>
      <c r="C130" s="58">
        <v>52.109000000000002</v>
      </c>
      <c r="D130" s="58">
        <v>52.887</v>
      </c>
      <c r="E130" s="58" t="s">
        <v>334</v>
      </c>
      <c r="F130" s="58">
        <v>52.648000000000003</v>
      </c>
      <c r="G130" s="58">
        <v>51.716999999999999</v>
      </c>
      <c r="H130" s="58" t="s">
        <v>334</v>
      </c>
      <c r="I130" s="58" t="s">
        <v>334</v>
      </c>
      <c r="J130" s="58" t="s">
        <v>334</v>
      </c>
      <c r="K130" s="58">
        <v>51.344000000000001</v>
      </c>
      <c r="L130" s="58">
        <v>50.959000000000003</v>
      </c>
      <c r="M130" s="59" t="s">
        <v>334</v>
      </c>
      <c r="N130" s="58"/>
    </row>
    <row r="131" spans="1:15" ht="18" customHeight="1">
      <c r="A131" s="57">
        <v>22</v>
      </c>
      <c r="B131" s="58">
        <v>52.725000000000001</v>
      </c>
      <c r="C131" s="58">
        <v>52.055999999999997</v>
      </c>
      <c r="D131" s="58">
        <v>52.801000000000002</v>
      </c>
      <c r="E131" s="58">
        <v>51.802</v>
      </c>
      <c r="F131" s="58">
        <v>52.551000000000002</v>
      </c>
      <c r="G131" s="58" t="s">
        <v>334</v>
      </c>
      <c r="H131" s="58">
        <v>50.976999999999997</v>
      </c>
      <c r="I131" s="58">
        <v>52.393999999999998</v>
      </c>
      <c r="J131" s="58" t="s">
        <v>334</v>
      </c>
      <c r="K131" s="58">
        <v>51.177</v>
      </c>
      <c r="L131" s="58">
        <v>50.957000000000001</v>
      </c>
      <c r="M131" s="59" t="s">
        <v>334</v>
      </c>
      <c r="N131" s="58"/>
    </row>
    <row r="132" spans="1:15" ht="18" customHeight="1">
      <c r="A132" s="57">
        <v>23</v>
      </c>
      <c r="B132" s="58">
        <v>52.887</v>
      </c>
      <c r="C132" s="58" t="s">
        <v>334</v>
      </c>
      <c r="D132" s="58" t="s">
        <v>334</v>
      </c>
      <c r="E132" s="58" t="s">
        <v>334</v>
      </c>
      <c r="F132" s="58">
        <v>52.478999999999999</v>
      </c>
      <c r="G132" s="58" t="s">
        <v>334</v>
      </c>
      <c r="H132" s="58">
        <v>51.112000000000002</v>
      </c>
      <c r="I132" s="58">
        <v>52.243000000000002</v>
      </c>
      <c r="J132" s="58">
        <v>52.142000000000003</v>
      </c>
      <c r="K132" s="58">
        <v>51.152000000000001</v>
      </c>
      <c r="L132" s="58" t="s">
        <v>334</v>
      </c>
      <c r="M132" s="59">
        <v>50.735999999999997</v>
      </c>
      <c r="N132" s="58"/>
    </row>
    <row r="133" spans="1:15" ht="18" customHeight="1">
      <c r="A133" s="57">
        <v>24</v>
      </c>
      <c r="B133" s="58">
        <v>52.771999999999998</v>
      </c>
      <c r="C133" s="58" t="s">
        <v>334</v>
      </c>
      <c r="D133" s="58" t="s">
        <v>334</v>
      </c>
      <c r="E133" s="58">
        <v>51.945999999999998</v>
      </c>
      <c r="F133" s="58">
        <v>52.521999999999998</v>
      </c>
      <c r="G133" s="58">
        <v>51.472999999999999</v>
      </c>
      <c r="H133" s="58">
        <v>51.16</v>
      </c>
      <c r="I133" s="58" t="s">
        <v>334</v>
      </c>
      <c r="J133" s="58">
        <v>52.06</v>
      </c>
      <c r="K133" s="58">
        <v>51.18</v>
      </c>
      <c r="L133" s="58" t="s">
        <v>334</v>
      </c>
      <c r="M133" s="59" t="s">
        <v>334</v>
      </c>
      <c r="N133" s="58"/>
    </row>
    <row r="134" spans="1:15" ht="18" customHeight="1">
      <c r="A134" s="57">
        <v>25</v>
      </c>
      <c r="B134" s="58">
        <v>52.734999999999999</v>
      </c>
      <c r="C134" s="58" t="s">
        <v>334</v>
      </c>
      <c r="D134" s="58">
        <v>52.539000000000001</v>
      </c>
      <c r="E134" s="58">
        <v>52.195</v>
      </c>
      <c r="F134" s="58" t="s">
        <v>334</v>
      </c>
      <c r="G134" s="58">
        <v>51.497999999999998</v>
      </c>
      <c r="H134" s="58">
        <v>51.238999999999997</v>
      </c>
      <c r="I134" s="58" t="s">
        <v>334</v>
      </c>
      <c r="J134" s="58">
        <v>52.189</v>
      </c>
      <c r="K134" s="58">
        <v>51.061</v>
      </c>
      <c r="L134" s="58">
        <v>50.78</v>
      </c>
      <c r="M134" s="59" t="s">
        <v>334</v>
      </c>
      <c r="N134" s="58"/>
    </row>
    <row r="135" spans="1:15" ht="18" customHeight="1">
      <c r="A135" s="57">
        <v>26</v>
      </c>
      <c r="B135" s="58" t="s">
        <v>334</v>
      </c>
      <c r="C135" s="58">
        <v>52.149000000000001</v>
      </c>
      <c r="D135" s="58">
        <v>52.56</v>
      </c>
      <c r="E135" s="58">
        <v>52.246000000000002</v>
      </c>
      <c r="F135" s="58" t="s">
        <v>334</v>
      </c>
      <c r="G135" s="58">
        <v>51.356000000000002</v>
      </c>
      <c r="H135" s="58">
        <v>51.106999999999999</v>
      </c>
      <c r="I135" s="58" t="s">
        <v>334</v>
      </c>
      <c r="J135" s="58">
        <v>52.262</v>
      </c>
      <c r="K135" s="58" t="s">
        <v>334</v>
      </c>
      <c r="L135" s="58">
        <v>50.783000000000001</v>
      </c>
      <c r="M135" s="59">
        <v>50.843000000000004</v>
      </c>
      <c r="N135" s="58"/>
    </row>
    <row r="136" spans="1:15" ht="18" customHeight="1">
      <c r="A136" s="57">
        <v>27</v>
      </c>
      <c r="B136" s="58" t="s">
        <v>334</v>
      </c>
      <c r="C136" s="58">
        <v>52.030999999999999</v>
      </c>
      <c r="D136" s="58">
        <v>52.427999999999997</v>
      </c>
      <c r="E136" s="58" t="s">
        <v>334</v>
      </c>
      <c r="F136" s="58">
        <v>52.357999999999997</v>
      </c>
      <c r="G136" s="58">
        <v>51.518000000000001</v>
      </c>
      <c r="H136" s="58" t="s">
        <v>334</v>
      </c>
      <c r="I136" s="58">
        <v>52.326000000000001</v>
      </c>
      <c r="J136" s="58">
        <v>52.17</v>
      </c>
      <c r="K136" s="58" t="s">
        <v>334</v>
      </c>
      <c r="L136" s="58">
        <v>50.761000000000003</v>
      </c>
      <c r="M136" s="59">
        <v>50.744</v>
      </c>
      <c r="N136" s="58"/>
    </row>
    <row r="137" spans="1:15" ht="18" customHeight="1">
      <c r="A137" s="57">
        <v>28</v>
      </c>
      <c r="B137" s="58">
        <v>52.728000000000002</v>
      </c>
      <c r="C137" s="58">
        <v>52.006</v>
      </c>
      <c r="D137" s="58">
        <v>52.581000000000003</v>
      </c>
      <c r="E137" s="58" t="s">
        <v>334</v>
      </c>
      <c r="F137" s="58">
        <v>52.152999999999999</v>
      </c>
      <c r="G137" s="58">
        <v>51.357999999999997</v>
      </c>
      <c r="H137" s="58" t="s">
        <v>334</v>
      </c>
      <c r="I137" s="58">
        <v>52.375999999999998</v>
      </c>
      <c r="J137" s="58" t="s">
        <v>334</v>
      </c>
      <c r="K137" s="58">
        <v>51.262999999999998</v>
      </c>
      <c r="L137" s="58">
        <v>50.856999999999999</v>
      </c>
      <c r="M137" s="59" t="s">
        <v>334</v>
      </c>
      <c r="N137" s="58"/>
    </row>
    <row r="138" spans="1:15" ht="18" customHeight="1">
      <c r="A138" s="57">
        <v>29</v>
      </c>
      <c r="B138" s="58">
        <v>52.466000000000001</v>
      </c>
      <c r="C138" s="58" t="s">
        <v>335</v>
      </c>
      <c r="D138" s="58">
        <v>52.781999999999996</v>
      </c>
      <c r="E138" s="58">
        <v>52.145000000000003</v>
      </c>
      <c r="F138" s="58">
        <v>52.268000000000001</v>
      </c>
      <c r="G138" s="58" t="s">
        <v>334</v>
      </c>
      <c r="H138" s="58">
        <v>51.156999999999996</v>
      </c>
      <c r="I138" s="58">
        <v>52.273000000000003</v>
      </c>
      <c r="J138" s="58" t="s">
        <v>334</v>
      </c>
      <c r="K138" s="58">
        <v>51.143000000000001</v>
      </c>
      <c r="L138" s="58">
        <v>50.798000000000002</v>
      </c>
      <c r="M138" s="59" t="s">
        <v>334</v>
      </c>
      <c r="N138" s="58"/>
    </row>
    <row r="139" spans="1:15" ht="18" customHeight="1">
      <c r="A139" s="57">
        <v>30</v>
      </c>
      <c r="B139" s="58">
        <v>52.481999999999999</v>
      </c>
      <c r="C139" s="58" t="s">
        <v>335</v>
      </c>
      <c r="D139" s="58" t="s">
        <v>334</v>
      </c>
      <c r="E139" s="58">
        <v>52.106000000000002</v>
      </c>
      <c r="F139" s="58">
        <v>52.381999999999998</v>
      </c>
      <c r="G139" s="58" t="s">
        <v>334</v>
      </c>
      <c r="H139" s="58">
        <v>51.015999999999998</v>
      </c>
      <c r="I139" s="58">
        <v>52.338999999999999</v>
      </c>
      <c r="J139" s="58">
        <v>52.042000000000002</v>
      </c>
      <c r="K139" s="58">
        <v>51.043999999999997</v>
      </c>
      <c r="L139" s="58" t="s">
        <v>334</v>
      </c>
      <c r="M139" s="59" t="s">
        <v>334</v>
      </c>
      <c r="N139" s="58"/>
    </row>
    <row r="140" spans="1:15" ht="18" customHeight="1">
      <c r="A140" s="57">
        <v>31</v>
      </c>
      <c r="B140" s="58">
        <v>52.351999999999997</v>
      </c>
      <c r="C140" s="58" t="s">
        <v>335</v>
      </c>
      <c r="D140" s="58" t="s">
        <v>334</v>
      </c>
      <c r="E140" s="58" t="s">
        <v>335</v>
      </c>
      <c r="F140" s="58">
        <v>52.256999999999998</v>
      </c>
      <c r="G140" s="58" t="s">
        <v>335</v>
      </c>
      <c r="H140" s="58">
        <v>51.012999999999998</v>
      </c>
      <c r="I140" s="58" t="s">
        <v>334</v>
      </c>
      <c r="J140" s="58" t="s">
        <v>335</v>
      </c>
      <c r="K140" s="58">
        <v>51.033000000000001</v>
      </c>
      <c r="L140" s="58" t="s">
        <v>335</v>
      </c>
      <c r="M140" s="59" t="s">
        <v>334</v>
      </c>
      <c r="N140" s="58"/>
    </row>
    <row r="141" spans="1:15" ht="18" customHeight="1" thickBot="1">
      <c r="A141" s="60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2"/>
      <c r="N141" s="58"/>
    </row>
    <row r="142" spans="1:15" ht="18" customHeight="1">
      <c r="A142" s="618">
        <v>2018</v>
      </c>
      <c r="B142" s="619"/>
      <c r="C142" s="619"/>
      <c r="D142" s="619"/>
      <c r="E142" s="619"/>
      <c r="F142" s="619"/>
      <c r="G142" s="619"/>
      <c r="H142" s="619"/>
      <c r="I142" s="619"/>
      <c r="J142" s="619"/>
      <c r="K142" s="619"/>
      <c r="L142" s="619"/>
      <c r="M142" s="620"/>
      <c r="N142" s="52"/>
    </row>
    <row r="143" spans="1:15" ht="18" customHeight="1" thickBot="1">
      <c r="A143" s="63" t="s">
        <v>322</v>
      </c>
      <c r="B143" s="64" t="s">
        <v>323</v>
      </c>
      <c r="C143" s="64" t="s">
        <v>324</v>
      </c>
      <c r="D143" s="64" t="s">
        <v>325</v>
      </c>
      <c r="E143" s="64" t="s">
        <v>326</v>
      </c>
      <c r="F143" s="64" t="s">
        <v>236</v>
      </c>
      <c r="G143" s="64" t="s">
        <v>327</v>
      </c>
      <c r="H143" s="64" t="s">
        <v>328</v>
      </c>
      <c r="I143" s="64" t="s">
        <v>329</v>
      </c>
      <c r="J143" s="64" t="s">
        <v>330</v>
      </c>
      <c r="K143" s="64" t="s">
        <v>331</v>
      </c>
      <c r="L143" s="64" t="s">
        <v>332</v>
      </c>
      <c r="M143" s="65" t="s">
        <v>333</v>
      </c>
      <c r="N143" s="52"/>
    </row>
    <row r="144" spans="1:15" ht="18" customHeight="1">
      <c r="A144" s="54">
        <v>1</v>
      </c>
      <c r="B144" s="55" t="s">
        <v>334</v>
      </c>
      <c r="C144" s="55">
        <v>51.341000000000001</v>
      </c>
      <c r="D144" s="55">
        <v>52.07</v>
      </c>
      <c r="E144" s="55" t="s">
        <v>334</v>
      </c>
      <c r="F144" s="55" t="s">
        <v>334</v>
      </c>
      <c r="G144" s="55">
        <v>52.554000000000002</v>
      </c>
      <c r="H144" s="55" t="s">
        <v>334</v>
      </c>
      <c r="I144" s="55">
        <v>53.16</v>
      </c>
      <c r="J144" s="55" t="s">
        <v>334</v>
      </c>
      <c r="K144" s="55">
        <v>54.101999999999997</v>
      </c>
      <c r="L144" s="55" t="s">
        <v>334</v>
      </c>
      <c r="M144" s="56" t="s">
        <v>334</v>
      </c>
      <c r="N144" s="83">
        <v>2018</v>
      </c>
      <c r="O144" s="47">
        <f>AVERAGE(B144:M174)</f>
        <v>52.676294628099164</v>
      </c>
    </row>
    <row r="145" spans="1:14" ht="18" customHeight="1">
      <c r="A145" s="57">
        <v>2</v>
      </c>
      <c r="B145" s="58" t="s">
        <v>334</v>
      </c>
      <c r="C145" s="58">
        <v>51.491</v>
      </c>
      <c r="D145" s="58">
        <v>52.015000000000001</v>
      </c>
      <c r="E145" s="58">
        <v>52.25</v>
      </c>
      <c r="F145" s="58">
        <v>51.734000000000002</v>
      </c>
      <c r="G145" s="58" t="s">
        <v>334</v>
      </c>
      <c r="H145" s="58">
        <v>53.404000000000003</v>
      </c>
      <c r="I145" s="58">
        <v>53.115000000000002</v>
      </c>
      <c r="J145" s="58" t="s">
        <v>334</v>
      </c>
      <c r="K145" s="58">
        <v>54.094999999999999</v>
      </c>
      <c r="L145" s="58" t="s">
        <v>334</v>
      </c>
      <c r="M145" s="59" t="s">
        <v>334</v>
      </c>
      <c r="N145" s="58"/>
    </row>
    <row r="146" spans="1:14" ht="18" customHeight="1">
      <c r="A146" s="57">
        <v>3</v>
      </c>
      <c r="B146" s="58">
        <v>49.957999999999998</v>
      </c>
      <c r="C146" s="58" t="s">
        <v>334</v>
      </c>
      <c r="D146" s="58" t="s">
        <v>334</v>
      </c>
      <c r="E146" s="58">
        <v>52.134999999999998</v>
      </c>
      <c r="F146" s="58">
        <v>51.866999999999997</v>
      </c>
      <c r="G146" s="58" t="s">
        <v>334</v>
      </c>
      <c r="H146" s="58">
        <v>53.39</v>
      </c>
      <c r="I146" s="58">
        <v>53.008000000000003</v>
      </c>
      <c r="J146" s="58">
        <v>53.475000000000001</v>
      </c>
      <c r="K146" s="58">
        <v>54.250999999999998</v>
      </c>
      <c r="L146" s="58" t="s">
        <v>334</v>
      </c>
      <c r="M146" s="59">
        <v>52.389000000000003</v>
      </c>
      <c r="N146" s="58"/>
    </row>
    <row r="147" spans="1:14" ht="18" customHeight="1">
      <c r="A147" s="57">
        <v>4</v>
      </c>
      <c r="B147" s="58">
        <v>49.856999999999999</v>
      </c>
      <c r="C147" s="58" t="s">
        <v>334</v>
      </c>
      <c r="D147" s="58" t="s">
        <v>334</v>
      </c>
      <c r="E147" s="58">
        <v>52.026000000000003</v>
      </c>
      <c r="F147" s="58">
        <v>51.86</v>
      </c>
      <c r="G147" s="58">
        <v>52.594000000000001</v>
      </c>
      <c r="H147" s="58">
        <v>53.432000000000002</v>
      </c>
      <c r="I147" s="58" t="s">
        <v>334</v>
      </c>
      <c r="J147" s="58">
        <v>53.503999999999998</v>
      </c>
      <c r="K147" s="58">
        <v>54.225999999999999</v>
      </c>
      <c r="L147" s="58" t="s">
        <v>334</v>
      </c>
      <c r="M147" s="59">
        <v>52.335000000000001</v>
      </c>
      <c r="N147" s="58"/>
    </row>
    <row r="148" spans="1:14" ht="18" customHeight="1">
      <c r="A148" s="57">
        <v>5</v>
      </c>
      <c r="B148" s="58">
        <v>49.878999999999998</v>
      </c>
      <c r="C148" s="58">
        <v>51.655999999999999</v>
      </c>
      <c r="D148" s="58">
        <v>51.863999999999997</v>
      </c>
      <c r="E148" s="58">
        <v>52.058999999999997</v>
      </c>
      <c r="F148" s="58" t="s">
        <v>334</v>
      </c>
      <c r="G148" s="58">
        <v>52.578000000000003</v>
      </c>
      <c r="H148" s="58">
        <v>53.343000000000004</v>
      </c>
      <c r="I148" s="58" t="s">
        <v>334</v>
      </c>
      <c r="J148" s="58">
        <v>53.53</v>
      </c>
      <c r="K148" s="58">
        <v>54.344999999999999</v>
      </c>
      <c r="L148" s="58">
        <v>53.527000000000001</v>
      </c>
      <c r="M148" s="59">
        <v>52.542000000000002</v>
      </c>
      <c r="N148" s="58"/>
    </row>
    <row r="149" spans="1:14" ht="18" customHeight="1">
      <c r="A149" s="57">
        <v>6</v>
      </c>
      <c r="B149" s="58" t="s">
        <v>334</v>
      </c>
      <c r="C149" s="58">
        <v>51.548999999999999</v>
      </c>
      <c r="D149" s="58">
        <v>51.942999999999998</v>
      </c>
      <c r="E149" s="58">
        <v>52.128</v>
      </c>
      <c r="F149" s="58" t="s">
        <v>334</v>
      </c>
      <c r="G149" s="58">
        <v>52.533000000000001</v>
      </c>
      <c r="H149" s="58">
        <v>53.41</v>
      </c>
      <c r="I149" s="58">
        <v>53.146000000000001</v>
      </c>
      <c r="J149" s="58">
        <v>53.546999999999997</v>
      </c>
      <c r="K149" s="58" t="s">
        <v>334</v>
      </c>
      <c r="L149" s="58">
        <v>53.268999999999998</v>
      </c>
      <c r="M149" s="59">
        <v>52.706000000000003</v>
      </c>
      <c r="N149" s="58"/>
    </row>
    <row r="150" spans="1:14" ht="18" customHeight="1">
      <c r="A150" s="57">
        <v>7</v>
      </c>
      <c r="B150" s="58" t="s">
        <v>334</v>
      </c>
      <c r="C150" s="58">
        <v>51.55</v>
      </c>
      <c r="D150" s="58">
        <v>51.926000000000002</v>
      </c>
      <c r="E150" s="58" t="s">
        <v>334</v>
      </c>
      <c r="F150" s="58">
        <v>51.646999999999998</v>
      </c>
      <c r="G150" s="58">
        <v>52.36</v>
      </c>
      <c r="H150" s="58" t="s">
        <v>334</v>
      </c>
      <c r="I150" s="58">
        <v>53.04</v>
      </c>
      <c r="J150" s="58">
        <v>53.683999999999997</v>
      </c>
      <c r="K150" s="58" t="s">
        <v>334</v>
      </c>
      <c r="L150" s="58">
        <v>53.146999999999998</v>
      </c>
      <c r="M150" s="59">
        <v>52.81</v>
      </c>
      <c r="N150" s="58"/>
    </row>
    <row r="151" spans="1:14" ht="18" customHeight="1">
      <c r="A151" s="57">
        <v>8</v>
      </c>
      <c r="B151" s="58">
        <v>49.768999999999998</v>
      </c>
      <c r="C151" s="58">
        <v>51.207000000000001</v>
      </c>
      <c r="D151" s="58">
        <v>52.029000000000003</v>
      </c>
      <c r="E151" s="58" t="s">
        <v>334</v>
      </c>
      <c r="F151" s="58">
        <v>51.805</v>
      </c>
      <c r="G151" s="58">
        <v>52.459000000000003</v>
      </c>
      <c r="H151" s="58" t="s">
        <v>334</v>
      </c>
      <c r="I151" s="58">
        <v>52.921999999999997</v>
      </c>
      <c r="J151" s="58" t="s">
        <v>334</v>
      </c>
      <c r="K151" s="58">
        <v>54.280999999999999</v>
      </c>
      <c r="L151" s="58">
        <v>52.991999999999997</v>
      </c>
      <c r="M151" s="59" t="s">
        <v>334</v>
      </c>
      <c r="N151" s="58"/>
    </row>
    <row r="152" spans="1:14" ht="18" customHeight="1">
      <c r="A152" s="57">
        <v>9</v>
      </c>
      <c r="B152" s="58">
        <v>50</v>
      </c>
      <c r="C152" s="58">
        <v>51.302999999999997</v>
      </c>
      <c r="D152" s="58">
        <v>52.015999999999998</v>
      </c>
      <c r="E152" s="58" t="s">
        <v>334</v>
      </c>
      <c r="F152" s="58">
        <v>51.887</v>
      </c>
      <c r="G152" s="58" t="s">
        <v>334</v>
      </c>
      <c r="H152" s="58">
        <v>53.411999999999999</v>
      </c>
      <c r="I152" s="58">
        <v>53.024999999999999</v>
      </c>
      <c r="J152" s="58" t="s">
        <v>334</v>
      </c>
      <c r="K152" s="58">
        <v>54.231999999999999</v>
      </c>
      <c r="L152" s="58">
        <v>52.634999999999998</v>
      </c>
      <c r="M152" s="59" t="s">
        <v>334</v>
      </c>
      <c r="N152" s="58"/>
    </row>
    <row r="153" spans="1:14" ht="18" customHeight="1">
      <c r="A153" s="57">
        <v>10</v>
      </c>
      <c r="B153" s="58">
        <v>50.231999999999999</v>
      </c>
      <c r="C153" s="58" t="s">
        <v>334</v>
      </c>
      <c r="D153" s="58" t="s">
        <v>334</v>
      </c>
      <c r="E153" s="58">
        <v>52.084000000000003</v>
      </c>
      <c r="F153" s="58">
        <v>52.008000000000003</v>
      </c>
      <c r="G153" s="58" t="s">
        <v>334</v>
      </c>
      <c r="H153" s="58">
        <v>53.359000000000002</v>
      </c>
      <c r="I153" s="58">
        <v>53.106999999999999</v>
      </c>
      <c r="J153" s="58">
        <v>53.831000000000003</v>
      </c>
      <c r="K153" s="58">
        <v>54.165999999999997</v>
      </c>
      <c r="L153" s="58" t="s">
        <v>334</v>
      </c>
      <c r="M153" s="59">
        <v>52.655999999999999</v>
      </c>
      <c r="N153" s="58"/>
    </row>
    <row r="154" spans="1:14" ht="18" customHeight="1">
      <c r="A154" s="57">
        <v>11</v>
      </c>
      <c r="B154" s="58">
        <v>50.381</v>
      </c>
      <c r="C154" s="58" t="s">
        <v>334</v>
      </c>
      <c r="D154" s="58" t="s">
        <v>334</v>
      </c>
      <c r="E154" s="58">
        <v>51.991999999999997</v>
      </c>
      <c r="F154" s="58">
        <v>51.887</v>
      </c>
      <c r="G154" s="58">
        <v>52.65</v>
      </c>
      <c r="H154" s="58">
        <v>53.463999999999999</v>
      </c>
      <c r="I154" s="58" t="s">
        <v>334</v>
      </c>
      <c r="J154" s="58">
        <v>53.853999999999999</v>
      </c>
      <c r="K154" s="58">
        <v>54.170999999999999</v>
      </c>
      <c r="L154" s="58" t="s">
        <v>334</v>
      </c>
      <c r="M154" s="59">
        <v>52.786000000000001</v>
      </c>
      <c r="N154" s="58"/>
    </row>
    <row r="155" spans="1:14" ht="18" customHeight="1">
      <c r="A155" s="57">
        <v>12</v>
      </c>
      <c r="B155" s="58">
        <v>50.378</v>
      </c>
      <c r="C155" s="58">
        <v>51.651000000000003</v>
      </c>
      <c r="D155" s="58">
        <v>52.094000000000001</v>
      </c>
      <c r="E155" s="58">
        <v>51.935000000000002</v>
      </c>
      <c r="F155" s="58" t="s">
        <v>334</v>
      </c>
      <c r="G155" s="58" t="s">
        <v>334</v>
      </c>
      <c r="H155" s="58">
        <v>53.515999999999998</v>
      </c>
      <c r="I155" s="58" t="s">
        <v>334</v>
      </c>
      <c r="J155" s="58">
        <v>53.923999999999999</v>
      </c>
      <c r="K155" s="58">
        <v>54.238</v>
      </c>
      <c r="L155" s="58">
        <v>52.923000000000002</v>
      </c>
      <c r="M155" s="59">
        <v>52.844000000000001</v>
      </c>
      <c r="N155" s="58"/>
    </row>
    <row r="156" spans="1:14" ht="18" customHeight="1">
      <c r="A156" s="57">
        <v>13</v>
      </c>
      <c r="B156" s="58" t="s">
        <v>334</v>
      </c>
      <c r="C156" s="58">
        <v>51.651000000000003</v>
      </c>
      <c r="D156" s="58">
        <v>52.008000000000003</v>
      </c>
      <c r="E156" s="58">
        <v>52.017000000000003</v>
      </c>
      <c r="F156" s="58" t="s">
        <v>334</v>
      </c>
      <c r="G156" s="58">
        <v>52.902000000000001</v>
      </c>
      <c r="H156" s="58">
        <v>53.524000000000001</v>
      </c>
      <c r="I156" s="58">
        <v>53.136000000000003</v>
      </c>
      <c r="J156" s="58">
        <v>54.009</v>
      </c>
      <c r="K156" s="58" t="s">
        <v>334</v>
      </c>
      <c r="L156" s="58">
        <v>53.203000000000003</v>
      </c>
      <c r="M156" s="59">
        <v>52.664999999999999</v>
      </c>
      <c r="N156" s="58"/>
    </row>
    <row r="157" spans="1:14" ht="18" customHeight="1">
      <c r="A157" s="57">
        <v>14</v>
      </c>
      <c r="B157" s="58" t="s">
        <v>334</v>
      </c>
      <c r="C157" s="58">
        <v>51.915999999999997</v>
      </c>
      <c r="D157" s="58">
        <v>52.037999999999997</v>
      </c>
      <c r="E157" s="58" t="s">
        <v>334</v>
      </c>
      <c r="F157" s="58" t="s">
        <v>334</v>
      </c>
      <c r="G157" s="58">
        <v>53.122</v>
      </c>
      <c r="H157" s="58" t="s">
        <v>334</v>
      </c>
      <c r="I157" s="58">
        <v>53.307000000000002</v>
      </c>
      <c r="J157" s="58">
        <v>54.003999999999998</v>
      </c>
      <c r="K157" s="58" t="s">
        <v>334</v>
      </c>
      <c r="L157" s="58">
        <v>53.194000000000003</v>
      </c>
      <c r="M157" s="59">
        <v>52.615000000000002</v>
      </c>
      <c r="N157" s="58"/>
    </row>
    <row r="158" spans="1:14" ht="18" customHeight="1">
      <c r="A158" s="57">
        <v>15</v>
      </c>
      <c r="B158" s="58">
        <v>50.301000000000002</v>
      </c>
      <c r="C158" s="58">
        <v>52.024000000000001</v>
      </c>
      <c r="D158" s="58">
        <v>52.055999999999997</v>
      </c>
      <c r="E158" s="58" t="s">
        <v>334</v>
      </c>
      <c r="F158" s="58">
        <v>52.097999999999999</v>
      </c>
      <c r="G158" s="58" t="s">
        <v>334</v>
      </c>
      <c r="H158" s="58" t="s">
        <v>334</v>
      </c>
      <c r="I158" s="58">
        <v>53.451000000000001</v>
      </c>
      <c r="J158" s="58" t="s">
        <v>334</v>
      </c>
      <c r="K158" s="58">
        <v>54.081000000000003</v>
      </c>
      <c r="L158" s="58">
        <v>53.046999999999997</v>
      </c>
      <c r="M158" s="59" t="s">
        <v>334</v>
      </c>
      <c r="N158" s="58"/>
    </row>
    <row r="159" spans="1:14" ht="18" customHeight="1">
      <c r="A159" s="57">
        <v>16</v>
      </c>
      <c r="B159" s="58">
        <v>50.35</v>
      </c>
      <c r="C159" s="58" t="s">
        <v>334</v>
      </c>
      <c r="D159" s="58">
        <v>52.073</v>
      </c>
      <c r="E159" s="58">
        <v>51.988999999999997</v>
      </c>
      <c r="F159" s="58">
        <v>52.401000000000003</v>
      </c>
      <c r="G159" s="58" t="s">
        <v>334</v>
      </c>
      <c r="H159" s="58">
        <v>53.47</v>
      </c>
      <c r="I159" s="58">
        <v>53.499000000000002</v>
      </c>
      <c r="J159" s="58" t="s">
        <v>334</v>
      </c>
      <c r="K159" s="58">
        <v>54.13</v>
      </c>
      <c r="L159" s="58">
        <v>52.914000000000001</v>
      </c>
      <c r="M159" s="59" t="s">
        <v>334</v>
      </c>
      <c r="N159" s="58"/>
    </row>
    <row r="160" spans="1:14" ht="18" customHeight="1">
      <c r="A160" s="57">
        <v>17</v>
      </c>
      <c r="B160" s="58">
        <v>50.454000000000001</v>
      </c>
      <c r="C160" s="58" t="s">
        <v>334</v>
      </c>
      <c r="D160" s="58" t="s">
        <v>334</v>
      </c>
      <c r="E160" s="58">
        <v>52.027000000000001</v>
      </c>
      <c r="F160" s="58">
        <v>52.286000000000001</v>
      </c>
      <c r="G160" s="58" t="s">
        <v>334</v>
      </c>
      <c r="H160" s="58">
        <v>53.521999999999998</v>
      </c>
      <c r="I160" s="58">
        <v>53.442999999999998</v>
      </c>
      <c r="J160" s="58">
        <v>54.011000000000003</v>
      </c>
      <c r="K160" s="58">
        <v>54.043999999999997</v>
      </c>
      <c r="L160" s="58" t="s">
        <v>334</v>
      </c>
      <c r="M160" s="59">
        <v>52.76</v>
      </c>
      <c r="N160" s="58"/>
    </row>
    <row r="161" spans="1:14" ht="18" customHeight="1">
      <c r="A161" s="57">
        <v>18</v>
      </c>
      <c r="B161" s="58">
        <v>50.65</v>
      </c>
      <c r="C161" s="58" t="s">
        <v>334</v>
      </c>
      <c r="D161" s="58" t="s">
        <v>334</v>
      </c>
      <c r="E161" s="58">
        <v>52.072000000000003</v>
      </c>
      <c r="F161" s="58">
        <v>52.253999999999998</v>
      </c>
      <c r="G161" s="58">
        <v>53.313000000000002</v>
      </c>
      <c r="H161" s="58">
        <v>53.466000000000001</v>
      </c>
      <c r="I161" s="58" t="s">
        <v>334</v>
      </c>
      <c r="J161" s="58">
        <v>54.207000000000001</v>
      </c>
      <c r="K161" s="58">
        <v>53.890999999999998</v>
      </c>
      <c r="L161" s="58" t="s">
        <v>334</v>
      </c>
      <c r="M161" s="59">
        <v>53.008000000000003</v>
      </c>
      <c r="N161" s="58"/>
    </row>
    <row r="162" spans="1:14" ht="18" customHeight="1">
      <c r="A162" s="57">
        <v>19</v>
      </c>
      <c r="B162" s="58">
        <v>50.755000000000003</v>
      </c>
      <c r="C162" s="58">
        <v>52.005000000000003</v>
      </c>
      <c r="D162" s="58">
        <v>52.002000000000002</v>
      </c>
      <c r="E162" s="58">
        <v>52.097000000000001</v>
      </c>
      <c r="F162" s="58" t="s">
        <v>334</v>
      </c>
      <c r="G162" s="58">
        <v>53.457999999999998</v>
      </c>
      <c r="H162" s="58">
        <v>53.469000000000001</v>
      </c>
      <c r="I162" s="58" t="s">
        <v>334</v>
      </c>
      <c r="J162" s="58">
        <v>54.101999999999997</v>
      </c>
      <c r="K162" s="58">
        <v>53.999000000000002</v>
      </c>
      <c r="L162" s="58">
        <v>52.68</v>
      </c>
      <c r="M162" s="59">
        <v>52.972999999999999</v>
      </c>
      <c r="N162" s="58"/>
    </row>
    <row r="163" spans="1:14" ht="18" customHeight="1">
      <c r="A163" s="57">
        <v>20</v>
      </c>
      <c r="B163" s="58" t="s">
        <v>334</v>
      </c>
      <c r="C163" s="58">
        <v>52.353999999999999</v>
      </c>
      <c r="D163" s="58">
        <v>52.040999999999997</v>
      </c>
      <c r="E163" s="58">
        <v>52.064999999999998</v>
      </c>
      <c r="F163" s="58" t="s">
        <v>334</v>
      </c>
      <c r="G163" s="58">
        <v>53.395000000000003</v>
      </c>
      <c r="H163" s="58">
        <v>53.52</v>
      </c>
      <c r="I163" s="58">
        <v>53.414000000000001</v>
      </c>
      <c r="J163" s="58">
        <v>54.06</v>
      </c>
      <c r="K163" s="58" t="s">
        <v>334</v>
      </c>
      <c r="L163" s="58">
        <v>52.6</v>
      </c>
      <c r="M163" s="59">
        <v>53.026000000000003</v>
      </c>
      <c r="N163" s="58"/>
    </row>
    <row r="164" spans="1:14" ht="18" customHeight="1">
      <c r="A164" s="57">
        <v>21</v>
      </c>
      <c r="B164" s="58" t="s">
        <v>334</v>
      </c>
      <c r="C164" s="58">
        <v>52.232999999999997</v>
      </c>
      <c r="D164" s="58">
        <v>52.112000000000002</v>
      </c>
      <c r="E164" s="58" t="s">
        <v>334</v>
      </c>
      <c r="F164" s="58">
        <v>52.32</v>
      </c>
      <c r="G164" s="58">
        <v>53.389000000000003</v>
      </c>
      <c r="H164" s="58" t="s">
        <v>334</v>
      </c>
      <c r="I164" s="58" t="s">
        <v>334</v>
      </c>
      <c r="J164" s="58">
        <v>54.015999999999998</v>
      </c>
      <c r="K164" s="58" t="s">
        <v>334</v>
      </c>
      <c r="L164" s="58">
        <v>52.533000000000001</v>
      </c>
      <c r="M164" s="59">
        <v>53.173000000000002</v>
      </c>
      <c r="N164" s="58"/>
    </row>
    <row r="165" spans="1:14" ht="18" customHeight="1">
      <c r="A165" s="57">
        <v>22</v>
      </c>
      <c r="B165" s="58">
        <v>50.689</v>
      </c>
      <c r="C165" s="58">
        <v>52.124000000000002</v>
      </c>
      <c r="D165" s="58">
        <v>52.076000000000001</v>
      </c>
      <c r="E165" s="58" t="s">
        <v>334</v>
      </c>
      <c r="F165" s="58">
        <v>52.41</v>
      </c>
      <c r="G165" s="58">
        <v>53.418999999999997</v>
      </c>
      <c r="H165" s="58" t="s">
        <v>334</v>
      </c>
      <c r="I165" s="58">
        <v>53.386000000000003</v>
      </c>
      <c r="J165" s="58" t="s">
        <v>334</v>
      </c>
      <c r="K165" s="58">
        <v>53.878</v>
      </c>
      <c r="L165" s="58">
        <v>52.5</v>
      </c>
      <c r="M165" s="59" t="s">
        <v>334</v>
      </c>
      <c r="N165" s="58"/>
    </row>
    <row r="166" spans="1:14" ht="18" customHeight="1">
      <c r="A166" s="57">
        <v>23</v>
      </c>
      <c r="B166" s="58">
        <v>50.835000000000001</v>
      </c>
      <c r="C166" s="58">
        <v>52.116</v>
      </c>
      <c r="D166" s="58">
        <v>52.158000000000001</v>
      </c>
      <c r="E166" s="58">
        <v>52.137</v>
      </c>
      <c r="F166" s="58">
        <v>52.313000000000002</v>
      </c>
      <c r="G166" s="58"/>
      <c r="H166" s="58">
        <v>53.515000000000001</v>
      </c>
      <c r="I166" s="58">
        <v>53.395000000000003</v>
      </c>
      <c r="J166" s="58" t="s">
        <v>334</v>
      </c>
      <c r="K166" s="58">
        <v>53.732999999999997</v>
      </c>
      <c r="L166" s="58">
        <v>52.277000000000001</v>
      </c>
      <c r="M166" s="59" t="s">
        <v>334</v>
      </c>
      <c r="N166" s="58"/>
    </row>
    <row r="167" spans="1:14" ht="18" customHeight="1">
      <c r="A167" s="57">
        <v>24</v>
      </c>
      <c r="B167" s="58">
        <v>51.008000000000003</v>
      </c>
      <c r="C167" s="58" t="s">
        <v>334</v>
      </c>
      <c r="D167" s="58" t="s">
        <v>334</v>
      </c>
      <c r="E167" s="58">
        <v>52.173000000000002</v>
      </c>
      <c r="F167" s="58">
        <v>52.372999999999998</v>
      </c>
      <c r="G167" s="58"/>
      <c r="H167" s="58">
        <v>53.445999999999998</v>
      </c>
      <c r="I167" s="58">
        <v>53.488</v>
      </c>
      <c r="J167" s="58">
        <v>54.027000000000001</v>
      </c>
      <c r="K167" s="58">
        <v>53.871000000000002</v>
      </c>
      <c r="L167" s="58"/>
      <c r="M167" s="59" t="s">
        <v>334</v>
      </c>
      <c r="N167" s="58"/>
    </row>
    <row r="168" spans="1:14" ht="18" customHeight="1">
      <c r="A168" s="57">
        <v>25</v>
      </c>
      <c r="B168" s="58">
        <v>51.021000000000001</v>
      </c>
      <c r="C168" s="58" t="s">
        <v>334</v>
      </c>
      <c r="D168" s="58" t="s">
        <v>334</v>
      </c>
      <c r="E168" s="58">
        <v>52.302999999999997</v>
      </c>
      <c r="F168" s="58">
        <v>52.533000000000001</v>
      </c>
      <c r="G168" s="58">
        <v>53.348999999999997</v>
      </c>
      <c r="H168" s="58">
        <v>53.493000000000002</v>
      </c>
      <c r="I168" s="58" t="s">
        <v>334</v>
      </c>
      <c r="J168" s="58">
        <v>54.210999999999999</v>
      </c>
      <c r="K168" s="58">
        <v>53.737000000000002</v>
      </c>
      <c r="L168" s="58"/>
      <c r="M168" s="59" t="s">
        <v>334</v>
      </c>
      <c r="N168" s="58"/>
    </row>
    <row r="169" spans="1:14" ht="18" customHeight="1">
      <c r="A169" s="57">
        <v>26</v>
      </c>
      <c r="B169" s="58">
        <v>50.819000000000003</v>
      </c>
      <c r="C169" s="58">
        <v>51.893000000000001</v>
      </c>
      <c r="D169" s="58">
        <v>52.338000000000001</v>
      </c>
      <c r="E169" s="58">
        <v>52.286999999999999</v>
      </c>
      <c r="F169" s="58" t="s">
        <v>334</v>
      </c>
      <c r="G169" s="58">
        <v>53.405000000000001</v>
      </c>
      <c r="H169" s="58">
        <v>53.381</v>
      </c>
      <c r="I169" s="58" t="s">
        <v>334</v>
      </c>
      <c r="J169" s="58">
        <v>54.322000000000003</v>
      </c>
      <c r="K169" s="58">
        <v>53.789000000000001</v>
      </c>
      <c r="L169" s="58">
        <v>52.390999999999998</v>
      </c>
      <c r="M169" s="59" t="s">
        <v>334</v>
      </c>
      <c r="N169" s="58"/>
    </row>
    <row r="170" spans="1:14" ht="18" customHeight="1">
      <c r="A170" s="57">
        <v>27</v>
      </c>
      <c r="B170" s="58"/>
      <c r="C170" s="58">
        <v>51.829000000000001</v>
      </c>
      <c r="D170" s="58">
        <v>52.286000000000001</v>
      </c>
      <c r="E170" s="58">
        <v>52.231000000000002</v>
      </c>
      <c r="F170" s="58" t="s">
        <v>334</v>
      </c>
      <c r="G170" s="58">
        <v>53.420999999999999</v>
      </c>
      <c r="H170" s="58">
        <v>53.353999999999999</v>
      </c>
      <c r="I170" s="58" t="s">
        <v>334</v>
      </c>
      <c r="J170" s="58">
        <v>54.268999999999998</v>
      </c>
      <c r="K170" s="58" t="s">
        <v>334</v>
      </c>
      <c r="L170" s="58">
        <v>52.393999999999998</v>
      </c>
      <c r="M170" s="59">
        <v>53.061999999999998</v>
      </c>
      <c r="N170" s="58"/>
    </row>
    <row r="171" spans="1:14" ht="18" customHeight="1">
      <c r="A171" s="57">
        <v>28</v>
      </c>
      <c r="B171" s="58"/>
      <c r="C171" s="58">
        <v>52.033999999999999</v>
      </c>
      <c r="D171" s="58">
        <v>52.207000000000001</v>
      </c>
      <c r="E171" s="58" t="s">
        <v>334</v>
      </c>
      <c r="F171" s="58">
        <v>52.585999999999999</v>
      </c>
      <c r="G171" s="58">
        <v>53.482300000000002</v>
      </c>
      <c r="H171" s="58" t="s">
        <v>334</v>
      </c>
      <c r="I171" s="58">
        <v>53.494999999999997</v>
      </c>
      <c r="J171" s="58">
        <v>54.250999999999998</v>
      </c>
      <c r="K171" s="58" t="s">
        <v>334</v>
      </c>
      <c r="L171" s="58">
        <v>52.523000000000003</v>
      </c>
      <c r="M171" s="59">
        <v>52.723999999999997</v>
      </c>
      <c r="N171" s="58"/>
    </row>
    <row r="172" spans="1:14" ht="18" customHeight="1">
      <c r="A172" s="57">
        <v>29</v>
      </c>
      <c r="B172" s="58">
        <v>50.884999999999998</v>
      </c>
      <c r="C172" s="58" t="s">
        <v>335</v>
      </c>
      <c r="D172" s="58" t="s">
        <v>334</v>
      </c>
      <c r="E172" s="58" t="s">
        <v>334</v>
      </c>
      <c r="F172" s="58">
        <v>52.530999999999999</v>
      </c>
      <c r="G172" s="58">
        <v>53.521999999999998</v>
      </c>
      <c r="H172" s="58" t="s">
        <v>334</v>
      </c>
      <c r="I172" s="58">
        <v>53.362000000000002</v>
      </c>
      <c r="J172" s="58" t="s">
        <v>334</v>
      </c>
      <c r="K172" s="58">
        <v>53.731999999999999</v>
      </c>
      <c r="L172" s="58">
        <v>52.607999999999997</v>
      </c>
      <c r="M172" s="59" t="s">
        <v>334</v>
      </c>
      <c r="N172" s="58"/>
    </row>
    <row r="173" spans="1:14" ht="18" customHeight="1">
      <c r="A173" s="57">
        <v>30</v>
      </c>
      <c r="B173" s="58">
        <v>51.04</v>
      </c>
      <c r="C173" s="58" t="s">
        <v>335</v>
      </c>
      <c r="D173" s="58" t="s">
        <v>334</v>
      </c>
      <c r="E173" s="58">
        <v>51.965000000000003</v>
      </c>
      <c r="F173" s="58">
        <v>52.601999999999997</v>
      </c>
      <c r="G173" s="58" t="s">
        <v>334</v>
      </c>
      <c r="H173" s="58">
        <v>53.371000000000002</v>
      </c>
      <c r="I173" s="58">
        <v>53.411000000000001</v>
      </c>
      <c r="J173" s="58" t="s">
        <v>334</v>
      </c>
      <c r="K173" s="58">
        <v>53.598999999999997</v>
      </c>
      <c r="L173" s="58" t="s">
        <v>334</v>
      </c>
      <c r="M173" s="59" t="s">
        <v>334</v>
      </c>
      <c r="N173" s="58"/>
    </row>
    <row r="174" spans="1:14" ht="18" customHeight="1">
      <c r="A174" s="57">
        <v>31</v>
      </c>
      <c r="B174" s="58">
        <v>51.420999999999999</v>
      </c>
      <c r="C174" s="58" t="s">
        <v>335</v>
      </c>
      <c r="D174" s="58" t="s">
        <v>334</v>
      </c>
      <c r="E174" s="58" t="s">
        <v>335</v>
      </c>
      <c r="F174" s="58">
        <v>52.689</v>
      </c>
      <c r="G174" s="58" t="s">
        <v>335</v>
      </c>
      <c r="H174" s="58">
        <v>53.262999999999998</v>
      </c>
      <c r="I174" s="58">
        <v>53.433999999999997</v>
      </c>
      <c r="J174" s="58" t="s">
        <v>335</v>
      </c>
      <c r="K174" s="58">
        <v>53.606000000000002</v>
      </c>
      <c r="L174" s="58" t="s">
        <v>335</v>
      </c>
      <c r="M174" s="59" t="s">
        <v>334</v>
      </c>
      <c r="N174" s="58"/>
    </row>
    <row r="175" spans="1:14" ht="18" customHeight="1" thickBot="1">
      <c r="A175" s="60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2"/>
      <c r="N175" s="58"/>
    </row>
    <row r="176" spans="1:14" ht="18" customHeight="1">
      <c r="A176" s="605">
        <v>2017</v>
      </c>
      <c r="B176" s="606"/>
      <c r="C176" s="606"/>
      <c r="D176" s="606"/>
      <c r="E176" s="606"/>
      <c r="F176" s="606"/>
      <c r="G176" s="606"/>
      <c r="H176" s="606"/>
      <c r="I176" s="606"/>
      <c r="J176" s="606"/>
      <c r="K176" s="606"/>
      <c r="L176" s="606"/>
      <c r="M176" s="607"/>
      <c r="N176" s="52"/>
    </row>
    <row r="177" spans="1:15" ht="18" customHeight="1" thickBot="1">
      <c r="A177" s="51" t="s">
        <v>322</v>
      </c>
      <c r="B177" s="52" t="s">
        <v>323</v>
      </c>
      <c r="C177" s="52" t="s">
        <v>324</v>
      </c>
      <c r="D177" s="52" t="s">
        <v>325</v>
      </c>
      <c r="E177" s="52" t="s">
        <v>326</v>
      </c>
      <c r="F177" s="52" t="s">
        <v>236</v>
      </c>
      <c r="G177" s="52" t="s">
        <v>327</v>
      </c>
      <c r="H177" s="52" t="s">
        <v>328</v>
      </c>
      <c r="I177" s="52" t="s">
        <v>329</v>
      </c>
      <c r="J177" s="52" t="s">
        <v>330</v>
      </c>
      <c r="K177" s="52" t="s">
        <v>331</v>
      </c>
      <c r="L177" s="52" t="s">
        <v>332</v>
      </c>
      <c r="M177" s="53" t="s">
        <v>333</v>
      </c>
      <c r="N177" s="52"/>
    </row>
    <row r="178" spans="1:15" ht="18" customHeight="1">
      <c r="A178" s="54">
        <v>1</v>
      </c>
      <c r="B178" s="55" t="s">
        <v>334</v>
      </c>
      <c r="C178" s="55">
        <v>49.756999999999998</v>
      </c>
      <c r="D178" s="55">
        <v>50.255000000000003</v>
      </c>
      <c r="E178" s="55" t="s">
        <v>334</v>
      </c>
      <c r="F178" s="55" t="s">
        <v>334</v>
      </c>
      <c r="G178" s="55">
        <v>49.761000000000003</v>
      </c>
      <c r="H178" s="55" t="s">
        <v>334</v>
      </c>
      <c r="I178" s="55">
        <v>50.502000000000002</v>
      </c>
      <c r="J178" s="55" t="s">
        <v>334</v>
      </c>
      <c r="K178" s="55" t="s">
        <v>334</v>
      </c>
      <c r="L178" s="55" t="s">
        <v>334</v>
      </c>
      <c r="M178" s="56">
        <v>50.345999999999997</v>
      </c>
      <c r="N178" s="83">
        <v>2017</v>
      </c>
      <c r="O178" s="47">
        <f>AVERAGE(B178:M208)</f>
        <v>50.402041152263379</v>
      </c>
    </row>
    <row r="179" spans="1:15" ht="18" customHeight="1">
      <c r="A179" s="57">
        <v>2</v>
      </c>
      <c r="B179" s="58" t="s">
        <v>334</v>
      </c>
      <c r="C179" s="58">
        <v>49.783000000000001</v>
      </c>
      <c r="D179" s="58">
        <v>50.290999999999997</v>
      </c>
      <c r="E179" s="58" t="s">
        <v>334</v>
      </c>
      <c r="F179" s="58">
        <v>49.9</v>
      </c>
      <c r="G179" s="58">
        <v>49.780999999999999</v>
      </c>
      <c r="H179" s="58" t="s">
        <v>334</v>
      </c>
      <c r="I179" s="58">
        <v>50.396999999999998</v>
      </c>
      <c r="J179" s="58" t="s">
        <v>334</v>
      </c>
      <c r="K179" s="58">
        <v>50.83</v>
      </c>
      <c r="L179" s="58">
        <v>51.686</v>
      </c>
      <c r="M179" s="59" t="s">
        <v>334</v>
      </c>
      <c r="N179" s="58"/>
    </row>
    <row r="180" spans="1:15" ht="18" customHeight="1">
      <c r="A180" s="57">
        <v>3</v>
      </c>
      <c r="B180" s="58">
        <v>49.768999999999998</v>
      </c>
      <c r="C180" s="58">
        <v>49.783000000000001</v>
      </c>
      <c r="D180" s="58">
        <v>50.307000000000002</v>
      </c>
      <c r="E180" s="58">
        <v>50.219000000000001</v>
      </c>
      <c r="F180" s="58">
        <v>50.054000000000002</v>
      </c>
      <c r="G180" s="58" t="s">
        <v>334</v>
      </c>
      <c r="H180" s="58">
        <v>50.448999999999998</v>
      </c>
      <c r="I180" s="58">
        <v>50.421999999999997</v>
      </c>
      <c r="J180" s="58" t="s">
        <v>334</v>
      </c>
      <c r="K180" s="58">
        <v>51.036000000000001</v>
      </c>
      <c r="L180" s="58">
        <v>51.488</v>
      </c>
      <c r="M180" s="59" t="s">
        <v>334</v>
      </c>
      <c r="N180" s="58"/>
    </row>
    <row r="181" spans="1:15" ht="18" customHeight="1">
      <c r="A181" s="57">
        <v>4</v>
      </c>
      <c r="B181" s="58">
        <v>49.787999999999997</v>
      </c>
      <c r="C181" s="58" t="s">
        <v>334</v>
      </c>
      <c r="D181" s="58" t="s">
        <v>334</v>
      </c>
      <c r="E181" s="58">
        <v>50.143999999999998</v>
      </c>
      <c r="F181" s="58">
        <v>49.933</v>
      </c>
      <c r="G181" s="58" t="s">
        <v>334</v>
      </c>
      <c r="H181" s="58">
        <v>50.517000000000003</v>
      </c>
      <c r="I181" s="58">
        <v>50.365000000000002</v>
      </c>
      <c r="J181" s="58">
        <v>51.170999999999999</v>
      </c>
      <c r="K181" s="58">
        <v>51.177999999999997</v>
      </c>
      <c r="L181" s="58" t="s">
        <v>334</v>
      </c>
      <c r="M181" s="59">
        <v>50.320999999999998</v>
      </c>
      <c r="N181" s="58"/>
    </row>
    <row r="182" spans="1:15" ht="18" customHeight="1">
      <c r="A182" s="57">
        <v>5</v>
      </c>
      <c r="B182" s="58">
        <v>49.731999999999999</v>
      </c>
      <c r="C182" s="58" t="s">
        <v>334</v>
      </c>
      <c r="D182" s="58" t="s">
        <v>334</v>
      </c>
      <c r="E182" s="58">
        <v>50.158000000000001</v>
      </c>
      <c r="F182" s="58">
        <v>49.927</v>
      </c>
      <c r="G182" s="58">
        <v>49.631</v>
      </c>
      <c r="H182" s="58">
        <v>50.539000000000001</v>
      </c>
      <c r="I182" s="58" t="s">
        <v>334</v>
      </c>
      <c r="J182" s="58">
        <v>51.183</v>
      </c>
      <c r="K182" s="58">
        <v>50.951000000000001</v>
      </c>
      <c r="L182" s="58" t="s">
        <v>334</v>
      </c>
      <c r="M182" s="59">
        <v>50.557000000000002</v>
      </c>
      <c r="N182" s="58"/>
    </row>
    <row r="183" spans="1:15" ht="18" customHeight="1">
      <c r="A183" s="57">
        <v>6</v>
      </c>
      <c r="B183" s="58">
        <v>49.530999999999999</v>
      </c>
      <c r="C183" s="58">
        <v>49.801000000000002</v>
      </c>
      <c r="D183" s="58">
        <v>50.372999999999998</v>
      </c>
      <c r="E183" s="58">
        <v>50.162999999999997</v>
      </c>
      <c r="F183" s="58" t="s">
        <v>334</v>
      </c>
      <c r="G183" s="58">
        <v>49.404000000000003</v>
      </c>
      <c r="H183" s="58">
        <v>50.521000000000001</v>
      </c>
      <c r="I183" s="58" t="s">
        <v>334</v>
      </c>
      <c r="J183" s="58">
        <v>51.118000000000002</v>
      </c>
      <c r="K183" s="58">
        <v>51.018000000000001</v>
      </c>
      <c r="L183" s="58">
        <v>51.27</v>
      </c>
      <c r="M183" s="59">
        <v>50.59</v>
      </c>
      <c r="N183" s="58"/>
    </row>
    <row r="184" spans="1:15" ht="18" customHeight="1">
      <c r="A184" s="57">
        <v>7</v>
      </c>
      <c r="B184" s="58" t="s">
        <v>334</v>
      </c>
      <c r="C184" s="58">
        <v>49.728999999999999</v>
      </c>
      <c r="D184" s="58">
        <v>50.378999999999998</v>
      </c>
      <c r="E184" s="58">
        <v>50.173000000000002</v>
      </c>
      <c r="F184" s="58" t="s">
        <v>334</v>
      </c>
      <c r="G184" s="58">
        <v>49.468000000000004</v>
      </c>
      <c r="H184" s="58">
        <v>50.634999999999998</v>
      </c>
      <c r="I184" s="58">
        <v>50.185000000000002</v>
      </c>
      <c r="J184" s="58">
        <v>51.136000000000003</v>
      </c>
      <c r="K184" s="58" t="s">
        <v>334</v>
      </c>
      <c r="L184" s="58">
        <v>51.304000000000002</v>
      </c>
      <c r="M184" s="59">
        <v>50.676000000000002</v>
      </c>
      <c r="N184" s="58"/>
    </row>
    <row r="185" spans="1:15" ht="18" customHeight="1">
      <c r="A185" s="57">
        <v>8</v>
      </c>
      <c r="B185" s="58" t="s">
        <v>334</v>
      </c>
      <c r="C185" s="58">
        <v>49.670999999999999</v>
      </c>
      <c r="D185" s="58">
        <v>50.319000000000003</v>
      </c>
      <c r="E185" s="58" t="s">
        <v>334</v>
      </c>
      <c r="F185" s="58">
        <v>49.905000000000001</v>
      </c>
      <c r="G185" s="58">
        <v>49.526000000000003</v>
      </c>
      <c r="H185" s="58" t="s">
        <v>334</v>
      </c>
      <c r="I185" s="58">
        <v>50.31</v>
      </c>
      <c r="J185" s="58">
        <v>51.023000000000003</v>
      </c>
      <c r="K185" s="58" t="s">
        <v>334</v>
      </c>
      <c r="L185" s="58">
        <v>51.234999999999999</v>
      </c>
      <c r="M185" s="59">
        <v>50.741</v>
      </c>
      <c r="N185" s="58"/>
    </row>
    <row r="186" spans="1:15" ht="18" customHeight="1">
      <c r="A186" s="57">
        <v>9</v>
      </c>
      <c r="B186" s="58">
        <v>49.466000000000001</v>
      </c>
      <c r="C186" s="58">
        <v>49.823</v>
      </c>
      <c r="D186" s="58">
        <v>50.290999999999997</v>
      </c>
      <c r="E186" s="58" t="s">
        <v>334</v>
      </c>
      <c r="F186" s="58">
        <v>49.854999999999997</v>
      </c>
      <c r="G186" s="58">
        <v>49.545000000000002</v>
      </c>
      <c r="H186" s="58" t="s">
        <v>334</v>
      </c>
      <c r="I186" s="58">
        <v>50.387999999999998</v>
      </c>
      <c r="J186" s="58" t="s">
        <v>334</v>
      </c>
      <c r="K186" s="58">
        <v>51.118000000000002</v>
      </c>
      <c r="L186" s="58">
        <v>51.384</v>
      </c>
      <c r="M186" s="59" t="s">
        <v>334</v>
      </c>
      <c r="N186" s="58"/>
    </row>
    <row r="187" spans="1:15" ht="18" customHeight="1">
      <c r="A187" s="57">
        <v>10</v>
      </c>
      <c r="B187" s="58">
        <v>49.616</v>
      </c>
      <c r="C187" s="58">
        <v>49.887999999999998</v>
      </c>
      <c r="D187" s="58">
        <v>50.377000000000002</v>
      </c>
      <c r="E187" s="58">
        <v>50.165999999999997</v>
      </c>
      <c r="F187" s="58">
        <v>49.914000000000001</v>
      </c>
      <c r="G187" s="58" t="s">
        <v>334</v>
      </c>
      <c r="H187" s="58">
        <v>50.609000000000002</v>
      </c>
      <c r="I187" s="58">
        <v>50.621000000000002</v>
      </c>
      <c r="J187" s="58" t="s">
        <v>334</v>
      </c>
      <c r="K187" s="58">
        <v>51.164000000000001</v>
      </c>
      <c r="L187" s="58">
        <v>51.273000000000003</v>
      </c>
      <c r="M187" s="59" t="s">
        <v>334</v>
      </c>
      <c r="N187" s="58"/>
    </row>
    <row r="188" spans="1:15" ht="18" customHeight="1">
      <c r="A188" s="57">
        <v>11</v>
      </c>
      <c r="B188" s="58">
        <v>49.548000000000002</v>
      </c>
      <c r="C188" s="58" t="s">
        <v>334</v>
      </c>
      <c r="D188" s="58" t="s">
        <v>334</v>
      </c>
      <c r="E188" s="58">
        <v>49.779000000000003</v>
      </c>
      <c r="F188" s="58">
        <v>49.963000000000001</v>
      </c>
      <c r="G188" s="58" t="s">
        <v>334</v>
      </c>
      <c r="H188" s="58">
        <v>50.662999999999997</v>
      </c>
      <c r="I188" s="58">
        <v>50.688000000000002</v>
      </c>
      <c r="J188" s="58">
        <v>50.762999999999998</v>
      </c>
      <c r="K188" s="58">
        <v>51.308</v>
      </c>
      <c r="L188" s="58" t="s">
        <v>334</v>
      </c>
      <c r="M188" s="59">
        <v>50.572000000000003</v>
      </c>
      <c r="N188" s="58"/>
    </row>
    <row r="189" spans="1:15" ht="18" customHeight="1">
      <c r="A189" s="57">
        <v>12</v>
      </c>
      <c r="B189" s="58">
        <v>49.564</v>
      </c>
      <c r="C189" s="58" t="s">
        <v>334</v>
      </c>
      <c r="D189" s="58" t="s">
        <v>334</v>
      </c>
      <c r="E189" s="58">
        <v>49.67</v>
      </c>
      <c r="F189" s="58">
        <v>49.933</v>
      </c>
      <c r="G189" s="58" t="s">
        <v>334</v>
      </c>
      <c r="H189" s="58">
        <v>50.77</v>
      </c>
      <c r="I189" s="58" t="s">
        <v>334</v>
      </c>
      <c r="J189" s="58" t="s">
        <v>334</v>
      </c>
      <c r="K189" s="58">
        <v>51.466999999999999</v>
      </c>
      <c r="L189" s="58" t="s">
        <v>334</v>
      </c>
      <c r="M189" s="59">
        <v>50.343000000000004</v>
      </c>
      <c r="N189" s="58"/>
    </row>
    <row r="190" spans="1:15" ht="18" customHeight="1">
      <c r="A190" s="57">
        <v>13</v>
      </c>
      <c r="B190" s="58">
        <v>49.53</v>
      </c>
      <c r="C190" s="58">
        <v>49.917000000000002</v>
      </c>
      <c r="D190" s="58">
        <v>50.348999999999997</v>
      </c>
      <c r="E190" s="58" t="s">
        <v>334</v>
      </c>
      <c r="F190" s="58" t="s">
        <v>334</v>
      </c>
      <c r="G190" s="58">
        <v>49.49</v>
      </c>
      <c r="H190" s="58">
        <v>50.579000000000001</v>
      </c>
      <c r="I190" s="58" t="s">
        <v>334</v>
      </c>
      <c r="J190" s="58">
        <v>50.89</v>
      </c>
      <c r="K190" s="58">
        <v>51.384999999999998</v>
      </c>
      <c r="L190" s="58">
        <v>51.238999999999997</v>
      </c>
      <c r="M190" s="59">
        <v>50.435000000000002</v>
      </c>
      <c r="N190" s="58"/>
    </row>
    <row r="191" spans="1:15" ht="18" customHeight="1">
      <c r="A191" s="57">
        <v>14</v>
      </c>
      <c r="B191" s="58" t="s">
        <v>334</v>
      </c>
      <c r="C191" s="58">
        <v>49.924999999999997</v>
      </c>
      <c r="D191" s="58">
        <v>50.296999999999997</v>
      </c>
      <c r="E191" s="58" t="s">
        <v>334</v>
      </c>
      <c r="F191" s="58" t="s">
        <v>334</v>
      </c>
      <c r="G191" s="58">
        <v>49.558</v>
      </c>
      <c r="H191" s="58">
        <v>50.481000000000002</v>
      </c>
      <c r="I191" s="58">
        <v>51.009</v>
      </c>
      <c r="J191" s="58">
        <v>50.966999999999999</v>
      </c>
      <c r="K191" s="58" t="s">
        <v>334</v>
      </c>
      <c r="L191" s="58">
        <v>51.231999999999999</v>
      </c>
      <c r="M191" s="59">
        <v>50.475000000000001</v>
      </c>
      <c r="N191" s="58"/>
    </row>
    <row r="192" spans="1:15" ht="18" customHeight="1">
      <c r="A192" s="57">
        <v>15</v>
      </c>
      <c r="B192" s="58" t="s">
        <v>334</v>
      </c>
      <c r="C192" s="58">
        <v>49.893999999999998</v>
      </c>
      <c r="D192" s="58">
        <v>50.356999999999999</v>
      </c>
      <c r="E192" s="58" t="s">
        <v>334</v>
      </c>
      <c r="F192" s="58">
        <v>49.813000000000002</v>
      </c>
      <c r="G192" s="58">
        <v>49.494999999999997</v>
      </c>
      <c r="H192" s="58" t="s">
        <v>334</v>
      </c>
      <c r="I192" s="58">
        <v>50.982999999999997</v>
      </c>
      <c r="J192" s="58">
        <v>51.143000000000001</v>
      </c>
      <c r="K192" s="58" t="s">
        <v>334</v>
      </c>
      <c r="L192" s="58">
        <v>51.142000000000003</v>
      </c>
      <c r="M192" s="59">
        <v>50.398000000000003</v>
      </c>
      <c r="N192" s="58"/>
    </row>
    <row r="193" spans="1:14" ht="18" customHeight="1">
      <c r="A193" s="57">
        <v>16</v>
      </c>
      <c r="B193" s="58">
        <v>49.622</v>
      </c>
      <c r="C193" s="58">
        <v>49.921999999999997</v>
      </c>
      <c r="D193" s="58">
        <v>50.317999999999998</v>
      </c>
      <c r="E193" s="58" t="s">
        <v>334</v>
      </c>
      <c r="F193" s="58">
        <v>49.71</v>
      </c>
      <c r="G193" s="58">
        <v>49.524999999999999</v>
      </c>
      <c r="H193" s="58" t="s">
        <v>334</v>
      </c>
      <c r="I193" s="58">
        <v>51.216999999999999</v>
      </c>
      <c r="J193" s="58" t="s">
        <v>334</v>
      </c>
      <c r="K193" s="58" t="s">
        <v>334</v>
      </c>
      <c r="L193" s="58">
        <v>51.116</v>
      </c>
      <c r="M193" s="59" t="s">
        <v>334</v>
      </c>
      <c r="N193" s="58"/>
    </row>
    <row r="194" spans="1:14" ht="18" customHeight="1">
      <c r="A194" s="57">
        <v>17</v>
      </c>
      <c r="B194" s="58">
        <v>49.848999999999997</v>
      </c>
      <c r="C194" s="58">
        <v>49.924999999999997</v>
      </c>
      <c r="D194" s="58">
        <v>50.191000000000003</v>
      </c>
      <c r="E194" s="58">
        <v>49.53</v>
      </c>
      <c r="F194" s="58">
        <v>49.651000000000003</v>
      </c>
      <c r="G194" s="58" t="s">
        <v>334</v>
      </c>
      <c r="H194" s="58">
        <v>50.622999999999998</v>
      </c>
      <c r="I194" s="58">
        <v>51.438000000000002</v>
      </c>
      <c r="J194" s="58" t="s">
        <v>334</v>
      </c>
      <c r="K194" s="58">
        <v>51.481999999999999</v>
      </c>
      <c r="L194" s="58">
        <v>50.912999999999997</v>
      </c>
      <c r="M194" s="59" t="s">
        <v>334</v>
      </c>
      <c r="N194" s="58"/>
    </row>
    <row r="195" spans="1:14" ht="18" customHeight="1">
      <c r="A195" s="57">
        <v>18</v>
      </c>
      <c r="B195" s="58">
        <v>49.930999999999997</v>
      </c>
      <c r="C195" s="58" t="s">
        <v>334</v>
      </c>
      <c r="D195" s="58" t="s">
        <v>334</v>
      </c>
      <c r="E195" s="58">
        <v>49.534999999999997</v>
      </c>
      <c r="F195" s="58">
        <v>49.741999999999997</v>
      </c>
      <c r="G195" s="58" t="s">
        <v>334</v>
      </c>
      <c r="H195" s="58">
        <v>50.633000000000003</v>
      </c>
      <c r="I195" s="58">
        <v>51.301000000000002</v>
      </c>
      <c r="J195" s="58">
        <v>51.241999999999997</v>
      </c>
      <c r="K195" s="58">
        <v>51.292999999999999</v>
      </c>
      <c r="L195" s="58" t="s">
        <v>334</v>
      </c>
      <c r="M195" s="59">
        <v>50.488</v>
      </c>
      <c r="N195" s="58"/>
    </row>
    <row r="196" spans="1:14" ht="18" customHeight="1">
      <c r="A196" s="57">
        <v>19</v>
      </c>
      <c r="B196" s="58">
        <v>49.76</v>
      </c>
      <c r="C196" s="58" t="s">
        <v>334</v>
      </c>
      <c r="D196" s="58" t="s">
        <v>334</v>
      </c>
      <c r="E196" s="58">
        <v>49.603000000000002</v>
      </c>
      <c r="F196" s="58">
        <v>49.834000000000003</v>
      </c>
      <c r="G196" s="58">
        <v>49.85</v>
      </c>
      <c r="H196" s="58">
        <v>50.759</v>
      </c>
      <c r="I196" s="58" t="s">
        <v>334</v>
      </c>
      <c r="J196" s="58">
        <v>51.177</v>
      </c>
      <c r="K196" s="58">
        <v>51.387</v>
      </c>
      <c r="L196" s="58" t="s">
        <v>334</v>
      </c>
      <c r="M196" s="59">
        <v>50.429000000000002</v>
      </c>
      <c r="N196" s="58"/>
    </row>
    <row r="197" spans="1:14" ht="18" customHeight="1">
      <c r="A197" s="57">
        <v>20</v>
      </c>
      <c r="B197" s="58">
        <v>49.953000000000003</v>
      </c>
      <c r="C197" s="58">
        <v>49.987000000000002</v>
      </c>
      <c r="D197" s="58">
        <v>50.154000000000003</v>
      </c>
      <c r="E197" s="58">
        <v>49.709000000000003</v>
      </c>
      <c r="F197" s="58" t="s">
        <v>334</v>
      </c>
      <c r="G197" s="58">
        <v>49.859000000000002</v>
      </c>
      <c r="H197" s="58">
        <v>50.823</v>
      </c>
      <c r="I197" s="58" t="s">
        <v>334</v>
      </c>
      <c r="J197" s="58">
        <v>51.036000000000001</v>
      </c>
      <c r="K197" s="58">
        <v>51.463000000000001</v>
      </c>
      <c r="L197" s="58">
        <v>50.816000000000003</v>
      </c>
      <c r="M197" s="59">
        <v>50.462000000000003</v>
      </c>
      <c r="N197" s="58"/>
    </row>
    <row r="198" spans="1:14" ht="18" customHeight="1">
      <c r="A198" s="57">
        <v>21</v>
      </c>
      <c r="B198" s="58" t="s">
        <v>334</v>
      </c>
      <c r="C198" s="58">
        <v>50.182000000000002</v>
      </c>
      <c r="D198" s="58">
        <v>50.145000000000003</v>
      </c>
      <c r="E198" s="58">
        <v>49.811999999999998</v>
      </c>
      <c r="F198" s="58" t="s">
        <v>334</v>
      </c>
      <c r="G198" s="58">
        <v>50.064</v>
      </c>
      <c r="H198" s="58">
        <v>50.883000000000003</v>
      </c>
      <c r="I198" s="58" t="s">
        <v>334</v>
      </c>
      <c r="J198" s="58">
        <v>50.887</v>
      </c>
      <c r="K198" s="58" t="s">
        <v>334</v>
      </c>
      <c r="L198" s="58">
        <v>50.94</v>
      </c>
      <c r="M198" s="59">
        <v>50.302</v>
      </c>
      <c r="N198" s="58"/>
    </row>
    <row r="199" spans="1:14" ht="18" customHeight="1">
      <c r="A199" s="57">
        <v>22</v>
      </c>
      <c r="B199" s="58" t="s">
        <v>334</v>
      </c>
      <c r="C199" s="58">
        <v>50.305</v>
      </c>
      <c r="D199" s="58">
        <v>50.164000000000001</v>
      </c>
      <c r="E199" s="58" t="s">
        <v>334</v>
      </c>
      <c r="F199" s="58">
        <v>49.905999999999999</v>
      </c>
      <c r="G199" s="58">
        <v>50.238999999999997</v>
      </c>
      <c r="H199" s="58" t="s">
        <v>334</v>
      </c>
      <c r="I199" s="58">
        <v>51.494</v>
      </c>
      <c r="J199" s="58">
        <v>51.085999999999999</v>
      </c>
      <c r="K199" s="58" t="s">
        <v>334</v>
      </c>
      <c r="L199" s="58">
        <v>50.796999999999997</v>
      </c>
      <c r="M199" s="59">
        <v>50.194000000000003</v>
      </c>
      <c r="N199" s="58"/>
    </row>
    <row r="200" spans="1:14" ht="18" customHeight="1">
      <c r="A200" s="57">
        <v>23</v>
      </c>
      <c r="B200" s="58">
        <v>49.906999999999996</v>
      </c>
      <c r="C200" s="58">
        <v>50.24</v>
      </c>
      <c r="D200" s="58">
        <v>50.301000000000002</v>
      </c>
      <c r="E200" s="58" t="s">
        <v>334</v>
      </c>
      <c r="F200" s="58">
        <v>49.753</v>
      </c>
      <c r="G200" s="58">
        <v>50.326999999999998</v>
      </c>
      <c r="H200" s="58" t="s">
        <v>334</v>
      </c>
      <c r="I200" s="58">
        <v>51.377000000000002</v>
      </c>
      <c r="J200" s="58" t="s">
        <v>334</v>
      </c>
      <c r="K200" s="58">
        <v>51.508000000000003</v>
      </c>
      <c r="L200" s="58">
        <v>50.628</v>
      </c>
      <c r="M200" s="59" t="s">
        <v>334</v>
      </c>
      <c r="N200" s="58"/>
    </row>
    <row r="201" spans="1:14" ht="18" customHeight="1">
      <c r="A201" s="57">
        <v>24</v>
      </c>
      <c r="B201" s="58">
        <v>49.847999999999999</v>
      </c>
      <c r="C201" s="58">
        <v>50.231999999999999</v>
      </c>
      <c r="D201" s="58">
        <v>50.338999999999999</v>
      </c>
      <c r="E201" s="58">
        <v>49.787999999999997</v>
      </c>
      <c r="F201" s="58">
        <v>49.784999999999997</v>
      </c>
      <c r="G201" s="58" t="s">
        <v>334</v>
      </c>
      <c r="H201" s="58">
        <v>50.76</v>
      </c>
      <c r="I201" s="58">
        <v>51.201999999999998</v>
      </c>
      <c r="J201" s="58" t="s">
        <v>334</v>
      </c>
      <c r="K201" s="58">
        <v>51.506999999999998</v>
      </c>
      <c r="L201" s="58">
        <v>50.613999999999997</v>
      </c>
      <c r="M201" s="59" t="s">
        <v>334</v>
      </c>
      <c r="N201" s="58"/>
    </row>
    <row r="202" spans="1:14" ht="18" customHeight="1">
      <c r="A202" s="57">
        <v>25</v>
      </c>
      <c r="B202" s="58">
        <v>49.81</v>
      </c>
      <c r="C202" s="58" t="s">
        <v>334</v>
      </c>
      <c r="D202" s="58" t="s">
        <v>334</v>
      </c>
      <c r="E202" s="58">
        <v>49.804000000000002</v>
      </c>
      <c r="F202" s="58">
        <v>49.968000000000004</v>
      </c>
      <c r="G202" s="58" t="s">
        <v>334</v>
      </c>
      <c r="H202" s="58">
        <v>50.746000000000002</v>
      </c>
      <c r="I202" s="58">
        <v>51.05</v>
      </c>
      <c r="J202" s="58">
        <v>50.856000000000002</v>
      </c>
      <c r="K202" s="58">
        <v>51.512999999999998</v>
      </c>
      <c r="L202" s="58" t="s">
        <v>334</v>
      </c>
      <c r="M202" s="59" t="s">
        <v>334</v>
      </c>
      <c r="N202" s="58"/>
    </row>
    <row r="203" spans="1:14" ht="18" customHeight="1">
      <c r="A203" s="57">
        <v>26</v>
      </c>
      <c r="B203" s="58">
        <v>49.845999999999997</v>
      </c>
      <c r="C203" s="58" t="s">
        <v>334</v>
      </c>
      <c r="D203" s="58" t="s">
        <v>334</v>
      </c>
      <c r="E203" s="58">
        <v>49.713000000000001</v>
      </c>
      <c r="F203" s="58">
        <v>49.875</v>
      </c>
      <c r="G203" s="58" t="s">
        <v>334</v>
      </c>
      <c r="H203" s="58">
        <v>50.698</v>
      </c>
      <c r="I203" s="58" t="s">
        <v>334</v>
      </c>
      <c r="J203" s="58">
        <v>50.628999999999998</v>
      </c>
      <c r="K203" s="58">
        <v>51.718000000000004</v>
      </c>
      <c r="L203" s="58" t="s">
        <v>334</v>
      </c>
      <c r="M203" s="59" t="s">
        <v>334</v>
      </c>
      <c r="N203" s="58"/>
    </row>
    <row r="204" spans="1:14" ht="18" customHeight="1">
      <c r="A204" s="57">
        <v>27</v>
      </c>
      <c r="B204" s="58">
        <v>49.695</v>
      </c>
      <c r="C204" s="58">
        <v>50.197000000000003</v>
      </c>
      <c r="D204" s="58">
        <v>50.35</v>
      </c>
      <c r="E204" s="58">
        <v>49.698999999999998</v>
      </c>
      <c r="F204" s="58" t="s">
        <v>334</v>
      </c>
      <c r="G204" s="58">
        <v>50.314</v>
      </c>
      <c r="H204" s="58">
        <v>50.585999999999999</v>
      </c>
      <c r="I204" s="58" t="s">
        <v>334</v>
      </c>
      <c r="J204" s="58">
        <v>50.83</v>
      </c>
      <c r="K204" s="58">
        <v>51.741</v>
      </c>
      <c r="L204" s="58">
        <v>50.685000000000002</v>
      </c>
      <c r="M204" s="59">
        <v>50.244999999999997</v>
      </c>
      <c r="N204" s="58"/>
    </row>
    <row r="205" spans="1:14" ht="18" customHeight="1">
      <c r="A205" s="57">
        <v>28</v>
      </c>
      <c r="B205" s="58"/>
      <c r="C205" s="58">
        <v>50.267000000000003</v>
      </c>
      <c r="D205" s="58">
        <v>50.177</v>
      </c>
      <c r="E205" s="58" t="s">
        <v>334</v>
      </c>
      <c r="F205" s="58" t="s">
        <v>334</v>
      </c>
      <c r="G205" s="58">
        <v>50.262</v>
      </c>
      <c r="H205" s="58">
        <v>50.545999999999999</v>
      </c>
      <c r="I205" s="58" t="s">
        <v>334</v>
      </c>
      <c r="J205" s="58">
        <v>50.969000000000001</v>
      </c>
      <c r="K205" s="58" t="s">
        <v>334</v>
      </c>
      <c r="L205" s="58">
        <v>50.64</v>
      </c>
      <c r="M205" s="59">
        <v>50.003</v>
      </c>
      <c r="N205" s="58"/>
    </row>
    <row r="206" spans="1:14" ht="18" customHeight="1">
      <c r="A206" s="57">
        <v>29</v>
      </c>
      <c r="B206" s="58"/>
      <c r="C206" s="58" t="s">
        <v>335</v>
      </c>
      <c r="D206" s="58">
        <v>50.18</v>
      </c>
      <c r="E206" s="58" t="s">
        <v>334</v>
      </c>
      <c r="F206" s="58">
        <v>49.838999999999999</v>
      </c>
      <c r="G206" s="58">
        <v>50.436999999999998</v>
      </c>
      <c r="H206" s="58" t="s">
        <v>334</v>
      </c>
      <c r="I206" s="58">
        <v>51.094999999999999</v>
      </c>
      <c r="J206" s="58">
        <v>51.073</v>
      </c>
      <c r="K206" s="58" t="s">
        <v>334</v>
      </c>
      <c r="L206" s="58">
        <v>50.365000000000002</v>
      </c>
      <c r="M206" s="59">
        <v>49.923000000000002</v>
      </c>
      <c r="N206" s="58"/>
    </row>
    <row r="207" spans="1:14" ht="18" customHeight="1">
      <c r="A207" s="57">
        <v>30</v>
      </c>
      <c r="B207" s="58">
        <v>49.883000000000003</v>
      </c>
      <c r="C207" s="58" t="s">
        <v>335</v>
      </c>
      <c r="D207" s="58">
        <v>50.220999999999997</v>
      </c>
      <c r="E207" s="58" t="s">
        <v>334</v>
      </c>
      <c r="F207" s="58">
        <v>49.8</v>
      </c>
      <c r="G207" s="58">
        <v>50.466000000000001</v>
      </c>
      <c r="H207" s="58" t="s">
        <v>334</v>
      </c>
      <c r="I207" s="58">
        <v>51.158999999999999</v>
      </c>
      <c r="J207" s="58" t="s">
        <v>334</v>
      </c>
      <c r="K207" s="58">
        <v>51.798999999999999</v>
      </c>
      <c r="L207" s="58" t="s">
        <v>334</v>
      </c>
      <c r="M207" s="59" t="s">
        <v>334</v>
      </c>
      <c r="N207" s="58"/>
    </row>
    <row r="208" spans="1:14" ht="18" customHeight="1">
      <c r="A208" s="57">
        <v>31</v>
      </c>
      <c r="B208" s="58">
        <v>49.814</v>
      </c>
      <c r="C208" s="58" t="s">
        <v>335</v>
      </c>
      <c r="D208" s="58">
        <v>50.194000000000003</v>
      </c>
      <c r="E208" s="58" t="s">
        <v>335</v>
      </c>
      <c r="F208" s="58">
        <v>49.866999999999997</v>
      </c>
      <c r="G208" s="58" t="s">
        <v>335</v>
      </c>
      <c r="H208" s="58">
        <v>50.582000000000001</v>
      </c>
      <c r="I208" s="58">
        <v>51.165999999999997</v>
      </c>
      <c r="J208" s="58" t="s">
        <v>335</v>
      </c>
      <c r="K208" s="58" t="s">
        <v>334</v>
      </c>
      <c r="L208" s="58" t="s">
        <v>335</v>
      </c>
      <c r="M208" s="59" t="s">
        <v>334</v>
      </c>
      <c r="N208" s="58"/>
    </row>
    <row r="209" spans="1:15" ht="18" customHeight="1" thickBot="1">
      <c r="A209" s="66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8"/>
      <c r="N209" s="58"/>
    </row>
    <row r="210" spans="1:15" ht="18" customHeight="1">
      <c r="A210" s="618">
        <v>2016</v>
      </c>
      <c r="B210" s="619"/>
      <c r="C210" s="619"/>
      <c r="D210" s="619"/>
      <c r="E210" s="619"/>
      <c r="F210" s="619"/>
      <c r="G210" s="619"/>
      <c r="H210" s="619"/>
      <c r="I210" s="619"/>
      <c r="J210" s="619"/>
      <c r="K210" s="619"/>
      <c r="L210" s="619"/>
      <c r="M210" s="620"/>
      <c r="N210" s="52"/>
    </row>
    <row r="211" spans="1:15" ht="18" customHeight="1" thickBot="1">
      <c r="A211" s="63" t="s">
        <v>322</v>
      </c>
      <c r="B211" s="64" t="s">
        <v>323</v>
      </c>
      <c r="C211" s="64" t="s">
        <v>324</v>
      </c>
      <c r="D211" s="64" t="s">
        <v>325</v>
      </c>
      <c r="E211" s="64" t="s">
        <v>326</v>
      </c>
      <c r="F211" s="64" t="s">
        <v>236</v>
      </c>
      <c r="G211" s="64" t="s">
        <v>327</v>
      </c>
      <c r="H211" s="64" t="s">
        <v>328</v>
      </c>
      <c r="I211" s="64" t="s">
        <v>329</v>
      </c>
      <c r="J211" s="64" t="s">
        <v>330</v>
      </c>
      <c r="K211" s="64" t="s">
        <v>331</v>
      </c>
      <c r="L211" s="64" t="s">
        <v>332</v>
      </c>
      <c r="M211" s="65" t="s">
        <v>333</v>
      </c>
      <c r="N211" s="52"/>
    </row>
    <row r="212" spans="1:15" ht="18" customHeight="1">
      <c r="A212" s="54">
        <v>1</v>
      </c>
      <c r="B212" s="55" t="s">
        <v>334</v>
      </c>
      <c r="C212" s="55">
        <v>47.685000000000002</v>
      </c>
      <c r="D212" s="55">
        <v>47.567999999999998</v>
      </c>
      <c r="E212" s="55">
        <v>45.988999999999997</v>
      </c>
      <c r="F212" s="55" t="s">
        <v>334</v>
      </c>
      <c r="G212" s="55">
        <v>46.723999999999997</v>
      </c>
      <c r="H212" s="55">
        <v>47.006999999999998</v>
      </c>
      <c r="I212" s="55">
        <v>47.09</v>
      </c>
      <c r="J212" s="55">
        <v>46.552</v>
      </c>
      <c r="K212" s="55" t="s">
        <v>334</v>
      </c>
      <c r="L212" s="55" t="s">
        <v>334</v>
      </c>
      <c r="M212" s="56">
        <v>49.747</v>
      </c>
      <c r="N212" s="83">
        <v>2016</v>
      </c>
      <c r="O212" s="47">
        <f>AVERAGE(B212:M242)</f>
        <v>47.465935222672059</v>
      </c>
    </row>
    <row r="213" spans="1:15" ht="18" customHeight="1">
      <c r="A213" s="57">
        <v>2</v>
      </c>
      <c r="B213" s="58" t="s">
        <v>334</v>
      </c>
      <c r="C213" s="58">
        <v>47.685000000000002</v>
      </c>
      <c r="D213" s="58">
        <v>47.390999999999998</v>
      </c>
      <c r="E213" s="58" t="s">
        <v>334</v>
      </c>
      <c r="F213" s="58">
        <v>46.887</v>
      </c>
      <c r="G213" s="58">
        <v>46.688000000000002</v>
      </c>
      <c r="H213" s="58" t="s">
        <v>334</v>
      </c>
      <c r="I213" s="58">
        <v>46.954999999999998</v>
      </c>
      <c r="J213" s="58">
        <v>46.627000000000002</v>
      </c>
      <c r="K213" s="58" t="s">
        <v>334</v>
      </c>
      <c r="L213" s="58">
        <v>48.484999999999999</v>
      </c>
      <c r="M213" s="59">
        <v>49.774000000000001</v>
      </c>
      <c r="N213" s="58"/>
    </row>
    <row r="214" spans="1:15" ht="18" customHeight="1">
      <c r="A214" s="57">
        <v>3</v>
      </c>
      <c r="B214" s="58" t="s">
        <v>334</v>
      </c>
      <c r="C214" s="58">
        <v>47.73</v>
      </c>
      <c r="D214" s="58">
        <v>47.26</v>
      </c>
      <c r="E214" s="58" t="s">
        <v>334</v>
      </c>
      <c r="F214" s="58">
        <v>46.999000000000002</v>
      </c>
      <c r="G214" s="58">
        <v>46.563000000000002</v>
      </c>
      <c r="H214" s="58" t="s">
        <v>334</v>
      </c>
      <c r="I214" s="58">
        <v>47.026000000000003</v>
      </c>
      <c r="J214" s="58" t="s">
        <v>334</v>
      </c>
      <c r="K214" s="58">
        <v>48.481999999999999</v>
      </c>
      <c r="L214" s="58">
        <v>48.448999999999998</v>
      </c>
      <c r="M214" s="59" t="s">
        <v>334</v>
      </c>
      <c r="N214" s="58"/>
    </row>
    <row r="215" spans="1:15" ht="18" customHeight="1">
      <c r="A215" s="57">
        <v>4</v>
      </c>
      <c r="B215" s="58">
        <v>47.118000000000002</v>
      </c>
      <c r="C215" s="58">
        <v>47.881999999999998</v>
      </c>
      <c r="D215" s="58">
        <v>47.115000000000002</v>
      </c>
      <c r="E215" s="58">
        <v>46.064999999999998</v>
      </c>
      <c r="F215" s="58">
        <v>46.956000000000003</v>
      </c>
      <c r="G215" s="58" t="s">
        <v>334</v>
      </c>
      <c r="H215" s="58">
        <v>46.968000000000004</v>
      </c>
      <c r="I215" s="58">
        <v>47.030999999999999</v>
      </c>
      <c r="J215" s="58" t="s">
        <v>334</v>
      </c>
      <c r="K215" s="58">
        <v>48.301000000000002</v>
      </c>
      <c r="L215" s="58">
        <v>48.335999999999999</v>
      </c>
      <c r="M215" s="59" t="s">
        <v>334</v>
      </c>
      <c r="N215" s="58"/>
    </row>
    <row r="216" spans="1:15" ht="18" customHeight="1">
      <c r="A216" s="57">
        <v>5</v>
      </c>
      <c r="B216" s="58">
        <v>47.125</v>
      </c>
      <c r="C216" s="58">
        <v>47.753</v>
      </c>
      <c r="D216" s="58" t="s">
        <v>334</v>
      </c>
      <c r="E216" s="58">
        <v>46.017000000000003</v>
      </c>
      <c r="F216" s="58">
        <v>47.061999999999998</v>
      </c>
      <c r="G216" s="58" t="s">
        <v>334</v>
      </c>
      <c r="H216" s="58">
        <v>46.832999999999998</v>
      </c>
      <c r="I216" s="58">
        <v>47.014000000000003</v>
      </c>
      <c r="J216" s="58">
        <v>46.652000000000001</v>
      </c>
      <c r="K216" s="58">
        <v>48.249000000000002</v>
      </c>
      <c r="L216" s="58" t="s">
        <v>334</v>
      </c>
      <c r="M216" s="59">
        <v>49.720999999999997</v>
      </c>
      <c r="N216" s="58"/>
    </row>
    <row r="217" spans="1:15" ht="18" customHeight="1">
      <c r="A217" s="57">
        <v>6</v>
      </c>
      <c r="B217" s="58">
        <v>47.045000000000002</v>
      </c>
      <c r="C217" s="58" t="s">
        <v>334</v>
      </c>
      <c r="D217" s="58" t="s">
        <v>334</v>
      </c>
      <c r="E217" s="58">
        <v>46.222000000000001</v>
      </c>
      <c r="F217" s="58">
        <v>47.204999999999998</v>
      </c>
      <c r="G217" s="58">
        <v>46.493000000000002</v>
      </c>
      <c r="H217" s="58" t="s">
        <v>334</v>
      </c>
      <c r="I217" s="58" t="s">
        <v>334</v>
      </c>
      <c r="J217" s="58">
        <v>46.564999999999998</v>
      </c>
      <c r="K217" s="58">
        <v>48.356000000000002</v>
      </c>
      <c r="L217" s="58" t="s">
        <v>334</v>
      </c>
      <c r="M217" s="59">
        <v>49.709000000000003</v>
      </c>
      <c r="N217" s="58"/>
    </row>
    <row r="218" spans="1:15" ht="18" customHeight="1">
      <c r="A218" s="57">
        <v>7</v>
      </c>
      <c r="B218" s="58">
        <v>46.95</v>
      </c>
      <c r="C218" s="58" t="s">
        <v>334</v>
      </c>
      <c r="D218" s="58">
        <v>46.956000000000003</v>
      </c>
      <c r="E218" s="58">
        <v>46.256999999999998</v>
      </c>
      <c r="F218" s="58" t="s">
        <v>334</v>
      </c>
      <c r="G218" s="58">
        <v>46.241</v>
      </c>
      <c r="H218" s="58">
        <v>46.9</v>
      </c>
      <c r="I218" s="58" t="s">
        <v>334</v>
      </c>
      <c r="J218" s="58">
        <v>46.597000000000001</v>
      </c>
      <c r="K218" s="58">
        <v>48.237000000000002</v>
      </c>
      <c r="L218" s="58">
        <v>48.442999999999998</v>
      </c>
      <c r="M218" s="59">
        <v>49.61</v>
      </c>
      <c r="N218" s="58"/>
    </row>
    <row r="219" spans="1:15" ht="18" customHeight="1">
      <c r="A219" s="57">
        <v>8</v>
      </c>
      <c r="B219" s="58">
        <v>47.07</v>
      </c>
      <c r="C219" s="58" t="s">
        <v>334</v>
      </c>
      <c r="D219" s="58">
        <v>46.820999999999998</v>
      </c>
      <c r="E219" s="58">
        <v>46.125</v>
      </c>
      <c r="F219" s="58" t="s">
        <v>334</v>
      </c>
      <c r="G219" s="58">
        <v>46.186999999999998</v>
      </c>
      <c r="H219" s="58">
        <v>47.04</v>
      </c>
      <c r="I219" s="58">
        <v>46.959000000000003</v>
      </c>
      <c r="J219" s="58">
        <v>46.554000000000002</v>
      </c>
      <c r="K219" s="58" t="s">
        <v>334</v>
      </c>
      <c r="L219" s="58">
        <v>48.545000000000002</v>
      </c>
      <c r="M219" s="59">
        <v>49.7</v>
      </c>
      <c r="N219" s="58"/>
    </row>
    <row r="220" spans="1:15" ht="18" customHeight="1">
      <c r="A220" s="57">
        <v>9</v>
      </c>
      <c r="B220" s="58" t="s">
        <v>334</v>
      </c>
      <c r="C220" s="58">
        <v>47.71</v>
      </c>
      <c r="D220" s="58">
        <v>46.978000000000002</v>
      </c>
      <c r="E220" s="58" t="s">
        <v>334</v>
      </c>
      <c r="F220" s="58" t="s">
        <v>334</v>
      </c>
      <c r="G220" s="58">
        <v>46.061999999999998</v>
      </c>
      <c r="H220" s="58" t="s">
        <v>334</v>
      </c>
      <c r="I220" s="58">
        <v>46.883000000000003</v>
      </c>
      <c r="J220" s="58">
        <v>46.837000000000003</v>
      </c>
      <c r="K220" s="58" t="s">
        <v>334</v>
      </c>
      <c r="L220" s="58">
        <v>48.625999999999998</v>
      </c>
      <c r="M220" s="59">
        <v>49.649000000000001</v>
      </c>
      <c r="N220" s="58"/>
    </row>
    <row r="221" spans="1:15" ht="18" customHeight="1">
      <c r="A221" s="57">
        <v>10</v>
      </c>
      <c r="B221" s="58" t="s">
        <v>334</v>
      </c>
      <c r="C221" s="58">
        <v>47.737000000000002</v>
      </c>
      <c r="D221" s="58">
        <v>46.94</v>
      </c>
      <c r="E221" s="58" t="s">
        <v>334</v>
      </c>
      <c r="F221" s="58">
        <v>47.247</v>
      </c>
      <c r="G221" s="58">
        <v>45.917000000000002</v>
      </c>
      <c r="H221" s="58" t="s">
        <v>334</v>
      </c>
      <c r="I221" s="58">
        <v>46.889000000000003</v>
      </c>
      <c r="J221" s="58" t="s">
        <v>334</v>
      </c>
      <c r="K221" s="58">
        <v>48.343000000000004</v>
      </c>
      <c r="L221" s="58">
        <v>48.673999999999999</v>
      </c>
      <c r="M221" s="59" t="s">
        <v>334</v>
      </c>
      <c r="N221" s="58"/>
    </row>
    <row r="222" spans="1:15" ht="18" customHeight="1">
      <c r="A222" s="57">
        <v>11</v>
      </c>
      <c r="B222" s="58">
        <v>47.018999999999998</v>
      </c>
      <c r="C222" s="58">
        <v>47.537999999999997</v>
      </c>
      <c r="D222" s="58">
        <v>46.744</v>
      </c>
      <c r="E222" s="58">
        <v>46.192</v>
      </c>
      <c r="F222" s="58">
        <v>46.92</v>
      </c>
      <c r="G222" s="58" t="s">
        <v>334</v>
      </c>
      <c r="H222" s="58">
        <v>47.094999999999999</v>
      </c>
      <c r="I222" s="58">
        <v>46.777000000000001</v>
      </c>
      <c r="J222" s="58" t="s">
        <v>334</v>
      </c>
      <c r="K222" s="58">
        <v>48.28</v>
      </c>
      <c r="L222" s="58">
        <v>48.665999999999997</v>
      </c>
      <c r="M222" s="59" t="s">
        <v>334</v>
      </c>
      <c r="N222" s="58"/>
    </row>
    <row r="223" spans="1:15" ht="18" customHeight="1">
      <c r="A223" s="57">
        <v>12</v>
      </c>
      <c r="B223" s="58">
        <v>47.271000000000001</v>
      </c>
      <c r="C223" s="58">
        <v>47.430999999999997</v>
      </c>
      <c r="D223" s="58" t="s">
        <v>334</v>
      </c>
      <c r="E223" s="58">
        <v>46.115000000000002</v>
      </c>
      <c r="F223" s="58">
        <v>46.637999999999998</v>
      </c>
      <c r="G223" s="58" t="s">
        <v>334</v>
      </c>
      <c r="H223" s="58">
        <v>47.162999999999997</v>
      </c>
      <c r="I223" s="58">
        <v>46.732999999999997</v>
      </c>
      <c r="J223" s="58" t="s">
        <v>334</v>
      </c>
      <c r="K223" s="58">
        <v>48.497</v>
      </c>
      <c r="L223" s="58" t="s">
        <v>334</v>
      </c>
      <c r="M223" s="59">
        <v>49.779000000000003</v>
      </c>
      <c r="N223" s="58"/>
    </row>
    <row r="224" spans="1:15" ht="18" customHeight="1">
      <c r="A224" s="57">
        <v>13</v>
      </c>
      <c r="B224" s="58">
        <v>47.325000000000003</v>
      </c>
      <c r="C224" s="58" t="s">
        <v>334</v>
      </c>
      <c r="D224" s="58" t="s">
        <v>334</v>
      </c>
      <c r="E224" s="58">
        <v>46.070999999999998</v>
      </c>
      <c r="F224" s="58">
        <v>46.584000000000003</v>
      </c>
      <c r="G224" s="58">
        <v>46.119</v>
      </c>
      <c r="H224" s="58">
        <v>47.393999999999998</v>
      </c>
      <c r="I224" s="58" t="s">
        <v>334</v>
      </c>
      <c r="J224" s="58">
        <v>47.097999999999999</v>
      </c>
      <c r="K224" s="58">
        <v>48.581000000000003</v>
      </c>
      <c r="L224" s="58" t="s">
        <v>334</v>
      </c>
      <c r="M224" s="59">
        <v>49.823</v>
      </c>
      <c r="N224" s="58"/>
    </row>
    <row r="225" spans="1:14" ht="18" customHeight="1">
      <c r="A225" s="57">
        <v>14</v>
      </c>
      <c r="B225" s="58">
        <v>47.457000000000001</v>
      </c>
      <c r="C225" s="58" t="s">
        <v>334</v>
      </c>
      <c r="D225" s="58">
        <v>46.692</v>
      </c>
      <c r="E225" s="58">
        <v>45.982999999999997</v>
      </c>
      <c r="F225" s="58" t="s">
        <v>334</v>
      </c>
      <c r="G225" s="58">
        <v>46.146000000000001</v>
      </c>
      <c r="H225" s="58">
        <v>47.247999999999998</v>
      </c>
      <c r="I225" s="58" t="s">
        <v>334</v>
      </c>
      <c r="J225" s="58">
        <v>47.436999999999998</v>
      </c>
      <c r="K225" s="58">
        <v>48.472999999999999</v>
      </c>
      <c r="L225" s="58">
        <v>48.908000000000001</v>
      </c>
      <c r="M225" s="59">
        <v>49.768000000000001</v>
      </c>
      <c r="N225" s="58"/>
    </row>
    <row r="226" spans="1:14" ht="18" customHeight="1">
      <c r="A226" s="57">
        <v>15</v>
      </c>
      <c r="B226" s="58">
        <v>47.679000000000002</v>
      </c>
      <c r="C226" s="58">
        <v>47.567</v>
      </c>
      <c r="D226" s="58">
        <v>46.506</v>
      </c>
      <c r="E226" s="58">
        <v>46.256</v>
      </c>
      <c r="F226" s="58" t="s">
        <v>334</v>
      </c>
      <c r="G226" s="58">
        <v>46.189</v>
      </c>
      <c r="H226" s="58">
        <v>47.098999999999997</v>
      </c>
      <c r="I226" s="58">
        <v>46.698999999999998</v>
      </c>
      <c r="J226" s="58">
        <v>47.542999999999999</v>
      </c>
      <c r="K226" s="58" t="s">
        <v>334</v>
      </c>
      <c r="L226" s="58">
        <v>49.13</v>
      </c>
      <c r="M226" s="59">
        <v>49.802</v>
      </c>
      <c r="N226" s="58"/>
    </row>
    <row r="227" spans="1:14" ht="18" customHeight="1">
      <c r="A227" s="57">
        <v>16</v>
      </c>
      <c r="B227" s="58" t="s">
        <v>334</v>
      </c>
      <c r="C227" s="58">
        <v>47.488</v>
      </c>
      <c r="D227" s="58">
        <v>46.731999999999999</v>
      </c>
      <c r="E227" s="58" t="s">
        <v>334</v>
      </c>
      <c r="F227" s="58">
        <v>46.671999999999997</v>
      </c>
      <c r="G227" s="58">
        <v>46.393999999999998</v>
      </c>
      <c r="H227" s="58" t="s">
        <v>334</v>
      </c>
      <c r="I227" s="58">
        <v>46.534999999999997</v>
      </c>
      <c r="J227" s="58">
        <v>47.570999999999998</v>
      </c>
      <c r="K227" s="58" t="s">
        <v>334</v>
      </c>
      <c r="L227" s="58">
        <v>49.18</v>
      </c>
      <c r="M227" s="59">
        <v>49.921999999999997</v>
      </c>
      <c r="N227" s="58"/>
    </row>
    <row r="228" spans="1:14" ht="18" customHeight="1">
      <c r="A228" s="57">
        <v>17</v>
      </c>
      <c r="B228" s="58" t="s">
        <v>334</v>
      </c>
      <c r="C228" s="58">
        <v>47.508000000000003</v>
      </c>
      <c r="D228" s="58">
        <v>46.828000000000003</v>
      </c>
      <c r="E228" s="58" t="s">
        <v>334</v>
      </c>
      <c r="F228" s="58">
        <v>46.518999999999998</v>
      </c>
      <c r="G228" s="58">
        <v>46.350999999999999</v>
      </c>
      <c r="H228" s="58" t="s">
        <v>334</v>
      </c>
      <c r="I228" s="58">
        <v>46.311999999999998</v>
      </c>
      <c r="J228" s="58" t="s">
        <v>334</v>
      </c>
      <c r="K228" s="58">
        <v>48.341000000000001</v>
      </c>
      <c r="L228" s="58">
        <v>49.219000000000001</v>
      </c>
      <c r="M228" s="59" t="s">
        <v>334</v>
      </c>
      <c r="N228" s="58"/>
    </row>
    <row r="229" spans="1:14" ht="18" customHeight="1">
      <c r="A229" s="57">
        <v>18</v>
      </c>
      <c r="B229" s="58">
        <v>47.722000000000001</v>
      </c>
      <c r="C229" s="58">
        <v>47.658000000000001</v>
      </c>
      <c r="D229" s="58">
        <v>46.442999999999998</v>
      </c>
      <c r="E229" s="58">
        <v>46.134</v>
      </c>
      <c r="F229" s="58">
        <v>46.384999999999998</v>
      </c>
      <c r="G229" s="58" t="s">
        <v>334</v>
      </c>
      <c r="H229" s="58">
        <v>46.877000000000002</v>
      </c>
      <c r="I229" s="58">
        <v>46.372999999999998</v>
      </c>
      <c r="J229" s="58" t="s">
        <v>334</v>
      </c>
      <c r="K229" s="58">
        <v>48.521000000000001</v>
      </c>
      <c r="L229" s="58">
        <v>49.418999999999997</v>
      </c>
      <c r="M229" s="59" t="s">
        <v>334</v>
      </c>
      <c r="N229" s="58"/>
    </row>
    <row r="230" spans="1:14" ht="18" customHeight="1">
      <c r="A230" s="57">
        <v>19</v>
      </c>
      <c r="B230" s="58">
        <v>47.75</v>
      </c>
      <c r="C230" s="58">
        <v>47.558999999999997</v>
      </c>
      <c r="D230" s="58" t="s">
        <v>334</v>
      </c>
      <c r="E230" s="58">
        <v>46.173999999999999</v>
      </c>
      <c r="F230" s="58">
        <v>46.595999999999997</v>
      </c>
      <c r="G230" s="58" t="s">
        <v>334</v>
      </c>
      <c r="H230" s="58">
        <v>46.756999999999998</v>
      </c>
      <c r="I230" s="58">
        <v>46.305999999999997</v>
      </c>
      <c r="J230" s="58">
        <v>47.725999999999999</v>
      </c>
      <c r="K230" s="58">
        <v>48.366999999999997</v>
      </c>
      <c r="L230" s="58" t="s">
        <v>334</v>
      </c>
      <c r="M230" s="59">
        <v>49.902000000000001</v>
      </c>
      <c r="N230" s="58"/>
    </row>
    <row r="231" spans="1:14" ht="18" customHeight="1">
      <c r="A231" s="57">
        <v>20</v>
      </c>
      <c r="B231" s="58">
        <v>47.673000000000002</v>
      </c>
      <c r="C231" s="58" t="s">
        <v>334</v>
      </c>
      <c r="D231" s="58" t="s">
        <v>334</v>
      </c>
      <c r="E231" s="58">
        <v>46.098999999999997</v>
      </c>
      <c r="F231" s="58">
        <v>46.854999999999997</v>
      </c>
      <c r="G231" s="58">
        <v>46.417999999999999</v>
      </c>
      <c r="H231" s="58">
        <v>46.844000000000001</v>
      </c>
      <c r="I231" s="58" t="s">
        <v>334</v>
      </c>
      <c r="J231" s="58">
        <v>47.868000000000002</v>
      </c>
      <c r="K231" s="58">
        <v>48.183</v>
      </c>
      <c r="L231" s="58" t="s">
        <v>334</v>
      </c>
      <c r="M231" s="59">
        <v>49.93</v>
      </c>
      <c r="N231" s="58"/>
    </row>
    <row r="232" spans="1:14" ht="18" customHeight="1">
      <c r="A232" s="57">
        <v>21</v>
      </c>
      <c r="B232" s="58">
        <v>47.781999999999996</v>
      </c>
      <c r="C232" s="58" t="s">
        <v>334</v>
      </c>
      <c r="D232" s="58">
        <v>46.27</v>
      </c>
      <c r="E232" s="58">
        <v>46.133000000000003</v>
      </c>
      <c r="F232" s="58" t="s">
        <v>334</v>
      </c>
      <c r="G232" s="58">
        <v>46.363</v>
      </c>
      <c r="H232" s="58">
        <v>47.064</v>
      </c>
      <c r="I232" s="58" t="s">
        <v>334</v>
      </c>
      <c r="J232" s="58">
        <v>47.854999999999997</v>
      </c>
      <c r="K232" s="58">
        <v>48.040999999999997</v>
      </c>
      <c r="L232" s="58">
        <v>49.773000000000003</v>
      </c>
      <c r="M232" s="59">
        <v>49.984000000000002</v>
      </c>
      <c r="N232" s="58"/>
    </row>
    <row r="233" spans="1:14" ht="18" customHeight="1">
      <c r="A233" s="57">
        <v>22</v>
      </c>
      <c r="B233" s="58">
        <v>47.868000000000002</v>
      </c>
      <c r="C233" s="58">
        <v>47.664999999999999</v>
      </c>
      <c r="D233" s="58">
        <v>46.493000000000002</v>
      </c>
      <c r="E233" s="58">
        <v>46.384</v>
      </c>
      <c r="F233" s="58" t="s">
        <v>334</v>
      </c>
      <c r="G233" s="58">
        <v>46.368000000000002</v>
      </c>
      <c r="H233" s="58">
        <v>47.162999999999997</v>
      </c>
      <c r="I233" s="58">
        <v>46.389000000000003</v>
      </c>
      <c r="J233" s="58">
        <v>47.802999999999997</v>
      </c>
      <c r="K233" s="58" t="s">
        <v>334</v>
      </c>
      <c r="L233" s="58">
        <v>49.866999999999997</v>
      </c>
      <c r="M233" s="59">
        <v>49.984000000000002</v>
      </c>
      <c r="N233" s="58"/>
    </row>
    <row r="234" spans="1:14" ht="18" customHeight="1">
      <c r="A234" s="57">
        <v>23</v>
      </c>
      <c r="B234" s="58" t="s">
        <v>334</v>
      </c>
      <c r="C234" s="58">
        <v>47.63</v>
      </c>
      <c r="D234" s="58">
        <v>46.256</v>
      </c>
      <c r="E234" s="58" t="s">
        <v>334</v>
      </c>
      <c r="F234" s="58">
        <v>46.771999999999998</v>
      </c>
      <c r="G234" s="58">
        <v>46.511000000000003</v>
      </c>
      <c r="H234" s="58" t="s">
        <v>334</v>
      </c>
      <c r="I234" s="58">
        <v>46.601999999999997</v>
      </c>
      <c r="J234" s="58">
        <v>47.835000000000001</v>
      </c>
      <c r="K234" s="58" t="s">
        <v>334</v>
      </c>
      <c r="L234" s="58">
        <v>49.805999999999997</v>
      </c>
      <c r="M234" s="59">
        <v>49.975000000000001</v>
      </c>
      <c r="N234" s="58"/>
    </row>
    <row r="235" spans="1:14" ht="18" customHeight="1">
      <c r="A235" s="57">
        <v>24</v>
      </c>
      <c r="B235" s="58" t="s">
        <v>334</v>
      </c>
      <c r="C235" s="58">
        <v>47.622999999999998</v>
      </c>
      <c r="D235" s="58" t="s">
        <v>334</v>
      </c>
      <c r="E235" s="58" t="s">
        <v>334</v>
      </c>
      <c r="F235" s="58">
        <v>46.792000000000002</v>
      </c>
      <c r="G235" s="58">
        <v>46.533000000000001</v>
      </c>
      <c r="H235" s="58" t="s">
        <v>334</v>
      </c>
      <c r="I235" s="58">
        <v>46.52</v>
      </c>
      <c r="J235" s="58" t="s">
        <v>334</v>
      </c>
      <c r="K235" s="58">
        <v>48.283999999999999</v>
      </c>
      <c r="L235" s="58">
        <v>49.905999999999999</v>
      </c>
      <c r="M235" s="59" t="s">
        <v>334</v>
      </c>
      <c r="N235" s="58"/>
    </row>
    <row r="236" spans="1:14" ht="18" customHeight="1">
      <c r="A236" s="57">
        <v>25</v>
      </c>
      <c r="B236" s="58">
        <v>47.856999999999999</v>
      </c>
      <c r="C236" s="58" t="s">
        <v>334</v>
      </c>
      <c r="D236" s="58" t="s">
        <v>334</v>
      </c>
      <c r="E236" s="58">
        <v>46.578000000000003</v>
      </c>
      <c r="F236" s="58">
        <v>46.860999999999997</v>
      </c>
      <c r="G236" s="58" t="s">
        <v>334</v>
      </c>
      <c r="H236" s="58">
        <v>47.095999999999997</v>
      </c>
      <c r="I236" s="58">
        <v>46.581000000000003</v>
      </c>
      <c r="J236" s="58" t="s">
        <v>334</v>
      </c>
      <c r="K236" s="58">
        <v>48.293999999999997</v>
      </c>
      <c r="L236" s="58">
        <v>49.968000000000004</v>
      </c>
      <c r="M236" s="59" t="s">
        <v>334</v>
      </c>
      <c r="N236" s="58"/>
    </row>
    <row r="237" spans="1:14" ht="18" customHeight="1">
      <c r="A237" s="57">
        <v>26</v>
      </c>
      <c r="B237" s="58">
        <v>47.813000000000002</v>
      </c>
      <c r="C237" s="58">
        <v>47.677</v>
      </c>
      <c r="D237" s="58" t="s">
        <v>334</v>
      </c>
      <c r="E237" s="58">
        <v>46.777000000000001</v>
      </c>
      <c r="F237" s="58">
        <v>46.79</v>
      </c>
      <c r="G237" s="58" t="s">
        <v>334</v>
      </c>
      <c r="H237" s="58">
        <v>47.18</v>
      </c>
      <c r="I237" s="58">
        <v>46.488999999999997</v>
      </c>
      <c r="J237" s="58">
        <v>47.94</v>
      </c>
      <c r="K237" s="58">
        <v>48.317</v>
      </c>
      <c r="L237" s="58" t="s">
        <v>334</v>
      </c>
      <c r="M237" s="59" t="s">
        <v>334</v>
      </c>
      <c r="N237" s="58"/>
    </row>
    <row r="238" spans="1:14" ht="18" customHeight="1">
      <c r="A238" s="57">
        <v>27</v>
      </c>
      <c r="B238" s="58">
        <v>47.987000000000002</v>
      </c>
      <c r="C238" s="58" t="s">
        <v>334</v>
      </c>
      <c r="D238" s="58" t="s">
        <v>334</v>
      </c>
      <c r="E238" s="58">
        <v>46.844000000000001</v>
      </c>
      <c r="F238" s="58">
        <v>46.664999999999999</v>
      </c>
      <c r="G238" s="58">
        <v>46.866</v>
      </c>
      <c r="H238" s="58">
        <v>47.192999999999998</v>
      </c>
      <c r="I238" s="58" t="s">
        <v>334</v>
      </c>
      <c r="J238" s="58">
        <v>48.218000000000004</v>
      </c>
      <c r="K238" s="58">
        <v>48.302</v>
      </c>
      <c r="L238" s="58" t="s">
        <v>334</v>
      </c>
      <c r="M238" s="59">
        <v>49.908000000000001</v>
      </c>
      <c r="N238" s="58"/>
    </row>
    <row r="239" spans="1:14" ht="18" customHeight="1">
      <c r="A239" s="57">
        <v>28</v>
      </c>
      <c r="B239" s="58">
        <v>47.887999999999998</v>
      </c>
      <c r="C239" s="58" t="s">
        <v>334</v>
      </c>
      <c r="D239" s="58">
        <v>46.319000000000003</v>
      </c>
      <c r="E239" s="58">
        <v>46.786999999999999</v>
      </c>
      <c r="F239" s="58" t="s">
        <v>334</v>
      </c>
      <c r="G239" s="58">
        <v>47.073</v>
      </c>
      <c r="H239" s="58">
        <v>47.155999999999999</v>
      </c>
      <c r="I239" s="58" t="s">
        <v>334</v>
      </c>
      <c r="J239" s="58">
        <v>48.265000000000001</v>
      </c>
      <c r="K239" s="58">
        <v>48.515000000000001</v>
      </c>
      <c r="L239" s="58">
        <v>49.923000000000002</v>
      </c>
      <c r="M239" s="59">
        <v>49.811999999999998</v>
      </c>
      <c r="N239" s="58"/>
    </row>
    <row r="240" spans="1:14" ht="18" customHeight="1">
      <c r="A240" s="57">
        <v>29</v>
      </c>
      <c r="B240" s="58">
        <v>47.823</v>
      </c>
      <c r="C240" s="58">
        <v>47.56</v>
      </c>
      <c r="D240" s="58">
        <v>46.454000000000001</v>
      </c>
      <c r="E240" s="58">
        <v>46.773000000000003</v>
      </c>
      <c r="F240" s="58" t="s">
        <v>334</v>
      </c>
      <c r="G240" s="58">
        <v>47.052</v>
      </c>
      <c r="H240" s="58">
        <v>47.085000000000001</v>
      </c>
      <c r="I240" s="58" t="s">
        <v>334</v>
      </c>
      <c r="J240" s="58">
        <v>48.216999999999999</v>
      </c>
      <c r="K240" s="58" t="s">
        <v>334</v>
      </c>
      <c r="L240" s="58">
        <v>49.777000000000001</v>
      </c>
      <c r="M240" s="59">
        <v>49.813000000000002</v>
      </c>
      <c r="N240" s="58"/>
    </row>
    <row r="241" spans="1:15" ht="18" customHeight="1">
      <c r="A241" s="57">
        <v>30</v>
      </c>
      <c r="B241" s="58" t="s">
        <v>334</v>
      </c>
      <c r="C241" s="58" t="s">
        <v>335</v>
      </c>
      <c r="D241" s="58">
        <v>46.329000000000001</v>
      </c>
      <c r="E241" s="58" t="s">
        <v>334</v>
      </c>
      <c r="F241" s="58">
        <v>46.667999999999999</v>
      </c>
      <c r="G241" s="58">
        <v>46.96</v>
      </c>
      <c r="H241" s="58" t="s">
        <v>334</v>
      </c>
      <c r="I241" s="58">
        <v>46.348999999999997</v>
      </c>
      <c r="J241" s="58">
        <v>48.256999999999998</v>
      </c>
      <c r="K241" s="58" t="s">
        <v>334</v>
      </c>
      <c r="L241" s="58" t="s">
        <v>334</v>
      </c>
      <c r="M241" s="59" t="s">
        <v>334</v>
      </c>
      <c r="N241" s="58"/>
    </row>
    <row r="242" spans="1:15" ht="18" customHeight="1">
      <c r="A242" s="57">
        <v>31</v>
      </c>
      <c r="B242" s="58" t="s">
        <v>334</v>
      </c>
      <c r="C242" s="58" t="s">
        <v>335</v>
      </c>
      <c r="D242" s="58">
        <v>46.107999999999997</v>
      </c>
      <c r="E242" s="58" t="s">
        <v>335</v>
      </c>
      <c r="F242" s="58">
        <v>46.774999999999999</v>
      </c>
      <c r="G242" s="58" t="s">
        <v>335</v>
      </c>
      <c r="H242" s="58" t="s">
        <v>334</v>
      </c>
      <c r="I242" s="58">
        <v>46.466999999999999</v>
      </c>
      <c r="J242" s="58" t="s">
        <v>335</v>
      </c>
      <c r="K242" s="58" t="s">
        <v>334</v>
      </c>
      <c r="L242" s="58" t="s">
        <v>335</v>
      </c>
      <c r="M242" s="59" t="s">
        <v>334</v>
      </c>
      <c r="N242" s="58"/>
    </row>
    <row r="243" spans="1:15" ht="18" customHeight="1" thickBot="1">
      <c r="A243" s="66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8"/>
      <c r="N243" s="58"/>
    </row>
    <row r="244" spans="1:15" ht="18" customHeight="1">
      <c r="A244" s="605">
        <v>2015</v>
      </c>
      <c r="B244" s="606"/>
      <c r="C244" s="606"/>
      <c r="D244" s="606"/>
      <c r="E244" s="606"/>
      <c r="F244" s="606"/>
      <c r="G244" s="606"/>
      <c r="H244" s="606"/>
      <c r="I244" s="606"/>
      <c r="J244" s="606"/>
      <c r="K244" s="606"/>
      <c r="L244" s="606"/>
      <c r="M244" s="607"/>
      <c r="N244" s="52"/>
    </row>
    <row r="245" spans="1:15" ht="18" customHeight="1" thickBot="1">
      <c r="A245" s="51" t="s">
        <v>322</v>
      </c>
      <c r="B245" s="52" t="s">
        <v>323</v>
      </c>
      <c r="C245" s="52" t="s">
        <v>324</v>
      </c>
      <c r="D245" s="52" t="s">
        <v>325</v>
      </c>
      <c r="E245" s="52" t="s">
        <v>326</v>
      </c>
      <c r="F245" s="52" t="s">
        <v>236</v>
      </c>
      <c r="G245" s="52" t="s">
        <v>327</v>
      </c>
      <c r="H245" s="52" t="s">
        <v>328</v>
      </c>
      <c r="I245" s="52" t="s">
        <v>329</v>
      </c>
      <c r="J245" s="52" t="s">
        <v>330</v>
      </c>
      <c r="K245" s="52" t="s">
        <v>331</v>
      </c>
      <c r="L245" s="52" t="s">
        <v>332</v>
      </c>
      <c r="M245" s="53" t="s">
        <v>333</v>
      </c>
      <c r="N245" s="52"/>
    </row>
    <row r="246" spans="1:15" ht="18" customHeight="1">
      <c r="A246" s="54">
        <v>1</v>
      </c>
      <c r="B246" s="55" t="s">
        <v>334</v>
      </c>
      <c r="C246" s="55" t="s">
        <v>334</v>
      </c>
      <c r="D246" s="55" t="s">
        <v>334</v>
      </c>
      <c r="E246" s="55">
        <v>44.725000000000001</v>
      </c>
      <c r="F246" s="55" t="s">
        <v>334</v>
      </c>
      <c r="G246" s="55">
        <v>44.567</v>
      </c>
      <c r="H246" s="55">
        <v>45.137</v>
      </c>
      <c r="I246" s="55" t="s">
        <v>334</v>
      </c>
      <c r="J246" s="55">
        <v>46.704000000000001</v>
      </c>
      <c r="K246" s="55">
        <v>46.831000000000003</v>
      </c>
      <c r="L246" s="55" t="s">
        <v>334</v>
      </c>
      <c r="M246" s="56">
        <v>47.167999999999999</v>
      </c>
      <c r="N246" s="83">
        <v>2015</v>
      </c>
      <c r="O246" s="47">
        <f>AVERAGE(B246:M276)</f>
        <v>45.488232067510566</v>
      </c>
    </row>
    <row r="247" spans="1:15" ht="18" customHeight="1">
      <c r="A247" s="57">
        <v>2</v>
      </c>
      <c r="B247" s="58" t="s">
        <v>334</v>
      </c>
      <c r="C247" s="58">
        <v>44.084000000000003</v>
      </c>
      <c r="D247" s="58">
        <v>44.082000000000001</v>
      </c>
      <c r="E247" s="58" t="s">
        <v>334</v>
      </c>
      <c r="F247" s="58" t="s">
        <v>334</v>
      </c>
      <c r="G247" s="58">
        <v>44.548999999999999</v>
      </c>
      <c r="H247" s="58">
        <v>45.073999999999998</v>
      </c>
      <c r="I247" s="58" t="s">
        <v>334</v>
      </c>
      <c r="J247" s="58">
        <v>46.695999999999998</v>
      </c>
      <c r="K247" s="58">
        <v>46.704999999999998</v>
      </c>
      <c r="L247" s="58">
        <v>46.859000000000002</v>
      </c>
      <c r="M247" s="59">
        <v>47.152999999999999</v>
      </c>
      <c r="N247" s="58"/>
    </row>
    <row r="248" spans="1:15" ht="18" customHeight="1">
      <c r="A248" s="57">
        <v>3</v>
      </c>
      <c r="B248" s="58" t="s">
        <v>334</v>
      </c>
      <c r="C248" s="58">
        <v>44.191000000000003</v>
      </c>
      <c r="D248" s="58">
        <v>44.128999999999998</v>
      </c>
      <c r="E248" s="58" t="s">
        <v>334</v>
      </c>
      <c r="F248" s="58" t="s">
        <v>334</v>
      </c>
      <c r="G248" s="58">
        <v>44.656999999999996</v>
      </c>
      <c r="H248" s="58">
        <v>45.162999999999997</v>
      </c>
      <c r="I248" s="58">
        <v>45.680999999999997</v>
      </c>
      <c r="J248" s="58">
        <v>46.716999999999999</v>
      </c>
      <c r="K248" s="58" t="s">
        <v>334</v>
      </c>
      <c r="L248" s="58">
        <v>46.795999999999999</v>
      </c>
      <c r="M248" s="59">
        <v>47.152000000000001</v>
      </c>
      <c r="N248" s="58"/>
    </row>
    <row r="249" spans="1:15" ht="18" customHeight="1">
      <c r="A249" s="57">
        <v>4</v>
      </c>
      <c r="B249" s="58" t="s">
        <v>334</v>
      </c>
      <c r="C249" s="58">
        <v>44.094000000000001</v>
      </c>
      <c r="D249" s="58">
        <v>44.088999999999999</v>
      </c>
      <c r="E249" s="58" t="s">
        <v>334</v>
      </c>
      <c r="F249" s="58">
        <v>44.518000000000001</v>
      </c>
      <c r="G249" s="58">
        <v>44.656999999999996</v>
      </c>
      <c r="H249" s="58" t="s">
        <v>334</v>
      </c>
      <c r="I249" s="58">
        <v>45.673999999999999</v>
      </c>
      <c r="J249" s="58">
        <v>46.765999999999998</v>
      </c>
      <c r="K249" s="58" t="s">
        <v>334</v>
      </c>
      <c r="L249" s="58">
        <v>46.798000000000002</v>
      </c>
      <c r="M249" s="59">
        <v>47.155000000000001</v>
      </c>
      <c r="N249" s="58"/>
    </row>
    <row r="250" spans="1:15" ht="18" customHeight="1">
      <c r="A250" s="57">
        <v>5</v>
      </c>
      <c r="B250" s="58">
        <v>44.74</v>
      </c>
      <c r="C250" s="58">
        <v>44.052999999999997</v>
      </c>
      <c r="D250" s="58">
        <v>44.084000000000003</v>
      </c>
      <c r="E250" s="58" t="s">
        <v>334</v>
      </c>
      <c r="F250" s="58">
        <v>44.652999999999999</v>
      </c>
      <c r="G250" s="58">
        <v>44.808</v>
      </c>
      <c r="H250" s="58" t="s">
        <v>334</v>
      </c>
      <c r="I250" s="58">
        <v>45.722000000000001</v>
      </c>
      <c r="J250" s="58" t="s">
        <v>334</v>
      </c>
      <c r="K250" s="58">
        <v>46.79</v>
      </c>
      <c r="L250" s="58">
        <v>46.743000000000002</v>
      </c>
      <c r="M250" s="59" t="s">
        <v>334</v>
      </c>
      <c r="N250" s="58"/>
    </row>
    <row r="251" spans="1:15" ht="18" customHeight="1">
      <c r="A251" s="57">
        <v>6</v>
      </c>
      <c r="B251" s="58">
        <v>44.970999999999997</v>
      </c>
      <c r="C251" s="58">
        <v>44.128999999999998</v>
      </c>
      <c r="D251" s="58">
        <v>44.158999999999999</v>
      </c>
      <c r="E251" s="58">
        <v>44.622999999999998</v>
      </c>
      <c r="F251" s="58">
        <v>44.625999999999998</v>
      </c>
      <c r="G251" s="58" t="s">
        <v>334</v>
      </c>
      <c r="H251" s="58">
        <v>45.076000000000001</v>
      </c>
      <c r="I251" s="58">
        <v>45.738</v>
      </c>
      <c r="J251" s="58" t="s">
        <v>334</v>
      </c>
      <c r="K251" s="58">
        <v>46.58</v>
      </c>
      <c r="L251" s="58">
        <v>46.905999999999999</v>
      </c>
      <c r="M251" s="59" t="s">
        <v>334</v>
      </c>
      <c r="N251" s="58"/>
    </row>
    <row r="252" spans="1:15" ht="18" customHeight="1">
      <c r="A252" s="57">
        <v>7</v>
      </c>
      <c r="B252" s="58">
        <v>44.98</v>
      </c>
      <c r="C252" s="58" t="s">
        <v>334</v>
      </c>
      <c r="D252" s="58" t="s">
        <v>334</v>
      </c>
      <c r="E252" s="58">
        <v>44.399000000000001</v>
      </c>
      <c r="F252" s="58">
        <v>44.526000000000003</v>
      </c>
      <c r="G252" s="58" t="s">
        <v>334</v>
      </c>
      <c r="H252" s="58">
        <v>45.124000000000002</v>
      </c>
      <c r="I252" s="58">
        <v>45.781999999999996</v>
      </c>
      <c r="J252" s="58">
        <v>46.737000000000002</v>
      </c>
      <c r="K252" s="58">
        <v>46.405000000000001</v>
      </c>
      <c r="L252" s="58" t="s">
        <v>334</v>
      </c>
      <c r="M252" s="59">
        <v>47.081000000000003</v>
      </c>
      <c r="N252" s="58"/>
    </row>
    <row r="253" spans="1:15" ht="18" customHeight="1">
      <c r="A253" s="57">
        <v>8</v>
      </c>
      <c r="B253" s="58">
        <v>45.031999999999996</v>
      </c>
      <c r="C253" s="58" t="s">
        <v>334</v>
      </c>
      <c r="D253" s="58" t="s">
        <v>334</v>
      </c>
      <c r="E253" s="58">
        <v>44.484000000000002</v>
      </c>
      <c r="F253" s="58">
        <v>44.65</v>
      </c>
      <c r="G253" s="58">
        <v>44.911000000000001</v>
      </c>
      <c r="H253" s="58">
        <v>45.140999999999998</v>
      </c>
      <c r="I253" s="58" t="s">
        <v>334</v>
      </c>
      <c r="J253" s="58">
        <v>46.912999999999997</v>
      </c>
      <c r="K253" s="58">
        <v>46.273000000000003</v>
      </c>
      <c r="L253" s="58" t="s">
        <v>334</v>
      </c>
      <c r="M253" s="59">
        <v>47.112000000000002</v>
      </c>
      <c r="N253" s="58"/>
    </row>
    <row r="254" spans="1:15" ht="18" customHeight="1">
      <c r="A254" s="57">
        <v>9</v>
      </c>
      <c r="B254" s="58">
        <v>45.064</v>
      </c>
      <c r="C254" s="58">
        <v>44.162999999999997</v>
      </c>
      <c r="D254" s="58">
        <v>44.118000000000002</v>
      </c>
      <c r="E254" s="58" t="s">
        <v>334</v>
      </c>
      <c r="F254" s="58" t="s">
        <v>334</v>
      </c>
      <c r="G254" s="58">
        <v>45.103000000000002</v>
      </c>
      <c r="H254" s="58">
        <v>45.231999999999999</v>
      </c>
      <c r="I254" s="58" t="s">
        <v>334</v>
      </c>
      <c r="J254" s="58">
        <v>46.988</v>
      </c>
      <c r="K254" s="58">
        <v>46.125</v>
      </c>
      <c r="L254" s="58">
        <v>46.902000000000001</v>
      </c>
      <c r="M254" s="59">
        <v>47.167000000000002</v>
      </c>
      <c r="N254" s="58"/>
    </row>
    <row r="255" spans="1:15" ht="18" customHeight="1">
      <c r="A255" s="57">
        <v>10</v>
      </c>
      <c r="B255" s="58" t="s">
        <v>334</v>
      </c>
      <c r="C255" s="58">
        <v>44.314999999999998</v>
      </c>
      <c r="D255" s="58">
        <v>44.25</v>
      </c>
      <c r="E255" s="58">
        <v>44.558999999999997</v>
      </c>
      <c r="F255" s="58" t="s">
        <v>334</v>
      </c>
      <c r="G255" s="58">
        <v>45.021000000000001</v>
      </c>
      <c r="H255" s="58">
        <v>45.17</v>
      </c>
      <c r="I255" s="58">
        <v>45.779000000000003</v>
      </c>
      <c r="J255" s="58">
        <v>46.814999999999998</v>
      </c>
      <c r="K255" s="58" t="s">
        <v>334</v>
      </c>
      <c r="L255" s="58">
        <v>47.154000000000003</v>
      </c>
      <c r="M255" s="59">
        <v>47.152999999999999</v>
      </c>
      <c r="N255" s="58"/>
    </row>
    <row r="256" spans="1:15" ht="18" customHeight="1">
      <c r="A256" s="57">
        <v>11</v>
      </c>
      <c r="B256" s="58" t="s">
        <v>334</v>
      </c>
      <c r="C256" s="58">
        <v>44.353999999999999</v>
      </c>
      <c r="D256" s="58">
        <v>44.262999999999998</v>
      </c>
      <c r="E256" s="58" t="s">
        <v>334</v>
      </c>
      <c r="F256" s="58">
        <v>44.69</v>
      </c>
      <c r="G256" s="58">
        <v>44.966000000000001</v>
      </c>
      <c r="H256" s="58" t="s">
        <v>334</v>
      </c>
      <c r="I256" s="58">
        <v>45.73</v>
      </c>
      <c r="J256" s="58">
        <v>46.926000000000002</v>
      </c>
      <c r="K256" s="58" t="s">
        <v>334</v>
      </c>
      <c r="L256" s="58">
        <v>47.21</v>
      </c>
      <c r="M256" s="59">
        <v>47.182000000000002</v>
      </c>
      <c r="N256" s="58"/>
    </row>
    <row r="257" spans="1:14" ht="18" customHeight="1">
      <c r="A257" s="57">
        <v>12</v>
      </c>
      <c r="B257" s="58">
        <v>44.945999999999998</v>
      </c>
      <c r="C257" s="58">
        <v>44.353000000000002</v>
      </c>
      <c r="D257" s="58">
        <v>44.341999999999999</v>
      </c>
      <c r="E257" s="58" t="s">
        <v>334</v>
      </c>
      <c r="F257" s="58">
        <v>44.609000000000002</v>
      </c>
      <c r="G257" s="58" t="s">
        <v>334</v>
      </c>
      <c r="H257" s="58" t="s">
        <v>334</v>
      </c>
      <c r="I257" s="58">
        <v>45.86</v>
      </c>
      <c r="J257" s="58" t="s">
        <v>334</v>
      </c>
      <c r="K257" s="58">
        <v>45.926000000000002</v>
      </c>
      <c r="L257" s="58">
        <v>47.131</v>
      </c>
      <c r="M257" s="59" t="s">
        <v>334</v>
      </c>
      <c r="N257" s="58"/>
    </row>
    <row r="258" spans="1:14" ht="18" customHeight="1">
      <c r="A258" s="57">
        <v>13</v>
      </c>
      <c r="B258" s="58">
        <v>44.863999999999997</v>
      </c>
      <c r="C258" s="58">
        <v>44.396000000000001</v>
      </c>
      <c r="D258" s="58">
        <v>44.271000000000001</v>
      </c>
      <c r="E258" s="58">
        <v>44.515000000000001</v>
      </c>
      <c r="F258" s="58">
        <v>44.795999999999999</v>
      </c>
      <c r="G258" s="58" t="s">
        <v>334</v>
      </c>
      <c r="H258" s="58">
        <v>45.154000000000003</v>
      </c>
      <c r="I258" s="58">
        <v>46.213999999999999</v>
      </c>
      <c r="J258" s="58" t="s">
        <v>334</v>
      </c>
      <c r="K258" s="58">
        <v>45.866999999999997</v>
      </c>
      <c r="L258" s="58">
        <v>46.993000000000002</v>
      </c>
      <c r="M258" s="59" t="s">
        <v>334</v>
      </c>
      <c r="N258" s="58"/>
    </row>
    <row r="259" spans="1:14" ht="18" customHeight="1">
      <c r="A259" s="57">
        <v>14</v>
      </c>
      <c r="B259" s="58">
        <v>44.832000000000001</v>
      </c>
      <c r="C259" s="58" t="s">
        <v>334</v>
      </c>
      <c r="D259" s="58" t="s">
        <v>334</v>
      </c>
      <c r="E259" s="58">
        <v>44.633000000000003</v>
      </c>
      <c r="F259" s="58">
        <v>44.761000000000003</v>
      </c>
      <c r="G259" s="58" t="s">
        <v>334</v>
      </c>
      <c r="H259" s="58">
        <v>45.151000000000003</v>
      </c>
      <c r="I259" s="58">
        <v>46.128999999999998</v>
      </c>
      <c r="J259" s="58">
        <v>46.820999999999998</v>
      </c>
      <c r="K259" s="58">
        <v>45.982999999999997</v>
      </c>
      <c r="L259" s="58" t="s">
        <v>334</v>
      </c>
      <c r="M259" s="59">
        <v>47.228999999999999</v>
      </c>
      <c r="N259" s="58"/>
    </row>
    <row r="260" spans="1:14" ht="18" customHeight="1">
      <c r="A260" s="57">
        <v>15</v>
      </c>
      <c r="B260" s="58" t="s">
        <v>334</v>
      </c>
      <c r="C260" s="58" t="s">
        <v>334</v>
      </c>
      <c r="D260" s="58" t="s">
        <v>334</v>
      </c>
      <c r="E260" s="58">
        <v>44.634</v>
      </c>
      <c r="F260" s="58">
        <v>44.569000000000003</v>
      </c>
      <c r="G260" s="58">
        <v>45.039000000000001</v>
      </c>
      <c r="H260" s="58">
        <v>45.204999999999998</v>
      </c>
      <c r="I260" s="58" t="s">
        <v>334</v>
      </c>
      <c r="J260" s="58">
        <v>46.771000000000001</v>
      </c>
      <c r="K260" s="58">
        <v>46.091999999999999</v>
      </c>
      <c r="L260" s="58" t="s">
        <v>334</v>
      </c>
      <c r="M260" s="59">
        <v>47.338999999999999</v>
      </c>
      <c r="N260" s="58"/>
    </row>
    <row r="261" spans="1:14" ht="18" customHeight="1">
      <c r="A261" s="57">
        <v>16</v>
      </c>
      <c r="B261" s="58" t="s">
        <v>334</v>
      </c>
      <c r="C261" s="58">
        <v>44.277000000000001</v>
      </c>
      <c r="D261" s="58">
        <v>44.271000000000001</v>
      </c>
      <c r="E261" s="58">
        <v>44.555</v>
      </c>
      <c r="F261" s="58" t="s">
        <v>334</v>
      </c>
      <c r="G261" s="58">
        <v>45.261000000000003</v>
      </c>
      <c r="H261" s="58">
        <v>45.2</v>
      </c>
      <c r="I261" s="58" t="s">
        <v>334</v>
      </c>
      <c r="J261" s="58">
        <v>46.743000000000002</v>
      </c>
      <c r="K261" s="58">
        <v>45.795999999999999</v>
      </c>
      <c r="L261" s="58">
        <v>47.031999999999996</v>
      </c>
      <c r="M261" s="59">
        <v>47.38</v>
      </c>
      <c r="N261" s="58"/>
    </row>
    <row r="262" spans="1:14" ht="18" customHeight="1">
      <c r="A262" s="57">
        <v>17</v>
      </c>
      <c r="B262" s="58" t="s">
        <v>334</v>
      </c>
      <c r="C262" s="58">
        <v>44.250999999999998</v>
      </c>
      <c r="D262" s="58">
        <v>44.402000000000001</v>
      </c>
      <c r="E262" s="58">
        <v>44.411999999999999</v>
      </c>
      <c r="F262" s="58" t="s">
        <v>334</v>
      </c>
      <c r="G262" s="58">
        <v>45.156999999999996</v>
      </c>
      <c r="H262" s="58" t="s">
        <v>334</v>
      </c>
      <c r="I262" s="58">
        <v>46.207999999999998</v>
      </c>
      <c r="J262" s="58">
        <v>46.7</v>
      </c>
      <c r="K262" s="58" t="s">
        <v>334</v>
      </c>
      <c r="L262" s="58" t="s">
        <v>334</v>
      </c>
      <c r="M262" s="59">
        <v>47.323999999999998</v>
      </c>
      <c r="N262" s="58"/>
    </row>
    <row r="263" spans="1:14" ht="18" customHeight="1">
      <c r="A263" s="57">
        <v>18</v>
      </c>
      <c r="B263" s="58" t="s">
        <v>334</v>
      </c>
      <c r="C263" s="58">
        <v>44.279000000000003</v>
      </c>
      <c r="D263" s="58">
        <v>44.460999999999999</v>
      </c>
      <c r="E263" s="58" t="s">
        <v>334</v>
      </c>
      <c r="F263" s="58">
        <v>44.512</v>
      </c>
      <c r="G263" s="58">
        <v>45.137999999999998</v>
      </c>
      <c r="H263" s="58" t="s">
        <v>334</v>
      </c>
      <c r="I263" s="58">
        <v>46.286999999999999</v>
      </c>
      <c r="J263" s="58">
        <v>46.517000000000003</v>
      </c>
      <c r="K263" s="58" t="s">
        <v>334</v>
      </c>
      <c r="L263" s="58" t="s">
        <v>334</v>
      </c>
      <c r="M263" s="59">
        <v>47.305</v>
      </c>
      <c r="N263" s="58"/>
    </row>
    <row r="264" spans="1:14" ht="18" customHeight="1">
      <c r="A264" s="57">
        <v>19</v>
      </c>
      <c r="B264" s="58" t="s">
        <v>334</v>
      </c>
      <c r="C264" s="58" t="s">
        <v>334</v>
      </c>
      <c r="D264" s="58">
        <v>44.691000000000003</v>
      </c>
      <c r="E264" s="58" t="s">
        <v>334</v>
      </c>
      <c r="F264" s="58">
        <v>44.454999999999998</v>
      </c>
      <c r="G264" s="58">
        <v>45.017000000000003</v>
      </c>
      <c r="H264" s="58" t="s">
        <v>334</v>
      </c>
      <c r="I264" s="58">
        <v>46.35</v>
      </c>
      <c r="J264" s="58" t="s">
        <v>334</v>
      </c>
      <c r="K264" s="58">
        <v>45.975000000000001</v>
      </c>
      <c r="L264" s="58" t="s">
        <v>334</v>
      </c>
      <c r="M264" s="59" t="s">
        <v>334</v>
      </c>
      <c r="N264" s="58"/>
    </row>
    <row r="265" spans="1:14" ht="18" customHeight="1">
      <c r="A265" s="57">
        <v>20</v>
      </c>
      <c r="B265" s="58">
        <v>44.680999999999997</v>
      </c>
      <c r="C265" s="58">
        <v>44.235999999999997</v>
      </c>
      <c r="D265" s="58">
        <v>44.661000000000001</v>
      </c>
      <c r="E265" s="58">
        <v>44.337000000000003</v>
      </c>
      <c r="F265" s="58">
        <v>44.527000000000001</v>
      </c>
      <c r="G265" s="58" t="s">
        <v>334</v>
      </c>
      <c r="H265" s="58">
        <v>45.262</v>
      </c>
      <c r="I265" s="58">
        <v>46.305999999999997</v>
      </c>
      <c r="J265" s="58" t="s">
        <v>334</v>
      </c>
      <c r="K265" s="58">
        <v>46.088999999999999</v>
      </c>
      <c r="L265" s="58" t="s">
        <v>334</v>
      </c>
      <c r="M265" s="59" t="s">
        <v>334</v>
      </c>
      <c r="N265" s="58"/>
    </row>
    <row r="266" spans="1:14" ht="18" customHeight="1">
      <c r="A266" s="57">
        <v>21</v>
      </c>
      <c r="B266" s="58">
        <v>44.679000000000002</v>
      </c>
      <c r="C266" s="58" t="s">
        <v>334</v>
      </c>
      <c r="D266" s="58" t="s">
        <v>334</v>
      </c>
      <c r="E266" s="58">
        <v>44.23</v>
      </c>
      <c r="F266" s="58">
        <v>44.610999999999997</v>
      </c>
      <c r="G266" s="58" t="s">
        <v>334</v>
      </c>
      <c r="H266" s="58">
        <v>45.259</v>
      </c>
      <c r="I266" s="58" t="s">
        <v>334</v>
      </c>
      <c r="J266" s="58">
        <v>46.493000000000002</v>
      </c>
      <c r="K266" s="58">
        <v>46.183999999999997</v>
      </c>
      <c r="L266" s="58" t="s">
        <v>334</v>
      </c>
      <c r="M266" s="59">
        <v>47.435000000000002</v>
      </c>
      <c r="N266" s="58"/>
    </row>
    <row r="267" spans="1:14" ht="18" customHeight="1">
      <c r="A267" s="57">
        <v>22</v>
      </c>
      <c r="B267" s="58">
        <v>44.496000000000002</v>
      </c>
      <c r="C267" s="58" t="s">
        <v>334</v>
      </c>
      <c r="D267" s="58" t="s">
        <v>334</v>
      </c>
      <c r="E267" s="58">
        <v>44.29</v>
      </c>
      <c r="F267" s="58">
        <v>44.51</v>
      </c>
      <c r="G267" s="58">
        <v>45.011000000000003</v>
      </c>
      <c r="H267" s="58">
        <v>45.281999999999996</v>
      </c>
      <c r="I267" s="58" t="s">
        <v>334</v>
      </c>
      <c r="J267" s="58">
        <v>46.515999999999998</v>
      </c>
      <c r="K267" s="58">
        <v>46.414000000000001</v>
      </c>
      <c r="L267" s="58" t="s">
        <v>334</v>
      </c>
      <c r="M267" s="59">
        <v>47.302</v>
      </c>
      <c r="N267" s="58"/>
    </row>
    <row r="268" spans="1:14" ht="18" customHeight="1">
      <c r="A268" s="57">
        <v>23</v>
      </c>
      <c r="B268" s="58">
        <v>44.360999999999997</v>
      </c>
      <c r="C268" s="58">
        <v>44.206000000000003</v>
      </c>
      <c r="D268" s="58">
        <v>44.831000000000003</v>
      </c>
      <c r="E268" s="58">
        <v>44.213000000000001</v>
      </c>
      <c r="F268" s="58" t="s">
        <v>334</v>
      </c>
      <c r="G268" s="58">
        <v>45.026000000000003</v>
      </c>
      <c r="H268" s="58">
        <v>45.247</v>
      </c>
      <c r="I268" s="58" t="s">
        <v>334</v>
      </c>
      <c r="J268" s="58">
        <v>46.552</v>
      </c>
      <c r="K268" s="58">
        <v>46.527999999999999</v>
      </c>
      <c r="L268" s="58">
        <v>47.195999999999998</v>
      </c>
      <c r="M268" s="59">
        <v>47.298000000000002</v>
      </c>
      <c r="N268" s="58"/>
    </row>
    <row r="269" spans="1:14" ht="18" customHeight="1">
      <c r="A269" s="57">
        <v>24</v>
      </c>
      <c r="B269" s="58" t="s">
        <v>334</v>
      </c>
      <c r="C269" s="58">
        <v>44.256</v>
      </c>
      <c r="D269" s="58">
        <v>44.820999999999998</v>
      </c>
      <c r="E269" s="58">
        <v>44.268000000000001</v>
      </c>
      <c r="F269" s="58" t="s">
        <v>334</v>
      </c>
      <c r="G269" s="58">
        <v>45.128</v>
      </c>
      <c r="H269" s="58">
        <v>45.348999999999997</v>
      </c>
      <c r="I269" s="58">
        <v>46.369</v>
      </c>
      <c r="J269" s="58">
        <v>46.738</v>
      </c>
      <c r="K269" s="58" t="s">
        <v>334</v>
      </c>
      <c r="L269" s="58">
        <v>47.146999999999998</v>
      </c>
      <c r="M269" s="59" t="s">
        <v>334</v>
      </c>
      <c r="N269" s="58"/>
    </row>
    <row r="270" spans="1:14" ht="18" customHeight="1">
      <c r="A270" s="57">
        <v>25</v>
      </c>
      <c r="B270" s="58" t="s">
        <v>334</v>
      </c>
      <c r="C270" s="58">
        <v>44.314</v>
      </c>
      <c r="D270" s="58">
        <v>44.69</v>
      </c>
      <c r="E270" s="58" t="s">
        <v>334</v>
      </c>
      <c r="F270" s="58">
        <v>44.512999999999998</v>
      </c>
      <c r="G270" s="58">
        <v>45.145000000000003</v>
      </c>
      <c r="H270" s="58" t="s">
        <v>334</v>
      </c>
      <c r="I270" s="58">
        <v>46.796999999999997</v>
      </c>
      <c r="J270" s="58" t="s">
        <v>334</v>
      </c>
      <c r="K270" s="58" t="s">
        <v>334</v>
      </c>
      <c r="L270" s="58">
        <v>47.134</v>
      </c>
      <c r="M270" s="59" t="s">
        <v>334</v>
      </c>
      <c r="N270" s="58"/>
    </row>
    <row r="271" spans="1:14" ht="18" customHeight="1">
      <c r="A271" s="57">
        <v>26</v>
      </c>
      <c r="B271" s="58">
        <v>44.158000000000001</v>
      </c>
      <c r="C271" s="58">
        <v>44.167999999999999</v>
      </c>
      <c r="D271" s="58">
        <v>44.771999999999998</v>
      </c>
      <c r="E271" s="58" t="s">
        <v>334</v>
      </c>
      <c r="F271" s="58">
        <v>44.621000000000002</v>
      </c>
      <c r="G271" s="58">
        <v>45.143000000000001</v>
      </c>
      <c r="H271" s="58" t="s">
        <v>334</v>
      </c>
      <c r="I271" s="58">
        <v>46.710999999999999</v>
      </c>
      <c r="J271" s="58" t="s">
        <v>334</v>
      </c>
      <c r="K271" s="58">
        <v>46.454000000000001</v>
      </c>
      <c r="L271" s="58">
        <v>47.036999999999999</v>
      </c>
      <c r="M271" s="59" t="s">
        <v>334</v>
      </c>
      <c r="N271" s="58"/>
    </row>
    <row r="272" spans="1:14" ht="18" customHeight="1">
      <c r="A272" s="57">
        <v>27</v>
      </c>
      <c r="B272" s="58">
        <v>44.082000000000001</v>
      </c>
      <c r="C272" s="58">
        <v>44.087000000000003</v>
      </c>
      <c r="D272" s="58">
        <v>44.826999999999998</v>
      </c>
      <c r="E272" s="58">
        <v>44.223999999999997</v>
      </c>
      <c r="F272" s="58">
        <v>44.69</v>
      </c>
      <c r="G272" s="58" t="s">
        <v>334</v>
      </c>
      <c r="H272" s="58">
        <v>45.466000000000001</v>
      </c>
      <c r="I272" s="58">
        <v>46.655999999999999</v>
      </c>
      <c r="J272" s="58" t="s">
        <v>334</v>
      </c>
      <c r="K272" s="58">
        <v>46.606999999999999</v>
      </c>
      <c r="L272" s="58">
        <v>47.069000000000003</v>
      </c>
      <c r="M272" s="59" t="s">
        <v>334</v>
      </c>
      <c r="N272" s="58"/>
    </row>
    <row r="273" spans="1:15" ht="18" customHeight="1">
      <c r="A273" s="57">
        <v>28</v>
      </c>
      <c r="B273" s="58">
        <v>44.116999999999997</v>
      </c>
      <c r="C273" s="58" t="s">
        <v>334</v>
      </c>
      <c r="D273" s="58" t="s">
        <v>334</v>
      </c>
      <c r="E273" s="58">
        <v>44.247999999999998</v>
      </c>
      <c r="F273" s="58">
        <v>44.725000000000001</v>
      </c>
      <c r="G273" s="58" t="s">
        <v>334</v>
      </c>
      <c r="H273" s="58">
        <v>45.536000000000001</v>
      </c>
      <c r="I273" s="58">
        <v>46.704999999999998</v>
      </c>
      <c r="J273" s="58">
        <v>46.902000000000001</v>
      </c>
      <c r="K273" s="58">
        <v>46.655000000000001</v>
      </c>
      <c r="L273" s="58" t="s">
        <v>334</v>
      </c>
      <c r="M273" s="59">
        <v>47.274999999999999</v>
      </c>
      <c r="N273" s="58"/>
    </row>
    <row r="274" spans="1:15" ht="18" customHeight="1">
      <c r="A274" s="57">
        <v>29</v>
      </c>
      <c r="B274" s="58">
        <v>44.14</v>
      </c>
      <c r="C274" s="58" t="s">
        <v>335</v>
      </c>
      <c r="D274" s="58" t="s">
        <v>334</v>
      </c>
      <c r="E274" s="58">
        <v>44.259</v>
      </c>
      <c r="F274" s="58">
        <v>44.65</v>
      </c>
      <c r="G274" s="58">
        <v>45.142000000000003</v>
      </c>
      <c r="H274" s="58">
        <v>45.503999999999998</v>
      </c>
      <c r="I274" s="58" t="s">
        <v>334</v>
      </c>
      <c r="J274" s="58">
        <v>46.817999999999998</v>
      </c>
      <c r="K274" s="58">
        <v>46.771000000000001</v>
      </c>
      <c r="L274" s="58" t="s">
        <v>334</v>
      </c>
      <c r="M274" s="59">
        <v>47.165999999999997</v>
      </c>
      <c r="N274" s="58"/>
    </row>
    <row r="275" spans="1:15" ht="18" customHeight="1">
      <c r="A275" s="57">
        <v>30</v>
      </c>
      <c r="B275" s="58">
        <v>44.131999999999998</v>
      </c>
      <c r="C275" s="58" t="s">
        <v>335</v>
      </c>
      <c r="D275" s="58">
        <v>44.795999999999999</v>
      </c>
      <c r="E275" s="58">
        <v>44.25</v>
      </c>
      <c r="F275" s="58" t="s">
        <v>334</v>
      </c>
      <c r="G275" s="58">
        <v>45.2</v>
      </c>
      <c r="H275" s="58">
        <v>45.478000000000002</v>
      </c>
      <c r="I275" s="58" t="s">
        <v>334</v>
      </c>
      <c r="J275" s="58">
        <v>46.926000000000002</v>
      </c>
      <c r="K275" s="58">
        <v>46.89</v>
      </c>
      <c r="L275" s="58" t="s">
        <v>334</v>
      </c>
      <c r="M275" s="59" t="s">
        <v>334</v>
      </c>
      <c r="N275" s="58"/>
    </row>
    <row r="276" spans="1:15" ht="18" customHeight="1">
      <c r="A276" s="57">
        <v>31</v>
      </c>
      <c r="B276" s="58" t="s">
        <v>334</v>
      </c>
      <c r="C276" s="58" t="s">
        <v>335</v>
      </c>
      <c r="D276" s="58">
        <v>44.795999999999999</v>
      </c>
      <c r="E276" s="58" t="s">
        <v>335</v>
      </c>
      <c r="F276" s="58" t="s">
        <v>334</v>
      </c>
      <c r="G276" s="58" t="s">
        <v>335</v>
      </c>
      <c r="H276" s="58">
        <v>45.618000000000002</v>
      </c>
      <c r="I276" s="58" t="s">
        <v>334</v>
      </c>
      <c r="J276" s="58" t="s">
        <v>335</v>
      </c>
      <c r="K276" s="58" t="s">
        <v>334</v>
      </c>
      <c r="L276" s="58" t="s">
        <v>335</v>
      </c>
      <c r="M276" s="59" t="s">
        <v>334</v>
      </c>
      <c r="N276" s="58"/>
    </row>
    <row r="277" spans="1:15" ht="18" customHeight="1" thickBot="1">
      <c r="A277" s="57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9"/>
      <c r="N277" s="58"/>
    </row>
    <row r="278" spans="1:15" ht="18" customHeight="1">
      <c r="A278" s="618">
        <v>2014</v>
      </c>
      <c r="B278" s="619"/>
      <c r="C278" s="619"/>
      <c r="D278" s="619"/>
      <c r="E278" s="619"/>
      <c r="F278" s="619"/>
      <c r="G278" s="619"/>
      <c r="H278" s="619"/>
      <c r="I278" s="619"/>
      <c r="J278" s="619"/>
      <c r="K278" s="619"/>
      <c r="L278" s="619"/>
      <c r="M278" s="620"/>
      <c r="N278" s="52"/>
    </row>
    <row r="279" spans="1:15" ht="18" customHeight="1" thickBot="1">
      <c r="A279" s="63" t="s">
        <v>322</v>
      </c>
      <c r="B279" s="64" t="s">
        <v>323</v>
      </c>
      <c r="C279" s="64" t="s">
        <v>324</v>
      </c>
      <c r="D279" s="64" t="s">
        <v>325</v>
      </c>
      <c r="E279" s="64" t="s">
        <v>326</v>
      </c>
      <c r="F279" s="64" t="s">
        <v>236</v>
      </c>
      <c r="G279" s="64" t="s">
        <v>327</v>
      </c>
      <c r="H279" s="64" t="s">
        <v>328</v>
      </c>
      <c r="I279" s="64" t="s">
        <v>329</v>
      </c>
      <c r="J279" s="64" t="s">
        <v>330</v>
      </c>
      <c r="K279" s="64" t="s">
        <v>331</v>
      </c>
      <c r="L279" s="64" t="s">
        <v>332</v>
      </c>
      <c r="M279" s="65" t="s">
        <v>333</v>
      </c>
      <c r="N279" s="52"/>
    </row>
    <row r="280" spans="1:15" ht="18" customHeight="1">
      <c r="A280" s="57">
        <v>1</v>
      </c>
      <c r="B280" s="58" t="s">
        <v>334</v>
      </c>
      <c r="C280" s="58" t="s">
        <v>334</v>
      </c>
      <c r="D280" s="58" t="s">
        <v>334</v>
      </c>
      <c r="E280" s="58">
        <v>44.808999999999997</v>
      </c>
      <c r="F280" s="58" t="s">
        <v>334</v>
      </c>
      <c r="G280" s="58" t="s">
        <v>334</v>
      </c>
      <c r="H280" s="58">
        <v>43.646999999999998</v>
      </c>
      <c r="I280" s="58">
        <v>43.465000000000003</v>
      </c>
      <c r="J280" s="58">
        <v>43.66</v>
      </c>
      <c r="K280" s="58">
        <v>44.881999999999998</v>
      </c>
      <c r="L280" s="58" t="s">
        <v>334</v>
      </c>
      <c r="M280" s="59">
        <v>44.905000000000001</v>
      </c>
      <c r="N280" s="83">
        <v>2014</v>
      </c>
      <c r="O280" s="47">
        <f>AVERAGE(B280:M310)</f>
        <v>44.393157024793418</v>
      </c>
    </row>
    <row r="281" spans="1:15" ht="18" customHeight="1">
      <c r="A281" s="57">
        <v>2</v>
      </c>
      <c r="B281" s="58">
        <v>44.398000000000003</v>
      </c>
      <c r="C281" s="58" t="s">
        <v>334</v>
      </c>
      <c r="D281" s="58" t="s">
        <v>334</v>
      </c>
      <c r="E281" s="58">
        <v>44.750999999999998</v>
      </c>
      <c r="F281" s="58">
        <v>44.540999999999997</v>
      </c>
      <c r="G281" s="58">
        <v>43.832000000000001</v>
      </c>
      <c r="H281" s="58">
        <v>43.594999999999999</v>
      </c>
      <c r="I281" s="58" t="s">
        <v>334</v>
      </c>
      <c r="J281" s="58">
        <v>43.555999999999997</v>
      </c>
      <c r="K281" s="58">
        <v>44.966000000000001</v>
      </c>
      <c r="L281" s="58" t="s">
        <v>334</v>
      </c>
      <c r="M281" s="59">
        <v>44.914999999999999</v>
      </c>
      <c r="N281" s="58"/>
    </row>
    <row r="282" spans="1:15" ht="18" customHeight="1">
      <c r="A282" s="57">
        <v>3</v>
      </c>
      <c r="B282" s="58">
        <v>44.343000000000004</v>
      </c>
      <c r="C282" s="58">
        <v>45.341999999999999</v>
      </c>
      <c r="D282" s="58">
        <v>44.664000000000001</v>
      </c>
      <c r="E282" s="58">
        <v>44.786000000000001</v>
      </c>
      <c r="F282" s="58" t="s">
        <v>334</v>
      </c>
      <c r="G282" s="58">
        <v>43.848999999999997</v>
      </c>
      <c r="H282" s="58">
        <v>43.613</v>
      </c>
      <c r="I282" s="58" t="s">
        <v>334</v>
      </c>
      <c r="J282" s="58">
        <v>43.576999999999998</v>
      </c>
      <c r="K282" s="58">
        <v>44.756999999999998</v>
      </c>
      <c r="L282" s="58">
        <v>44.881</v>
      </c>
      <c r="M282" s="59">
        <v>44.762</v>
      </c>
      <c r="N282" s="58"/>
    </row>
    <row r="283" spans="1:15" ht="18" customHeight="1">
      <c r="A283" s="57">
        <v>4</v>
      </c>
      <c r="B283" s="58" t="s">
        <v>334</v>
      </c>
      <c r="C283" s="58">
        <v>45.389000000000003</v>
      </c>
      <c r="D283" s="58">
        <v>44.728999999999999</v>
      </c>
      <c r="E283" s="58">
        <v>44.98</v>
      </c>
      <c r="F283" s="58" t="s">
        <v>334</v>
      </c>
      <c r="G283" s="58">
        <v>43.84</v>
      </c>
      <c r="H283" s="58">
        <v>43.636000000000003</v>
      </c>
      <c r="I283" s="58">
        <v>43.726999999999997</v>
      </c>
      <c r="J283" s="58">
        <v>43.652999999999999</v>
      </c>
      <c r="K283" s="58" t="s">
        <v>334</v>
      </c>
      <c r="L283" s="58">
        <v>44.96</v>
      </c>
      <c r="M283" s="59">
        <v>44.741</v>
      </c>
      <c r="N283" s="58"/>
    </row>
    <row r="284" spans="1:15" ht="18" customHeight="1">
      <c r="A284" s="57">
        <v>5</v>
      </c>
      <c r="B284" s="58" t="s">
        <v>334</v>
      </c>
      <c r="C284" s="58">
        <v>45.405999999999999</v>
      </c>
      <c r="D284" s="58">
        <v>44.814999999999998</v>
      </c>
      <c r="E284" s="58" t="s">
        <v>334</v>
      </c>
      <c r="F284" s="58">
        <v>44.530999999999999</v>
      </c>
      <c r="G284" s="58">
        <v>43.898000000000003</v>
      </c>
      <c r="H284" s="58" t="s">
        <v>334</v>
      </c>
      <c r="I284" s="58">
        <v>43.703000000000003</v>
      </c>
      <c r="J284" s="58">
        <v>43.566000000000003</v>
      </c>
      <c r="K284" s="58" t="s">
        <v>334</v>
      </c>
      <c r="L284" s="58">
        <v>44.957000000000001</v>
      </c>
      <c r="M284" s="59">
        <v>44.648000000000003</v>
      </c>
      <c r="N284" s="58"/>
    </row>
    <row r="285" spans="1:15" ht="18" customHeight="1">
      <c r="A285" s="57">
        <v>6</v>
      </c>
      <c r="B285" s="58">
        <v>44.628</v>
      </c>
      <c r="C285" s="58">
        <v>45.32</v>
      </c>
      <c r="D285" s="58">
        <v>44.759</v>
      </c>
      <c r="E285" s="58" t="s">
        <v>334</v>
      </c>
      <c r="F285" s="58">
        <v>44.414000000000001</v>
      </c>
      <c r="G285" s="58">
        <v>43.814</v>
      </c>
      <c r="H285" s="58" t="s">
        <v>334</v>
      </c>
      <c r="I285" s="58">
        <v>43.569000000000003</v>
      </c>
      <c r="J285" s="58" t="s">
        <v>334</v>
      </c>
      <c r="K285" s="58" t="s">
        <v>334</v>
      </c>
      <c r="L285" s="58">
        <v>44.893000000000001</v>
      </c>
      <c r="M285" s="59" t="s">
        <v>334</v>
      </c>
      <c r="N285" s="58"/>
    </row>
    <row r="286" spans="1:15" ht="18" customHeight="1">
      <c r="A286" s="57">
        <v>7</v>
      </c>
      <c r="B286" s="58">
        <v>44.720999999999997</v>
      </c>
      <c r="C286" s="58">
        <v>45.238</v>
      </c>
      <c r="D286" s="58">
        <v>44.639000000000003</v>
      </c>
      <c r="E286" s="58">
        <v>45.003</v>
      </c>
      <c r="F286" s="58">
        <v>44.356000000000002</v>
      </c>
      <c r="G286" s="58" t="s">
        <v>334</v>
      </c>
      <c r="H286" s="58">
        <v>43.540999999999997</v>
      </c>
      <c r="I286" s="58">
        <v>43.722000000000001</v>
      </c>
      <c r="J286" s="58" t="s">
        <v>334</v>
      </c>
      <c r="K286" s="58">
        <v>44.773000000000003</v>
      </c>
      <c r="L286" s="58">
        <v>45.037999999999997</v>
      </c>
      <c r="M286" s="59" t="s">
        <v>334</v>
      </c>
      <c r="N286" s="58"/>
    </row>
    <row r="287" spans="1:15" ht="18" customHeight="1">
      <c r="A287" s="57">
        <v>8</v>
      </c>
      <c r="B287" s="58">
        <v>44.779000000000003</v>
      </c>
      <c r="C287" s="58" t="s">
        <v>334</v>
      </c>
      <c r="D287" s="58" t="s">
        <v>334</v>
      </c>
      <c r="E287" s="58">
        <v>44.86</v>
      </c>
      <c r="F287" s="58">
        <v>44.273000000000003</v>
      </c>
      <c r="G287" s="58" t="s">
        <v>334</v>
      </c>
      <c r="H287" s="58">
        <v>43.478000000000002</v>
      </c>
      <c r="I287" s="58">
        <v>43.945999999999998</v>
      </c>
      <c r="J287" s="58">
        <v>43.673999999999999</v>
      </c>
      <c r="K287" s="58">
        <v>44.698</v>
      </c>
      <c r="L287" s="58" t="s">
        <v>334</v>
      </c>
      <c r="M287" s="59" t="s">
        <v>334</v>
      </c>
      <c r="N287" s="58"/>
    </row>
    <row r="288" spans="1:15" ht="18" customHeight="1">
      <c r="A288" s="57">
        <v>9</v>
      </c>
      <c r="B288" s="58">
        <v>44.756</v>
      </c>
      <c r="C288" s="58" t="s">
        <v>334</v>
      </c>
      <c r="D288" s="58" t="s">
        <v>334</v>
      </c>
      <c r="E288" s="58" t="s">
        <v>334</v>
      </c>
      <c r="F288" s="58">
        <v>44.231999999999999</v>
      </c>
      <c r="G288" s="58">
        <v>43.667999999999999</v>
      </c>
      <c r="H288" s="58">
        <v>43.445</v>
      </c>
      <c r="I288" s="58" t="s">
        <v>334</v>
      </c>
      <c r="J288" s="58">
        <v>43.561999999999998</v>
      </c>
      <c r="K288" s="58">
        <v>44.767000000000003</v>
      </c>
      <c r="L288" s="58" t="s">
        <v>334</v>
      </c>
      <c r="M288" s="59">
        <v>44.51</v>
      </c>
      <c r="N288" s="58"/>
    </row>
    <row r="289" spans="1:14" ht="18" customHeight="1">
      <c r="A289" s="57">
        <v>10</v>
      </c>
      <c r="B289" s="58">
        <v>44.713000000000001</v>
      </c>
      <c r="C289" s="58">
        <v>45.043999999999997</v>
      </c>
      <c r="D289" s="58">
        <v>44.436</v>
      </c>
      <c r="E289" s="58">
        <v>44.829000000000001</v>
      </c>
      <c r="F289" s="58" t="s">
        <v>334</v>
      </c>
      <c r="G289" s="58">
        <v>43.558</v>
      </c>
      <c r="H289" s="58">
        <v>43.341999999999999</v>
      </c>
      <c r="I289" s="58" t="s">
        <v>334</v>
      </c>
      <c r="J289" s="58">
        <v>43.712000000000003</v>
      </c>
      <c r="K289" s="58">
        <v>44.624000000000002</v>
      </c>
      <c r="L289" s="58">
        <v>45.069000000000003</v>
      </c>
      <c r="M289" s="59">
        <v>44.582000000000001</v>
      </c>
      <c r="N289" s="58"/>
    </row>
    <row r="290" spans="1:14" ht="18" customHeight="1">
      <c r="A290" s="57">
        <v>11</v>
      </c>
      <c r="B290" s="58" t="s">
        <v>334</v>
      </c>
      <c r="C290" s="58">
        <v>44.921999999999997</v>
      </c>
      <c r="D290" s="58">
        <v>44.512</v>
      </c>
      <c r="E290" s="58">
        <v>44.426000000000002</v>
      </c>
      <c r="F290" s="58" t="s">
        <v>334</v>
      </c>
      <c r="G290" s="58">
        <v>43.658999999999999</v>
      </c>
      <c r="H290" s="58">
        <v>43.28</v>
      </c>
      <c r="I290" s="58">
        <v>44.174999999999997</v>
      </c>
      <c r="J290" s="58">
        <v>43.878</v>
      </c>
      <c r="K290" s="58" t="s">
        <v>334</v>
      </c>
      <c r="L290" s="58">
        <v>44.878999999999998</v>
      </c>
      <c r="M290" s="59">
        <v>44.576000000000001</v>
      </c>
      <c r="N290" s="58"/>
    </row>
    <row r="291" spans="1:14" ht="18" customHeight="1">
      <c r="A291" s="57">
        <v>12</v>
      </c>
      <c r="B291" s="58" t="s">
        <v>334</v>
      </c>
      <c r="C291" s="58">
        <v>45.012</v>
      </c>
      <c r="D291" s="58">
        <v>44.484000000000002</v>
      </c>
      <c r="E291" s="58" t="s">
        <v>334</v>
      </c>
      <c r="F291" s="58">
        <v>43.774999999999999</v>
      </c>
      <c r="G291" s="58" t="s">
        <v>334</v>
      </c>
      <c r="H291" s="58" t="s">
        <v>334</v>
      </c>
      <c r="I291" s="58">
        <v>43.926000000000002</v>
      </c>
      <c r="J291" s="58">
        <v>43.898000000000003</v>
      </c>
      <c r="K291" s="58" t="s">
        <v>334</v>
      </c>
      <c r="L291" s="58">
        <v>44.911999999999999</v>
      </c>
      <c r="M291" s="59">
        <v>44.576999999999998</v>
      </c>
      <c r="N291" s="58"/>
    </row>
    <row r="292" spans="1:14" ht="18" customHeight="1">
      <c r="A292" s="57">
        <v>13</v>
      </c>
      <c r="B292" s="58">
        <v>44.655999999999999</v>
      </c>
      <c r="C292" s="58">
        <v>44.963999999999999</v>
      </c>
      <c r="D292" s="58">
        <v>44.631</v>
      </c>
      <c r="E292" s="58" t="s">
        <v>334</v>
      </c>
      <c r="F292" s="58">
        <v>43.720999999999997</v>
      </c>
      <c r="G292" s="58">
        <v>43.756999999999998</v>
      </c>
      <c r="H292" s="58" t="s">
        <v>334</v>
      </c>
      <c r="I292" s="58">
        <v>43.877000000000002</v>
      </c>
      <c r="J292" s="58" t="s">
        <v>334</v>
      </c>
      <c r="K292" s="58">
        <v>44.747</v>
      </c>
      <c r="L292" s="58">
        <v>44.912999999999997</v>
      </c>
      <c r="M292" s="59" t="s">
        <v>334</v>
      </c>
      <c r="N292" s="58"/>
    </row>
    <row r="293" spans="1:14" ht="18" customHeight="1">
      <c r="A293" s="57">
        <v>14</v>
      </c>
      <c r="B293" s="58">
        <v>44.569000000000003</v>
      </c>
      <c r="C293" s="58">
        <v>44.892000000000003</v>
      </c>
      <c r="D293" s="58">
        <v>44.566000000000003</v>
      </c>
      <c r="E293" s="58">
        <v>44.371000000000002</v>
      </c>
      <c r="F293" s="58">
        <v>43.780999999999999</v>
      </c>
      <c r="G293" s="58" t="s">
        <v>334</v>
      </c>
      <c r="H293" s="58">
        <v>43.503</v>
      </c>
      <c r="I293" s="58">
        <v>43.944000000000003</v>
      </c>
      <c r="J293" s="58" t="s">
        <v>334</v>
      </c>
      <c r="K293" s="58">
        <v>44.787999999999997</v>
      </c>
      <c r="L293" s="58">
        <v>44.872999999999998</v>
      </c>
      <c r="M293" s="59" t="s">
        <v>334</v>
      </c>
      <c r="N293" s="58"/>
    </row>
    <row r="294" spans="1:14" ht="18" customHeight="1">
      <c r="A294" s="57">
        <v>15</v>
      </c>
      <c r="B294" s="58">
        <v>44.734999999999999</v>
      </c>
      <c r="C294" s="58" t="s">
        <v>334</v>
      </c>
      <c r="D294" s="58" t="s">
        <v>334</v>
      </c>
      <c r="E294" s="58">
        <v>44.42</v>
      </c>
      <c r="F294" s="58">
        <v>43.627000000000002</v>
      </c>
      <c r="G294" s="58" t="s">
        <v>334</v>
      </c>
      <c r="H294" s="58">
        <v>43.521000000000001</v>
      </c>
      <c r="I294" s="58">
        <v>43.755000000000003</v>
      </c>
      <c r="J294" s="58">
        <v>43.966999999999999</v>
      </c>
      <c r="K294" s="58">
        <v>44.759</v>
      </c>
      <c r="L294" s="58" t="s">
        <v>334</v>
      </c>
      <c r="M294" s="59">
        <v>44.56</v>
      </c>
      <c r="N294" s="58"/>
    </row>
    <row r="295" spans="1:14" ht="18" customHeight="1">
      <c r="A295" s="57">
        <v>16</v>
      </c>
      <c r="B295" s="58">
        <v>44.98</v>
      </c>
      <c r="C295" s="58" t="s">
        <v>334</v>
      </c>
      <c r="D295" s="58" t="s">
        <v>334</v>
      </c>
      <c r="E295" s="58">
        <v>44.526000000000003</v>
      </c>
      <c r="F295" s="58">
        <v>43.646000000000001</v>
      </c>
      <c r="G295" s="58">
        <v>43.787999999999997</v>
      </c>
      <c r="H295" s="58" t="s">
        <v>334</v>
      </c>
      <c r="I295" s="58" t="s">
        <v>334</v>
      </c>
      <c r="J295" s="58">
        <v>44.095999999999997</v>
      </c>
      <c r="K295" s="58">
        <v>44.869</v>
      </c>
      <c r="L295" s="58" t="s">
        <v>334</v>
      </c>
      <c r="M295" s="59">
        <v>44.631999999999998</v>
      </c>
      <c r="N295" s="58"/>
    </row>
    <row r="296" spans="1:14" ht="18" customHeight="1">
      <c r="A296" s="57">
        <v>17</v>
      </c>
      <c r="B296" s="58">
        <v>45.106000000000002</v>
      </c>
      <c r="C296" s="58">
        <v>44.77</v>
      </c>
      <c r="D296" s="58">
        <v>44.673999999999999</v>
      </c>
      <c r="E296" s="58" t="s">
        <v>334</v>
      </c>
      <c r="F296" s="58" t="s">
        <v>334</v>
      </c>
      <c r="G296" s="58">
        <v>43.878999999999998</v>
      </c>
      <c r="H296" s="58">
        <v>43.594999999999999</v>
      </c>
      <c r="I296" s="58" t="s">
        <v>334</v>
      </c>
      <c r="J296" s="58">
        <v>44.235999999999997</v>
      </c>
      <c r="K296" s="58">
        <v>44.817999999999998</v>
      </c>
      <c r="L296" s="58">
        <v>44.93</v>
      </c>
      <c r="M296" s="59">
        <v>44.802</v>
      </c>
      <c r="N296" s="58"/>
    </row>
    <row r="297" spans="1:14" ht="18" customHeight="1">
      <c r="A297" s="57">
        <v>18</v>
      </c>
      <c r="B297" s="58" t="s">
        <v>334</v>
      </c>
      <c r="C297" s="58">
        <v>44.523000000000003</v>
      </c>
      <c r="D297" s="58">
        <v>44.688000000000002</v>
      </c>
      <c r="E297" s="58" t="s">
        <v>334</v>
      </c>
      <c r="F297" s="58" t="s">
        <v>334</v>
      </c>
      <c r="G297" s="58">
        <v>43.951000000000001</v>
      </c>
      <c r="H297" s="58">
        <v>43.554000000000002</v>
      </c>
      <c r="I297" s="58">
        <v>43.670999999999999</v>
      </c>
      <c r="J297" s="58">
        <v>44.156999999999996</v>
      </c>
      <c r="K297" s="58" t="s">
        <v>334</v>
      </c>
      <c r="L297" s="58">
        <v>44.887</v>
      </c>
      <c r="M297" s="59">
        <v>44.710999999999999</v>
      </c>
      <c r="N297" s="58"/>
    </row>
    <row r="298" spans="1:14" ht="18" customHeight="1">
      <c r="A298" s="57">
        <v>19</v>
      </c>
      <c r="B298" s="58" t="s">
        <v>334</v>
      </c>
      <c r="C298" s="58">
        <v>44.551000000000002</v>
      </c>
      <c r="D298" s="58">
        <v>44.648000000000003</v>
      </c>
      <c r="E298" s="58" t="s">
        <v>334</v>
      </c>
      <c r="F298" s="58">
        <v>43.77</v>
      </c>
      <c r="G298" s="58">
        <v>44.017000000000003</v>
      </c>
      <c r="H298" s="58" t="s">
        <v>334</v>
      </c>
      <c r="I298" s="58">
        <v>43.686999999999998</v>
      </c>
      <c r="J298" s="58" t="s">
        <v>334</v>
      </c>
      <c r="K298" s="58" t="s">
        <v>334</v>
      </c>
      <c r="L298" s="58">
        <v>44.939</v>
      </c>
      <c r="M298" s="59">
        <v>44.749000000000002</v>
      </c>
      <c r="N298" s="58"/>
    </row>
    <row r="299" spans="1:14" ht="18" customHeight="1">
      <c r="A299" s="57">
        <v>20</v>
      </c>
      <c r="B299" s="58">
        <v>45.067</v>
      </c>
      <c r="C299" s="58">
        <v>44.63</v>
      </c>
      <c r="D299" s="58">
        <v>44.829000000000001</v>
      </c>
      <c r="E299" s="58" t="s">
        <v>334</v>
      </c>
      <c r="F299" s="58">
        <v>43.631999999999998</v>
      </c>
      <c r="G299" s="58">
        <v>43.872</v>
      </c>
      <c r="H299" s="58" t="s">
        <v>334</v>
      </c>
      <c r="I299" s="58">
        <v>43.686999999999998</v>
      </c>
      <c r="J299" s="58" t="s">
        <v>334</v>
      </c>
      <c r="K299" s="58">
        <v>44.927</v>
      </c>
      <c r="L299" s="58">
        <v>45.054000000000002</v>
      </c>
      <c r="M299" s="59" t="s">
        <v>334</v>
      </c>
      <c r="N299" s="58"/>
    </row>
    <row r="300" spans="1:14" ht="18" customHeight="1">
      <c r="A300" s="57">
        <v>21</v>
      </c>
      <c r="B300" s="58">
        <v>45.122</v>
      </c>
      <c r="C300" s="58">
        <v>44.743000000000002</v>
      </c>
      <c r="D300" s="58">
        <v>45.07</v>
      </c>
      <c r="E300" s="58">
        <v>44.487000000000002</v>
      </c>
      <c r="F300" s="58">
        <v>43.728000000000002</v>
      </c>
      <c r="G300" s="58" t="s">
        <v>334</v>
      </c>
      <c r="H300" s="58">
        <v>43.594999999999999</v>
      </c>
      <c r="I300" s="58" t="s">
        <v>334</v>
      </c>
      <c r="J300" s="58" t="s">
        <v>334</v>
      </c>
      <c r="K300" s="58">
        <v>44.83</v>
      </c>
      <c r="L300" s="58">
        <v>45.119</v>
      </c>
      <c r="M300" s="59" t="s">
        <v>334</v>
      </c>
      <c r="N300" s="58"/>
    </row>
    <row r="301" spans="1:14" ht="18" customHeight="1">
      <c r="A301" s="57">
        <v>22</v>
      </c>
      <c r="B301" s="58">
        <v>45.198</v>
      </c>
      <c r="C301" s="58" t="s">
        <v>334</v>
      </c>
      <c r="D301" s="58" t="s">
        <v>334</v>
      </c>
      <c r="E301" s="58">
        <v>44.405000000000001</v>
      </c>
      <c r="F301" s="58">
        <v>43.792000000000002</v>
      </c>
      <c r="G301" s="58" t="s">
        <v>334</v>
      </c>
      <c r="H301" s="58">
        <v>43.448999999999998</v>
      </c>
      <c r="I301" s="58">
        <v>43.783000000000001</v>
      </c>
      <c r="J301" s="58">
        <v>44.511000000000003</v>
      </c>
      <c r="K301" s="58">
        <v>44.774999999999999</v>
      </c>
      <c r="L301" s="58" t="s">
        <v>334</v>
      </c>
      <c r="M301" s="59">
        <v>44.753</v>
      </c>
      <c r="N301" s="58"/>
    </row>
    <row r="302" spans="1:14" ht="18" customHeight="1">
      <c r="A302" s="57">
        <v>23</v>
      </c>
      <c r="B302" s="58">
        <v>45.256999999999998</v>
      </c>
      <c r="C302" s="58" t="s">
        <v>334</v>
      </c>
      <c r="D302" s="58" t="s">
        <v>334</v>
      </c>
      <c r="E302" s="58">
        <v>44.517000000000003</v>
      </c>
      <c r="F302" s="58">
        <v>43.713000000000001</v>
      </c>
      <c r="G302" s="58">
        <v>43.786000000000001</v>
      </c>
      <c r="H302" s="58">
        <v>43.359000000000002</v>
      </c>
      <c r="I302" s="58" t="s">
        <v>334</v>
      </c>
      <c r="J302" s="58">
        <v>44.454999999999998</v>
      </c>
      <c r="K302" s="58">
        <v>44.779000000000003</v>
      </c>
      <c r="L302" s="58" t="s">
        <v>334</v>
      </c>
      <c r="M302" s="59">
        <v>44.652000000000001</v>
      </c>
      <c r="N302" s="58"/>
    </row>
    <row r="303" spans="1:14" ht="18" customHeight="1">
      <c r="A303" s="57">
        <v>24</v>
      </c>
      <c r="B303" s="58">
        <v>45.271000000000001</v>
      </c>
      <c r="C303" s="58">
        <v>44.652000000000001</v>
      </c>
      <c r="D303" s="58">
        <v>45.235999999999997</v>
      </c>
      <c r="E303" s="58">
        <v>44.619</v>
      </c>
      <c r="F303" s="58" t="s">
        <v>334</v>
      </c>
      <c r="G303" s="58">
        <v>43.79</v>
      </c>
      <c r="H303" s="58">
        <v>43.287999999999997</v>
      </c>
      <c r="I303" s="58" t="s">
        <v>334</v>
      </c>
      <c r="J303" s="58">
        <v>44.552999999999997</v>
      </c>
      <c r="K303" s="58">
        <v>44.822000000000003</v>
      </c>
      <c r="L303" s="58">
        <v>44.996000000000002</v>
      </c>
      <c r="M303" s="59" t="s">
        <v>334</v>
      </c>
      <c r="N303" s="58"/>
    </row>
    <row r="304" spans="1:14" ht="18" customHeight="1">
      <c r="A304" s="57">
        <v>25</v>
      </c>
      <c r="B304" s="58" t="s">
        <v>334</v>
      </c>
      <c r="C304" s="58">
        <v>44.637</v>
      </c>
      <c r="D304" s="58">
        <v>45.212000000000003</v>
      </c>
      <c r="E304" s="58">
        <v>44.689</v>
      </c>
      <c r="F304" s="58" t="s">
        <v>334</v>
      </c>
      <c r="G304" s="58">
        <v>43.857999999999997</v>
      </c>
      <c r="H304" s="58">
        <v>43.296999999999997</v>
      </c>
      <c r="I304" s="58" t="s">
        <v>334</v>
      </c>
      <c r="J304" s="58">
        <v>44.5</v>
      </c>
      <c r="K304" s="58" t="s">
        <v>334</v>
      </c>
      <c r="L304" s="58">
        <v>44.936</v>
      </c>
      <c r="M304" s="59" t="s">
        <v>334</v>
      </c>
      <c r="N304" s="58"/>
    </row>
    <row r="305" spans="1:15" ht="18" customHeight="1">
      <c r="A305" s="57">
        <v>26</v>
      </c>
      <c r="B305" s="58" t="s">
        <v>334</v>
      </c>
      <c r="C305" s="58">
        <v>44.573999999999998</v>
      </c>
      <c r="D305" s="58">
        <v>45.052</v>
      </c>
      <c r="E305" s="58" t="s">
        <v>334</v>
      </c>
      <c r="F305" s="58">
        <v>43.62</v>
      </c>
      <c r="G305" s="58">
        <v>43.918999999999997</v>
      </c>
      <c r="H305" s="58" t="s">
        <v>334</v>
      </c>
      <c r="I305" s="58">
        <v>43.808999999999997</v>
      </c>
      <c r="J305" s="58">
        <v>44.595999999999997</v>
      </c>
      <c r="K305" s="58" t="s">
        <v>334</v>
      </c>
      <c r="L305" s="58">
        <v>44.96</v>
      </c>
      <c r="M305" s="59" t="s">
        <v>334</v>
      </c>
      <c r="N305" s="58"/>
    </row>
    <row r="306" spans="1:15" ht="18" customHeight="1">
      <c r="A306" s="57">
        <v>27</v>
      </c>
      <c r="B306" s="58">
        <v>45.301000000000002</v>
      </c>
      <c r="C306" s="58">
        <v>44.634999999999998</v>
      </c>
      <c r="D306" s="58">
        <v>45.018000000000001</v>
      </c>
      <c r="E306" s="58" t="s">
        <v>334</v>
      </c>
      <c r="F306" s="58">
        <v>43.7</v>
      </c>
      <c r="G306" s="58">
        <v>43.835000000000001</v>
      </c>
      <c r="H306" s="58" t="s">
        <v>334</v>
      </c>
      <c r="I306" s="58">
        <v>43.795000000000002</v>
      </c>
      <c r="J306" s="58" t="s">
        <v>334</v>
      </c>
      <c r="K306" s="58">
        <v>44.814999999999998</v>
      </c>
      <c r="L306" s="58">
        <v>44.915999999999997</v>
      </c>
      <c r="M306" s="59" t="s">
        <v>334</v>
      </c>
      <c r="N306" s="58"/>
    </row>
    <row r="307" spans="1:15" ht="18" customHeight="1">
      <c r="A307" s="57">
        <v>28</v>
      </c>
      <c r="B307" s="58">
        <v>45.404000000000003</v>
      </c>
      <c r="C307" s="58">
        <v>44.655999999999999</v>
      </c>
      <c r="D307" s="58">
        <v>44.965000000000003</v>
      </c>
      <c r="E307" s="58">
        <v>44.709000000000003</v>
      </c>
      <c r="F307" s="58">
        <v>43.712000000000003</v>
      </c>
      <c r="G307" s="58" t="s">
        <v>334</v>
      </c>
      <c r="H307" s="58">
        <v>43.334000000000003</v>
      </c>
      <c r="I307" s="58">
        <v>43.69</v>
      </c>
      <c r="J307" s="58" t="s">
        <v>334</v>
      </c>
      <c r="K307" s="58">
        <v>44.762</v>
      </c>
      <c r="L307" s="58">
        <v>44.915999999999997</v>
      </c>
      <c r="M307" s="59" t="s">
        <v>334</v>
      </c>
      <c r="N307" s="58"/>
    </row>
    <row r="308" spans="1:15" ht="18" customHeight="1">
      <c r="A308" s="57">
        <v>29</v>
      </c>
      <c r="B308" s="58">
        <v>45.298999999999999</v>
      </c>
      <c r="C308" s="58" t="s">
        <v>335</v>
      </c>
      <c r="D308" s="58" t="s">
        <v>334</v>
      </c>
      <c r="E308" s="58">
        <v>44.54</v>
      </c>
      <c r="F308" s="58">
        <v>43.905000000000001</v>
      </c>
      <c r="G308" s="58" t="s">
        <v>334</v>
      </c>
      <c r="H308" s="58" t="s">
        <v>334</v>
      </c>
      <c r="I308" s="58">
        <v>43.648000000000003</v>
      </c>
      <c r="J308" s="58">
        <v>44.805</v>
      </c>
      <c r="K308" s="58">
        <v>44.780999999999999</v>
      </c>
      <c r="L308" s="58" t="s">
        <v>334</v>
      </c>
      <c r="M308" s="59">
        <v>44.616999999999997</v>
      </c>
      <c r="N308" s="58"/>
    </row>
    <row r="309" spans="1:15" ht="18" customHeight="1">
      <c r="A309" s="57">
        <v>30</v>
      </c>
      <c r="B309" s="58">
        <v>45.155000000000001</v>
      </c>
      <c r="C309" s="58" t="s">
        <v>335</v>
      </c>
      <c r="D309" s="58" t="s">
        <v>334</v>
      </c>
      <c r="E309" s="58">
        <v>44.463000000000001</v>
      </c>
      <c r="F309" s="58">
        <v>43.927</v>
      </c>
      <c r="G309" s="58">
        <v>43.78</v>
      </c>
      <c r="H309" s="58">
        <v>43.304000000000002</v>
      </c>
      <c r="I309" s="58" t="s">
        <v>334</v>
      </c>
      <c r="J309" s="58">
        <v>44.966000000000001</v>
      </c>
      <c r="K309" s="58">
        <v>44.738</v>
      </c>
      <c r="L309" s="58" t="s">
        <v>334</v>
      </c>
      <c r="M309" s="59" t="s">
        <v>334</v>
      </c>
      <c r="N309" s="58"/>
    </row>
    <row r="310" spans="1:15" ht="18" customHeight="1">
      <c r="A310" s="57">
        <v>31</v>
      </c>
      <c r="B310" s="58" t="s">
        <v>334</v>
      </c>
      <c r="C310" s="58" t="s">
        <v>335</v>
      </c>
      <c r="D310" s="58">
        <v>44.996000000000002</v>
      </c>
      <c r="E310" s="58" t="s">
        <v>335</v>
      </c>
      <c r="F310" s="58" t="s">
        <v>334</v>
      </c>
      <c r="G310" s="58" t="s">
        <v>335</v>
      </c>
      <c r="H310" s="58">
        <v>43.420999999999999</v>
      </c>
      <c r="I310" s="58" t="s">
        <v>334</v>
      </c>
      <c r="J310" s="58" t="s">
        <v>335</v>
      </c>
      <c r="K310" s="58">
        <v>44.875999999999998</v>
      </c>
      <c r="L310" s="58" t="s">
        <v>335</v>
      </c>
      <c r="M310" s="59" t="s">
        <v>334</v>
      </c>
      <c r="N310" s="58"/>
    </row>
    <row r="311" spans="1:15" ht="18" customHeight="1" thickBot="1">
      <c r="A311" s="66"/>
      <c r="B311" s="67"/>
      <c r="C311" s="67"/>
      <c r="D311" s="67"/>
      <c r="E311" s="67"/>
      <c r="F311" s="67"/>
      <c r="G311" s="67"/>
      <c r="H311" s="67"/>
      <c r="I311" s="67"/>
      <c r="J311" s="67"/>
      <c r="K311" s="69"/>
      <c r="L311" s="67"/>
      <c r="M311" s="68"/>
      <c r="N311" s="58"/>
    </row>
    <row r="312" spans="1:15" ht="18" customHeight="1">
      <c r="A312" s="605">
        <v>2013</v>
      </c>
      <c r="B312" s="616"/>
      <c r="C312" s="616"/>
      <c r="D312" s="616"/>
      <c r="E312" s="616"/>
      <c r="F312" s="616"/>
      <c r="G312" s="616"/>
      <c r="H312" s="616"/>
      <c r="I312" s="616"/>
      <c r="J312" s="616"/>
      <c r="K312" s="616"/>
      <c r="L312" s="616"/>
      <c r="M312" s="617"/>
      <c r="N312" s="52"/>
    </row>
    <row r="313" spans="1:15" ht="18" customHeight="1" thickBot="1">
      <c r="A313" s="51" t="s">
        <v>322</v>
      </c>
      <c r="B313" s="52" t="s">
        <v>323</v>
      </c>
      <c r="C313" s="52" t="s">
        <v>324</v>
      </c>
      <c r="D313" s="52" t="s">
        <v>325</v>
      </c>
      <c r="E313" s="52" t="s">
        <v>326</v>
      </c>
      <c r="F313" s="52" t="s">
        <v>236</v>
      </c>
      <c r="G313" s="52" t="s">
        <v>327</v>
      </c>
      <c r="H313" s="52" t="s">
        <v>328</v>
      </c>
      <c r="I313" s="52" t="s">
        <v>329</v>
      </c>
      <c r="J313" s="52" t="s">
        <v>330</v>
      </c>
      <c r="K313" s="52" t="s">
        <v>331</v>
      </c>
      <c r="L313" s="52" t="s">
        <v>332</v>
      </c>
      <c r="M313" s="53" t="s">
        <v>333</v>
      </c>
      <c r="N313" s="52"/>
    </row>
    <row r="314" spans="1:15" ht="18" customHeight="1">
      <c r="A314" s="54">
        <v>1</v>
      </c>
      <c r="B314" s="55" t="s">
        <v>334</v>
      </c>
      <c r="C314" s="55">
        <v>40.665999999999997</v>
      </c>
      <c r="D314" s="55">
        <v>40.661999999999999</v>
      </c>
      <c r="E314" s="55">
        <v>40.917999999999999</v>
      </c>
      <c r="F314" s="55" t="s">
        <v>334</v>
      </c>
      <c r="G314" s="55" t="s">
        <v>334</v>
      </c>
      <c r="H314" s="55">
        <v>43.256999999999998</v>
      </c>
      <c r="I314" s="55">
        <v>43.517000000000003</v>
      </c>
      <c r="J314" s="55" t="s">
        <v>334</v>
      </c>
      <c r="K314" s="55">
        <v>43.542000000000002</v>
      </c>
      <c r="L314" s="55" t="s">
        <v>334</v>
      </c>
      <c r="M314" s="56" t="s">
        <v>334</v>
      </c>
      <c r="N314" s="83">
        <v>2013</v>
      </c>
      <c r="O314" s="47">
        <f>AVERAGE(B314:M344)</f>
        <v>42.415888429752108</v>
      </c>
    </row>
    <row r="315" spans="1:15" ht="18" customHeight="1">
      <c r="A315" s="57">
        <v>2</v>
      </c>
      <c r="B315" s="58">
        <v>41.078000000000003</v>
      </c>
      <c r="C315" s="58" t="s">
        <v>334</v>
      </c>
      <c r="D315" s="58" t="s">
        <v>334</v>
      </c>
      <c r="E315" s="58">
        <v>40.811</v>
      </c>
      <c r="F315" s="58">
        <v>41.131</v>
      </c>
      <c r="G315" s="58" t="s">
        <v>334</v>
      </c>
      <c r="H315" s="58">
        <v>43.1</v>
      </c>
      <c r="I315" s="58">
        <v>43.484999999999999</v>
      </c>
      <c r="J315" s="58">
        <v>44.6</v>
      </c>
      <c r="K315" s="58">
        <v>43.390999999999998</v>
      </c>
      <c r="L315" s="58" t="s">
        <v>334</v>
      </c>
      <c r="M315" s="59">
        <v>43.756999999999998</v>
      </c>
      <c r="N315" s="58"/>
    </row>
    <row r="316" spans="1:15" ht="18" customHeight="1">
      <c r="A316" s="57">
        <v>3</v>
      </c>
      <c r="B316" s="58">
        <v>40.898000000000003</v>
      </c>
      <c r="C316" s="58" t="s">
        <v>334</v>
      </c>
      <c r="D316" s="58" t="s">
        <v>334</v>
      </c>
      <c r="E316" s="58">
        <v>40.835000000000001</v>
      </c>
      <c r="F316" s="58">
        <v>41.173999999999999</v>
      </c>
      <c r="G316" s="58">
        <v>42.274000000000001</v>
      </c>
      <c r="H316" s="58">
        <v>43.298999999999999</v>
      </c>
      <c r="I316" s="58" t="s">
        <v>334</v>
      </c>
      <c r="J316" s="58">
        <v>44.561999999999998</v>
      </c>
      <c r="K316" s="58">
        <v>43.405000000000001</v>
      </c>
      <c r="L316" s="58" t="s">
        <v>334</v>
      </c>
      <c r="M316" s="59">
        <v>43.688000000000002</v>
      </c>
      <c r="N316" s="58"/>
    </row>
    <row r="317" spans="1:15" ht="18" customHeight="1">
      <c r="A317" s="57">
        <v>4</v>
      </c>
      <c r="B317" s="58">
        <v>40.793999999999997</v>
      </c>
      <c r="C317" s="58">
        <v>40.734000000000002</v>
      </c>
      <c r="D317" s="58">
        <v>40.706000000000003</v>
      </c>
      <c r="E317" s="58">
        <v>40.92</v>
      </c>
      <c r="F317" s="58" t="s">
        <v>334</v>
      </c>
      <c r="G317" s="58">
        <v>42.158999999999999</v>
      </c>
      <c r="H317" s="58">
        <v>43.417000000000002</v>
      </c>
      <c r="I317" s="58" t="s">
        <v>334</v>
      </c>
      <c r="J317" s="58">
        <v>44.334000000000003</v>
      </c>
      <c r="K317" s="58">
        <v>43.194000000000003</v>
      </c>
      <c r="L317" s="58">
        <v>43.244999999999997</v>
      </c>
      <c r="M317" s="59">
        <v>43.764000000000003</v>
      </c>
      <c r="N317" s="58"/>
    </row>
    <row r="318" spans="1:15" ht="18" customHeight="1">
      <c r="A318" s="57">
        <v>5</v>
      </c>
      <c r="B318" s="58" t="s">
        <v>334</v>
      </c>
      <c r="C318" s="58">
        <v>40.603000000000002</v>
      </c>
      <c r="D318" s="58">
        <v>40.777999999999999</v>
      </c>
      <c r="E318" s="58">
        <v>41.064999999999998</v>
      </c>
      <c r="F318" s="58" t="s">
        <v>334</v>
      </c>
      <c r="G318" s="58">
        <v>41.978000000000002</v>
      </c>
      <c r="H318" s="58">
        <v>43.417999999999999</v>
      </c>
      <c r="I318" s="58">
        <v>43.648000000000003</v>
      </c>
      <c r="J318" s="58">
        <v>44.542000000000002</v>
      </c>
      <c r="K318" s="58" t="s">
        <v>334</v>
      </c>
      <c r="L318" s="58">
        <v>43.314999999999998</v>
      </c>
      <c r="M318" s="59">
        <v>43.78</v>
      </c>
      <c r="N318" s="58"/>
    </row>
    <row r="319" spans="1:15" ht="18" customHeight="1">
      <c r="A319" s="57">
        <v>6</v>
      </c>
      <c r="B319" s="58" t="s">
        <v>334</v>
      </c>
      <c r="C319" s="58">
        <v>40.637</v>
      </c>
      <c r="D319" s="58">
        <v>40.715000000000003</v>
      </c>
      <c r="E319" s="58" t="s">
        <v>334</v>
      </c>
      <c r="F319" s="58">
        <v>40.942999999999998</v>
      </c>
      <c r="G319" s="58">
        <v>41.905999999999999</v>
      </c>
      <c r="H319" s="58" t="s">
        <v>334</v>
      </c>
      <c r="I319" s="58">
        <v>43.51</v>
      </c>
      <c r="J319" s="58">
        <v>44.402999999999999</v>
      </c>
      <c r="K319" s="58" t="s">
        <v>334</v>
      </c>
      <c r="L319" s="58">
        <v>43.280999999999999</v>
      </c>
      <c r="M319" s="59">
        <v>43.847999999999999</v>
      </c>
      <c r="N319" s="58"/>
    </row>
    <row r="320" spans="1:15" ht="18" customHeight="1">
      <c r="A320" s="57">
        <v>7</v>
      </c>
      <c r="B320" s="58">
        <v>40.856000000000002</v>
      </c>
      <c r="C320" s="58">
        <v>40.646999999999998</v>
      </c>
      <c r="D320" s="58">
        <v>40.682000000000002</v>
      </c>
      <c r="E320" s="58" t="s">
        <v>334</v>
      </c>
      <c r="F320" s="58">
        <v>40.865000000000002</v>
      </c>
      <c r="G320" s="58">
        <v>42.143000000000001</v>
      </c>
      <c r="H320" s="58" t="s">
        <v>334</v>
      </c>
      <c r="I320" s="58">
        <v>43.506</v>
      </c>
      <c r="J320" s="58" t="s">
        <v>334</v>
      </c>
      <c r="K320" s="58">
        <v>43.137999999999998</v>
      </c>
      <c r="L320" s="58">
        <v>43.276000000000003</v>
      </c>
      <c r="M320" s="59" t="s">
        <v>334</v>
      </c>
      <c r="N320" s="58"/>
    </row>
    <row r="321" spans="1:14" ht="18" customHeight="1">
      <c r="A321" s="57">
        <v>8</v>
      </c>
      <c r="B321" s="58">
        <v>40.893999999999998</v>
      </c>
      <c r="C321" s="58">
        <v>40.685000000000002</v>
      </c>
      <c r="D321" s="58">
        <v>40.747999999999998</v>
      </c>
      <c r="E321" s="58">
        <v>41.171999999999997</v>
      </c>
      <c r="F321" s="58">
        <v>40.901000000000003</v>
      </c>
      <c r="G321" s="58" t="s">
        <v>334</v>
      </c>
      <c r="H321" s="58">
        <v>43.408999999999999</v>
      </c>
      <c r="I321" s="58">
        <v>43.624000000000002</v>
      </c>
      <c r="J321" s="58" t="s">
        <v>334</v>
      </c>
      <c r="K321" s="58">
        <v>43.118000000000002</v>
      </c>
      <c r="L321" s="58">
        <v>43.23</v>
      </c>
      <c r="M321" s="59" t="s">
        <v>334</v>
      </c>
      <c r="N321" s="58"/>
    </row>
    <row r="322" spans="1:14" ht="18" customHeight="1">
      <c r="A322" s="57">
        <v>9</v>
      </c>
      <c r="B322" s="58">
        <v>40.844999999999999</v>
      </c>
      <c r="C322" s="58" t="s">
        <v>334</v>
      </c>
      <c r="D322" s="58" t="s">
        <v>334</v>
      </c>
      <c r="E322" s="58" t="s">
        <v>334</v>
      </c>
      <c r="F322" s="58">
        <v>40.832000000000001</v>
      </c>
      <c r="G322" s="58" t="s">
        <v>334</v>
      </c>
      <c r="H322" s="58">
        <v>43.661000000000001</v>
      </c>
      <c r="I322" s="58" t="s">
        <v>334</v>
      </c>
      <c r="J322" s="58">
        <v>44.514000000000003</v>
      </c>
      <c r="K322" s="58">
        <v>43.127000000000002</v>
      </c>
      <c r="L322" s="58" t="s">
        <v>334</v>
      </c>
      <c r="M322" s="59">
        <v>43.91</v>
      </c>
      <c r="N322" s="58"/>
    </row>
    <row r="323" spans="1:14" ht="18" customHeight="1">
      <c r="A323" s="57">
        <v>10</v>
      </c>
      <c r="B323" s="58">
        <v>40.816000000000003</v>
      </c>
      <c r="C323" s="58" t="s">
        <v>334</v>
      </c>
      <c r="D323" s="58" t="s">
        <v>334</v>
      </c>
      <c r="E323" s="58">
        <v>41.261000000000003</v>
      </c>
      <c r="F323" s="58">
        <v>40.774000000000001</v>
      </c>
      <c r="G323" s="58">
        <v>42.13</v>
      </c>
      <c r="H323" s="58">
        <v>43.584000000000003</v>
      </c>
      <c r="I323" s="58" t="s">
        <v>334</v>
      </c>
      <c r="J323" s="58">
        <v>44.325000000000003</v>
      </c>
      <c r="K323" s="58">
        <v>43.15</v>
      </c>
      <c r="L323" s="58" t="s">
        <v>334</v>
      </c>
      <c r="M323" s="59">
        <v>44.04</v>
      </c>
      <c r="N323" s="58"/>
    </row>
    <row r="324" spans="1:14" ht="18" customHeight="1">
      <c r="A324" s="57">
        <v>11</v>
      </c>
      <c r="B324" s="58">
        <v>40.732999999999997</v>
      </c>
      <c r="C324" s="58">
        <v>40.686</v>
      </c>
      <c r="D324" s="58">
        <v>40.716000000000001</v>
      </c>
      <c r="E324" s="58">
        <v>41.104999999999997</v>
      </c>
      <c r="F324" s="58" t="s">
        <v>334</v>
      </c>
      <c r="G324" s="58">
        <v>42.56</v>
      </c>
      <c r="H324" s="58">
        <v>43.408000000000001</v>
      </c>
      <c r="I324" s="58" t="s">
        <v>334</v>
      </c>
      <c r="J324" s="58">
        <v>43.927</v>
      </c>
      <c r="K324" s="58">
        <v>43.238999999999997</v>
      </c>
      <c r="L324" s="58">
        <v>43.234999999999999</v>
      </c>
      <c r="M324" s="59">
        <v>44.262</v>
      </c>
      <c r="N324" s="58"/>
    </row>
    <row r="325" spans="1:14" ht="18" customHeight="1">
      <c r="A325" s="57">
        <v>12</v>
      </c>
      <c r="B325" s="58" t="s">
        <v>334</v>
      </c>
      <c r="C325" s="58">
        <v>40.685000000000002</v>
      </c>
      <c r="D325" s="58">
        <v>40.695999999999998</v>
      </c>
      <c r="E325" s="58">
        <v>40.985999999999997</v>
      </c>
      <c r="F325" s="58" t="s">
        <v>334</v>
      </c>
      <c r="G325" s="58" t="s">
        <v>334</v>
      </c>
      <c r="H325" s="58">
        <v>43.281999999999996</v>
      </c>
      <c r="I325" s="58">
        <v>43.621000000000002</v>
      </c>
      <c r="J325" s="58">
        <v>43.792999999999999</v>
      </c>
      <c r="K325" s="58" t="s">
        <v>334</v>
      </c>
      <c r="L325" s="58">
        <v>43.448</v>
      </c>
      <c r="M325" s="59">
        <v>44.134999999999998</v>
      </c>
      <c r="N325" s="58"/>
    </row>
    <row r="326" spans="1:14" ht="18" customHeight="1">
      <c r="A326" s="57">
        <v>13</v>
      </c>
      <c r="B326" s="58" t="s">
        <v>334</v>
      </c>
      <c r="C326" s="58">
        <v>40.706000000000003</v>
      </c>
      <c r="D326" s="58">
        <v>40.628999999999998</v>
      </c>
      <c r="E326" s="58" t="s">
        <v>334</v>
      </c>
      <c r="F326" s="58" t="s">
        <v>334</v>
      </c>
      <c r="G326" s="58">
        <v>43.173999999999999</v>
      </c>
      <c r="H326" s="58" t="s">
        <v>334</v>
      </c>
      <c r="I326" s="58">
        <v>43.621000000000002</v>
      </c>
      <c r="J326" s="58">
        <v>43.764000000000003</v>
      </c>
      <c r="K326" s="58" t="s">
        <v>334</v>
      </c>
      <c r="L326" s="58">
        <v>43.677</v>
      </c>
      <c r="M326" s="59">
        <v>44.19</v>
      </c>
      <c r="N326" s="58"/>
    </row>
    <row r="327" spans="1:14" ht="18" customHeight="1">
      <c r="A327" s="57">
        <v>14</v>
      </c>
      <c r="B327" s="58">
        <v>40.600999999999999</v>
      </c>
      <c r="C327" s="58">
        <v>40.658000000000001</v>
      </c>
      <c r="D327" s="58">
        <v>40.588000000000001</v>
      </c>
      <c r="E327" s="58" t="s">
        <v>334</v>
      </c>
      <c r="F327" s="58">
        <v>41.098999999999997</v>
      </c>
      <c r="G327" s="58">
        <v>43.207000000000001</v>
      </c>
      <c r="H327" s="58" t="s">
        <v>334</v>
      </c>
      <c r="I327" s="58">
        <v>43.735999999999997</v>
      </c>
      <c r="J327" s="58" t="s">
        <v>334</v>
      </c>
      <c r="K327" s="58">
        <v>43.113</v>
      </c>
      <c r="L327" s="58">
        <v>43.735999999999997</v>
      </c>
      <c r="M327" s="59" t="s">
        <v>334</v>
      </c>
      <c r="N327" s="58"/>
    </row>
    <row r="328" spans="1:14" ht="18" customHeight="1">
      <c r="A328" s="57">
        <v>15</v>
      </c>
      <c r="B328" s="58">
        <v>40.651000000000003</v>
      </c>
      <c r="C328" s="58">
        <v>40.630000000000003</v>
      </c>
      <c r="D328" s="58">
        <v>40.606000000000002</v>
      </c>
      <c r="E328" s="58">
        <v>41.222000000000001</v>
      </c>
      <c r="F328" s="58">
        <v>41.162999999999997</v>
      </c>
      <c r="G328" s="58" t="s">
        <v>334</v>
      </c>
      <c r="H328" s="58">
        <v>43.366999999999997</v>
      </c>
      <c r="I328" s="58">
        <v>43.802</v>
      </c>
      <c r="J328" s="58" t="s">
        <v>334</v>
      </c>
      <c r="K328" s="58" t="s">
        <v>334</v>
      </c>
      <c r="L328" s="58">
        <v>43.543999999999997</v>
      </c>
      <c r="M328" s="59" t="s">
        <v>334</v>
      </c>
      <c r="N328" s="58"/>
    </row>
    <row r="329" spans="1:14" ht="18" customHeight="1">
      <c r="A329" s="57">
        <v>16</v>
      </c>
      <c r="B329" s="58">
        <v>40.569000000000003</v>
      </c>
      <c r="C329" s="58" t="s">
        <v>334</v>
      </c>
      <c r="D329" s="58" t="s">
        <v>334</v>
      </c>
      <c r="E329" s="58">
        <v>41.232999999999997</v>
      </c>
      <c r="F329" s="58">
        <v>41.17</v>
      </c>
      <c r="G329" s="58" t="s">
        <v>334</v>
      </c>
      <c r="H329" s="58">
        <v>43.444000000000003</v>
      </c>
      <c r="I329" s="58">
        <v>43.756</v>
      </c>
      <c r="J329" s="58">
        <v>43.906999999999996</v>
      </c>
      <c r="K329" s="58">
        <v>43.152000000000001</v>
      </c>
      <c r="L329" s="58" t="s">
        <v>334</v>
      </c>
      <c r="M329" s="59">
        <v>44.18</v>
      </c>
      <c r="N329" s="58"/>
    </row>
    <row r="330" spans="1:14" ht="18" customHeight="1">
      <c r="A330" s="57">
        <v>17</v>
      </c>
      <c r="B330" s="58">
        <v>40.637</v>
      </c>
      <c r="C330" s="58" t="s">
        <v>334</v>
      </c>
      <c r="D330" s="58" t="s">
        <v>334</v>
      </c>
      <c r="E330" s="58">
        <v>41.377000000000002</v>
      </c>
      <c r="F330" s="58">
        <v>41.192</v>
      </c>
      <c r="G330" s="58">
        <v>42.844999999999999</v>
      </c>
      <c r="H330" s="58">
        <v>43.32</v>
      </c>
      <c r="I330" s="58" t="s">
        <v>334</v>
      </c>
      <c r="J330" s="58">
        <v>43.667000000000002</v>
      </c>
      <c r="K330" s="58">
        <v>43.192</v>
      </c>
      <c r="L330" s="58" t="s">
        <v>334</v>
      </c>
      <c r="M330" s="59">
        <v>44.158000000000001</v>
      </c>
      <c r="N330" s="58"/>
    </row>
    <row r="331" spans="1:14" ht="18" customHeight="1">
      <c r="A331" s="57">
        <v>18</v>
      </c>
      <c r="B331" s="58">
        <v>40.616</v>
      </c>
      <c r="C331" s="58">
        <v>40.61</v>
      </c>
      <c r="D331" s="58">
        <v>40.6</v>
      </c>
      <c r="E331" s="58">
        <v>41.271999999999998</v>
      </c>
      <c r="F331" s="58" t="s">
        <v>334</v>
      </c>
      <c r="G331" s="58">
        <v>42.887999999999998</v>
      </c>
      <c r="H331" s="58">
        <v>43.32</v>
      </c>
      <c r="I331" s="58" t="s">
        <v>334</v>
      </c>
      <c r="J331" s="58">
        <v>43.74</v>
      </c>
      <c r="K331" s="58">
        <v>43.097999999999999</v>
      </c>
      <c r="L331" s="58">
        <v>43.576999999999998</v>
      </c>
      <c r="M331" s="59">
        <v>44.154000000000003</v>
      </c>
      <c r="N331" s="58"/>
    </row>
    <row r="332" spans="1:14" ht="18" customHeight="1">
      <c r="A332" s="57">
        <v>19</v>
      </c>
      <c r="B332" s="58" t="s">
        <v>334</v>
      </c>
      <c r="C332" s="58">
        <v>40.631999999999998</v>
      </c>
      <c r="D332" s="58">
        <v>40.704999999999998</v>
      </c>
      <c r="E332" s="58">
        <v>41.286000000000001</v>
      </c>
      <c r="F332" s="58" t="s">
        <v>334</v>
      </c>
      <c r="G332" s="58">
        <v>43.103000000000002</v>
      </c>
      <c r="H332" s="58">
        <v>43.426000000000002</v>
      </c>
      <c r="I332" s="58" t="s">
        <v>334</v>
      </c>
      <c r="J332" s="58">
        <v>43.548999999999999</v>
      </c>
      <c r="K332" s="58" t="s">
        <v>334</v>
      </c>
      <c r="L332" s="58">
        <v>43.613</v>
      </c>
      <c r="M332" s="59">
        <v>44.276000000000003</v>
      </c>
      <c r="N332" s="58"/>
    </row>
    <row r="333" spans="1:14" ht="18" customHeight="1">
      <c r="A333" s="57">
        <v>20</v>
      </c>
      <c r="B333" s="58" t="s">
        <v>334</v>
      </c>
      <c r="C333" s="58">
        <v>40.622999999999998</v>
      </c>
      <c r="D333" s="58">
        <v>40.665999999999997</v>
      </c>
      <c r="E333" s="58" t="s">
        <v>334</v>
      </c>
      <c r="F333" s="58">
        <v>41.186</v>
      </c>
      <c r="G333" s="58">
        <v>43.21</v>
      </c>
      <c r="H333" s="58" t="s">
        <v>334</v>
      </c>
      <c r="I333" s="58" t="s">
        <v>334</v>
      </c>
      <c r="J333" s="58">
        <v>43.085000000000001</v>
      </c>
      <c r="K333" s="58" t="s">
        <v>334</v>
      </c>
      <c r="L333" s="58">
        <v>43.57</v>
      </c>
      <c r="M333" s="59">
        <v>44.414000000000001</v>
      </c>
      <c r="N333" s="58"/>
    </row>
    <row r="334" spans="1:14" ht="18" customHeight="1">
      <c r="A334" s="57">
        <v>21</v>
      </c>
      <c r="B334" s="58">
        <v>40.58</v>
      </c>
      <c r="C334" s="58">
        <v>40.622999999999998</v>
      </c>
      <c r="D334" s="58">
        <v>40.743000000000002</v>
      </c>
      <c r="E334" s="58" t="s">
        <v>334</v>
      </c>
      <c r="F334" s="58">
        <v>41.23</v>
      </c>
      <c r="G334" s="58">
        <v>43.654000000000003</v>
      </c>
      <c r="H334" s="58" t="s">
        <v>334</v>
      </c>
      <c r="I334" s="58" t="s">
        <v>334</v>
      </c>
      <c r="J334" s="58" t="s">
        <v>334</v>
      </c>
      <c r="K334" s="58">
        <v>43.069000000000003</v>
      </c>
      <c r="L334" s="58">
        <v>43.576000000000001</v>
      </c>
      <c r="M334" s="59" t="s">
        <v>334</v>
      </c>
      <c r="N334" s="58"/>
    </row>
    <row r="335" spans="1:14" ht="18" customHeight="1">
      <c r="A335" s="57">
        <v>22</v>
      </c>
      <c r="B335" s="58">
        <v>40.685000000000002</v>
      </c>
      <c r="C335" s="58">
        <v>40.725999999999999</v>
      </c>
      <c r="D335" s="58">
        <v>40.737000000000002</v>
      </c>
      <c r="E335" s="58">
        <v>41.118000000000002</v>
      </c>
      <c r="F335" s="58">
        <v>41.152000000000001</v>
      </c>
      <c r="G335" s="58" t="s">
        <v>334</v>
      </c>
      <c r="H335" s="58">
        <v>43.427</v>
      </c>
      <c r="I335" s="58">
        <v>43.765000000000001</v>
      </c>
      <c r="J335" s="58" t="s">
        <v>334</v>
      </c>
      <c r="K335" s="58">
        <v>43.142000000000003</v>
      </c>
      <c r="L335" s="58">
        <v>43.790999999999997</v>
      </c>
      <c r="M335" s="59" t="s">
        <v>334</v>
      </c>
      <c r="N335" s="58"/>
    </row>
    <row r="336" spans="1:14" ht="18" customHeight="1">
      <c r="A336" s="57">
        <v>23</v>
      </c>
      <c r="B336" s="58">
        <v>40.643999999999998</v>
      </c>
      <c r="C336" s="58" t="s">
        <v>334</v>
      </c>
      <c r="D336" s="58" t="s">
        <v>334</v>
      </c>
      <c r="E336" s="58">
        <v>41.155000000000001</v>
      </c>
      <c r="F336" s="58">
        <v>41.188000000000002</v>
      </c>
      <c r="G336" s="58" t="s">
        <v>334</v>
      </c>
      <c r="H336" s="58">
        <v>43.244</v>
      </c>
      <c r="I336" s="58">
        <v>44.116999999999997</v>
      </c>
      <c r="J336" s="58">
        <v>43.07</v>
      </c>
      <c r="K336" s="58">
        <v>43.207999999999998</v>
      </c>
      <c r="L336" s="58" t="s">
        <v>334</v>
      </c>
      <c r="M336" s="59">
        <v>44.493000000000002</v>
      </c>
      <c r="N336" s="58"/>
    </row>
    <row r="337" spans="1:15" ht="18" customHeight="1">
      <c r="A337" s="57">
        <v>24</v>
      </c>
      <c r="B337" s="58">
        <v>40.625999999999998</v>
      </c>
      <c r="C337" s="58" t="s">
        <v>334</v>
      </c>
      <c r="D337" s="58" t="s">
        <v>334</v>
      </c>
      <c r="E337" s="58">
        <v>41.3</v>
      </c>
      <c r="F337" s="58">
        <v>41.508000000000003</v>
      </c>
      <c r="G337" s="58">
        <v>43.893999999999998</v>
      </c>
      <c r="H337" s="58">
        <v>43.170999999999999</v>
      </c>
      <c r="I337" s="58" t="s">
        <v>334</v>
      </c>
      <c r="J337" s="58">
        <v>43.18</v>
      </c>
      <c r="K337" s="58">
        <v>43.076999999999998</v>
      </c>
      <c r="L337" s="58" t="s">
        <v>334</v>
      </c>
      <c r="M337" s="59" t="s">
        <v>334</v>
      </c>
      <c r="N337" s="58"/>
    </row>
    <row r="338" spans="1:15" ht="18" customHeight="1">
      <c r="A338" s="57">
        <v>25</v>
      </c>
      <c r="B338" s="58">
        <v>40.637</v>
      </c>
      <c r="C338" s="58">
        <v>40.718000000000004</v>
      </c>
      <c r="D338" s="58">
        <v>40.820999999999998</v>
      </c>
      <c r="E338" s="58">
        <v>41.307000000000002</v>
      </c>
      <c r="F338" s="58" t="s">
        <v>334</v>
      </c>
      <c r="G338" s="58">
        <v>43.81</v>
      </c>
      <c r="H338" s="58">
        <v>43.25</v>
      </c>
      <c r="I338" s="58" t="s">
        <v>334</v>
      </c>
      <c r="J338" s="58">
        <v>43.356999999999999</v>
      </c>
      <c r="K338" s="58">
        <v>43.11</v>
      </c>
      <c r="L338" s="58">
        <v>43.854999999999997</v>
      </c>
      <c r="M338" s="59" t="s">
        <v>334</v>
      </c>
      <c r="N338" s="58"/>
    </row>
    <row r="339" spans="1:15" ht="18" customHeight="1">
      <c r="A339" s="57">
        <v>26</v>
      </c>
      <c r="B339" s="58" t="s">
        <v>334</v>
      </c>
      <c r="C339" s="58">
        <v>40.704000000000001</v>
      </c>
      <c r="D339" s="58">
        <v>40.805999999999997</v>
      </c>
      <c r="E339" s="58">
        <v>41.292999999999999</v>
      </c>
      <c r="F339" s="58" t="s">
        <v>334</v>
      </c>
      <c r="G339" s="58">
        <v>43.6</v>
      </c>
      <c r="H339" s="58">
        <v>43.366</v>
      </c>
      <c r="I339" s="58" t="s">
        <v>334</v>
      </c>
      <c r="J339" s="58">
        <v>43.482999999999997</v>
      </c>
      <c r="K339" s="58" t="s">
        <v>334</v>
      </c>
      <c r="L339" s="58">
        <v>43.884</v>
      </c>
      <c r="M339" s="59">
        <v>44.414000000000001</v>
      </c>
      <c r="N339" s="58"/>
    </row>
    <row r="340" spans="1:15" ht="18" customHeight="1">
      <c r="A340" s="57">
        <v>27</v>
      </c>
      <c r="B340" s="58" t="s">
        <v>334</v>
      </c>
      <c r="C340" s="58">
        <v>40.735999999999997</v>
      </c>
      <c r="D340" s="58">
        <v>40.938000000000002</v>
      </c>
      <c r="E340" s="58" t="s">
        <v>334</v>
      </c>
      <c r="F340" s="58">
        <v>41.601999999999997</v>
      </c>
      <c r="G340" s="58">
        <v>43.39</v>
      </c>
      <c r="H340" s="58" t="s">
        <v>334</v>
      </c>
      <c r="I340" s="58">
        <v>44.26</v>
      </c>
      <c r="J340" s="58">
        <v>43.356999999999999</v>
      </c>
      <c r="K340" s="58" t="s">
        <v>334</v>
      </c>
      <c r="L340" s="58">
        <v>43.783000000000001</v>
      </c>
      <c r="M340" s="59">
        <v>44.414000000000001</v>
      </c>
      <c r="N340" s="58"/>
    </row>
    <row r="341" spans="1:15" ht="18" customHeight="1">
      <c r="A341" s="57">
        <v>28</v>
      </c>
      <c r="B341" s="58">
        <v>40.686999999999998</v>
      </c>
      <c r="C341" s="58">
        <v>40.735999999999997</v>
      </c>
      <c r="D341" s="58" t="s">
        <v>334</v>
      </c>
      <c r="E341" s="58" t="s">
        <v>334</v>
      </c>
      <c r="F341" s="58">
        <v>41.633000000000003</v>
      </c>
      <c r="G341" s="58">
        <v>43.307000000000002</v>
      </c>
      <c r="H341" s="58" t="s">
        <v>334</v>
      </c>
      <c r="I341" s="58">
        <v>44.423999999999999</v>
      </c>
      <c r="J341" s="58" t="s">
        <v>334</v>
      </c>
      <c r="K341" s="58" t="s">
        <v>334</v>
      </c>
      <c r="L341" s="58">
        <v>43.72</v>
      </c>
      <c r="M341" s="59" t="s">
        <v>334</v>
      </c>
      <c r="N341" s="58"/>
    </row>
    <row r="342" spans="1:15" ht="18" customHeight="1">
      <c r="A342" s="57">
        <v>29</v>
      </c>
      <c r="B342" s="58">
        <v>40.741</v>
      </c>
      <c r="C342" s="58" t="s">
        <v>335</v>
      </c>
      <c r="D342" s="58" t="s">
        <v>334</v>
      </c>
      <c r="E342" s="58">
        <v>41.19</v>
      </c>
      <c r="F342" s="58">
        <v>41.850999999999999</v>
      </c>
      <c r="G342" s="58" t="s">
        <v>334</v>
      </c>
      <c r="H342" s="58">
        <v>43.28</v>
      </c>
      <c r="I342" s="58">
        <v>44.66</v>
      </c>
      <c r="J342" s="58" t="s">
        <v>334</v>
      </c>
      <c r="K342" s="58">
        <v>43.064999999999998</v>
      </c>
      <c r="L342" s="58">
        <v>43.735999999999997</v>
      </c>
      <c r="M342" s="59" t="s">
        <v>334</v>
      </c>
      <c r="N342" s="58"/>
    </row>
    <row r="343" spans="1:15" ht="18" customHeight="1">
      <c r="A343" s="57">
        <v>30</v>
      </c>
      <c r="B343" s="58">
        <v>40.808</v>
      </c>
      <c r="C343" s="58" t="s">
        <v>335</v>
      </c>
      <c r="D343" s="58" t="s">
        <v>334</v>
      </c>
      <c r="E343" s="58">
        <v>41.161000000000001</v>
      </c>
      <c r="F343" s="58">
        <v>42.279000000000003</v>
      </c>
      <c r="G343" s="58" t="s">
        <v>334</v>
      </c>
      <c r="H343" s="58">
        <v>43.332999999999998</v>
      </c>
      <c r="I343" s="58">
        <v>44.634999999999998</v>
      </c>
      <c r="J343" s="58">
        <v>43.308999999999997</v>
      </c>
      <c r="K343" s="58">
        <v>43.122999999999998</v>
      </c>
      <c r="L343" s="58" t="s">
        <v>334</v>
      </c>
      <c r="M343" s="59" t="s">
        <v>334</v>
      </c>
      <c r="N343" s="58"/>
    </row>
    <row r="344" spans="1:15" ht="18" customHeight="1">
      <c r="A344" s="57">
        <v>31</v>
      </c>
      <c r="B344" s="58">
        <v>40.652999999999999</v>
      </c>
      <c r="C344" s="58" t="s">
        <v>335</v>
      </c>
      <c r="D344" s="58" t="s">
        <v>334</v>
      </c>
      <c r="E344" s="58" t="s">
        <v>335</v>
      </c>
      <c r="F344" s="58">
        <v>42.375999999999998</v>
      </c>
      <c r="G344" s="58" t="s">
        <v>335</v>
      </c>
      <c r="H344" s="58">
        <v>43.402000000000001</v>
      </c>
      <c r="I344" s="58" t="s">
        <v>334</v>
      </c>
      <c r="J344" s="58" t="s">
        <v>335</v>
      </c>
      <c r="K344" s="58">
        <v>43.179000000000002</v>
      </c>
      <c r="L344" s="58" t="s">
        <v>335</v>
      </c>
      <c r="M344" s="59" t="s">
        <v>334</v>
      </c>
      <c r="N344" s="58"/>
    </row>
    <row r="345" spans="1:15" ht="18" customHeight="1" thickBot="1">
      <c r="A345" s="66"/>
      <c r="B345" s="67"/>
      <c r="C345" s="67"/>
      <c r="D345" s="67"/>
      <c r="E345" s="67"/>
      <c r="F345" s="67"/>
      <c r="G345" s="67"/>
      <c r="H345" s="67"/>
      <c r="I345" s="67"/>
      <c r="J345" s="67"/>
      <c r="K345" s="69"/>
      <c r="L345" s="67"/>
      <c r="M345" s="68"/>
      <c r="N345" s="58"/>
    </row>
    <row r="346" spans="1:15" ht="18" customHeight="1">
      <c r="A346" s="618">
        <v>2012</v>
      </c>
      <c r="B346" s="621"/>
      <c r="C346" s="621"/>
      <c r="D346" s="621"/>
      <c r="E346" s="621"/>
      <c r="F346" s="621"/>
      <c r="G346" s="621"/>
      <c r="H346" s="621"/>
      <c r="I346" s="621"/>
      <c r="J346" s="621"/>
      <c r="K346" s="621"/>
      <c r="L346" s="621"/>
      <c r="M346" s="622"/>
      <c r="N346" s="52"/>
    </row>
    <row r="347" spans="1:15" ht="18" customHeight="1" thickBot="1">
      <c r="A347" s="63" t="s">
        <v>322</v>
      </c>
      <c r="B347" s="64" t="s">
        <v>323</v>
      </c>
      <c r="C347" s="64" t="s">
        <v>324</v>
      </c>
      <c r="D347" s="64" t="s">
        <v>325</v>
      </c>
      <c r="E347" s="64" t="s">
        <v>326</v>
      </c>
      <c r="F347" s="64" t="s">
        <v>236</v>
      </c>
      <c r="G347" s="64" t="s">
        <v>327</v>
      </c>
      <c r="H347" s="64" t="s">
        <v>328</v>
      </c>
      <c r="I347" s="64" t="s">
        <v>329</v>
      </c>
      <c r="J347" s="64" t="s">
        <v>330</v>
      </c>
      <c r="K347" s="64" t="s">
        <v>331</v>
      </c>
      <c r="L347" s="64" t="s">
        <v>332</v>
      </c>
      <c r="M347" s="65" t="s">
        <v>333</v>
      </c>
      <c r="N347" s="52"/>
    </row>
    <row r="348" spans="1:15" ht="18" customHeight="1">
      <c r="A348" s="54">
        <v>1</v>
      </c>
      <c r="B348" s="55" t="s">
        <v>334</v>
      </c>
      <c r="C348" s="55">
        <v>42.918999999999997</v>
      </c>
      <c r="D348" s="55">
        <v>42.722000000000001</v>
      </c>
      <c r="E348" s="55" t="s">
        <v>334</v>
      </c>
      <c r="F348" s="55" t="s">
        <v>334</v>
      </c>
      <c r="G348" s="55">
        <v>43.63</v>
      </c>
      <c r="H348" s="55" t="s">
        <v>334</v>
      </c>
      <c r="I348" s="55">
        <v>41.832999999999998</v>
      </c>
      <c r="J348" s="55" t="s">
        <v>334</v>
      </c>
      <c r="K348" s="55">
        <v>41.738999999999997</v>
      </c>
      <c r="L348" s="55" t="s">
        <v>334</v>
      </c>
      <c r="M348" s="56" t="s">
        <v>334</v>
      </c>
      <c r="N348" s="83">
        <v>2012</v>
      </c>
      <c r="O348" s="47">
        <f>AVERAGE(B348:M378)</f>
        <v>42.248946721311462</v>
      </c>
    </row>
    <row r="349" spans="1:15" ht="18" customHeight="1">
      <c r="A349" s="57">
        <v>2</v>
      </c>
      <c r="B349" s="58">
        <v>43.918999999999997</v>
      </c>
      <c r="C349" s="58">
        <v>42.9</v>
      </c>
      <c r="D349" s="58">
        <v>42.759</v>
      </c>
      <c r="E349" s="58">
        <v>42.933999999999997</v>
      </c>
      <c r="F349" s="58">
        <v>42.228999999999999</v>
      </c>
      <c r="G349" s="58" t="s">
        <v>334</v>
      </c>
      <c r="H349" s="58">
        <v>42.276000000000003</v>
      </c>
      <c r="I349" s="58">
        <v>41.776000000000003</v>
      </c>
      <c r="J349" s="58" t="s">
        <v>334</v>
      </c>
      <c r="K349" s="58">
        <v>41.817999999999998</v>
      </c>
      <c r="L349" s="58" t="s">
        <v>334</v>
      </c>
      <c r="M349" s="59" t="s">
        <v>334</v>
      </c>
      <c r="N349" s="58"/>
    </row>
    <row r="350" spans="1:15" ht="18" customHeight="1">
      <c r="A350" s="57">
        <v>3</v>
      </c>
      <c r="B350" s="58">
        <v>43.75</v>
      </c>
      <c r="C350" s="58">
        <v>42.713000000000001</v>
      </c>
      <c r="D350" s="58" t="s">
        <v>334</v>
      </c>
      <c r="E350" s="58">
        <v>42.777000000000001</v>
      </c>
      <c r="F350" s="58">
        <v>42.165999999999997</v>
      </c>
      <c r="G350" s="58" t="s">
        <v>334</v>
      </c>
      <c r="H350" s="58">
        <v>41.993000000000002</v>
      </c>
      <c r="I350" s="58">
        <v>41.85</v>
      </c>
      <c r="J350" s="58">
        <v>42.177999999999997</v>
      </c>
      <c r="K350" s="58">
        <v>41.640999999999998</v>
      </c>
      <c r="L350" s="58" t="s">
        <v>334</v>
      </c>
      <c r="M350" s="59">
        <v>40.889000000000003</v>
      </c>
      <c r="N350" s="58"/>
    </row>
    <row r="351" spans="1:15" ht="18" customHeight="1">
      <c r="A351" s="57">
        <v>4</v>
      </c>
      <c r="B351" s="58">
        <v>43.758000000000003</v>
      </c>
      <c r="C351" s="58" t="s">
        <v>334</v>
      </c>
      <c r="D351" s="58" t="s">
        <v>334</v>
      </c>
      <c r="E351" s="58">
        <v>42.662999999999997</v>
      </c>
      <c r="F351" s="58">
        <v>42.209000000000003</v>
      </c>
      <c r="G351" s="58">
        <v>43.542999999999999</v>
      </c>
      <c r="H351" s="58">
        <v>41.789000000000001</v>
      </c>
      <c r="I351" s="58" t="s">
        <v>334</v>
      </c>
      <c r="J351" s="58">
        <v>42.027000000000001</v>
      </c>
      <c r="K351" s="58">
        <v>41.651000000000003</v>
      </c>
      <c r="L351" s="58" t="s">
        <v>334</v>
      </c>
      <c r="M351" s="59">
        <v>40.874000000000002</v>
      </c>
      <c r="N351" s="58"/>
    </row>
    <row r="352" spans="1:15" ht="18" customHeight="1">
      <c r="A352" s="57">
        <v>5</v>
      </c>
      <c r="B352" s="58">
        <v>43.755000000000003</v>
      </c>
      <c r="C352" s="58" t="s">
        <v>334</v>
      </c>
      <c r="D352" s="58">
        <v>42.671999999999997</v>
      </c>
      <c r="E352" s="58" t="s">
        <v>334</v>
      </c>
      <c r="F352" s="58" t="s">
        <v>334</v>
      </c>
      <c r="G352" s="58">
        <v>43.478999999999999</v>
      </c>
      <c r="H352" s="58">
        <v>41.722999999999999</v>
      </c>
      <c r="I352" s="58" t="s">
        <v>334</v>
      </c>
      <c r="J352" s="58">
        <v>41.884</v>
      </c>
      <c r="K352" s="58">
        <v>41.530999999999999</v>
      </c>
      <c r="L352" s="58">
        <v>41.207999999999998</v>
      </c>
      <c r="M352" s="59">
        <v>40.914000000000001</v>
      </c>
      <c r="N352" s="58"/>
    </row>
    <row r="353" spans="1:14" ht="18" customHeight="1">
      <c r="A353" s="57">
        <v>6</v>
      </c>
      <c r="B353" s="58">
        <v>43.920999999999999</v>
      </c>
      <c r="C353" s="58">
        <v>42.731000000000002</v>
      </c>
      <c r="D353" s="58">
        <v>42.820999999999998</v>
      </c>
      <c r="E353" s="58" t="s">
        <v>334</v>
      </c>
      <c r="F353" s="58" t="s">
        <v>334</v>
      </c>
      <c r="G353" s="58">
        <v>43.389000000000003</v>
      </c>
      <c r="H353" s="58">
        <v>41.689</v>
      </c>
      <c r="I353" s="58">
        <v>41.929000000000002</v>
      </c>
      <c r="J353" s="58">
        <v>41.959000000000003</v>
      </c>
      <c r="K353" s="58" t="s">
        <v>334</v>
      </c>
      <c r="L353" s="58">
        <v>41.244999999999997</v>
      </c>
      <c r="M353" s="59">
        <v>40.862000000000002</v>
      </c>
      <c r="N353" s="58"/>
    </row>
    <row r="354" spans="1:14" ht="18" customHeight="1">
      <c r="A354" s="57">
        <v>7</v>
      </c>
      <c r="B354" s="58" t="s">
        <v>334</v>
      </c>
      <c r="C354" s="58">
        <v>42.628</v>
      </c>
      <c r="D354" s="58">
        <v>42.912999999999997</v>
      </c>
      <c r="E354" s="58" t="s">
        <v>334</v>
      </c>
      <c r="F354" s="58">
        <v>42.234000000000002</v>
      </c>
      <c r="G354" s="58">
        <v>43.295000000000002</v>
      </c>
      <c r="H354" s="58" t="s">
        <v>334</v>
      </c>
      <c r="I354" s="58" t="s">
        <v>334</v>
      </c>
      <c r="J354" s="58">
        <v>41.908000000000001</v>
      </c>
      <c r="K354" s="58" t="s">
        <v>334</v>
      </c>
      <c r="L354" s="58">
        <v>41.241</v>
      </c>
      <c r="M354" s="59">
        <v>40.914999999999999</v>
      </c>
      <c r="N354" s="58"/>
    </row>
    <row r="355" spans="1:14" ht="18" customHeight="1">
      <c r="A355" s="57">
        <v>8</v>
      </c>
      <c r="B355" s="58" t="s">
        <v>334</v>
      </c>
      <c r="C355" s="58">
        <v>42.540999999999997</v>
      </c>
      <c r="D355" s="58">
        <v>42.987000000000002</v>
      </c>
      <c r="E355" s="58" t="s">
        <v>334</v>
      </c>
      <c r="F355" s="58">
        <v>42.384</v>
      </c>
      <c r="G355" s="58">
        <v>43.122</v>
      </c>
      <c r="H355" s="58" t="s">
        <v>334</v>
      </c>
      <c r="I355" s="58">
        <v>41.790999999999997</v>
      </c>
      <c r="J355" s="58" t="s">
        <v>334</v>
      </c>
      <c r="K355" s="58">
        <v>41.408999999999999</v>
      </c>
      <c r="L355" s="58">
        <v>41.128</v>
      </c>
      <c r="M355" s="59" t="s">
        <v>334</v>
      </c>
      <c r="N355" s="58"/>
    </row>
    <row r="356" spans="1:14" ht="18" customHeight="1">
      <c r="A356" s="57">
        <v>9</v>
      </c>
      <c r="B356" s="58">
        <v>44.134</v>
      </c>
      <c r="C356" s="58">
        <v>42.283999999999999</v>
      </c>
      <c r="D356" s="58">
        <v>42.686999999999998</v>
      </c>
      <c r="E356" s="58" t="s">
        <v>334</v>
      </c>
      <c r="F356" s="58">
        <v>42.317</v>
      </c>
      <c r="G356" s="58" t="s">
        <v>334</v>
      </c>
      <c r="H356" s="58">
        <v>41.802</v>
      </c>
      <c r="I356" s="58">
        <v>41.795999999999999</v>
      </c>
      <c r="J356" s="58" t="s">
        <v>334</v>
      </c>
      <c r="K356" s="58">
        <v>41.488999999999997</v>
      </c>
      <c r="L356" s="58">
        <v>41.064999999999998</v>
      </c>
      <c r="M356" s="59" t="s">
        <v>334</v>
      </c>
      <c r="N356" s="58"/>
    </row>
    <row r="357" spans="1:14" ht="18" customHeight="1">
      <c r="A357" s="57">
        <v>10</v>
      </c>
      <c r="B357" s="58">
        <v>44.246000000000002</v>
      </c>
      <c r="C357" s="58">
        <v>42.192999999999998</v>
      </c>
      <c r="D357" s="58" t="s">
        <v>334</v>
      </c>
      <c r="E357" s="58">
        <v>42.820999999999998</v>
      </c>
      <c r="F357" s="58">
        <v>42.387999999999998</v>
      </c>
      <c r="G357" s="58" t="s">
        <v>334</v>
      </c>
      <c r="H357" s="58">
        <v>41.951000000000001</v>
      </c>
      <c r="I357" s="58">
        <v>41.758000000000003</v>
      </c>
      <c r="J357" s="58">
        <v>41.741999999999997</v>
      </c>
      <c r="K357" s="58">
        <v>41.408000000000001</v>
      </c>
      <c r="L357" s="58" t="s">
        <v>334</v>
      </c>
      <c r="M357" s="59">
        <v>40.930999999999997</v>
      </c>
      <c r="N357" s="58"/>
    </row>
    <row r="358" spans="1:14" ht="18" customHeight="1">
      <c r="A358" s="57">
        <v>11</v>
      </c>
      <c r="B358" s="58">
        <v>43.978000000000002</v>
      </c>
      <c r="C358" s="58" t="s">
        <v>334</v>
      </c>
      <c r="D358" s="58" t="s">
        <v>334</v>
      </c>
      <c r="E358" s="58">
        <v>42.798000000000002</v>
      </c>
      <c r="F358" s="58">
        <v>42.448999999999998</v>
      </c>
      <c r="G358" s="58">
        <v>43.237000000000002</v>
      </c>
      <c r="H358" s="58">
        <v>41.875</v>
      </c>
      <c r="I358" s="58" t="s">
        <v>334</v>
      </c>
      <c r="J358" s="58">
        <v>41.582999999999998</v>
      </c>
      <c r="K358" s="58">
        <v>41.545000000000002</v>
      </c>
      <c r="L358" s="58" t="s">
        <v>334</v>
      </c>
      <c r="M358" s="59">
        <v>40.932000000000002</v>
      </c>
      <c r="N358" s="58"/>
    </row>
    <row r="359" spans="1:14" ht="18" customHeight="1">
      <c r="A359" s="57">
        <v>12</v>
      </c>
      <c r="B359" s="58">
        <v>44.006</v>
      </c>
      <c r="C359" s="58" t="s">
        <v>334</v>
      </c>
      <c r="D359" s="58">
        <v>42.503</v>
      </c>
      <c r="E359" s="58">
        <v>42.808999999999997</v>
      </c>
      <c r="F359" s="58" t="s">
        <v>334</v>
      </c>
      <c r="G359" s="58" t="s">
        <v>334</v>
      </c>
      <c r="H359" s="58">
        <v>41.883000000000003</v>
      </c>
      <c r="I359" s="58" t="s">
        <v>334</v>
      </c>
      <c r="J359" s="58">
        <v>41.61</v>
      </c>
      <c r="K359" s="58">
        <v>41.607999999999997</v>
      </c>
      <c r="L359" s="58">
        <v>41.08</v>
      </c>
      <c r="M359" s="59">
        <v>40.944000000000003</v>
      </c>
      <c r="N359" s="58"/>
    </row>
    <row r="360" spans="1:14" ht="18" customHeight="1">
      <c r="A360" s="57">
        <v>13</v>
      </c>
      <c r="B360" s="58">
        <v>44.023000000000003</v>
      </c>
      <c r="C360" s="58">
        <v>42.347000000000001</v>
      </c>
      <c r="D360" s="58">
        <v>42.682000000000002</v>
      </c>
      <c r="E360" s="58">
        <v>42.68</v>
      </c>
      <c r="F360" s="58" t="s">
        <v>334</v>
      </c>
      <c r="G360" s="58">
        <v>43.003999999999998</v>
      </c>
      <c r="H360" s="58">
        <v>41.95</v>
      </c>
      <c r="I360" s="58">
        <v>41.863999999999997</v>
      </c>
      <c r="J360" s="58">
        <v>41.491999999999997</v>
      </c>
      <c r="K360" s="58" t="s">
        <v>334</v>
      </c>
      <c r="L360" s="58">
        <v>41.084000000000003</v>
      </c>
      <c r="M360" s="59">
        <v>40.981999999999999</v>
      </c>
      <c r="N360" s="58"/>
    </row>
    <row r="361" spans="1:14" ht="18" customHeight="1">
      <c r="A361" s="57">
        <v>14</v>
      </c>
      <c r="B361" s="58" t="s">
        <v>334</v>
      </c>
      <c r="C361" s="58">
        <v>42.460999999999999</v>
      </c>
      <c r="D361" s="58">
        <v>42.564999999999998</v>
      </c>
      <c r="E361" s="58" t="s">
        <v>334</v>
      </c>
      <c r="F361" s="58">
        <v>42.478999999999999</v>
      </c>
      <c r="G361" s="58">
        <v>42.780999999999999</v>
      </c>
      <c r="H361" s="58" t="s">
        <v>334</v>
      </c>
      <c r="I361" s="58">
        <v>41.908000000000001</v>
      </c>
      <c r="J361" s="58">
        <v>41.677999999999997</v>
      </c>
      <c r="K361" s="58" t="s">
        <v>334</v>
      </c>
      <c r="L361" s="58">
        <v>41.128</v>
      </c>
      <c r="M361" s="59">
        <v>41.058999999999997</v>
      </c>
      <c r="N361" s="58"/>
    </row>
    <row r="362" spans="1:14" ht="18" customHeight="1">
      <c r="A362" s="57">
        <v>15</v>
      </c>
      <c r="B362" s="58" t="s">
        <v>334</v>
      </c>
      <c r="C362" s="58">
        <v>42.643000000000001</v>
      </c>
      <c r="D362" s="58">
        <v>42.734000000000002</v>
      </c>
      <c r="E362" s="58" t="s">
        <v>334</v>
      </c>
      <c r="F362" s="58">
        <v>42.627000000000002</v>
      </c>
      <c r="G362" s="58">
        <v>42.57</v>
      </c>
      <c r="H362" s="58" t="s">
        <v>334</v>
      </c>
      <c r="I362" s="58">
        <v>41.94</v>
      </c>
      <c r="J362" s="58" t="s">
        <v>334</v>
      </c>
      <c r="K362" s="58">
        <v>41.475999999999999</v>
      </c>
      <c r="L362" s="58">
        <v>41.112000000000002</v>
      </c>
      <c r="M362" s="59" t="s">
        <v>334</v>
      </c>
      <c r="N362" s="58"/>
    </row>
    <row r="363" spans="1:14" ht="18" customHeight="1">
      <c r="A363" s="57">
        <v>16</v>
      </c>
      <c r="B363" s="58">
        <v>43.813000000000002</v>
      </c>
      <c r="C363" s="58">
        <v>42.734000000000002</v>
      </c>
      <c r="D363" s="58">
        <v>43.061</v>
      </c>
      <c r="E363" s="58">
        <v>42.67</v>
      </c>
      <c r="F363" s="58">
        <v>42.747999999999998</v>
      </c>
      <c r="G363" s="58" t="s">
        <v>334</v>
      </c>
      <c r="H363" s="58">
        <v>42.070999999999998</v>
      </c>
      <c r="I363" s="58">
        <v>42.134</v>
      </c>
      <c r="J363" s="58" t="s">
        <v>334</v>
      </c>
      <c r="K363" s="58">
        <v>41.496000000000002</v>
      </c>
      <c r="L363" s="58">
        <v>41.207000000000001</v>
      </c>
      <c r="M363" s="59" t="s">
        <v>334</v>
      </c>
      <c r="N363" s="58"/>
    </row>
    <row r="364" spans="1:14" ht="18" customHeight="1">
      <c r="A364" s="57">
        <v>17</v>
      </c>
      <c r="B364" s="58">
        <v>43.918999999999997</v>
      </c>
      <c r="C364" s="58">
        <v>42.841000000000001</v>
      </c>
      <c r="D364" s="58" t="s">
        <v>334</v>
      </c>
      <c r="E364" s="58">
        <v>42.753</v>
      </c>
      <c r="F364" s="58">
        <v>42.918999999999997</v>
      </c>
      <c r="G364" s="58" t="s">
        <v>334</v>
      </c>
      <c r="H364" s="58">
        <v>41.893000000000001</v>
      </c>
      <c r="I364" s="58">
        <v>42.317999999999998</v>
      </c>
      <c r="J364" s="58">
        <v>41.475999999999999</v>
      </c>
      <c r="K364" s="58">
        <v>41.378</v>
      </c>
      <c r="L364" s="58" t="s">
        <v>334</v>
      </c>
      <c r="M364" s="59">
        <v>41.134999999999998</v>
      </c>
      <c r="N364" s="58"/>
    </row>
    <row r="365" spans="1:14" ht="18" customHeight="1">
      <c r="A365" s="57">
        <v>18</v>
      </c>
      <c r="B365" s="58">
        <v>43.686</v>
      </c>
      <c r="C365" s="58" t="s">
        <v>334</v>
      </c>
      <c r="D365" s="58" t="s">
        <v>334</v>
      </c>
      <c r="E365" s="58">
        <v>42.707999999999998</v>
      </c>
      <c r="F365" s="58">
        <v>42.912999999999997</v>
      </c>
      <c r="G365" s="58">
        <v>42.344000000000001</v>
      </c>
      <c r="H365" s="58">
        <v>41.732999999999997</v>
      </c>
      <c r="I365" s="58" t="s">
        <v>334</v>
      </c>
      <c r="J365" s="58">
        <v>41.454000000000001</v>
      </c>
      <c r="K365" s="58">
        <v>41.21</v>
      </c>
      <c r="L365" s="58" t="s">
        <v>334</v>
      </c>
      <c r="M365" s="59">
        <v>41.04</v>
      </c>
      <c r="N365" s="58"/>
    </row>
    <row r="366" spans="1:14" ht="18" customHeight="1">
      <c r="A366" s="57">
        <v>19</v>
      </c>
      <c r="B366" s="58">
        <v>43.509</v>
      </c>
      <c r="C366" s="58" t="s">
        <v>334</v>
      </c>
      <c r="D366" s="58">
        <v>42.927</v>
      </c>
      <c r="E366" s="58">
        <v>42.631999999999998</v>
      </c>
      <c r="F366" s="58" t="s">
        <v>334</v>
      </c>
      <c r="G366" s="58">
        <v>42.161000000000001</v>
      </c>
      <c r="H366" s="58">
        <v>41.63</v>
      </c>
      <c r="I366" s="58" t="s">
        <v>334</v>
      </c>
      <c r="J366" s="58">
        <v>41.723999999999997</v>
      </c>
      <c r="K366" s="58">
        <v>41.27</v>
      </c>
      <c r="L366" s="58">
        <v>41.317999999999998</v>
      </c>
      <c r="M366" s="59">
        <v>41.045999999999999</v>
      </c>
      <c r="N366" s="58"/>
    </row>
    <row r="367" spans="1:14" ht="18" customHeight="1">
      <c r="A367" s="57">
        <v>20</v>
      </c>
      <c r="B367" s="58">
        <v>43.338999999999999</v>
      </c>
      <c r="C367" s="58">
        <v>42.655000000000001</v>
      </c>
      <c r="D367" s="58">
        <v>42.936</v>
      </c>
      <c r="E367" s="58">
        <v>42.649000000000001</v>
      </c>
      <c r="F367" s="58" t="s">
        <v>334</v>
      </c>
      <c r="G367" s="58">
        <v>42.311</v>
      </c>
      <c r="H367" s="58">
        <v>41.674999999999997</v>
      </c>
      <c r="I367" s="58" t="s">
        <v>334</v>
      </c>
      <c r="J367" s="58">
        <v>41.65</v>
      </c>
      <c r="K367" s="58" t="s">
        <v>334</v>
      </c>
      <c r="L367" s="58">
        <v>41.238999999999997</v>
      </c>
      <c r="M367" s="59">
        <v>41.058999999999997</v>
      </c>
      <c r="N367" s="58"/>
    </row>
    <row r="368" spans="1:14" ht="18" customHeight="1">
      <c r="A368" s="57">
        <v>21</v>
      </c>
      <c r="B368" s="58" t="s">
        <v>334</v>
      </c>
      <c r="C368" s="58">
        <v>42.497999999999998</v>
      </c>
      <c r="D368" s="58">
        <v>42.924999999999997</v>
      </c>
      <c r="E368" s="58" t="s">
        <v>334</v>
      </c>
      <c r="F368" s="58">
        <v>43.180999999999997</v>
      </c>
      <c r="G368" s="58">
        <v>42.137</v>
      </c>
      <c r="H368" s="58" t="s">
        <v>334</v>
      </c>
      <c r="I368" s="58" t="s">
        <v>334</v>
      </c>
      <c r="J368" s="58">
        <v>41.677</v>
      </c>
      <c r="K368" s="58" t="s">
        <v>334</v>
      </c>
      <c r="L368" s="58">
        <v>41.148000000000003</v>
      </c>
      <c r="M368" s="59">
        <v>41.058</v>
      </c>
      <c r="N368" s="58"/>
    </row>
    <row r="369" spans="1:15" ht="18" customHeight="1">
      <c r="A369" s="57">
        <v>22</v>
      </c>
      <c r="B369" s="58" t="s">
        <v>334</v>
      </c>
      <c r="C369" s="58">
        <v>42.631</v>
      </c>
      <c r="D369" s="58">
        <v>43.024999999999999</v>
      </c>
      <c r="E369" s="58" t="s">
        <v>334</v>
      </c>
      <c r="F369" s="58">
        <v>43.154000000000003</v>
      </c>
      <c r="G369" s="58">
        <v>42.264000000000003</v>
      </c>
      <c r="H369" s="58" t="s">
        <v>334</v>
      </c>
      <c r="I369" s="58">
        <v>42.317999999999998</v>
      </c>
      <c r="J369" s="58" t="s">
        <v>334</v>
      </c>
      <c r="K369" s="58">
        <v>41.395000000000003</v>
      </c>
      <c r="L369" s="58">
        <v>41.164999999999999</v>
      </c>
      <c r="M369" s="59" t="s">
        <v>334</v>
      </c>
      <c r="N369" s="58"/>
    </row>
    <row r="370" spans="1:15" ht="18" customHeight="1">
      <c r="A370" s="57">
        <v>23</v>
      </c>
      <c r="B370" s="58" t="s">
        <v>334</v>
      </c>
      <c r="C370" s="58">
        <v>42.771999999999998</v>
      </c>
      <c r="D370" s="58">
        <v>43.048999999999999</v>
      </c>
      <c r="E370" s="58">
        <v>42.679000000000002</v>
      </c>
      <c r="F370" s="58">
        <v>43.122999999999998</v>
      </c>
      <c r="G370" s="58" t="s">
        <v>334</v>
      </c>
      <c r="H370" s="58">
        <v>41.844999999999999</v>
      </c>
      <c r="I370" s="58">
        <v>42.341999999999999</v>
      </c>
      <c r="J370" s="58" t="s">
        <v>334</v>
      </c>
      <c r="K370" s="58">
        <v>41.408999999999999</v>
      </c>
      <c r="L370" s="58">
        <v>41.085000000000001</v>
      </c>
      <c r="M370" s="59" t="s">
        <v>334</v>
      </c>
      <c r="N370" s="58"/>
    </row>
    <row r="371" spans="1:15" ht="18" customHeight="1">
      <c r="A371" s="57">
        <v>24</v>
      </c>
      <c r="B371" s="58">
        <v>43.298999999999999</v>
      </c>
      <c r="C371" s="58">
        <v>42.768000000000001</v>
      </c>
      <c r="D371" s="58" t="s">
        <v>334</v>
      </c>
      <c r="E371" s="58">
        <v>42.616</v>
      </c>
      <c r="F371" s="58">
        <v>43.341999999999999</v>
      </c>
      <c r="G371" s="58" t="s">
        <v>334</v>
      </c>
      <c r="H371" s="58">
        <v>42.026000000000003</v>
      </c>
      <c r="I371" s="58">
        <v>42.164000000000001</v>
      </c>
      <c r="J371" s="58">
        <v>41.698999999999998</v>
      </c>
      <c r="K371" s="58">
        <v>41.308999999999997</v>
      </c>
      <c r="L371" s="58" t="s">
        <v>334</v>
      </c>
      <c r="M371" s="59" t="s">
        <v>334</v>
      </c>
      <c r="N371" s="58"/>
    </row>
    <row r="372" spans="1:15" ht="18" customHeight="1">
      <c r="A372" s="57">
        <v>25</v>
      </c>
      <c r="B372" s="58">
        <v>43.186</v>
      </c>
      <c r="C372" s="58" t="s">
        <v>334</v>
      </c>
      <c r="D372" s="58" t="s">
        <v>334</v>
      </c>
      <c r="E372" s="58">
        <v>42.718000000000004</v>
      </c>
      <c r="F372" s="58">
        <v>43.576000000000001</v>
      </c>
      <c r="G372" s="58">
        <v>42.491999999999997</v>
      </c>
      <c r="H372" s="58">
        <v>42.036999999999999</v>
      </c>
      <c r="I372" s="58" t="s">
        <v>334</v>
      </c>
      <c r="J372" s="58">
        <v>41.741</v>
      </c>
      <c r="K372" s="58">
        <v>41.375999999999998</v>
      </c>
      <c r="L372" s="58" t="s">
        <v>334</v>
      </c>
      <c r="M372" s="59" t="s">
        <v>334</v>
      </c>
      <c r="N372" s="58"/>
    </row>
    <row r="373" spans="1:15" ht="18" customHeight="1">
      <c r="A373" s="57">
        <v>26</v>
      </c>
      <c r="B373" s="58">
        <v>43.084000000000003</v>
      </c>
      <c r="C373" s="58" t="s">
        <v>334</v>
      </c>
      <c r="D373" s="58">
        <v>43.05</v>
      </c>
      <c r="E373" s="58">
        <v>42.66</v>
      </c>
      <c r="F373" s="58" t="s">
        <v>334</v>
      </c>
      <c r="G373" s="58">
        <v>42.616999999999997</v>
      </c>
      <c r="H373" s="58">
        <v>42.143000000000001</v>
      </c>
      <c r="I373" s="58" t="s">
        <v>334</v>
      </c>
      <c r="J373" s="58">
        <v>41.731000000000002</v>
      </c>
      <c r="K373" s="58" t="s">
        <v>334</v>
      </c>
      <c r="L373" s="58">
        <v>41.064</v>
      </c>
      <c r="M373" s="59">
        <v>41.133000000000003</v>
      </c>
      <c r="N373" s="58"/>
    </row>
    <row r="374" spans="1:15" ht="18" customHeight="1">
      <c r="A374" s="57">
        <v>27</v>
      </c>
      <c r="B374" s="58">
        <v>42.872</v>
      </c>
      <c r="C374" s="58">
        <v>42.715000000000003</v>
      </c>
      <c r="D374" s="58">
        <v>42.975999999999999</v>
      </c>
      <c r="E374" s="58">
        <v>42.593000000000004</v>
      </c>
      <c r="F374" s="58" t="s">
        <v>334</v>
      </c>
      <c r="G374" s="58">
        <v>42.503</v>
      </c>
      <c r="H374" s="58">
        <v>42.094000000000001</v>
      </c>
      <c r="I374" s="58" t="s">
        <v>334</v>
      </c>
      <c r="J374" s="58">
        <v>41.886000000000003</v>
      </c>
      <c r="K374" s="58" t="s">
        <v>334</v>
      </c>
      <c r="L374" s="58">
        <v>41.01</v>
      </c>
      <c r="M374" s="59">
        <v>41.155999999999999</v>
      </c>
      <c r="N374" s="58"/>
    </row>
    <row r="375" spans="1:15" ht="18" customHeight="1">
      <c r="A375" s="57">
        <v>28</v>
      </c>
      <c r="B375" s="58" t="s">
        <v>334</v>
      </c>
      <c r="C375" s="58">
        <v>43.037999999999997</v>
      </c>
      <c r="D375" s="58">
        <v>42.942</v>
      </c>
      <c r="E375" s="58" t="s">
        <v>334</v>
      </c>
      <c r="F375" s="58">
        <v>43.795999999999999</v>
      </c>
      <c r="G375" s="58">
        <v>42.366999999999997</v>
      </c>
      <c r="H375" s="58" t="s">
        <v>334</v>
      </c>
      <c r="I375" s="58">
        <v>42.161999999999999</v>
      </c>
      <c r="J375" s="58">
        <v>41.88</v>
      </c>
      <c r="K375" s="58" t="s">
        <v>334</v>
      </c>
      <c r="L375" s="58">
        <v>40.911000000000001</v>
      </c>
      <c r="M375" s="59">
        <v>41.192</v>
      </c>
      <c r="N375" s="58"/>
    </row>
    <row r="376" spans="1:15" ht="18" customHeight="1">
      <c r="A376" s="57">
        <v>29</v>
      </c>
      <c r="B376" s="58" t="s">
        <v>334</v>
      </c>
      <c r="C376" s="58">
        <v>42.863999999999997</v>
      </c>
      <c r="D376" s="58">
        <v>42.926000000000002</v>
      </c>
      <c r="E376" s="58" t="s">
        <v>334</v>
      </c>
      <c r="F376" s="58">
        <v>43.552999999999997</v>
      </c>
      <c r="G376" s="58">
        <v>42.283000000000001</v>
      </c>
      <c r="H376" s="58" t="s">
        <v>334</v>
      </c>
      <c r="I376" s="58">
        <v>42.308999999999997</v>
      </c>
      <c r="J376" s="58" t="s">
        <v>334</v>
      </c>
      <c r="K376" s="58">
        <v>41.3</v>
      </c>
      <c r="L376" s="58">
        <v>40.883000000000003</v>
      </c>
      <c r="M376" s="59" t="s">
        <v>334</v>
      </c>
      <c r="N376" s="58"/>
    </row>
    <row r="377" spans="1:15" ht="18" customHeight="1">
      <c r="A377" s="57">
        <v>30</v>
      </c>
      <c r="B377" s="58">
        <v>42.859000000000002</v>
      </c>
      <c r="C377" s="58" t="s">
        <v>335</v>
      </c>
      <c r="D377" s="58">
        <v>43</v>
      </c>
      <c r="E377" s="58">
        <v>42.436</v>
      </c>
      <c r="F377" s="58">
        <v>43.494</v>
      </c>
      <c r="G377" s="58" t="s">
        <v>334</v>
      </c>
      <c r="H377" s="58">
        <v>41.933999999999997</v>
      </c>
      <c r="I377" s="58">
        <v>42.351999999999997</v>
      </c>
      <c r="J377" s="58" t="s">
        <v>334</v>
      </c>
      <c r="K377" s="58">
        <v>41.225999999999999</v>
      </c>
      <c r="L377" s="58" t="s">
        <v>334</v>
      </c>
      <c r="M377" s="59" t="s">
        <v>334</v>
      </c>
      <c r="N377" s="58"/>
    </row>
    <row r="378" spans="1:15" ht="18" customHeight="1">
      <c r="A378" s="57">
        <v>31</v>
      </c>
      <c r="B378" s="58">
        <v>42.945999999999998</v>
      </c>
      <c r="C378" s="58" t="s">
        <v>335</v>
      </c>
      <c r="D378" s="58" t="s">
        <v>334</v>
      </c>
      <c r="E378" s="58" t="s">
        <v>335</v>
      </c>
      <c r="F378" s="58">
        <v>43.451000000000001</v>
      </c>
      <c r="G378" s="58" t="s">
        <v>335</v>
      </c>
      <c r="H378" s="58">
        <v>41.906999999999996</v>
      </c>
      <c r="I378" s="58">
        <v>42.314999999999998</v>
      </c>
      <c r="J378" s="58" t="s">
        <v>335</v>
      </c>
      <c r="K378" s="58">
        <v>41.262999999999998</v>
      </c>
      <c r="L378" s="58" t="s">
        <v>335</v>
      </c>
      <c r="M378" s="59" t="s">
        <v>334</v>
      </c>
      <c r="N378" s="58"/>
    </row>
    <row r="379" spans="1:15" ht="18" customHeight="1" thickBot="1">
      <c r="A379" s="66"/>
      <c r="B379" s="67"/>
      <c r="C379" s="67"/>
      <c r="D379" s="67"/>
      <c r="E379" s="67"/>
      <c r="F379" s="67"/>
      <c r="G379" s="67"/>
      <c r="H379" s="67"/>
      <c r="I379" s="67"/>
      <c r="J379" s="67"/>
      <c r="K379" s="69"/>
      <c r="L379" s="67"/>
      <c r="M379" s="68"/>
      <c r="N379" s="58"/>
    </row>
    <row r="380" spans="1:15" ht="18" customHeight="1">
      <c r="A380" s="605">
        <v>2011</v>
      </c>
      <c r="B380" s="616"/>
      <c r="C380" s="616"/>
      <c r="D380" s="616"/>
      <c r="E380" s="616"/>
      <c r="F380" s="616"/>
      <c r="G380" s="616"/>
      <c r="H380" s="616"/>
      <c r="I380" s="616"/>
      <c r="J380" s="616"/>
      <c r="K380" s="616"/>
      <c r="L380" s="616"/>
      <c r="M380" s="617"/>
      <c r="N380" s="52"/>
    </row>
    <row r="381" spans="1:15" ht="18" customHeight="1" thickBot="1">
      <c r="A381" s="51" t="s">
        <v>322</v>
      </c>
      <c r="B381" s="52" t="s">
        <v>323</v>
      </c>
      <c r="C381" s="52" t="s">
        <v>324</v>
      </c>
      <c r="D381" s="52" t="s">
        <v>325</v>
      </c>
      <c r="E381" s="52" t="s">
        <v>326</v>
      </c>
      <c r="F381" s="52" t="s">
        <v>236</v>
      </c>
      <c r="G381" s="52" t="s">
        <v>327</v>
      </c>
      <c r="H381" s="52" t="s">
        <v>328</v>
      </c>
      <c r="I381" s="52" t="s">
        <v>329</v>
      </c>
      <c r="J381" s="52" t="s">
        <v>330</v>
      </c>
      <c r="K381" s="52" t="s">
        <v>331</v>
      </c>
      <c r="L381" s="52" t="s">
        <v>332</v>
      </c>
      <c r="M381" s="53" t="s">
        <v>333</v>
      </c>
      <c r="N381" s="52"/>
    </row>
    <row r="382" spans="1:15" ht="18" customHeight="1">
      <c r="A382" s="54">
        <v>1</v>
      </c>
      <c r="B382" s="55" t="s">
        <v>334</v>
      </c>
      <c r="C382" s="55">
        <v>44.311</v>
      </c>
      <c r="D382" s="55">
        <v>43.683999999999997</v>
      </c>
      <c r="E382" s="55">
        <v>43.408000000000001</v>
      </c>
      <c r="F382" s="55" t="s">
        <v>334</v>
      </c>
      <c r="G382" s="55">
        <v>43.244999999999997</v>
      </c>
      <c r="H382" s="55">
        <v>43.363999999999997</v>
      </c>
      <c r="I382" s="55">
        <v>42.192</v>
      </c>
      <c r="J382" s="55">
        <v>42.344000000000001</v>
      </c>
      <c r="K382" s="55" t="s">
        <v>334</v>
      </c>
      <c r="L382" s="70" t="s">
        <v>334</v>
      </c>
      <c r="M382" s="71">
        <v>43.63</v>
      </c>
      <c r="N382" s="83">
        <v>2011</v>
      </c>
      <c r="O382" s="47">
        <f>AVERAGE(B382:M412)</f>
        <v>43.311660000000032</v>
      </c>
    </row>
    <row r="383" spans="1:15" ht="18" customHeight="1">
      <c r="A383" s="57">
        <v>2</v>
      </c>
      <c r="B383" s="58" t="s">
        <v>334</v>
      </c>
      <c r="C383" s="58">
        <v>44.213000000000001</v>
      </c>
      <c r="D383" s="58">
        <v>43.47</v>
      </c>
      <c r="E383" s="58" t="s">
        <v>334</v>
      </c>
      <c r="F383" s="58">
        <v>42.863</v>
      </c>
      <c r="G383" s="58">
        <v>43.194000000000003</v>
      </c>
      <c r="H383" s="58" t="s">
        <v>334</v>
      </c>
      <c r="I383" s="58">
        <v>41.954999999999998</v>
      </c>
      <c r="J383" s="58">
        <v>42.215000000000003</v>
      </c>
      <c r="K383" s="58" t="s">
        <v>334</v>
      </c>
      <c r="L383" s="72">
        <v>42.607999999999997</v>
      </c>
      <c r="M383" s="73">
        <v>43.317999999999998</v>
      </c>
      <c r="N383" s="58"/>
    </row>
    <row r="384" spans="1:15" ht="18" customHeight="1">
      <c r="A384" s="57">
        <v>3</v>
      </c>
      <c r="B384" s="58">
        <v>43.811</v>
      </c>
      <c r="C384" s="58">
        <v>44.015999999999998</v>
      </c>
      <c r="D384" s="58">
        <v>43.567999999999998</v>
      </c>
      <c r="E384" s="58" t="s">
        <v>334</v>
      </c>
      <c r="F384" s="58">
        <v>42.69</v>
      </c>
      <c r="G384" s="58">
        <v>43.198999999999998</v>
      </c>
      <c r="H384" s="58" t="s">
        <v>334</v>
      </c>
      <c r="I384" s="58">
        <v>42.067</v>
      </c>
      <c r="J384" s="58" t="s">
        <v>334</v>
      </c>
      <c r="K384" s="58">
        <v>43.798999999999999</v>
      </c>
      <c r="L384" s="72">
        <v>42.847000000000001</v>
      </c>
      <c r="M384" s="73" t="s">
        <v>334</v>
      </c>
      <c r="N384" s="58"/>
    </row>
    <row r="385" spans="1:14" ht="18" customHeight="1">
      <c r="A385" s="57">
        <v>4</v>
      </c>
      <c r="B385" s="58">
        <v>43.767000000000003</v>
      </c>
      <c r="C385" s="58">
        <v>43.936</v>
      </c>
      <c r="D385" s="58">
        <v>43.374000000000002</v>
      </c>
      <c r="E385" s="58">
        <v>43.445</v>
      </c>
      <c r="F385" s="58">
        <v>42.808</v>
      </c>
      <c r="G385" s="58" t="s">
        <v>334</v>
      </c>
      <c r="H385" s="58">
        <v>43.225999999999999</v>
      </c>
      <c r="I385" s="58">
        <v>42.32</v>
      </c>
      <c r="J385" s="58" t="s">
        <v>334</v>
      </c>
      <c r="K385" s="58">
        <v>43.960999999999999</v>
      </c>
      <c r="L385" s="58">
        <v>42.975999999999999</v>
      </c>
      <c r="M385" s="59" t="s">
        <v>334</v>
      </c>
      <c r="N385" s="58"/>
    </row>
    <row r="386" spans="1:14" ht="18" customHeight="1">
      <c r="A386" s="57">
        <v>5</v>
      </c>
      <c r="B386" s="58">
        <v>43.704999999999998</v>
      </c>
      <c r="C386" s="58" t="s">
        <v>334</v>
      </c>
      <c r="D386" s="58" t="s">
        <v>334</v>
      </c>
      <c r="E386" s="58">
        <v>43.32</v>
      </c>
      <c r="F386" s="58">
        <v>42.963000000000001</v>
      </c>
      <c r="G386" s="58" t="s">
        <v>334</v>
      </c>
      <c r="H386" s="58">
        <v>43.064</v>
      </c>
      <c r="I386" s="58">
        <v>42.268999999999998</v>
      </c>
      <c r="J386" s="58">
        <v>42.2</v>
      </c>
      <c r="K386" s="58">
        <v>44.103000000000002</v>
      </c>
      <c r="L386" s="58" t="s">
        <v>334</v>
      </c>
      <c r="M386" s="59">
        <v>43.256</v>
      </c>
      <c r="N386" s="58"/>
    </row>
    <row r="387" spans="1:14" ht="18" customHeight="1">
      <c r="A387" s="57">
        <v>6</v>
      </c>
      <c r="B387" s="58">
        <v>43.773000000000003</v>
      </c>
      <c r="C387" s="58" t="s">
        <v>334</v>
      </c>
      <c r="D387" s="58" t="s">
        <v>334</v>
      </c>
      <c r="E387" s="58">
        <v>43.381</v>
      </c>
      <c r="F387" s="58">
        <v>42.933</v>
      </c>
      <c r="G387" s="58">
        <v>43.207999999999998</v>
      </c>
      <c r="H387" s="58">
        <v>43.093000000000004</v>
      </c>
      <c r="I387" s="58" t="s">
        <v>334</v>
      </c>
      <c r="J387" s="58">
        <v>42.225999999999999</v>
      </c>
      <c r="K387" s="58">
        <v>43.954999999999998</v>
      </c>
      <c r="L387" s="58" t="s">
        <v>334</v>
      </c>
      <c r="M387" s="59">
        <v>43.301000000000002</v>
      </c>
      <c r="N387" s="58"/>
    </row>
    <row r="388" spans="1:14" ht="18" customHeight="1">
      <c r="A388" s="57">
        <v>7</v>
      </c>
      <c r="B388" s="58">
        <v>43.865000000000002</v>
      </c>
      <c r="C388" s="58">
        <v>43.792999999999999</v>
      </c>
      <c r="D388" s="58">
        <v>43.3</v>
      </c>
      <c r="E388" s="58">
        <v>43.215000000000003</v>
      </c>
      <c r="F388" s="58" t="s">
        <v>334</v>
      </c>
      <c r="G388" s="58">
        <v>43.161999999999999</v>
      </c>
      <c r="H388" s="58">
        <v>42.889000000000003</v>
      </c>
      <c r="I388" s="58" t="s">
        <v>334</v>
      </c>
      <c r="J388" s="58">
        <v>42.286000000000001</v>
      </c>
      <c r="K388" s="58">
        <v>43.722999999999999</v>
      </c>
      <c r="L388" s="58" t="s">
        <v>334</v>
      </c>
      <c r="M388" s="59">
        <v>43.389000000000003</v>
      </c>
      <c r="N388" s="58"/>
    </row>
    <row r="389" spans="1:14" ht="18" customHeight="1">
      <c r="A389" s="57">
        <v>8</v>
      </c>
      <c r="B389" s="58" t="s">
        <v>334</v>
      </c>
      <c r="C389" s="58">
        <v>43.661000000000001</v>
      </c>
      <c r="D389" s="58">
        <v>43.341999999999999</v>
      </c>
      <c r="E389" s="58">
        <v>43.112000000000002</v>
      </c>
      <c r="F389" s="58" t="s">
        <v>334</v>
      </c>
      <c r="G389" s="58">
        <v>43.234999999999999</v>
      </c>
      <c r="H389" s="58">
        <v>42.832000000000001</v>
      </c>
      <c r="I389" s="58">
        <v>42.610999999999997</v>
      </c>
      <c r="J389" s="58">
        <v>42.271999999999998</v>
      </c>
      <c r="K389" s="58" t="s">
        <v>334</v>
      </c>
      <c r="L389" s="58">
        <v>42.957000000000001</v>
      </c>
      <c r="M389" s="59">
        <v>43.32</v>
      </c>
      <c r="N389" s="58"/>
    </row>
    <row r="390" spans="1:14" ht="18" customHeight="1">
      <c r="A390" s="57">
        <v>9</v>
      </c>
      <c r="B390" s="58" t="s">
        <v>334</v>
      </c>
      <c r="C390" s="58">
        <v>43.470999999999997</v>
      </c>
      <c r="D390" s="58">
        <v>43.38</v>
      </c>
      <c r="E390" s="58" t="s">
        <v>334</v>
      </c>
      <c r="F390" s="58">
        <v>43.1</v>
      </c>
      <c r="G390" s="58">
        <v>43.209000000000003</v>
      </c>
      <c r="H390" s="58" t="s">
        <v>334</v>
      </c>
      <c r="I390" s="58">
        <v>42.534999999999997</v>
      </c>
      <c r="J390" s="58">
        <v>42.326999999999998</v>
      </c>
      <c r="K390" s="58" t="s">
        <v>334</v>
      </c>
      <c r="L390" s="58">
        <v>43.052</v>
      </c>
      <c r="M390" s="59">
        <v>43.311999999999998</v>
      </c>
      <c r="N390" s="58"/>
    </row>
    <row r="391" spans="1:14" ht="18" customHeight="1">
      <c r="A391" s="57">
        <v>10</v>
      </c>
      <c r="B391" s="58">
        <v>44.101999999999997</v>
      </c>
      <c r="C391" s="58">
        <v>43.433</v>
      </c>
      <c r="D391" s="58">
        <v>43.41</v>
      </c>
      <c r="E391" s="58" t="s">
        <v>334</v>
      </c>
      <c r="F391" s="58">
        <v>42.948999999999998</v>
      </c>
      <c r="G391" s="58">
        <v>43.268999999999998</v>
      </c>
      <c r="H391" s="58" t="s">
        <v>334</v>
      </c>
      <c r="I391" s="58">
        <v>42.628999999999998</v>
      </c>
      <c r="J391" s="58" t="s">
        <v>334</v>
      </c>
      <c r="K391" s="58">
        <v>43.552</v>
      </c>
      <c r="L391" s="58">
        <v>43.01</v>
      </c>
      <c r="M391" s="59" t="s">
        <v>334</v>
      </c>
      <c r="N391" s="58"/>
    </row>
    <row r="392" spans="1:14" ht="18" customHeight="1">
      <c r="A392" s="57">
        <v>11</v>
      </c>
      <c r="B392" s="58">
        <v>44.204000000000001</v>
      </c>
      <c r="C392" s="58">
        <v>43.668999999999997</v>
      </c>
      <c r="D392" s="58">
        <v>43.427</v>
      </c>
      <c r="E392" s="58">
        <v>43.024999999999999</v>
      </c>
      <c r="F392" s="58">
        <v>42.978000000000002</v>
      </c>
      <c r="G392" s="58" t="s">
        <v>334</v>
      </c>
      <c r="H392" s="58">
        <v>42.76</v>
      </c>
      <c r="I392" s="58">
        <v>42.472999999999999</v>
      </c>
      <c r="J392" s="58" t="s">
        <v>334</v>
      </c>
      <c r="K392" s="58">
        <v>43.420999999999999</v>
      </c>
      <c r="L392" s="58">
        <v>43.308999999999997</v>
      </c>
      <c r="M392" s="59" t="s">
        <v>334</v>
      </c>
      <c r="N392" s="58"/>
    </row>
    <row r="393" spans="1:14" ht="18" customHeight="1">
      <c r="A393" s="57">
        <v>12</v>
      </c>
      <c r="B393" s="58">
        <v>44.256</v>
      </c>
      <c r="C393" s="58" t="s">
        <v>334</v>
      </c>
      <c r="D393" s="58" t="s">
        <v>334</v>
      </c>
      <c r="E393" s="58">
        <v>43.061</v>
      </c>
      <c r="F393" s="58">
        <v>42.860999999999997</v>
      </c>
      <c r="G393" s="58" t="s">
        <v>334</v>
      </c>
      <c r="H393" s="58">
        <v>42.884</v>
      </c>
      <c r="I393" s="58">
        <v>42.500999999999998</v>
      </c>
      <c r="J393" s="58">
        <v>42.497999999999998</v>
      </c>
      <c r="K393" s="58">
        <v>43.277999999999999</v>
      </c>
      <c r="L393" s="58" t="s">
        <v>334</v>
      </c>
      <c r="M393" s="59">
        <v>43.488</v>
      </c>
      <c r="N393" s="58"/>
    </row>
    <row r="394" spans="1:14" ht="18" customHeight="1">
      <c r="A394" s="57">
        <v>13</v>
      </c>
      <c r="B394" s="58">
        <v>44.027999999999999</v>
      </c>
      <c r="C394" s="58" t="s">
        <v>334</v>
      </c>
      <c r="D394" s="58" t="s">
        <v>334</v>
      </c>
      <c r="E394" s="58">
        <v>43.237000000000002</v>
      </c>
      <c r="F394" s="58">
        <v>43.018000000000001</v>
      </c>
      <c r="G394" s="58">
        <v>43.271000000000001</v>
      </c>
      <c r="H394" s="58">
        <v>43.128</v>
      </c>
      <c r="I394" s="58" t="s">
        <v>334</v>
      </c>
      <c r="J394" s="58">
        <v>42.731999999999999</v>
      </c>
      <c r="K394" s="58">
        <v>43.534999999999997</v>
      </c>
      <c r="L394" s="58" t="s">
        <v>334</v>
      </c>
      <c r="M394" s="59">
        <v>43.561</v>
      </c>
      <c r="N394" s="58"/>
    </row>
    <row r="395" spans="1:14" ht="18" customHeight="1">
      <c r="A395" s="57">
        <v>14</v>
      </c>
      <c r="B395" s="58">
        <v>44.057000000000002</v>
      </c>
      <c r="C395" s="58">
        <v>43.694000000000003</v>
      </c>
      <c r="D395" s="58">
        <v>43.548999999999999</v>
      </c>
      <c r="E395" s="58">
        <v>43.271999999999998</v>
      </c>
      <c r="F395" s="58" t="s">
        <v>334</v>
      </c>
      <c r="G395" s="58">
        <v>43.366</v>
      </c>
      <c r="H395" s="58">
        <v>43.072000000000003</v>
      </c>
      <c r="I395" s="58" t="s">
        <v>334</v>
      </c>
      <c r="J395" s="58">
        <v>42.816000000000003</v>
      </c>
      <c r="K395" s="58">
        <v>43.298000000000002</v>
      </c>
      <c r="L395" s="58">
        <v>43.302</v>
      </c>
      <c r="M395" s="59">
        <v>43.866</v>
      </c>
      <c r="N395" s="58"/>
    </row>
    <row r="396" spans="1:14" ht="18" customHeight="1">
      <c r="A396" s="57">
        <v>15</v>
      </c>
      <c r="B396" s="58" t="s">
        <v>334</v>
      </c>
      <c r="C396" s="58">
        <v>43.680999999999997</v>
      </c>
      <c r="D396" s="58">
        <v>43.645000000000003</v>
      </c>
      <c r="E396" s="58">
        <v>43.286999999999999</v>
      </c>
      <c r="F396" s="58" t="s">
        <v>334</v>
      </c>
      <c r="G396" s="58">
        <v>43.359000000000002</v>
      </c>
      <c r="H396" s="58">
        <v>42.904000000000003</v>
      </c>
      <c r="I396" s="58">
        <v>42.6</v>
      </c>
      <c r="J396" s="58">
        <v>43.207999999999998</v>
      </c>
      <c r="K396" s="58" t="s">
        <v>334</v>
      </c>
      <c r="L396" s="58">
        <v>43.218000000000004</v>
      </c>
      <c r="M396" s="59">
        <v>44.110999999999997</v>
      </c>
      <c r="N396" s="58"/>
    </row>
    <row r="397" spans="1:14" ht="18" customHeight="1">
      <c r="A397" s="57">
        <v>16</v>
      </c>
      <c r="B397" s="58" t="s">
        <v>334</v>
      </c>
      <c r="C397" s="58">
        <v>43.612000000000002</v>
      </c>
      <c r="D397" s="58">
        <v>43.719000000000001</v>
      </c>
      <c r="E397" s="58" t="s">
        <v>334</v>
      </c>
      <c r="F397" s="58">
        <v>43.186999999999998</v>
      </c>
      <c r="G397" s="58">
        <v>43.381</v>
      </c>
      <c r="H397" s="58" t="s">
        <v>334</v>
      </c>
      <c r="I397" s="58">
        <v>42.453000000000003</v>
      </c>
      <c r="J397" s="58">
        <v>43.311</v>
      </c>
      <c r="K397" s="58" t="s">
        <v>334</v>
      </c>
      <c r="L397" s="58">
        <v>43.368000000000002</v>
      </c>
      <c r="M397" s="59">
        <v>44.238</v>
      </c>
      <c r="N397" s="58"/>
    </row>
    <row r="398" spans="1:14" ht="18" customHeight="1">
      <c r="A398" s="57">
        <v>17</v>
      </c>
      <c r="B398" s="58">
        <v>44.194000000000003</v>
      </c>
      <c r="C398" s="58">
        <v>43.600999999999999</v>
      </c>
      <c r="D398" s="58">
        <v>43.798000000000002</v>
      </c>
      <c r="E398" s="58" t="s">
        <v>334</v>
      </c>
      <c r="F398" s="58">
        <v>43.366</v>
      </c>
      <c r="G398" s="58">
        <v>43.493000000000002</v>
      </c>
      <c r="H398" s="58" t="s">
        <v>334</v>
      </c>
      <c r="I398" s="58">
        <v>42.337000000000003</v>
      </c>
      <c r="J398" s="58" t="s">
        <v>334</v>
      </c>
      <c r="K398" s="58">
        <v>43.436</v>
      </c>
      <c r="L398" s="58">
        <v>43.465000000000003</v>
      </c>
      <c r="M398" s="59" t="s">
        <v>334</v>
      </c>
      <c r="N398" s="58"/>
    </row>
    <row r="399" spans="1:14" ht="18" customHeight="1">
      <c r="A399" s="57">
        <v>18</v>
      </c>
      <c r="B399" s="58">
        <v>44.423000000000002</v>
      </c>
      <c r="C399" s="58">
        <v>43.406999999999996</v>
      </c>
      <c r="D399" s="58">
        <v>43.948</v>
      </c>
      <c r="E399" s="58">
        <v>43.206000000000003</v>
      </c>
      <c r="F399" s="58">
        <v>43.338999999999999</v>
      </c>
      <c r="G399" s="58" t="s">
        <v>334</v>
      </c>
      <c r="H399" s="58">
        <v>42.911999999999999</v>
      </c>
      <c r="I399" s="58">
        <v>42.457000000000001</v>
      </c>
      <c r="J399" s="58" t="s">
        <v>334</v>
      </c>
      <c r="K399" s="58">
        <v>43.194000000000003</v>
      </c>
      <c r="L399" s="58">
        <v>43.448</v>
      </c>
      <c r="M399" s="59" t="s">
        <v>334</v>
      </c>
      <c r="N399" s="58"/>
    </row>
    <row r="400" spans="1:14" ht="18" customHeight="1">
      <c r="A400" s="57">
        <v>19</v>
      </c>
      <c r="B400" s="58">
        <v>44.585000000000001</v>
      </c>
      <c r="C400" s="58" t="s">
        <v>334</v>
      </c>
      <c r="D400" s="58" t="s">
        <v>334</v>
      </c>
      <c r="E400" s="58">
        <v>43.293999999999997</v>
      </c>
      <c r="F400" s="58">
        <v>43.198</v>
      </c>
      <c r="G400" s="58" t="s">
        <v>334</v>
      </c>
      <c r="H400" s="58">
        <v>43.066000000000003</v>
      </c>
      <c r="I400" s="58">
        <v>42.491</v>
      </c>
      <c r="J400" s="58">
        <v>43.325000000000003</v>
      </c>
      <c r="K400" s="58">
        <v>43.192999999999998</v>
      </c>
      <c r="L400" s="58" t="s">
        <v>334</v>
      </c>
      <c r="M400" s="59">
        <v>43.884999999999998</v>
      </c>
      <c r="N400" s="58"/>
    </row>
    <row r="401" spans="1:15" ht="18" customHeight="1">
      <c r="A401" s="57">
        <v>20</v>
      </c>
      <c r="B401" s="58">
        <v>44.372999999999998</v>
      </c>
      <c r="C401" s="58" t="s">
        <v>334</v>
      </c>
      <c r="D401" s="58" t="s">
        <v>334</v>
      </c>
      <c r="E401" s="58">
        <v>43.366</v>
      </c>
      <c r="F401" s="58">
        <v>43.142000000000003</v>
      </c>
      <c r="G401" s="58" t="s">
        <v>334</v>
      </c>
      <c r="H401" s="58">
        <v>42.914999999999999</v>
      </c>
      <c r="I401" s="58" t="s">
        <v>334</v>
      </c>
      <c r="J401" s="58">
        <v>43.427999999999997</v>
      </c>
      <c r="K401" s="58">
        <v>43.188000000000002</v>
      </c>
      <c r="L401" s="58" t="s">
        <v>334</v>
      </c>
      <c r="M401" s="59">
        <v>43.963999999999999</v>
      </c>
      <c r="N401" s="58"/>
    </row>
    <row r="402" spans="1:15" ht="18" customHeight="1">
      <c r="A402" s="57">
        <v>21</v>
      </c>
      <c r="B402" s="58">
        <v>44.463999999999999</v>
      </c>
      <c r="C402" s="58">
        <v>43.357999999999997</v>
      </c>
      <c r="D402" s="58">
        <v>43.737000000000002</v>
      </c>
      <c r="E402" s="58" t="s">
        <v>334</v>
      </c>
      <c r="F402" s="58" t="s">
        <v>334</v>
      </c>
      <c r="G402" s="58">
        <v>43.606000000000002</v>
      </c>
      <c r="H402" s="58">
        <v>42.753999999999998</v>
      </c>
      <c r="I402" s="58" t="s">
        <v>334</v>
      </c>
      <c r="J402" s="58">
        <v>43.624000000000002</v>
      </c>
      <c r="K402" s="58">
        <v>43.264000000000003</v>
      </c>
      <c r="L402" s="58">
        <v>43.386000000000003</v>
      </c>
      <c r="M402" s="59">
        <v>43.945</v>
      </c>
      <c r="N402" s="58"/>
    </row>
    <row r="403" spans="1:15" ht="18" customHeight="1">
      <c r="A403" s="57">
        <v>22</v>
      </c>
      <c r="B403" s="58" t="s">
        <v>334</v>
      </c>
      <c r="C403" s="58">
        <v>43.378999999999998</v>
      </c>
      <c r="D403" s="58">
        <v>43.58</v>
      </c>
      <c r="E403" s="58" t="s">
        <v>334</v>
      </c>
      <c r="F403" s="58" t="s">
        <v>334</v>
      </c>
      <c r="G403" s="58">
        <v>43.555</v>
      </c>
      <c r="H403" s="58">
        <v>42.609000000000002</v>
      </c>
      <c r="I403" s="58">
        <v>42.606999999999999</v>
      </c>
      <c r="J403" s="58">
        <v>43.472000000000001</v>
      </c>
      <c r="K403" s="58" t="s">
        <v>334</v>
      </c>
      <c r="L403" s="58">
        <v>43.381</v>
      </c>
      <c r="M403" s="59">
        <v>43.679000000000002</v>
      </c>
      <c r="N403" s="58"/>
    </row>
    <row r="404" spans="1:15" ht="18" customHeight="1">
      <c r="A404" s="57">
        <v>23</v>
      </c>
      <c r="B404" s="58" t="s">
        <v>334</v>
      </c>
      <c r="C404" s="58">
        <v>43.606999999999999</v>
      </c>
      <c r="D404" s="58">
        <v>43.374000000000002</v>
      </c>
      <c r="E404" s="58" t="s">
        <v>334</v>
      </c>
      <c r="F404" s="58">
        <v>43.133000000000003</v>
      </c>
      <c r="G404" s="58">
        <v>43.383000000000003</v>
      </c>
      <c r="H404" s="58" t="s">
        <v>334</v>
      </c>
      <c r="I404" s="58">
        <v>42.555999999999997</v>
      </c>
      <c r="J404" s="58">
        <v>43.722999999999999</v>
      </c>
      <c r="K404" s="58" t="s">
        <v>334</v>
      </c>
      <c r="L404" s="58">
        <v>43.274000000000001</v>
      </c>
      <c r="M404" s="59">
        <v>43.683999999999997</v>
      </c>
      <c r="N404" s="58"/>
    </row>
    <row r="405" spans="1:15" ht="18" customHeight="1">
      <c r="A405" s="57">
        <v>24</v>
      </c>
      <c r="B405" s="58">
        <v>44.459000000000003</v>
      </c>
      <c r="C405" s="58">
        <v>43.618000000000002</v>
      </c>
      <c r="D405" s="58">
        <v>43.459000000000003</v>
      </c>
      <c r="E405" s="58" t="s">
        <v>334</v>
      </c>
      <c r="F405" s="58">
        <v>43.348999999999997</v>
      </c>
      <c r="G405" s="58">
        <v>43.485999999999997</v>
      </c>
      <c r="H405" s="58" t="s">
        <v>334</v>
      </c>
      <c r="I405" s="58">
        <v>42.368000000000002</v>
      </c>
      <c r="J405" s="58" t="s">
        <v>334</v>
      </c>
      <c r="K405" s="58">
        <v>43.430999999999997</v>
      </c>
      <c r="L405" s="58">
        <v>43.360999999999997</v>
      </c>
      <c r="M405" s="59" t="s">
        <v>334</v>
      </c>
      <c r="N405" s="58"/>
    </row>
    <row r="406" spans="1:15" ht="18" customHeight="1">
      <c r="A406" s="57">
        <v>25</v>
      </c>
      <c r="B406" s="58">
        <v>44.411999999999999</v>
      </c>
      <c r="C406" s="58">
        <v>43.765000000000001</v>
      </c>
      <c r="D406" s="58">
        <v>43.423000000000002</v>
      </c>
      <c r="E406" s="58">
        <v>43.228000000000002</v>
      </c>
      <c r="F406" s="58">
        <v>43.423999999999999</v>
      </c>
      <c r="G406" s="58" t="s">
        <v>334</v>
      </c>
      <c r="H406" s="58">
        <v>42.427999999999997</v>
      </c>
      <c r="I406" s="58">
        <v>42.384</v>
      </c>
      <c r="J406" s="58" t="s">
        <v>334</v>
      </c>
      <c r="K406" s="58">
        <v>43.284999999999997</v>
      </c>
      <c r="L406" s="58">
        <v>43.628999999999998</v>
      </c>
      <c r="M406" s="59" t="s">
        <v>334</v>
      </c>
      <c r="N406" s="58"/>
    </row>
    <row r="407" spans="1:15" ht="18" customHeight="1">
      <c r="A407" s="57">
        <v>26</v>
      </c>
      <c r="B407" s="58">
        <v>44.472999999999999</v>
      </c>
      <c r="C407" s="58" t="s">
        <v>334</v>
      </c>
      <c r="D407" s="58" t="s">
        <v>334</v>
      </c>
      <c r="E407" s="58">
        <v>43.198999999999998</v>
      </c>
      <c r="F407" s="58">
        <v>43.506</v>
      </c>
      <c r="G407" s="58" t="s">
        <v>334</v>
      </c>
      <c r="H407" s="58">
        <v>42.42</v>
      </c>
      <c r="I407" s="58">
        <v>42.527000000000001</v>
      </c>
      <c r="J407" s="58">
        <v>43.843000000000004</v>
      </c>
      <c r="K407" s="58">
        <v>43.167000000000002</v>
      </c>
      <c r="L407" s="58" t="s">
        <v>334</v>
      </c>
      <c r="M407" s="59">
        <v>43.491</v>
      </c>
      <c r="N407" s="58"/>
    </row>
    <row r="408" spans="1:15" ht="18" customHeight="1">
      <c r="A408" s="57">
        <v>27</v>
      </c>
      <c r="B408" s="58">
        <v>44.42</v>
      </c>
      <c r="C408" s="58" t="s">
        <v>334</v>
      </c>
      <c r="D408" s="58" t="s">
        <v>334</v>
      </c>
      <c r="E408" s="58">
        <v>43.287999999999997</v>
      </c>
      <c r="F408" s="58">
        <v>43.436</v>
      </c>
      <c r="G408" s="58">
        <v>43.421999999999997</v>
      </c>
      <c r="H408" s="58">
        <v>42.319000000000003</v>
      </c>
      <c r="I408" s="58" t="s">
        <v>334</v>
      </c>
      <c r="J408" s="58">
        <v>43.781999999999996</v>
      </c>
      <c r="K408" s="58">
        <v>43.216999999999999</v>
      </c>
      <c r="L408" s="58" t="s">
        <v>334</v>
      </c>
      <c r="M408" s="59">
        <v>43.527999999999999</v>
      </c>
      <c r="N408" s="58"/>
    </row>
    <row r="409" spans="1:15" ht="18" customHeight="1">
      <c r="A409" s="57">
        <v>28</v>
      </c>
      <c r="B409" s="58">
        <v>44.156999999999996</v>
      </c>
      <c r="C409" s="58">
        <v>43.837000000000003</v>
      </c>
      <c r="D409" s="58">
        <v>43.332000000000001</v>
      </c>
      <c r="E409" s="58">
        <v>43.201000000000001</v>
      </c>
      <c r="F409" s="58" t="s">
        <v>334</v>
      </c>
      <c r="G409" s="58">
        <v>43.582000000000001</v>
      </c>
      <c r="H409" s="58">
        <v>42.118000000000002</v>
      </c>
      <c r="I409" s="58" t="s">
        <v>334</v>
      </c>
      <c r="J409" s="58">
        <v>43.781999999999996</v>
      </c>
      <c r="K409" s="58">
        <v>43.027999999999999</v>
      </c>
      <c r="L409" s="58">
        <v>43.814999999999998</v>
      </c>
      <c r="M409" s="59">
        <v>43.725999999999999</v>
      </c>
      <c r="N409" s="58"/>
    </row>
    <row r="410" spans="1:15" ht="18" customHeight="1">
      <c r="A410" s="57">
        <v>29</v>
      </c>
      <c r="B410" s="58" t="s">
        <v>334</v>
      </c>
      <c r="C410" s="58" t="s">
        <v>335</v>
      </c>
      <c r="D410" s="58">
        <v>43.387999999999998</v>
      </c>
      <c r="E410" s="58">
        <v>43.018000000000001</v>
      </c>
      <c r="F410" s="58" t="s">
        <v>334</v>
      </c>
      <c r="G410" s="58">
        <v>43.56</v>
      </c>
      <c r="H410" s="58">
        <v>42.226999999999997</v>
      </c>
      <c r="I410" s="58" t="s">
        <v>334</v>
      </c>
      <c r="J410" s="58">
        <v>43.514000000000003</v>
      </c>
      <c r="K410" s="58" t="s">
        <v>334</v>
      </c>
      <c r="L410" s="58">
        <v>43.81</v>
      </c>
      <c r="M410" s="59">
        <v>43.927999999999997</v>
      </c>
      <c r="N410" s="58"/>
    </row>
    <row r="411" spans="1:15" ht="18" customHeight="1">
      <c r="A411" s="57">
        <v>30</v>
      </c>
      <c r="B411" s="58" t="s">
        <v>334</v>
      </c>
      <c r="C411" s="58" t="s">
        <v>335</v>
      </c>
      <c r="D411" s="58">
        <v>43.529000000000003</v>
      </c>
      <c r="E411" s="58" t="s">
        <v>334</v>
      </c>
      <c r="F411" s="58">
        <v>43.341999999999999</v>
      </c>
      <c r="G411" s="58">
        <v>43.494</v>
      </c>
      <c r="H411" s="58" t="s">
        <v>334</v>
      </c>
      <c r="I411" s="58" t="s">
        <v>334</v>
      </c>
      <c r="J411" s="58">
        <v>43.636000000000003</v>
      </c>
      <c r="K411" s="58" t="s">
        <v>334</v>
      </c>
      <c r="L411" s="58" t="s">
        <v>334</v>
      </c>
      <c r="M411" s="59" t="s">
        <v>334</v>
      </c>
      <c r="N411" s="58"/>
    </row>
    <row r="412" spans="1:15" ht="18" customHeight="1">
      <c r="A412" s="57">
        <v>31</v>
      </c>
      <c r="B412" s="58">
        <v>44.088000000000001</v>
      </c>
      <c r="C412" s="58" t="s">
        <v>335</v>
      </c>
      <c r="D412" s="58">
        <v>43.432000000000002</v>
      </c>
      <c r="E412" s="58" t="s">
        <v>335</v>
      </c>
      <c r="F412" s="58">
        <v>43.290999999999997</v>
      </c>
      <c r="G412" s="58" t="s">
        <v>335</v>
      </c>
      <c r="H412" s="58" t="s">
        <v>334</v>
      </c>
      <c r="I412" s="58">
        <v>42.506999999999998</v>
      </c>
      <c r="J412" s="58" t="s">
        <v>335</v>
      </c>
      <c r="K412" s="58" t="s">
        <v>334</v>
      </c>
      <c r="L412" s="58" t="s">
        <v>335</v>
      </c>
      <c r="M412" s="59" t="s">
        <v>334</v>
      </c>
      <c r="N412" s="58"/>
    </row>
    <row r="413" spans="1:15" ht="18" customHeight="1" thickBot="1">
      <c r="A413" s="60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2"/>
      <c r="N413" s="58"/>
    </row>
    <row r="414" spans="1:15" ht="18" customHeight="1">
      <c r="A414" s="618">
        <v>2010</v>
      </c>
      <c r="B414" s="621"/>
      <c r="C414" s="621"/>
      <c r="D414" s="621"/>
      <c r="E414" s="621"/>
      <c r="F414" s="621"/>
      <c r="G414" s="621"/>
      <c r="H414" s="621"/>
      <c r="I414" s="621"/>
      <c r="J414" s="621"/>
      <c r="K414" s="621"/>
      <c r="L414" s="621"/>
      <c r="M414" s="622"/>
      <c r="N414" s="52"/>
    </row>
    <row r="415" spans="1:15" ht="18" customHeight="1" thickBot="1">
      <c r="A415" s="63" t="s">
        <v>322</v>
      </c>
      <c r="B415" s="64" t="s">
        <v>323</v>
      </c>
      <c r="C415" s="64" t="s">
        <v>324</v>
      </c>
      <c r="D415" s="64" t="s">
        <v>325</v>
      </c>
      <c r="E415" s="64" t="s">
        <v>326</v>
      </c>
      <c r="F415" s="64" t="s">
        <v>236</v>
      </c>
      <c r="G415" s="64" t="s">
        <v>327</v>
      </c>
      <c r="H415" s="64" t="s">
        <v>328</v>
      </c>
      <c r="I415" s="64" t="s">
        <v>329</v>
      </c>
      <c r="J415" s="64" t="s">
        <v>330</v>
      </c>
      <c r="K415" s="64" t="s">
        <v>331</v>
      </c>
      <c r="L415" s="64" t="s">
        <v>332</v>
      </c>
      <c r="M415" s="65" t="s">
        <v>333</v>
      </c>
      <c r="N415" s="52"/>
    </row>
    <row r="416" spans="1:15" ht="18" customHeight="1">
      <c r="A416" s="54">
        <v>1</v>
      </c>
      <c r="B416" s="55" t="s">
        <v>334</v>
      </c>
      <c r="C416" s="55">
        <v>46.651000000000003</v>
      </c>
      <c r="D416" s="55">
        <v>46.162999999999997</v>
      </c>
      <c r="E416" s="55" t="s">
        <v>334</v>
      </c>
      <c r="F416" s="55" t="s">
        <v>334</v>
      </c>
      <c r="G416" s="55">
        <v>46.271000000000001</v>
      </c>
      <c r="H416" s="55">
        <v>46.423999999999999</v>
      </c>
      <c r="I416" s="55" t="s">
        <v>334</v>
      </c>
      <c r="J416" s="55">
        <v>45.314</v>
      </c>
      <c r="K416" s="55">
        <v>43.920999999999999</v>
      </c>
      <c r="L416" s="70" t="s">
        <v>334</v>
      </c>
      <c r="M416" s="71">
        <v>44.146000000000001</v>
      </c>
      <c r="N416" s="83">
        <v>2010</v>
      </c>
      <c r="O416" s="47">
        <f>AVERAGE(B416:M446)</f>
        <v>45.131016393442607</v>
      </c>
    </row>
    <row r="417" spans="1:14" ht="18" customHeight="1">
      <c r="A417" s="57">
        <v>2</v>
      </c>
      <c r="B417" s="58" t="s">
        <v>334</v>
      </c>
      <c r="C417" s="58">
        <v>46.61</v>
      </c>
      <c r="D417" s="58">
        <v>46.103999999999999</v>
      </c>
      <c r="E417" s="58" t="s">
        <v>334</v>
      </c>
      <c r="F417" s="58" t="s">
        <v>334</v>
      </c>
      <c r="G417" s="58">
        <v>46.466000000000001</v>
      </c>
      <c r="H417" s="58">
        <v>46.58</v>
      </c>
      <c r="I417" s="58">
        <v>45.557000000000002</v>
      </c>
      <c r="J417" s="58">
        <v>45.14</v>
      </c>
      <c r="K417" s="58" t="s">
        <v>334</v>
      </c>
      <c r="L417" s="72">
        <v>43.063000000000002</v>
      </c>
      <c r="M417" s="73">
        <v>43.826999999999998</v>
      </c>
      <c r="N417" s="58"/>
    </row>
    <row r="418" spans="1:14" ht="18" customHeight="1">
      <c r="A418" s="57">
        <v>3</v>
      </c>
      <c r="B418" s="58" t="s">
        <v>334</v>
      </c>
      <c r="C418" s="58">
        <v>46.481000000000002</v>
      </c>
      <c r="D418" s="58">
        <v>46.097000000000001</v>
      </c>
      <c r="E418" s="58" t="s">
        <v>334</v>
      </c>
      <c r="F418" s="58" t="s">
        <v>334</v>
      </c>
      <c r="G418" s="58">
        <v>46.637</v>
      </c>
      <c r="H418" s="58" t="s">
        <v>334</v>
      </c>
      <c r="I418" s="58">
        <v>45.357999999999997</v>
      </c>
      <c r="J418" s="58">
        <v>44.978999999999999</v>
      </c>
      <c r="K418" s="58" t="s">
        <v>334</v>
      </c>
      <c r="L418" s="72">
        <v>42.84</v>
      </c>
      <c r="M418" s="73">
        <v>43.832000000000001</v>
      </c>
      <c r="N418" s="58"/>
    </row>
    <row r="419" spans="1:14" ht="18" customHeight="1">
      <c r="A419" s="57">
        <v>4</v>
      </c>
      <c r="B419" s="58">
        <v>46.424999999999997</v>
      </c>
      <c r="C419" s="58">
        <v>46.219000000000001</v>
      </c>
      <c r="D419" s="58">
        <v>46.027999999999999</v>
      </c>
      <c r="E419" s="58" t="s">
        <v>334</v>
      </c>
      <c r="F419" s="58">
        <v>44.509</v>
      </c>
      <c r="G419" s="58">
        <v>46.396000000000001</v>
      </c>
      <c r="H419" s="58" t="s">
        <v>334</v>
      </c>
      <c r="I419" s="58">
        <v>45.192999999999998</v>
      </c>
      <c r="J419" s="58" t="s">
        <v>334</v>
      </c>
      <c r="K419" s="58">
        <v>43.887</v>
      </c>
      <c r="L419" s="58">
        <v>42.582000000000001</v>
      </c>
      <c r="M419" s="59" t="s">
        <v>334</v>
      </c>
      <c r="N419" s="58"/>
    </row>
    <row r="420" spans="1:14" ht="18" customHeight="1">
      <c r="A420" s="57">
        <v>5</v>
      </c>
      <c r="B420" s="58">
        <v>46.082000000000001</v>
      </c>
      <c r="C420" s="58">
        <v>46.155000000000001</v>
      </c>
      <c r="D420" s="58">
        <v>46.023000000000003</v>
      </c>
      <c r="E420" s="58">
        <v>45.290999999999997</v>
      </c>
      <c r="F420" s="58">
        <v>44.536999999999999</v>
      </c>
      <c r="G420" s="58" t="s">
        <v>334</v>
      </c>
      <c r="H420" s="58">
        <v>46.412999999999997</v>
      </c>
      <c r="I420" s="58">
        <v>45.164000000000001</v>
      </c>
      <c r="J420" s="58" t="s">
        <v>334</v>
      </c>
      <c r="K420" s="58">
        <v>43.725000000000001</v>
      </c>
      <c r="L420" s="58">
        <v>42.515999999999998</v>
      </c>
      <c r="M420" s="59" t="s">
        <v>334</v>
      </c>
      <c r="N420" s="58"/>
    </row>
    <row r="421" spans="1:14" ht="18" customHeight="1">
      <c r="A421" s="57">
        <v>6</v>
      </c>
      <c r="B421" s="58">
        <v>45.819000000000003</v>
      </c>
      <c r="C421" s="58" t="s">
        <v>334</v>
      </c>
      <c r="D421" s="58" t="s">
        <v>334</v>
      </c>
      <c r="E421" s="58">
        <v>45.042999999999999</v>
      </c>
      <c r="F421" s="58">
        <v>44.976999999999997</v>
      </c>
      <c r="G421" s="58" t="s">
        <v>334</v>
      </c>
      <c r="H421" s="58">
        <v>46.488999999999997</v>
      </c>
      <c r="I421" s="58">
        <v>45.170999999999999</v>
      </c>
      <c r="J421" s="58">
        <v>44.77</v>
      </c>
      <c r="K421" s="58">
        <v>43.781999999999996</v>
      </c>
      <c r="L421" s="58" t="s">
        <v>334</v>
      </c>
      <c r="M421" s="59">
        <v>43.91</v>
      </c>
      <c r="N421" s="58"/>
    </row>
    <row r="422" spans="1:14" ht="18" customHeight="1">
      <c r="A422" s="57">
        <v>7</v>
      </c>
      <c r="B422" s="58">
        <v>45.993000000000002</v>
      </c>
      <c r="C422" s="58" t="s">
        <v>334</v>
      </c>
      <c r="D422" s="58" t="s">
        <v>334</v>
      </c>
      <c r="E422" s="58">
        <v>44.911999999999999</v>
      </c>
      <c r="F422" s="58">
        <v>45.31</v>
      </c>
      <c r="G422" s="58">
        <v>46.42</v>
      </c>
      <c r="H422" s="58">
        <v>46.494999999999997</v>
      </c>
      <c r="I422" s="58" t="s">
        <v>334</v>
      </c>
      <c r="J422" s="58">
        <v>44.438000000000002</v>
      </c>
      <c r="K422" s="58">
        <v>43.542000000000002</v>
      </c>
      <c r="L422" s="58" t="s">
        <v>334</v>
      </c>
      <c r="M422" s="59">
        <v>43.844999999999999</v>
      </c>
      <c r="N422" s="58"/>
    </row>
    <row r="423" spans="1:14" ht="18" customHeight="1">
      <c r="A423" s="57">
        <v>8</v>
      </c>
      <c r="B423" s="58">
        <v>45.866999999999997</v>
      </c>
      <c r="C423" s="58">
        <v>46.49</v>
      </c>
      <c r="D423" s="58">
        <v>46.09</v>
      </c>
      <c r="E423" s="58">
        <v>44.798999999999999</v>
      </c>
      <c r="F423" s="58" t="s">
        <v>334</v>
      </c>
      <c r="G423" s="58">
        <v>46.792000000000002</v>
      </c>
      <c r="H423" s="58">
        <v>46.478000000000002</v>
      </c>
      <c r="I423" s="58" t="s">
        <v>334</v>
      </c>
      <c r="J423" s="58">
        <v>44.42</v>
      </c>
      <c r="K423" s="58">
        <v>43.429000000000002</v>
      </c>
      <c r="L423" s="58">
        <v>42.646999999999998</v>
      </c>
      <c r="M423" s="59">
        <v>43.709000000000003</v>
      </c>
      <c r="N423" s="58"/>
    </row>
    <row r="424" spans="1:14" ht="18" customHeight="1">
      <c r="A424" s="57">
        <v>9</v>
      </c>
      <c r="B424" s="58" t="s">
        <v>334</v>
      </c>
      <c r="C424" s="58">
        <v>46.536000000000001</v>
      </c>
      <c r="D424" s="58">
        <v>45.895000000000003</v>
      </c>
      <c r="E424" s="58" t="s">
        <v>334</v>
      </c>
      <c r="F424" s="58" t="s">
        <v>334</v>
      </c>
      <c r="G424" s="58">
        <v>46.680999999999997</v>
      </c>
      <c r="H424" s="58">
        <v>46.36</v>
      </c>
      <c r="I424" s="58">
        <v>44.9</v>
      </c>
      <c r="J424" s="58">
        <v>44.398000000000003</v>
      </c>
      <c r="K424" s="58" t="s">
        <v>334</v>
      </c>
      <c r="L424" s="58">
        <v>43.029000000000003</v>
      </c>
      <c r="M424" s="59">
        <v>43.645000000000003</v>
      </c>
      <c r="N424" s="58"/>
    </row>
    <row r="425" spans="1:14" ht="18" customHeight="1">
      <c r="A425" s="57">
        <v>10</v>
      </c>
      <c r="B425" s="58" t="s">
        <v>334</v>
      </c>
      <c r="C425" s="58">
        <v>46.584000000000003</v>
      </c>
      <c r="D425" s="58">
        <v>45.82</v>
      </c>
      <c r="E425" s="58" t="s">
        <v>334</v>
      </c>
      <c r="F425" s="58" t="s">
        <v>334</v>
      </c>
      <c r="G425" s="58">
        <v>46.584000000000003</v>
      </c>
      <c r="H425" s="58" t="s">
        <v>334</v>
      </c>
      <c r="I425" s="58">
        <v>44.890999999999998</v>
      </c>
      <c r="J425" s="58" t="s">
        <v>334</v>
      </c>
      <c r="K425" s="58" t="s">
        <v>334</v>
      </c>
      <c r="L425" s="58">
        <v>43.27</v>
      </c>
      <c r="M425" s="59">
        <v>43.68</v>
      </c>
      <c r="N425" s="58"/>
    </row>
    <row r="426" spans="1:14" ht="18" customHeight="1">
      <c r="A426" s="57">
        <v>11</v>
      </c>
      <c r="B426" s="58">
        <v>45.856999999999999</v>
      </c>
      <c r="C426" s="58">
        <v>46.338000000000001</v>
      </c>
      <c r="D426" s="58">
        <v>45.668999999999997</v>
      </c>
      <c r="E426" s="58" t="s">
        <v>334</v>
      </c>
      <c r="F426" s="58">
        <v>45.716999999999999</v>
      </c>
      <c r="G426" s="58">
        <v>46.686999999999998</v>
      </c>
      <c r="H426" s="58" t="s">
        <v>334</v>
      </c>
      <c r="I426" s="58">
        <v>45.01</v>
      </c>
      <c r="J426" s="58" t="s">
        <v>334</v>
      </c>
      <c r="K426" s="58">
        <v>43.396999999999998</v>
      </c>
      <c r="L426" s="58">
        <v>43.332999999999998</v>
      </c>
      <c r="M426" s="59" t="s">
        <v>334</v>
      </c>
      <c r="N426" s="58"/>
    </row>
    <row r="427" spans="1:14" ht="18" customHeight="1">
      <c r="A427" s="57">
        <v>12</v>
      </c>
      <c r="B427" s="58">
        <v>45.536999999999999</v>
      </c>
      <c r="C427" s="58">
        <v>46.295999999999999</v>
      </c>
      <c r="D427" s="58">
        <v>45.671999999999997</v>
      </c>
      <c r="E427" s="58">
        <v>44.908999999999999</v>
      </c>
      <c r="F427" s="58">
        <v>45.048999999999999</v>
      </c>
      <c r="G427" s="58" t="s">
        <v>334</v>
      </c>
      <c r="H427" s="58">
        <v>46.228000000000002</v>
      </c>
      <c r="I427" s="58">
        <v>45.097000000000001</v>
      </c>
      <c r="J427" s="58" t="s">
        <v>334</v>
      </c>
      <c r="K427" s="58">
        <v>43.442</v>
      </c>
      <c r="L427" s="58">
        <v>43.655999999999999</v>
      </c>
      <c r="M427" s="59" t="s">
        <v>334</v>
      </c>
      <c r="N427" s="58"/>
    </row>
    <row r="428" spans="1:14" ht="18" customHeight="1">
      <c r="A428" s="57">
        <v>13</v>
      </c>
      <c r="B428" s="58">
        <v>45.673999999999999</v>
      </c>
      <c r="C428" s="58" t="s">
        <v>334</v>
      </c>
      <c r="D428" s="58" t="s">
        <v>334</v>
      </c>
      <c r="E428" s="58">
        <v>44.746000000000002</v>
      </c>
      <c r="F428" s="58">
        <v>45.091000000000001</v>
      </c>
      <c r="G428" s="58" t="s">
        <v>334</v>
      </c>
      <c r="H428" s="58">
        <v>46.228000000000002</v>
      </c>
      <c r="I428" s="58">
        <v>45.448</v>
      </c>
      <c r="J428" s="58">
        <v>44.122999999999998</v>
      </c>
      <c r="K428" s="58">
        <v>43.637</v>
      </c>
      <c r="L428" s="58" t="s">
        <v>334</v>
      </c>
      <c r="M428" s="59">
        <v>43.720999999999997</v>
      </c>
      <c r="N428" s="58"/>
    </row>
    <row r="429" spans="1:14" ht="18" customHeight="1">
      <c r="A429" s="57">
        <v>14</v>
      </c>
      <c r="B429" s="58">
        <v>45.776000000000003</v>
      </c>
      <c r="C429" s="58" t="s">
        <v>334</v>
      </c>
      <c r="D429" s="58" t="s">
        <v>334</v>
      </c>
      <c r="E429" s="58">
        <v>44.728999999999999</v>
      </c>
      <c r="F429" s="58">
        <v>44.820999999999998</v>
      </c>
      <c r="G429" s="58" t="s">
        <v>334</v>
      </c>
      <c r="H429" s="58">
        <v>46.280999999999999</v>
      </c>
      <c r="I429" s="58" t="s">
        <v>334</v>
      </c>
      <c r="J429" s="58">
        <v>43.956000000000003</v>
      </c>
      <c r="K429" s="58">
        <v>43.43</v>
      </c>
      <c r="L429" s="58" t="s">
        <v>334</v>
      </c>
      <c r="M429" s="59">
        <v>43.722000000000001</v>
      </c>
      <c r="N429" s="58"/>
    </row>
    <row r="430" spans="1:14" ht="18" customHeight="1">
      <c r="A430" s="57">
        <v>15</v>
      </c>
      <c r="B430" s="58">
        <v>45.744999999999997</v>
      </c>
      <c r="C430" s="58">
        <v>46.27</v>
      </c>
      <c r="D430" s="58">
        <v>45.676000000000002</v>
      </c>
      <c r="E430" s="58">
        <v>44.524000000000001</v>
      </c>
      <c r="F430" s="58" t="s">
        <v>334</v>
      </c>
      <c r="G430" s="58">
        <v>46.488999999999997</v>
      </c>
      <c r="H430" s="58">
        <v>46.271000000000001</v>
      </c>
      <c r="I430" s="58" t="s">
        <v>334</v>
      </c>
      <c r="J430" s="58">
        <v>44.204000000000001</v>
      </c>
      <c r="K430" s="58">
        <v>43.204999999999998</v>
      </c>
      <c r="L430" s="58">
        <v>43.92</v>
      </c>
      <c r="M430" s="59">
        <v>43.837000000000003</v>
      </c>
      <c r="N430" s="58"/>
    </row>
    <row r="431" spans="1:14" ht="18" customHeight="1">
      <c r="A431" s="57">
        <v>16</v>
      </c>
      <c r="B431" s="58" t="s">
        <v>334</v>
      </c>
      <c r="C431" s="58">
        <v>46.326000000000001</v>
      </c>
      <c r="D431" s="58">
        <v>45.726999999999997</v>
      </c>
      <c r="E431" s="58">
        <v>44.347000000000001</v>
      </c>
      <c r="F431" s="58" t="s">
        <v>334</v>
      </c>
      <c r="G431" s="58">
        <v>46.463000000000001</v>
      </c>
      <c r="H431" s="58">
        <v>46.348999999999997</v>
      </c>
      <c r="I431" s="58">
        <v>45.246000000000002</v>
      </c>
      <c r="J431" s="58">
        <v>44.292999999999999</v>
      </c>
      <c r="K431" s="58" t="s">
        <v>334</v>
      </c>
      <c r="L431" s="58" t="s">
        <v>334</v>
      </c>
      <c r="M431" s="59">
        <v>43.938000000000002</v>
      </c>
      <c r="N431" s="58"/>
    </row>
    <row r="432" spans="1:14" ht="18" customHeight="1">
      <c r="A432" s="57">
        <v>17</v>
      </c>
      <c r="B432" s="58" t="s">
        <v>334</v>
      </c>
      <c r="C432" s="58">
        <v>46.168999999999997</v>
      </c>
      <c r="D432" s="58">
        <v>45.753999999999998</v>
      </c>
      <c r="E432" s="58" t="s">
        <v>334</v>
      </c>
      <c r="F432" s="58">
        <v>44.820999999999998</v>
      </c>
      <c r="G432" s="58">
        <v>46.155999999999999</v>
      </c>
      <c r="H432" s="58" t="s">
        <v>334</v>
      </c>
      <c r="I432" s="58">
        <v>45.481999999999999</v>
      </c>
      <c r="J432" s="58">
        <v>44.338999999999999</v>
      </c>
      <c r="K432" s="58" t="s">
        <v>334</v>
      </c>
      <c r="L432" s="58">
        <v>43.832000000000001</v>
      </c>
      <c r="M432" s="59">
        <v>44.098999999999997</v>
      </c>
      <c r="N432" s="58"/>
    </row>
    <row r="433" spans="1:14" ht="18" customHeight="1">
      <c r="A433" s="57">
        <v>18</v>
      </c>
      <c r="B433" s="58">
        <v>45.831000000000003</v>
      </c>
      <c r="C433" s="58">
        <v>45.97</v>
      </c>
      <c r="D433" s="58">
        <v>45.594999999999999</v>
      </c>
      <c r="E433" s="58" t="s">
        <v>334</v>
      </c>
      <c r="F433" s="58">
        <v>45.131999999999998</v>
      </c>
      <c r="G433" s="58">
        <v>46.197000000000003</v>
      </c>
      <c r="H433" s="58" t="s">
        <v>334</v>
      </c>
      <c r="I433" s="58">
        <v>45.204000000000001</v>
      </c>
      <c r="J433" s="58" t="s">
        <v>334</v>
      </c>
      <c r="K433" s="58">
        <v>43.204000000000001</v>
      </c>
      <c r="L433" s="58">
        <v>43.832000000000001</v>
      </c>
      <c r="M433" s="59" t="s">
        <v>334</v>
      </c>
      <c r="N433" s="58"/>
    </row>
    <row r="434" spans="1:14" ht="18" customHeight="1">
      <c r="A434" s="57">
        <v>19</v>
      </c>
      <c r="B434" s="58">
        <v>45.927</v>
      </c>
      <c r="C434" s="58">
        <v>46.137999999999998</v>
      </c>
      <c r="D434" s="58">
        <v>45.648000000000003</v>
      </c>
      <c r="E434" s="58">
        <v>44.433</v>
      </c>
      <c r="F434" s="58">
        <v>45.24</v>
      </c>
      <c r="G434" s="58" t="s">
        <v>334</v>
      </c>
      <c r="H434" s="58">
        <v>46.293999999999997</v>
      </c>
      <c r="I434" s="58">
        <v>45.179000000000002</v>
      </c>
      <c r="J434" s="58" t="s">
        <v>334</v>
      </c>
      <c r="K434" s="58">
        <v>43.250999999999998</v>
      </c>
      <c r="L434" s="58">
        <v>43.725999999999999</v>
      </c>
      <c r="M434" s="59" t="s">
        <v>334</v>
      </c>
      <c r="N434" s="58"/>
    </row>
    <row r="435" spans="1:14" ht="18" customHeight="1">
      <c r="A435" s="57">
        <v>20</v>
      </c>
      <c r="B435" s="58">
        <v>45.835999999999999</v>
      </c>
      <c r="C435" s="58" t="s">
        <v>334</v>
      </c>
      <c r="D435" s="58" t="s">
        <v>334</v>
      </c>
      <c r="E435" s="58">
        <v>44.58</v>
      </c>
      <c r="F435" s="58">
        <v>45.552</v>
      </c>
      <c r="G435" s="58" t="s">
        <v>334</v>
      </c>
      <c r="H435" s="58">
        <v>46.451000000000001</v>
      </c>
      <c r="I435" s="58">
        <v>44.905000000000001</v>
      </c>
      <c r="J435" s="58">
        <v>44.253999999999998</v>
      </c>
      <c r="K435" s="58">
        <v>43.366999999999997</v>
      </c>
      <c r="L435" s="58" t="s">
        <v>334</v>
      </c>
      <c r="M435" s="59">
        <v>44.244999999999997</v>
      </c>
      <c r="N435" s="58"/>
    </row>
    <row r="436" spans="1:14" ht="18" customHeight="1">
      <c r="A436" s="57">
        <v>21</v>
      </c>
      <c r="B436" s="58">
        <v>45.956000000000003</v>
      </c>
      <c r="C436" s="58" t="s">
        <v>334</v>
      </c>
      <c r="D436" s="58" t="s">
        <v>334</v>
      </c>
      <c r="E436" s="58">
        <v>44.567999999999998</v>
      </c>
      <c r="F436" s="58">
        <v>45.957999999999998</v>
      </c>
      <c r="G436" s="58">
        <v>45.94</v>
      </c>
      <c r="H436" s="58">
        <v>46.399000000000001</v>
      </c>
      <c r="I436" s="58" t="s">
        <v>334</v>
      </c>
      <c r="J436" s="58">
        <v>44.152999999999999</v>
      </c>
      <c r="K436" s="58">
        <v>43.515999999999998</v>
      </c>
      <c r="L436" s="58" t="s">
        <v>334</v>
      </c>
      <c r="M436" s="59">
        <v>44.384</v>
      </c>
      <c r="N436" s="58"/>
    </row>
    <row r="437" spans="1:14" ht="18" customHeight="1">
      <c r="A437" s="57">
        <v>22</v>
      </c>
      <c r="B437" s="58">
        <v>46.024999999999999</v>
      </c>
      <c r="C437" s="58">
        <v>46.317999999999998</v>
      </c>
      <c r="D437" s="58">
        <v>45.591000000000001</v>
      </c>
      <c r="E437" s="58">
        <v>44.402000000000001</v>
      </c>
      <c r="F437" s="58" t="s">
        <v>334</v>
      </c>
      <c r="G437" s="58">
        <v>45.555999999999997</v>
      </c>
      <c r="H437" s="58">
        <v>46.473999999999997</v>
      </c>
      <c r="I437" s="58" t="s">
        <v>334</v>
      </c>
      <c r="J437" s="58">
        <v>44.024999999999999</v>
      </c>
      <c r="K437" s="58">
        <v>43.286999999999999</v>
      </c>
      <c r="L437" s="58">
        <v>43.698</v>
      </c>
      <c r="M437" s="59">
        <v>44.384</v>
      </c>
      <c r="N437" s="58"/>
    </row>
    <row r="438" spans="1:14" ht="18" customHeight="1">
      <c r="A438" s="57">
        <v>23</v>
      </c>
      <c r="B438" s="58" t="s">
        <v>334</v>
      </c>
      <c r="C438" s="58">
        <v>46.145000000000003</v>
      </c>
      <c r="D438" s="58">
        <v>45.658000000000001</v>
      </c>
      <c r="E438" s="58">
        <v>44.374000000000002</v>
      </c>
      <c r="F438" s="58" t="s">
        <v>334</v>
      </c>
      <c r="G438" s="58">
        <v>45.55</v>
      </c>
      <c r="H438" s="58">
        <v>46.584000000000003</v>
      </c>
      <c r="I438" s="58">
        <v>44.98</v>
      </c>
      <c r="J438" s="58">
        <v>43.899000000000001</v>
      </c>
      <c r="K438" s="58" t="s">
        <v>334</v>
      </c>
      <c r="L438" s="58">
        <v>43.853999999999999</v>
      </c>
      <c r="M438" s="59">
        <v>44.241999999999997</v>
      </c>
      <c r="N438" s="58"/>
    </row>
    <row r="439" spans="1:14" ht="18" customHeight="1">
      <c r="A439" s="57">
        <v>24</v>
      </c>
      <c r="B439" s="58" t="s">
        <v>334</v>
      </c>
      <c r="C439" s="58">
        <v>46.125</v>
      </c>
      <c r="D439" s="58">
        <v>45.573</v>
      </c>
      <c r="E439" s="58" t="s">
        <v>334</v>
      </c>
      <c r="F439" s="58">
        <v>46.441000000000003</v>
      </c>
      <c r="G439" s="58">
        <v>45.890999999999998</v>
      </c>
      <c r="H439" s="58" t="s">
        <v>334</v>
      </c>
      <c r="I439" s="58">
        <v>45.021999999999998</v>
      </c>
      <c r="J439" s="58">
        <v>43.984000000000002</v>
      </c>
      <c r="K439" s="58" t="s">
        <v>334</v>
      </c>
      <c r="L439" s="58">
        <v>44.073</v>
      </c>
      <c r="M439" s="59" t="s">
        <v>334</v>
      </c>
      <c r="N439" s="58"/>
    </row>
    <row r="440" spans="1:14" ht="18" customHeight="1">
      <c r="A440" s="57">
        <v>25</v>
      </c>
      <c r="B440" s="58">
        <v>46.238</v>
      </c>
      <c r="C440" s="58">
        <v>46.152999999999999</v>
      </c>
      <c r="D440" s="58">
        <v>45.582000000000001</v>
      </c>
      <c r="E440" s="58" t="s">
        <v>334</v>
      </c>
      <c r="F440" s="58">
        <v>46.604999999999997</v>
      </c>
      <c r="G440" s="58">
        <v>46.131999999999998</v>
      </c>
      <c r="H440" s="58" t="s">
        <v>334</v>
      </c>
      <c r="I440" s="58">
        <v>45.368000000000002</v>
      </c>
      <c r="J440" s="58" t="s">
        <v>334</v>
      </c>
      <c r="K440" s="58" t="s">
        <v>334</v>
      </c>
      <c r="L440" s="58">
        <v>44.125999999999998</v>
      </c>
      <c r="M440" s="59" t="s">
        <v>334</v>
      </c>
      <c r="N440" s="58"/>
    </row>
    <row r="441" spans="1:14" ht="18" customHeight="1">
      <c r="A441" s="57">
        <v>26</v>
      </c>
      <c r="B441" s="58">
        <v>46.201000000000001</v>
      </c>
      <c r="C441" s="58">
        <v>46.258000000000003</v>
      </c>
      <c r="D441" s="58">
        <v>45.631999999999998</v>
      </c>
      <c r="E441" s="58">
        <v>44.417999999999999</v>
      </c>
      <c r="F441" s="58">
        <v>46.982999999999997</v>
      </c>
      <c r="G441" s="58" t="s">
        <v>334</v>
      </c>
      <c r="H441" s="58">
        <v>46.383000000000003</v>
      </c>
      <c r="I441" s="58">
        <v>45.326000000000001</v>
      </c>
      <c r="J441" s="58" t="s">
        <v>334</v>
      </c>
      <c r="K441" s="58">
        <v>43.311</v>
      </c>
      <c r="L441" s="58">
        <v>44.093000000000004</v>
      </c>
      <c r="M441" s="59" t="s">
        <v>334</v>
      </c>
      <c r="N441" s="58"/>
    </row>
    <row r="442" spans="1:14" ht="18" customHeight="1">
      <c r="A442" s="57">
        <v>27</v>
      </c>
      <c r="B442" s="58">
        <v>46.392000000000003</v>
      </c>
      <c r="C442" s="58" t="s">
        <v>334</v>
      </c>
      <c r="D442" s="58" t="s">
        <v>334</v>
      </c>
      <c r="E442" s="58">
        <v>44.182000000000002</v>
      </c>
      <c r="F442" s="58">
        <v>46.905000000000001</v>
      </c>
      <c r="G442" s="58" t="s">
        <v>334</v>
      </c>
      <c r="H442" s="58">
        <v>46.213999999999999</v>
      </c>
      <c r="I442" s="58">
        <v>45.152000000000001</v>
      </c>
      <c r="J442" s="58">
        <v>44.073999999999998</v>
      </c>
      <c r="K442" s="58">
        <v>43.161000000000001</v>
      </c>
      <c r="L442" s="58" t="s">
        <v>334</v>
      </c>
      <c r="M442" s="59" t="s">
        <v>334</v>
      </c>
      <c r="N442" s="58"/>
    </row>
    <row r="443" spans="1:14" ht="18" customHeight="1">
      <c r="A443" s="57">
        <v>28</v>
      </c>
      <c r="B443" s="58">
        <v>46.628</v>
      </c>
      <c r="C443" s="58" t="s">
        <v>334</v>
      </c>
      <c r="D443" s="58" t="s">
        <v>334</v>
      </c>
      <c r="E443" s="58">
        <v>44.311</v>
      </c>
      <c r="F443" s="58">
        <v>46.484999999999999</v>
      </c>
      <c r="G443" s="58">
        <v>46.436</v>
      </c>
      <c r="H443" s="58">
        <v>45.962000000000003</v>
      </c>
      <c r="I443" s="58" t="s">
        <v>334</v>
      </c>
      <c r="J443" s="58">
        <v>43.917999999999999</v>
      </c>
      <c r="K443" s="58">
        <v>43.222000000000001</v>
      </c>
      <c r="L443" s="58" t="s">
        <v>334</v>
      </c>
      <c r="M443" s="59">
        <v>44.137</v>
      </c>
      <c r="N443" s="58"/>
    </row>
    <row r="444" spans="1:14" ht="18" customHeight="1">
      <c r="A444" s="57">
        <v>29</v>
      </c>
      <c r="B444" s="58">
        <v>46.743000000000002</v>
      </c>
      <c r="C444" s="58" t="s">
        <v>335</v>
      </c>
      <c r="D444" s="58">
        <v>45.524000000000001</v>
      </c>
      <c r="E444" s="58">
        <v>44.692999999999998</v>
      </c>
      <c r="F444" s="58" t="s">
        <v>334</v>
      </c>
      <c r="G444" s="58">
        <v>46.31</v>
      </c>
      <c r="H444" s="58">
        <v>45.875999999999998</v>
      </c>
      <c r="I444" s="58" t="s">
        <v>334</v>
      </c>
      <c r="J444" s="58">
        <v>44.01</v>
      </c>
      <c r="K444" s="58">
        <v>43.182000000000002</v>
      </c>
      <c r="L444" s="58" t="s">
        <v>334</v>
      </c>
      <c r="M444" s="59">
        <v>43.906999999999996</v>
      </c>
      <c r="N444" s="58"/>
    </row>
    <row r="445" spans="1:14" ht="18" customHeight="1">
      <c r="A445" s="57">
        <v>30</v>
      </c>
      <c r="B445" s="58" t="s">
        <v>334</v>
      </c>
      <c r="C445" s="58" t="s">
        <v>335</v>
      </c>
      <c r="D445" s="58">
        <v>45.335999999999999</v>
      </c>
      <c r="E445" s="58">
        <v>44.643999999999998</v>
      </c>
      <c r="F445" s="58" t="s">
        <v>334</v>
      </c>
      <c r="G445" s="58" t="s">
        <v>334</v>
      </c>
      <c r="H445" s="58">
        <v>45.813000000000002</v>
      </c>
      <c r="I445" s="58" t="s">
        <v>334</v>
      </c>
      <c r="J445" s="58">
        <v>43.896000000000001</v>
      </c>
      <c r="K445" s="58" t="s">
        <v>334</v>
      </c>
      <c r="L445" s="58">
        <v>44.255000000000003</v>
      </c>
      <c r="M445" s="59">
        <v>43.884999999999998</v>
      </c>
      <c r="N445" s="58"/>
    </row>
    <row r="446" spans="1:14" ht="18" customHeight="1">
      <c r="A446" s="57">
        <v>31</v>
      </c>
      <c r="B446" s="58" t="s">
        <v>334</v>
      </c>
      <c r="C446" s="58" t="s">
        <v>335</v>
      </c>
      <c r="D446" s="58">
        <v>45.22</v>
      </c>
      <c r="E446" s="58" t="s">
        <v>335</v>
      </c>
      <c r="F446" s="58">
        <v>46.212000000000003</v>
      </c>
      <c r="G446" s="58" t="s">
        <v>335</v>
      </c>
      <c r="H446" s="58" t="s">
        <v>334</v>
      </c>
      <c r="I446" s="58">
        <v>45.179000000000002</v>
      </c>
      <c r="J446" s="58" t="s">
        <v>335</v>
      </c>
      <c r="K446" s="58" t="s">
        <v>334</v>
      </c>
      <c r="L446" s="58" t="s">
        <v>335</v>
      </c>
      <c r="M446" s="59" t="s">
        <v>334</v>
      </c>
      <c r="N446" s="58"/>
    </row>
    <row r="447" spans="1:14" ht="18" customHeight="1" thickBot="1">
      <c r="A447" s="60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2"/>
      <c r="N447" s="58"/>
    </row>
    <row r="448" spans="1:14" ht="18" customHeight="1">
      <c r="A448" s="605">
        <v>2009</v>
      </c>
      <c r="B448" s="616"/>
      <c r="C448" s="616"/>
      <c r="D448" s="616"/>
      <c r="E448" s="616"/>
      <c r="F448" s="616"/>
      <c r="G448" s="616"/>
      <c r="H448" s="616"/>
      <c r="I448" s="616"/>
      <c r="J448" s="616"/>
      <c r="K448" s="616"/>
      <c r="L448" s="616"/>
      <c r="M448" s="617"/>
      <c r="N448" s="52"/>
    </row>
    <row r="449" spans="1:15" ht="18" customHeight="1" thickBot="1">
      <c r="A449" s="51" t="s">
        <v>322</v>
      </c>
      <c r="B449" s="52" t="s">
        <v>323</v>
      </c>
      <c r="C449" s="52" t="s">
        <v>324</v>
      </c>
      <c r="D449" s="52" t="s">
        <v>325</v>
      </c>
      <c r="E449" s="52" t="s">
        <v>326</v>
      </c>
      <c r="F449" s="52" t="s">
        <v>236</v>
      </c>
      <c r="G449" s="52" t="s">
        <v>327</v>
      </c>
      <c r="H449" s="52" t="s">
        <v>328</v>
      </c>
      <c r="I449" s="52" t="s">
        <v>329</v>
      </c>
      <c r="J449" s="52" t="s">
        <v>330</v>
      </c>
      <c r="K449" s="52" t="s">
        <v>331</v>
      </c>
      <c r="L449" s="52" t="s">
        <v>332</v>
      </c>
      <c r="M449" s="53" t="s">
        <v>333</v>
      </c>
      <c r="N449" s="52"/>
    </row>
    <row r="450" spans="1:15" ht="18" customHeight="1">
      <c r="A450" s="54">
        <v>1</v>
      </c>
      <c r="B450" s="55" t="s">
        <v>334</v>
      </c>
      <c r="C450" s="55" t="s">
        <v>334</v>
      </c>
      <c r="D450" s="55" t="s">
        <v>334</v>
      </c>
      <c r="E450" s="55">
        <v>48.421999999999997</v>
      </c>
      <c r="F450" s="55" t="s">
        <v>334</v>
      </c>
      <c r="G450" s="55">
        <v>47.441000000000003</v>
      </c>
      <c r="H450" s="55">
        <v>48.158000000000001</v>
      </c>
      <c r="I450" s="55" t="s">
        <v>334</v>
      </c>
      <c r="J450" s="55">
        <v>48.792000000000002</v>
      </c>
      <c r="K450" s="55">
        <v>47.423999999999999</v>
      </c>
      <c r="L450" s="70" t="s">
        <v>334</v>
      </c>
      <c r="M450" s="71">
        <v>47.131999999999998</v>
      </c>
      <c r="N450" s="83">
        <v>2009</v>
      </c>
      <c r="O450" s="47">
        <f>AVERAGE(B450:M480)</f>
        <v>47.645687242798353</v>
      </c>
    </row>
    <row r="451" spans="1:15" ht="18" customHeight="1">
      <c r="A451" s="57">
        <v>2</v>
      </c>
      <c r="B451" s="58" t="s">
        <v>334</v>
      </c>
      <c r="C451" s="58">
        <v>47.34</v>
      </c>
      <c r="D451" s="58">
        <v>48.661999999999999</v>
      </c>
      <c r="E451" s="58">
        <v>48.326000000000001</v>
      </c>
      <c r="F451" s="58" t="s">
        <v>334</v>
      </c>
      <c r="G451" s="58">
        <v>47.143000000000001</v>
      </c>
      <c r="H451" s="58">
        <v>48.180999999999997</v>
      </c>
      <c r="I451" s="58" t="s">
        <v>334</v>
      </c>
      <c r="J451" s="58">
        <v>48.847999999999999</v>
      </c>
      <c r="K451" s="58">
        <v>47.146999999999998</v>
      </c>
      <c r="L451" s="72" t="s">
        <v>334</v>
      </c>
      <c r="M451" s="73">
        <v>46.988999999999997</v>
      </c>
      <c r="N451" s="58"/>
    </row>
    <row r="452" spans="1:15" ht="18" customHeight="1">
      <c r="A452" s="57">
        <v>3</v>
      </c>
      <c r="B452" s="58" t="s">
        <v>334</v>
      </c>
      <c r="C452" s="58">
        <v>47.625</v>
      </c>
      <c r="D452" s="58">
        <v>49.055999999999997</v>
      </c>
      <c r="E452" s="58">
        <v>48.097999999999999</v>
      </c>
      <c r="F452" s="58" t="s">
        <v>334</v>
      </c>
      <c r="G452" s="58">
        <v>47.226999999999997</v>
      </c>
      <c r="H452" s="58">
        <v>48.085000000000001</v>
      </c>
      <c r="I452" s="58">
        <v>48.070999999999998</v>
      </c>
      <c r="J452" s="58">
        <v>48.887999999999998</v>
      </c>
      <c r="K452" s="58" t="s">
        <v>334</v>
      </c>
      <c r="L452" s="72">
        <v>47.557000000000002</v>
      </c>
      <c r="M452" s="73">
        <v>46.58</v>
      </c>
      <c r="N452" s="58"/>
    </row>
    <row r="453" spans="1:15" ht="18" customHeight="1">
      <c r="A453" s="57">
        <v>4</v>
      </c>
      <c r="B453" s="58" t="s">
        <v>334</v>
      </c>
      <c r="C453" s="58">
        <v>47.551000000000002</v>
      </c>
      <c r="D453" s="58">
        <v>48.951999999999998</v>
      </c>
      <c r="E453" s="58" t="s">
        <v>334</v>
      </c>
      <c r="F453" s="58">
        <v>48.401000000000003</v>
      </c>
      <c r="G453" s="58">
        <v>47.249000000000002</v>
      </c>
      <c r="H453" s="58" t="s">
        <v>334</v>
      </c>
      <c r="I453" s="58">
        <v>48.064999999999998</v>
      </c>
      <c r="J453" s="58">
        <v>48.792000000000002</v>
      </c>
      <c r="K453" s="58" t="s">
        <v>334</v>
      </c>
      <c r="L453" s="58">
        <v>47.683</v>
      </c>
      <c r="M453" s="59">
        <v>46.457000000000001</v>
      </c>
      <c r="N453" s="58"/>
    </row>
    <row r="454" spans="1:15" ht="18" customHeight="1">
      <c r="A454" s="57">
        <v>5</v>
      </c>
      <c r="B454" s="58">
        <v>47.646999999999998</v>
      </c>
      <c r="C454" s="58">
        <v>47.325000000000003</v>
      </c>
      <c r="D454" s="58">
        <v>48.790999999999997</v>
      </c>
      <c r="E454" s="58" t="s">
        <v>334</v>
      </c>
      <c r="F454" s="58">
        <v>48.14</v>
      </c>
      <c r="G454" s="58">
        <v>47.326999999999998</v>
      </c>
      <c r="H454" s="58" t="s">
        <v>334</v>
      </c>
      <c r="I454" s="58" t="s">
        <v>334</v>
      </c>
      <c r="J454" s="58" t="s">
        <v>334</v>
      </c>
      <c r="K454" s="58">
        <v>47.063000000000002</v>
      </c>
      <c r="L454" s="58">
        <v>47.692999999999998</v>
      </c>
      <c r="M454" s="59" t="s">
        <v>334</v>
      </c>
      <c r="N454" s="58"/>
    </row>
    <row r="455" spans="1:15" ht="18" customHeight="1">
      <c r="A455" s="57">
        <v>6</v>
      </c>
      <c r="B455" s="58">
        <v>47.264000000000003</v>
      </c>
      <c r="C455" s="58">
        <v>47.496000000000002</v>
      </c>
      <c r="D455" s="58">
        <v>48.651000000000003</v>
      </c>
      <c r="E455" s="58" t="s">
        <v>334</v>
      </c>
      <c r="F455" s="58">
        <v>47.912999999999997</v>
      </c>
      <c r="G455" s="58" t="s">
        <v>334</v>
      </c>
      <c r="H455" s="58">
        <v>48.197000000000003</v>
      </c>
      <c r="I455" s="58">
        <v>47.905000000000001</v>
      </c>
      <c r="J455" s="58" t="s">
        <v>334</v>
      </c>
      <c r="K455" s="58">
        <v>46.762999999999998</v>
      </c>
      <c r="L455" s="58">
        <v>47.573999999999998</v>
      </c>
      <c r="M455" s="59" t="s">
        <v>334</v>
      </c>
      <c r="N455" s="58"/>
    </row>
    <row r="456" spans="1:15" ht="18" customHeight="1">
      <c r="A456" s="57">
        <v>7</v>
      </c>
      <c r="B456" s="58">
        <v>47.064999999999998</v>
      </c>
      <c r="C456" s="58" t="s">
        <v>334</v>
      </c>
      <c r="D456" s="58" t="s">
        <v>334</v>
      </c>
      <c r="E456" s="58">
        <v>47.978000000000002</v>
      </c>
      <c r="F456" s="58">
        <v>47.948999999999998</v>
      </c>
      <c r="G456" s="58" t="s">
        <v>334</v>
      </c>
      <c r="H456" s="58">
        <v>48.167000000000002</v>
      </c>
      <c r="I456" s="58">
        <v>47.768999999999998</v>
      </c>
      <c r="J456" s="58" t="s">
        <v>334</v>
      </c>
      <c r="K456" s="58">
        <v>46.530999999999999</v>
      </c>
      <c r="L456" s="58" t="s">
        <v>334</v>
      </c>
      <c r="M456" s="59">
        <v>46.222000000000001</v>
      </c>
      <c r="N456" s="58"/>
    </row>
    <row r="457" spans="1:15" ht="18" customHeight="1">
      <c r="A457" s="57">
        <v>8</v>
      </c>
      <c r="B457" s="58">
        <v>46.554000000000002</v>
      </c>
      <c r="C457" s="58" t="s">
        <v>334</v>
      </c>
      <c r="D457" s="58" t="s">
        <v>334</v>
      </c>
      <c r="E457" s="58">
        <v>47.871000000000002</v>
      </c>
      <c r="F457" s="58">
        <v>47.497999999999998</v>
      </c>
      <c r="G457" s="58">
        <v>47.276000000000003</v>
      </c>
      <c r="H457" s="58">
        <v>48.25</v>
      </c>
      <c r="I457" s="58" t="s">
        <v>334</v>
      </c>
      <c r="J457" s="58">
        <v>48.691000000000003</v>
      </c>
      <c r="K457" s="58">
        <v>46.655999999999999</v>
      </c>
      <c r="L457" s="58" t="s">
        <v>334</v>
      </c>
      <c r="M457" s="59">
        <v>46.113999999999997</v>
      </c>
      <c r="N457" s="58"/>
    </row>
    <row r="458" spans="1:15" ht="18" customHeight="1">
      <c r="A458" s="57">
        <v>9</v>
      </c>
      <c r="B458" s="58">
        <v>46.831000000000003</v>
      </c>
      <c r="C458" s="58">
        <v>47.234000000000002</v>
      </c>
      <c r="D458" s="58">
        <v>48.676000000000002</v>
      </c>
      <c r="E458" s="58" t="s">
        <v>334</v>
      </c>
      <c r="F458" s="58" t="s">
        <v>334</v>
      </c>
      <c r="G458" s="58">
        <v>47.494</v>
      </c>
      <c r="H458" s="58">
        <v>48.369</v>
      </c>
      <c r="I458" s="58" t="s">
        <v>334</v>
      </c>
      <c r="J458" s="58">
        <v>48.406999999999996</v>
      </c>
      <c r="K458" s="58">
        <v>46.457999999999998</v>
      </c>
      <c r="L458" s="58">
        <v>47.359000000000002</v>
      </c>
      <c r="M458" s="59">
        <v>45.947000000000003</v>
      </c>
      <c r="N458" s="58"/>
    </row>
    <row r="459" spans="1:15" ht="18" customHeight="1">
      <c r="A459" s="57">
        <v>10</v>
      </c>
      <c r="B459" s="58" t="s">
        <v>334</v>
      </c>
      <c r="C459" s="58">
        <v>47.067999999999998</v>
      </c>
      <c r="D459" s="58">
        <v>48.548000000000002</v>
      </c>
      <c r="E459" s="58" t="s">
        <v>334</v>
      </c>
      <c r="F459" s="58" t="s">
        <v>334</v>
      </c>
      <c r="G459" s="58">
        <v>47.631999999999998</v>
      </c>
      <c r="H459" s="58">
        <v>48.201999999999998</v>
      </c>
      <c r="I459" s="58">
        <v>47.796999999999997</v>
      </c>
      <c r="J459" s="58">
        <v>48.311999999999998</v>
      </c>
      <c r="K459" s="58" t="s">
        <v>334</v>
      </c>
      <c r="L459" s="58">
        <v>46.994999999999997</v>
      </c>
      <c r="M459" s="59">
        <v>46.319000000000003</v>
      </c>
      <c r="N459" s="58"/>
    </row>
    <row r="460" spans="1:15" ht="18" customHeight="1">
      <c r="A460" s="57">
        <v>11</v>
      </c>
      <c r="B460" s="58" t="s">
        <v>334</v>
      </c>
      <c r="C460" s="58">
        <v>46.993000000000002</v>
      </c>
      <c r="D460" s="58">
        <v>48.414999999999999</v>
      </c>
      <c r="E460" s="58" t="s">
        <v>334</v>
      </c>
      <c r="F460" s="58">
        <v>47.430999999999997</v>
      </c>
      <c r="G460" s="58">
        <v>47.53</v>
      </c>
      <c r="H460" s="58" t="s">
        <v>334</v>
      </c>
      <c r="I460" s="58">
        <v>47.716000000000001</v>
      </c>
      <c r="J460" s="58">
        <v>48.331000000000003</v>
      </c>
      <c r="K460" s="58" t="s">
        <v>334</v>
      </c>
      <c r="L460" s="58">
        <v>46.814</v>
      </c>
      <c r="M460" s="59">
        <v>46.139000000000003</v>
      </c>
      <c r="N460" s="58"/>
    </row>
    <row r="461" spans="1:15" ht="18" customHeight="1">
      <c r="A461" s="57">
        <v>12</v>
      </c>
      <c r="B461" s="58">
        <v>47.127000000000002</v>
      </c>
      <c r="C461" s="58">
        <v>47.04</v>
      </c>
      <c r="D461" s="58">
        <v>48.244999999999997</v>
      </c>
      <c r="E461" s="58" t="s">
        <v>334</v>
      </c>
      <c r="F461" s="58">
        <v>47.139000000000003</v>
      </c>
      <c r="G461" s="58" t="s">
        <v>334</v>
      </c>
      <c r="H461" s="58" t="s">
        <v>334</v>
      </c>
      <c r="I461" s="58">
        <v>47.749000000000002</v>
      </c>
      <c r="J461" s="58" t="s">
        <v>334</v>
      </c>
      <c r="K461" s="58">
        <v>46.526000000000003</v>
      </c>
      <c r="L461" s="58">
        <v>46.819000000000003</v>
      </c>
      <c r="M461" s="59" t="s">
        <v>334</v>
      </c>
      <c r="N461" s="58"/>
    </row>
    <row r="462" spans="1:15" ht="18" customHeight="1">
      <c r="A462" s="57">
        <v>13</v>
      </c>
      <c r="B462" s="58">
        <v>47.463000000000001</v>
      </c>
      <c r="C462" s="58">
        <v>47.131999999999998</v>
      </c>
      <c r="D462" s="58">
        <v>48.396999999999998</v>
      </c>
      <c r="E462" s="58">
        <v>48.024999999999999</v>
      </c>
      <c r="F462" s="58">
        <v>47.46</v>
      </c>
      <c r="G462" s="58" t="s">
        <v>334</v>
      </c>
      <c r="H462" s="58">
        <v>48.183</v>
      </c>
      <c r="I462" s="58">
        <v>47.927999999999997</v>
      </c>
      <c r="J462" s="58" t="s">
        <v>334</v>
      </c>
      <c r="K462" s="58">
        <v>46.588999999999999</v>
      </c>
      <c r="L462" s="58">
        <v>46.695999999999998</v>
      </c>
      <c r="M462" s="59" t="s">
        <v>334</v>
      </c>
      <c r="N462" s="58"/>
    </row>
    <row r="463" spans="1:15" ht="18" customHeight="1">
      <c r="A463" s="57">
        <v>14</v>
      </c>
      <c r="B463" s="58">
        <v>47.591000000000001</v>
      </c>
      <c r="C463" s="58" t="s">
        <v>334</v>
      </c>
      <c r="D463" s="58" t="s">
        <v>334</v>
      </c>
      <c r="E463" s="58">
        <v>47.826000000000001</v>
      </c>
      <c r="F463" s="58">
        <v>47.314999999999998</v>
      </c>
      <c r="G463" s="58" t="s">
        <v>334</v>
      </c>
      <c r="H463" s="58">
        <v>48.334000000000003</v>
      </c>
      <c r="I463" s="58">
        <v>47.936</v>
      </c>
      <c r="J463" s="58">
        <v>48.292999999999999</v>
      </c>
      <c r="K463" s="58">
        <v>46.502000000000002</v>
      </c>
      <c r="L463" s="58" t="s">
        <v>334</v>
      </c>
      <c r="M463" s="59">
        <v>46.18</v>
      </c>
      <c r="N463" s="58"/>
    </row>
    <row r="464" spans="1:15" ht="18" customHeight="1">
      <c r="A464" s="57">
        <v>15</v>
      </c>
      <c r="B464" s="58">
        <v>47.145000000000003</v>
      </c>
      <c r="C464" s="58" t="s">
        <v>334</v>
      </c>
      <c r="D464" s="58" t="s">
        <v>334</v>
      </c>
      <c r="E464" s="58">
        <v>47.749000000000002</v>
      </c>
      <c r="F464" s="58">
        <v>47.664000000000001</v>
      </c>
      <c r="G464" s="58">
        <v>47.726999999999997</v>
      </c>
      <c r="H464" s="58">
        <v>48.302999999999997</v>
      </c>
      <c r="I464" s="58" t="s">
        <v>334</v>
      </c>
      <c r="J464" s="58">
        <v>48.45</v>
      </c>
      <c r="K464" s="58">
        <v>46.453000000000003</v>
      </c>
      <c r="L464" s="58" t="s">
        <v>334</v>
      </c>
      <c r="M464" s="59">
        <v>46.213999999999999</v>
      </c>
      <c r="N464" s="58"/>
    </row>
    <row r="465" spans="1:14" ht="18" customHeight="1">
      <c r="A465" s="57">
        <v>16</v>
      </c>
      <c r="B465" s="58">
        <v>47.39</v>
      </c>
      <c r="C465" s="58">
        <v>47.21</v>
      </c>
      <c r="D465" s="58">
        <v>48.500999999999998</v>
      </c>
      <c r="E465" s="58">
        <v>47.863</v>
      </c>
      <c r="F465" s="58" t="s">
        <v>334</v>
      </c>
      <c r="G465" s="58">
        <v>48.174999999999997</v>
      </c>
      <c r="H465" s="58">
        <v>48.124000000000002</v>
      </c>
      <c r="I465" s="58" t="s">
        <v>334</v>
      </c>
      <c r="J465" s="58">
        <v>48.356000000000002</v>
      </c>
      <c r="K465" s="58">
        <v>46.31</v>
      </c>
      <c r="L465" s="58">
        <v>46.834000000000003</v>
      </c>
      <c r="M465" s="59">
        <v>46.127000000000002</v>
      </c>
      <c r="N465" s="58"/>
    </row>
    <row r="466" spans="1:14" ht="18" customHeight="1">
      <c r="A466" s="57">
        <v>17</v>
      </c>
      <c r="B466" s="58" t="s">
        <v>334</v>
      </c>
      <c r="C466" s="58">
        <v>47.35</v>
      </c>
      <c r="D466" s="58">
        <v>48.542999999999999</v>
      </c>
      <c r="E466" s="58">
        <v>47.671999999999997</v>
      </c>
      <c r="F466" s="58" t="s">
        <v>334</v>
      </c>
      <c r="G466" s="58">
        <v>48.371000000000002</v>
      </c>
      <c r="H466" s="58">
        <v>48.027000000000001</v>
      </c>
      <c r="I466" s="58">
        <v>47.969000000000001</v>
      </c>
      <c r="J466" s="58">
        <v>48.097000000000001</v>
      </c>
      <c r="K466" s="58" t="s">
        <v>334</v>
      </c>
      <c r="L466" s="58">
        <v>46.521999999999998</v>
      </c>
      <c r="M466" s="59">
        <v>46.277999999999999</v>
      </c>
      <c r="N466" s="58"/>
    </row>
    <row r="467" spans="1:14" ht="18" customHeight="1">
      <c r="A467" s="57">
        <v>18</v>
      </c>
      <c r="B467" s="58" t="s">
        <v>334</v>
      </c>
      <c r="C467" s="58">
        <v>47.749000000000002</v>
      </c>
      <c r="D467" s="58">
        <v>48.368000000000002</v>
      </c>
      <c r="E467" s="58" t="s">
        <v>334</v>
      </c>
      <c r="F467" s="58">
        <v>47.709000000000003</v>
      </c>
      <c r="G467" s="58">
        <v>48.344000000000001</v>
      </c>
      <c r="H467" s="58" t="s">
        <v>334</v>
      </c>
      <c r="I467" s="58">
        <v>48.296999999999997</v>
      </c>
      <c r="J467" s="58">
        <v>47.795999999999999</v>
      </c>
      <c r="K467" s="58" t="s">
        <v>334</v>
      </c>
      <c r="L467" s="58">
        <v>46.642000000000003</v>
      </c>
      <c r="M467" s="59">
        <v>46.494</v>
      </c>
      <c r="N467" s="58"/>
    </row>
    <row r="468" spans="1:14" ht="18" customHeight="1">
      <c r="A468" s="57">
        <v>19</v>
      </c>
      <c r="B468" s="58">
        <v>47.162999999999997</v>
      </c>
      <c r="C468" s="58">
        <v>47.808999999999997</v>
      </c>
      <c r="D468" s="58">
        <v>48.468000000000004</v>
      </c>
      <c r="E468" s="58" t="s">
        <v>334</v>
      </c>
      <c r="F468" s="58">
        <v>47.677999999999997</v>
      </c>
      <c r="G468" s="58">
        <v>48.462000000000003</v>
      </c>
      <c r="H468" s="58" t="s">
        <v>334</v>
      </c>
      <c r="I468" s="58">
        <v>48.296999999999997</v>
      </c>
      <c r="J468" s="58" t="s">
        <v>334</v>
      </c>
      <c r="K468" s="58">
        <v>46.456000000000003</v>
      </c>
      <c r="L468" s="58">
        <v>46.713000000000001</v>
      </c>
      <c r="M468" s="59" t="s">
        <v>334</v>
      </c>
      <c r="N468" s="58"/>
    </row>
    <row r="469" spans="1:14" ht="18" customHeight="1">
      <c r="A469" s="57">
        <v>20</v>
      </c>
      <c r="B469" s="58">
        <v>46.991999999999997</v>
      </c>
      <c r="C469" s="58">
        <v>47.957000000000001</v>
      </c>
      <c r="D469" s="58">
        <v>48.289000000000001</v>
      </c>
      <c r="E469" s="58">
        <v>47.771999999999998</v>
      </c>
      <c r="F469" s="58">
        <v>47.343000000000004</v>
      </c>
      <c r="G469" s="58" t="s">
        <v>334</v>
      </c>
      <c r="H469" s="58">
        <v>48.097999999999999</v>
      </c>
      <c r="I469" s="58">
        <v>48.408999999999999</v>
      </c>
      <c r="J469" s="58" t="s">
        <v>334</v>
      </c>
      <c r="K469" s="58">
        <v>46.811999999999998</v>
      </c>
      <c r="L469" s="58">
        <v>46.911999999999999</v>
      </c>
      <c r="M469" s="59" t="s">
        <v>334</v>
      </c>
      <c r="N469" s="58"/>
    </row>
    <row r="470" spans="1:14" ht="18" customHeight="1">
      <c r="A470" s="57">
        <v>21</v>
      </c>
      <c r="B470" s="58">
        <v>47.372</v>
      </c>
      <c r="C470" s="58" t="s">
        <v>334</v>
      </c>
      <c r="D470" s="58" t="s">
        <v>334</v>
      </c>
      <c r="E470" s="58">
        <v>48.072000000000003</v>
      </c>
      <c r="F470" s="58">
        <v>47.360999999999997</v>
      </c>
      <c r="G470" s="58" t="s">
        <v>334</v>
      </c>
      <c r="H470" s="58">
        <v>47.947000000000003</v>
      </c>
      <c r="I470" s="58" t="s">
        <v>334</v>
      </c>
      <c r="J470" s="58" t="s">
        <v>334</v>
      </c>
      <c r="K470" s="58">
        <v>46.558999999999997</v>
      </c>
      <c r="L470" s="58" t="s">
        <v>334</v>
      </c>
      <c r="M470" s="59">
        <v>46.683</v>
      </c>
      <c r="N470" s="58"/>
    </row>
    <row r="471" spans="1:14" ht="18" customHeight="1">
      <c r="A471" s="57">
        <v>22</v>
      </c>
      <c r="B471" s="58">
        <v>47.472000000000001</v>
      </c>
      <c r="C471" s="58" t="s">
        <v>334</v>
      </c>
      <c r="D471" s="58" t="s">
        <v>334</v>
      </c>
      <c r="E471" s="58">
        <v>48.389000000000003</v>
      </c>
      <c r="F471" s="58">
        <v>47.228999999999999</v>
      </c>
      <c r="G471" s="58">
        <v>48.478999999999999</v>
      </c>
      <c r="H471" s="58">
        <v>48.076999999999998</v>
      </c>
      <c r="I471" s="58" t="s">
        <v>334</v>
      </c>
      <c r="J471" s="58">
        <v>47.761000000000003</v>
      </c>
      <c r="K471" s="58">
        <v>46.984000000000002</v>
      </c>
      <c r="L471" s="58" t="s">
        <v>334</v>
      </c>
      <c r="M471" s="59">
        <v>46.66</v>
      </c>
      <c r="N471" s="58"/>
    </row>
    <row r="472" spans="1:14" ht="18" customHeight="1">
      <c r="A472" s="57">
        <v>23</v>
      </c>
      <c r="B472" s="58">
        <v>47.363</v>
      </c>
      <c r="C472" s="58">
        <v>48.164999999999999</v>
      </c>
      <c r="D472" s="58">
        <v>48.305</v>
      </c>
      <c r="E472" s="58">
        <v>48.564</v>
      </c>
      <c r="F472" s="58" t="s">
        <v>334</v>
      </c>
      <c r="G472" s="58">
        <v>48.420999999999999</v>
      </c>
      <c r="H472" s="58">
        <v>48.12</v>
      </c>
      <c r="I472" s="58" t="s">
        <v>334</v>
      </c>
      <c r="J472" s="58">
        <v>47.606999999999999</v>
      </c>
      <c r="K472" s="58">
        <v>47.084000000000003</v>
      </c>
      <c r="L472" s="58">
        <v>47.195999999999998</v>
      </c>
      <c r="M472" s="59">
        <v>46.576000000000001</v>
      </c>
      <c r="N472" s="58"/>
    </row>
    <row r="473" spans="1:14" ht="18" customHeight="1">
      <c r="A473" s="57">
        <v>24</v>
      </c>
      <c r="B473" s="58" t="s">
        <v>334</v>
      </c>
      <c r="C473" s="58">
        <v>48.093000000000004</v>
      </c>
      <c r="D473" s="58">
        <v>48.21</v>
      </c>
      <c r="E473" s="58">
        <v>48.826000000000001</v>
      </c>
      <c r="F473" s="58" t="s">
        <v>334</v>
      </c>
      <c r="G473" s="58">
        <v>48.598999999999997</v>
      </c>
      <c r="H473" s="58">
        <v>48.094999999999999</v>
      </c>
      <c r="I473" s="58">
        <v>48.485999999999997</v>
      </c>
      <c r="J473" s="58">
        <v>47.381999999999998</v>
      </c>
      <c r="K473" s="58" t="s">
        <v>334</v>
      </c>
      <c r="L473" s="58">
        <v>46.963000000000001</v>
      </c>
      <c r="M473" s="59" t="s">
        <v>334</v>
      </c>
      <c r="N473" s="58"/>
    </row>
    <row r="474" spans="1:14" ht="18" customHeight="1">
      <c r="A474" s="57">
        <v>25</v>
      </c>
      <c r="B474" s="58" t="s">
        <v>334</v>
      </c>
      <c r="C474" s="58">
        <v>48.231999999999999</v>
      </c>
      <c r="D474" s="58">
        <v>48.024000000000001</v>
      </c>
      <c r="E474" s="58" t="s">
        <v>334</v>
      </c>
      <c r="F474" s="58">
        <v>47.054000000000002</v>
      </c>
      <c r="G474" s="58">
        <v>48.255000000000003</v>
      </c>
      <c r="H474" s="58" t="s">
        <v>334</v>
      </c>
      <c r="I474" s="58">
        <v>48.341000000000001</v>
      </c>
      <c r="J474" s="58">
        <v>47.457999999999998</v>
      </c>
      <c r="K474" s="58" t="s">
        <v>334</v>
      </c>
      <c r="L474" s="58">
        <v>47.069000000000003</v>
      </c>
      <c r="M474" s="59" t="s">
        <v>334</v>
      </c>
      <c r="N474" s="58"/>
    </row>
    <row r="475" spans="1:14" ht="18" customHeight="1">
      <c r="A475" s="57">
        <v>26</v>
      </c>
      <c r="B475" s="58">
        <v>47.369</v>
      </c>
      <c r="C475" s="58">
        <v>48.085999999999999</v>
      </c>
      <c r="D475" s="58">
        <v>48.237000000000002</v>
      </c>
      <c r="E475" s="58" t="s">
        <v>334</v>
      </c>
      <c r="F475" s="58">
        <v>47.036999999999999</v>
      </c>
      <c r="G475" s="58">
        <v>48.27</v>
      </c>
      <c r="H475" s="58" t="s">
        <v>334</v>
      </c>
      <c r="I475" s="58">
        <v>48.558999999999997</v>
      </c>
      <c r="J475" s="58" t="s">
        <v>334</v>
      </c>
      <c r="K475" s="58">
        <v>47.115000000000002</v>
      </c>
      <c r="L475" s="58">
        <v>46.823</v>
      </c>
      <c r="M475" s="59" t="s">
        <v>334</v>
      </c>
      <c r="N475" s="58"/>
    </row>
    <row r="476" spans="1:14" ht="18" customHeight="1">
      <c r="A476" s="57">
        <v>27</v>
      </c>
      <c r="B476" s="58">
        <v>47.268999999999998</v>
      </c>
      <c r="C476" s="58">
        <v>48.235999999999997</v>
      </c>
      <c r="D476" s="58">
        <v>48.149000000000001</v>
      </c>
      <c r="E476" s="58">
        <v>48.558999999999997</v>
      </c>
      <c r="F476" s="58">
        <v>47.314</v>
      </c>
      <c r="G476" s="58" t="s">
        <v>334</v>
      </c>
      <c r="H476" s="58">
        <v>48.106000000000002</v>
      </c>
      <c r="I476" s="58">
        <v>48.692999999999998</v>
      </c>
      <c r="J476" s="58" t="s">
        <v>334</v>
      </c>
      <c r="K476" s="58">
        <v>46.966999999999999</v>
      </c>
      <c r="L476" s="58">
        <v>46.752000000000002</v>
      </c>
      <c r="M476" s="59" t="s">
        <v>334</v>
      </c>
      <c r="N476" s="58"/>
    </row>
    <row r="477" spans="1:14" ht="18" customHeight="1">
      <c r="A477" s="57">
        <v>28</v>
      </c>
      <c r="B477" s="58">
        <v>47.042000000000002</v>
      </c>
      <c r="C477" s="58" t="s">
        <v>334</v>
      </c>
      <c r="D477" s="58" t="s">
        <v>334</v>
      </c>
      <c r="E477" s="58">
        <v>48.505000000000003</v>
      </c>
      <c r="F477" s="58">
        <v>47.3</v>
      </c>
      <c r="G477" s="58" t="s">
        <v>334</v>
      </c>
      <c r="H477" s="58">
        <v>48.024999999999999</v>
      </c>
      <c r="I477" s="58">
        <v>48.905999999999999</v>
      </c>
      <c r="J477" s="58">
        <v>47.393000000000001</v>
      </c>
      <c r="K477" s="58">
        <v>47.2</v>
      </c>
      <c r="L477" s="58" t="s">
        <v>334</v>
      </c>
      <c r="M477" s="59">
        <v>46.533000000000001</v>
      </c>
      <c r="N477" s="58"/>
    </row>
    <row r="478" spans="1:14" ht="18" customHeight="1">
      <c r="A478" s="57">
        <v>29</v>
      </c>
      <c r="B478" s="58">
        <v>46.948</v>
      </c>
      <c r="C478" s="58" t="s">
        <v>335</v>
      </c>
      <c r="D478" s="58" t="s">
        <v>334</v>
      </c>
      <c r="E478" s="58">
        <v>48.893000000000001</v>
      </c>
      <c r="F478" s="58">
        <v>47.548000000000002</v>
      </c>
      <c r="G478" s="58">
        <v>48.280999999999999</v>
      </c>
      <c r="H478" s="58">
        <v>48.079000000000001</v>
      </c>
      <c r="I478" s="58" t="s">
        <v>334</v>
      </c>
      <c r="J478" s="58">
        <v>47.542000000000002</v>
      </c>
      <c r="K478" s="58">
        <v>47.396999999999998</v>
      </c>
      <c r="L478" s="58" t="s">
        <v>334</v>
      </c>
      <c r="M478" s="59">
        <v>46.356000000000002</v>
      </c>
      <c r="N478" s="58"/>
    </row>
    <row r="479" spans="1:14" ht="18" customHeight="1">
      <c r="A479" s="57">
        <v>30</v>
      </c>
      <c r="B479" s="58">
        <v>47.076000000000001</v>
      </c>
      <c r="C479" s="58" t="s">
        <v>335</v>
      </c>
      <c r="D479" s="58">
        <v>48.170999999999999</v>
      </c>
      <c r="E479" s="58">
        <v>48.704000000000001</v>
      </c>
      <c r="F479" s="58" t="s">
        <v>334</v>
      </c>
      <c r="G479" s="58">
        <v>48.308</v>
      </c>
      <c r="H479" s="58">
        <v>48.11</v>
      </c>
      <c r="I479" s="58" t="s">
        <v>334</v>
      </c>
      <c r="J479" s="58">
        <v>47.591999999999999</v>
      </c>
      <c r="K479" s="58">
        <v>47.731999999999999</v>
      </c>
      <c r="L479" s="58" t="s">
        <v>334</v>
      </c>
      <c r="M479" s="59" t="s">
        <v>334</v>
      </c>
      <c r="N479" s="58"/>
    </row>
    <row r="480" spans="1:14" ht="18" customHeight="1">
      <c r="A480" s="57">
        <v>31</v>
      </c>
      <c r="B480" s="58" t="s">
        <v>334</v>
      </c>
      <c r="C480" s="58" t="s">
        <v>335</v>
      </c>
      <c r="D480" s="58">
        <v>48.418999999999997</v>
      </c>
      <c r="E480" s="58" t="s">
        <v>335</v>
      </c>
      <c r="F480" s="58" t="s">
        <v>334</v>
      </c>
      <c r="G480" s="58" t="s">
        <v>335</v>
      </c>
      <c r="H480" s="58">
        <v>48.121000000000002</v>
      </c>
      <c r="I480" s="58" t="s">
        <v>334</v>
      </c>
      <c r="J480" s="58" t="s">
        <v>335</v>
      </c>
      <c r="K480" s="58" t="s">
        <v>334</v>
      </c>
      <c r="L480" s="58" t="s">
        <v>335</v>
      </c>
      <c r="M480" s="59" t="s">
        <v>334</v>
      </c>
      <c r="N480" s="58"/>
    </row>
    <row r="481" spans="1:15" ht="18" customHeight="1" thickBot="1">
      <c r="A481" s="60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2"/>
      <c r="N481" s="58"/>
    </row>
    <row r="482" spans="1:15" ht="18" customHeight="1">
      <c r="A482" s="618">
        <v>2008</v>
      </c>
      <c r="B482" s="621"/>
      <c r="C482" s="621"/>
      <c r="D482" s="621"/>
      <c r="E482" s="621"/>
      <c r="F482" s="621"/>
      <c r="G482" s="621"/>
      <c r="H482" s="621"/>
      <c r="I482" s="621"/>
      <c r="J482" s="621"/>
      <c r="K482" s="621"/>
      <c r="L482" s="621"/>
      <c r="M482" s="622"/>
      <c r="N482" s="52"/>
    </row>
    <row r="483" spans="1:15" ht="18" customHeight="1" thickBot="1">
      <c r="A483" s="63" t="s">
        <v>322</v>
      </c>
      <c r="B483" s="64" t="s">
        <v>323</v>
      </c>
      <c r="C483" s="64" t="s">
        <v>324</v>
      </c>
      <c r="D483" s="64" t="s">
        <v>325</v>
      </c>
      <c r="E483" s="64" t="s">
        <v>326</v>
      </c>
      <c r="F483" s="64" t="s">
        <v>236</v>
      </c>
      <c r="G483" s="64" t="s">
        <v>327</v>
      </c>
      <c r="H483" s="64" t="s">
        <v>328</v>
      </c>
      <c r="I483" s="64" t="s">
        <v>329</v>
      </c>
      <c r="J483" s="64" t="s">
        <v>330</v>
      </c>
      <c r="K483" s="64" t="s">
        <v>331</v>
      </c>
      <c r="L483" s="64" t="s">
        <v>332</v>
      </c>
      <c r="M483" s="65" t="s">
        <v>333</v>
      </c>
      <c r="N483" s="52"/>
    </row>
    <row r="484" spans="1:15" ht="18" customHeight="1">
      <c r="A484" s="54">
        <v>1</v>
      </c>
      <c r="B484" s="55" t="s">
        <v>334</v>
      </c>
      <c r="C484" s="55">
        <v>40.625999999999998</v>
      </c>
      <c r="D484" s="55" t="s">
        <v>334</v>
      </c>
      <c r="E484" s="55">
        <v>41.756</v>
      </c>
      <c r="F484" s="55" t="s">
        <v>334</v>
      </c>
      <c r="G484" s="55" t="s">
        <v>334</v>
      </c>
      <c r="H484" s="55">
        <v>44.896000000000001</v>
      </c>
      <c r="I484" s="55">
        <v>44.21</v>
      </c>
      <c r="J484" s="55">
        <v>45.863999999999997</v>
      </c>
      <c r="K484" s="55" t="s">
        <v>334</v>
      </c>
      <c r="L484" s="70" t="s">
        <v>334</v>
      </c>
      <c r="M484" s="71" t="s">
        <v>334</v>
      </c>
      <c r="N484" s="83">
        <v>2008</v>
      </c>
      <c r="O484" s="47">
        <f>AVERAGE(B484:M514)</f>
        <v>44.448715447154463</v>
      </c>
    </row>
    <row r="485" spans="1:15" ht="18" customHeight="1">
      <c r="A485" s="57">
        <v>2</v>
      </c>
      <c r="B485" s="58">
        <v>41.411000000000001</v>
      </c>
      <c r="C485" s="58" t="s">
        <v>334</v>
      </c>
      <c r="D485" s="58" t="s">
        <v>334</v>
      </c>
      <c r="E485" s="58">
        <v>41.680999999999997</v>
      </c>
      <c r="F485" s="58">
        <v>42.226999999999997</v>
      </c>
      <c r="G485" s="58">
        <v>43.82</v>
      </c>
      <c r="H485" s="58">
        <v>44.933999999999997</v>
      </c>
      <c r="I485" s="58" t="s">
        <v>334</v>
      </c>
      <c r="J485" s="58">
        <v>46.271000000000001</v>
      </c>
      <c r="K485" s="58">
        <v>47.264000000000003</v>
      </c>
      <c r="L485" s="72" t="s">
        <v>334</v>
      </c>
      <c r="M485" s="73">
        <v>48.798999999999999</v>
      </c>
      <c r="N485" s="58"/>
    </row>
    <row r="486" spans="1:15" ht="18" customHeight="1">
      <c r="A486" s="57">
        <v>3</v>
      </c>
      <c r="B486" s="58">
        <v>41.133000000000003</v>
      </c>
      <c r="C486" s="58" t="s">
        <v>334</v>
      </c>
      <c r="D486" s="58">
        <v>40.457000000000001</v>
      </c>
      <c r="E486" s="58">
        <v>41.527999999999999</v>
      </c>
      <c r="F486" s="58" t="s">
        <v>334</v>
      </c>
      <c r="G486" s="58">
        <v>43.566000000000003</v>
      </c>
      <c r="H486" s="58">
        <v>45.151000000000003</v>
      </c>
      <c r="I486" s="58" t="s">
        <v>334</v>
      </c>
      <c r="J486" s="58">
        <v>46.485999999999997</v>
      </c>
      <c r="K486" s="58">
        <v>46.98</v>
      </c>
      <c r="L486" s="72">
        <v>48.902000000000001</v>
      </c>
      <c r="M486" s="73">
        <v>49.470999999999997</v>
      </c>
      <c r="N486" s="58"/>
    </row>
    <row r="487" spans="1:15" ht="18" customHeight="1">
      <c r="A487" s="57">
        <v>4</v>
      </c>
      <c r="B487" s="58">
        <v>41.207999999999998</v>
      </c>
      <c r="C487" s="58">
        <v>40.511000000000003</v>
      </c>
      <c r="D487" s="58">
        <v>40.661999999999999</v>
      </c>
      <c r="E487" s="58">
        <v>41.552</v>
      </c>
      <c r="F487" s="58" t="s">
        <v>334</v>
      </c>
      <c r="G487" s="58">
        <v>43.698999999999998</v>
      </c>
      <c r="H487" s="58">
        <v>45.32</v>
      </c>
      <c r="I487" s="58">
        <v>44.213000000000001</v>
      </c>
      <c r="J487" s="58">
        <v>46.597000000000001</v>
      </c>
      <c r="K487" s="58" t="s">
        <v>334</v>
      </c>
      <c r="L487" s="58">
        <v>48.68</v>
      </c>
      <c r="M487" s="59">
        <v>49.289000000000001</v>
      </c>
      <c r="N487" s="58"/>
    </row>
    <row r="488" spans="1:15" ht="18" customHeight="1">
      <c r="A488" s="57">
        <v>5</v>
      </c>
      <c r="B488" s="58" t="s">
        <v>334</v>
      </c>
      <c r="C488" s="58">
        <v>40.558</v>
      </c>
      <c r="D488" s="58">
        <v>40.677999999999997</v>
      </c>
      <c r="E488" s="58" t="s">
        <v>334</v>
      </c>
      <c r="F488" s="58">
        <v>42.314999999999998</v>
      </c>
      <c r="G488" s="58">
        <v>43.890999999999998</v>
      </c>
      <c r="H488" s="58" t="s">
        <v>334</v>
      </c>
      <c r="I488" s="58">
        <v>44.421999999999997</v>
      </c>
      <c r="J488" s="58">
        <v>46.683999999999997</v>
      </c>
      <c r="K488" s="58" t="s">
        <v>334</v>
      </c>
      <c r="L488" s="58">
        <v>48.7</v>
      </c>
      <c r="M488" s="59">
        <v>49.238999999999997</v>
      </c>
      <c r="N488" s="58"/>
    </row>
    <row r="489" spans="1:15" ht="18" customHeight="1">
      <c r="A489" s="57">
        <v>6</v>
      </c>
      <c r="B489" s="58" t="s">
        <v>334</v>
      </c>
      <c r="C489" s="58">
        <v>40.706000000000003</v>
      </c>
      <c r="D489" s="58">
        <v>40.695999999999998</v>
      </c>
      <c r="E489" s="58" t="s">
        <v>334</v>
      </c>
      <c r="F489" s="58">
        <v>42.332000000000001</v>
      </c>
      <c r="G489" s="58">
        <v>44.070999999999998</v>
      </c>
      <c r="H489" s="58" t="s">
        <v>334</v>
      </c>
      <c r="I489" s="58">
        <v>44.183</v>
      </c>
      <c r="J489" s="58" t="s">
        <v>334</v>
      </c>
      <c r="K489" s="58">
        <v>47.128</v>
      </c>
      <c r="L489" s="58">
        <v>48.078000000000003</v>
      </c>
      <c r="M489" s="59" t="s">
        <v>334</v>
      </c>
      <c r="N489" s="58"/>
    </row>
    <row r="490" spans="1:15" ht="18" customHeight="1">
      <c r="A490" s="57">
        <v>7</v>
      </c>
      <c r="B490" s="58">
        <v>41.018999999999998</v>
      </c>
      <c r="C490" s="58">
        <v>40.686999999999998</v>
      </c>
      <c r="D490" s="58">
        <v>40.634</v>
      </c>
      <c r="E490" s="58" t="s">
        <v>334</v>
      </c>
      <c r="F490" s="58">
        <v>42.280999999999999</v>
      </c>
      <c r="G490" s="58" t="s">
        <v>334</v>
      </c>
      <c r="H490" s="58">
        <v>45.551000000000002</v>
      </c>
      <c r="I490" s="58">
        <v>43.841999999999999</v>
      </c>
      <c r="J490" s="58" t="s">
        <v>334</v>
      </c>
      <c r="K490" s="58">
        <v>47.402999999999999</v>
      </c>
      <c r="L490" s="58">
        <v>48.488</v>
      </c>
      <c r="M490" s="59" t="s">
        <v>334</v>
      </c>
      <c r="N490" s="58"/>
    </row>
    <row r="491" spans="1:15" ht="18" customHeight="1">
      <c r="A491" s="57">
        <v>8</v>
      </c>
      <c r="B491" s="58">
        <v>41.024000000000001</v>
      </c>
      <c r="C491" s="58">
        <v>40.737000000000002</v>
      </c>
      <c r="D491" s="58" t="s">
        <v>334</v>
      </c>
      <c r="E491" s="58">
        <v>41.707999999999998</v>
      </c>
      <c r="F491" s="58">
        <v>42.387</v>
      </c>
      <c r="G491" s="58" t="s">
        <v>334</v>
      </c>
      <c r="H491" s="58">
        <v>45.512999999999998</v>
      </c>
      <c r="I491" s="58">
        <v>43.904000000000003</v>
      </c>
      <c r="J491" s="58">
        <v>46.841000000000001</v>
      </c>
      <c r="K491" s="58">
        <v>47.613999999999997</v>
      </c>
      <c r="L491" s="58" t="s">
        <v>334</v>
      </c>
      <c r="M491" s="59">
        <v>49.194000000000003</v>
      </c>
      <c r="N491" s="58"/>
    </row>
    <row r="492" spans="1:15" ht="18" customHeight="1">
      <c r="A492" s="57">
        <v>9</v>
      </c>
      <c r="B492" s="58">
        <v>40.848999999999997</v>
      </c>
      <c r="C492" s="58" t="s">
        <v>334</v>
      </c>
      <c r="D492" s="58" t="s">
        <v>334</v>
      </c>
      <c r="E492" s="58">
        <v>41.720999999999997</v>
      </c>
      <c r="F492" s="58">
        <v>42.624000000000002</v>
      </c>
      <c r="G492" s="58" t="s">
        <v>334</v>
      </c>
      <c r="H492" s="58">
        <v>45.796999999999997</v>
      </c>
      <c r="I492" s="58" t="s">
        <v>334</v>
      </c>
      <c r="J492" s="58">
        <v>46.396999999999998</v>
      </c>
      <c r="K492" s="58">
        <v>47.661999999999999</v>
      </c>
      <c r="L492" s="58" t="s">
        <v>334</v>
      </c>
      <c r="M492" s="59">
        <v>48.71</v>
      </c>
      <c r="N492" s="58"/>
    </row>
    <row r="493" spans="1:15" ht="18" customHeight="1">
      <c r="A493" s="57">
        <v>10</v>
      </c>
      <c r="B493" s="58">
        <v>40.628</v>
      </c>
      <c r="C493" s="58" t="s">
        <v>334</v>
      </c>
      <c r="D493" s="58">
        <v>40.811999999999998</v>
      </c>
      <c r="E493" s="58">
        <v>41.707999999999998</v>
      </c>
      <c r="F493" s="58" t="s">
        <v>334</v>
      </c>
      <c r="G493" s="58">
        <v>44.15</v>
      </c>
      <c r="H493" s="58">
        <v>45.674999999999997</v>
      </c>
      <c r="I493" s="58" t="s">
        <v>334</v>
      </c>
      <c r="J493" s="58">
        <v>46.786000000000001</v>
      </c>
      <c r="K493" s="58">
        <v>47.555999999999997</v>
      </c>
      <c r="L493" s="58">
        <v>48.798000000000002</v>
      </c>
      <c r="M493" s="59">
        <v>48.427</v>
      </c>
      <c r="N493" s="58"/>
    </row>
    <row r="494" spans="1:15" ht="18" customHeight="1">
      <c r="A494" s="57">
        <v>11</v>
      </c>
      <c r="B494" s="58">
        <v>40.68</v>
      </c>
      <c r="C494" s="58">
        <v>40.661000000000001</v>
      </c>
      <c r="D494" s="58">
        <v>41.073999999999998</v>
      </c>
      <c r="E494" s="58">
        <v>41.651000000000003</v>
      </c>
      <c r="F494" s="58" t="s">
        <v>334</v>
      </c>
      <c r="G494" s="58">
        <v>44.421999999999997</v>
      </c>
      <c r="H494" s="58">
        <v>45.588000000000001</v>
      </c>
      <c r="I494" s="58">
        <v>44.305</v>
      </c>
      <c r="J494" s="58">
        <v>46.887</v>
      </c>
      <c r="K494" s="58" t="s">
        <v>334</v>
      </c>
      <c r="L494" s="58">
        <v>48.491999999999997</v>
      </c>
      <c r="M494" s="59">
        <v>48.259</v>
      </c>
      <c r="N494" s="58"/>
    </row>
    <row r="495" spans="1:15" ht="18" customHeight="1">
      <c r="A495" s="57">
        <v>12</v>
      </c>
      <c r="B495" s="58" t="s">
        <v>334</v>
      </c>
      <c r="C495" s="58">
        <v>40.802</v>
      </c>
      <c r="D495" s="58">
        <v>41.279000000000003</v>
      </c>
      <c r="E495" s="58" t="s">
        <v>334</v>
      </c>
      <c r="F495" s="58">
        <v>42.548000000000002</v>
      </c>
      <c r="G495" s="58">
        <v>44.459000000000003</v>
      </c>
      <c r="H495" s="58" t="s">
        <v>334</v>
      </c>
      <c r="I495" s="58">
        <v>44.433</v>
      </c>
      <c r="J495" s="58">
        <v>47.076999999999998</v>
      </c>
      <c r="K495" s="58" t="s">
        <v>334</v>
      </c>
      <c r="L495" s="58">
        <v>48.804000000000002</v>
      </c>
      <c r="M495" s="59">
        <v>47.917999999999999</v>
      </c>
      <c r="N495" s="58"/>
    </row>
    <row r="496" spans="1:15" ht="18" customHeight="1">
      <c r="A496" s="57">
        <v>13</v>
      </c>
      <c r="B496" s="58" t="s">
        <v>334</v>
      </c>
      <c r="C496" s="58">
        <v>40.814</v>
      </c>
      <c r="D496" s="58">
        <v>41.167999999999999</v>
      </c>
      <c r="E496" s="58" t="s">
        <v>334</v>
      </c>
      <c r="F496" s="58">
        <v>42.622999999999998</v>
      </c>
      <c r="G496" s="58">
        <v>44.469000000000001</v>
      </c>
      <c r="H496" s="58" t="s">
        <v>334</v>
      </c>
      <c r="I496" s="58">
        <v>44.597000000000001</v>
      </c>
      <c r="J496" s="58" t="s">
        <v>334</v>
      </c>
      <c r="K496" s="58">
        <v>47.718000000000004</v>
      </c>
      <c r="L496" s="58">
        <v>48.993000000000002</v>
      </c>
      <c r="M496" s="59" t="s">
        <v>334</v>
      </c>
      <c r="N496" s="58"/>
    </row>
    <row r="497" spans="1:14" ht="18" customHeight="1">
      <c r="A497" s="57">
        <v>14</v>
      </c>
      <c r="B497" s="58">
        <v>40.598999999999997</v>
      </c>
      <c r="C497" s="58">
        <v>40.869999999999997</v>
      </c>
      <c r="D497" s="58">
        <v>41.417000000000002</v>
      </c>
      <c r="E497" s="58">
        <v>41.637</v>
      </c>
      <c r="F497" s="58">
        <v>42.709000000000003</v>
      </c>
      <c r="G497" s="58" t="s">
        <v>334</v>
      </c>
      <c r="H497" s="58">
        <v>45.747</v>
      </c>
      <c r="I497" s="58">
        <v>44.631999999999998</v>
      </c>
      <c r="J497" s="58" t="s">
        <v>334</v>
      </c>
      <c r="K497" s="58">
        <v>47.362000000000002</v>
      </c>
      <c r="L497" s="58">
        <v>49.411000000000001</v>
      </c>
      <c r="M497" s="59" t="s">
        <v>334</v>
      </c>
      <c r="N497" s="58"/>
    </row>
    <row r="498" spans="1:14" ht="18" customHeight="1">
      <c r="A498" s="57">
        <v>15</v>
      </c>
      <c r="B498" s="58">
        <v>40.576999999999998</v>
      </c>
      <c r="C498" s="58">
        <v>40.954000000000001</v>
      </c>
      <c r="D498" s="58" t="s">
        <v>334</v>
      </c>
      <c r="E498" s="58">
        <v>41.72</v>
      </c>
      <c r="F498" s="58">
        <v>42.819000000000003</v>
      </c>
      <c r="G498" s="58" t="s">
        <v>334</v>
      </c>
      <c r="H498" s="58">
        <v>45.491999999999997</v>
      </c>
      <c r="I498" s="58">
        <v>44.92</v>
      </c>
      <c r="J498" s="58">
        <v>46.968000000000004</v>
      </c>
      <c r="K498" s="58">
        <v>47.073999999999998</v>
      </c>
      <c r="L498" s="58" t="s">
        <v>334</v>
      </c>
      <c r="M498" s="59">
        <v>47.926000000000002</v>
      </c>
      <c r="N498" s="58"/>
    </row>
    <row r="499" spans="1:14" ht="18" customHeight="1">
      <c r="A499" s="57">
        <v>16</v>
      </c>
      <c r="B499" s="58">
        <v>40.524000000000001</v>
      </c>
      <c r="C499" s="58" t="s">
        <v>334</v>
      </c>
      <c r="D499" s="58" t="s">
        <v>334</v>
      </c>
      <c r="E499" s="58">
        <v>41.8</v>
      </c>
      <c r="F499" s="58">
        <v>42.79</v>
      </c>
      <c r="G499" s="58">
        <v>44.362000000000002</v>
      </c>
      <c r="H499" s="58">
        <v>45.264000000000003</v>
      </c>
      <c r="I499" s="58" t="s">
        <v>334</v>
      </c>
      <c r="J499" s="58">
        <v>46.978999999999999</v>
      </c>
      <c r="K499" s="58">
        <v>47.466000000000001</v>
      </c>
      <c r="L499" s="58" t="s">
        <v>334</v>
      </c>
      <c r="M499" s="59">
        <v>47.725000000000001</v>
      </c>
      <c r="N499" s="58"/>
    </row>
    <row r="500" spans="1:14" ht="18" customHeight="1">
      <c r="A500" s="57">
        <v>17</v>
      </c>
      <c r="B500" s="58">
        <v>40.722999999999999</v>
      </c>
      <c r="C500" s="58" t="s">
        <v>334</v>
      </c>
      <c r="D500" s="58">
        <v>41.491</v>
      </c>
      <c r="E500" s="58">
        <v>41.874000000000002</v>
      </c>
      <c r="F500" s="58" t="s">
        <v>334</v>
      </c>
      <c r="G500" s="58">
        <v>44.44</v>
      </c>
      <c r="H500" s="58">
        <v>45.476999999999997</v>
      </c>
      <c r="I500" s="58" t="s">
        <v>334</v>
      </c>
      <c r="J500" s="58">
        <v>47.27</v>
      </c>
      <c r="K500" s="58">
        <v>48.045000000000002</v>
      </c>
      <c r="L500" s="58">
        <v>49.314999999999998</v>
      </c>
      <c r="M500" s="59">
        <v>47.39</v>
      </c>
      <c r="N500" s="58"/>
    </row>
    <row r="501" spans="1:14" ht="18" customHeight="1">
      <c r="A501" s="57">
        <v>18</v>
      </c>
      <c r="B501" s="58">
        <v>40.959000000000003</v>
      </c>
      <c r="C501" s="58">
        <v>40.871000000000002</v>
      </c>
      <c r="D501" s="58">
        <v>41.673999999999999</v>
      </c>
      <c r="E501" s="58">
        <v>41.875</v>
      </c>
      <c r="F501" s="58" t="s">
        <v>334</v>
      </c>
      <c r="G501" s="58">
        <v>44.326000000000001</v>
      </c>
      <c r="H501" s="58">
        <v>45.250999999999998</v>
      </c>
      <c r="I501" s="58" t="s">
        <v>334</v>
      </c>
      <c r="J501" s="58">
        <v>47.008000000000003</v>
      </c>
      <c r="K501" s="58" t="s">
        <v>334</v>
      </c>
      <c r="L501" s="58">
        <v>49.610999999999997</v>
      </c>
      <c r="M501" s="59">
        <v>46.969000000000001</v>
      </c>
      <c r="N501" s="58"/>
    </row>
    <row r="502" spans="1:14" ht="18" customHeight="1">
      <c r="A502" s="57">
        <v>19</v>
      </c>
      <c r="B502" s="58" t="s">
        <v>334</v>
      </c>
      <c r="C502" s="58">
        <v>40.683999999999997</v>
      </c>
      <c r="D502" s="58">
        <v>41.649000000000001</v>
      </c>
      <c r="E502" s="58" t="s">
        <v>334</v>
      </c>
      <c r="F502" s="58">
        <v>42.752000000000002</v>
      </c>
      <c r="G502" s="58">
        <v>44.161000000000001</v>
      </c>
      <c r="H502" s="58" t="s">
        <v>334</v>
      </c>
      <c r="I502" s="58">
        <v>45.264000000000003</v>
      </c>
      <c r="J502" s="58">
        <v>47.206000000000003</v>
      </c>
      <c r="K502" s="58" t="s">
        <v>334</v>
      </c>
      <c r="L502" s="58">
        <v>49.953000000000003</v>
      </c>
      <c r="M502" s="59">
        <v>46.707999999999998</v>
      </c>
      <c r="N502" s="58"/>
    </row>
    <row r="503" spans="1:14" ht="18" customHeight="1">
      <c r="A503" s="57">
        <v>20</v>
      </c>
      <c r="B503" s="58" t="s">
        <v>334</v>
      </c>
      <c r="C503" s="58">
        <v>40.621000000000002</v>
      </c>
      <c r="D503" s="58" t="s">
        <v>334</v>
      </c>
      <c r="E503" s="58" t="s">
        <v>334</v>
      </c>
      <c r="F503" s="58">
        <v>42.753</v>
      </c>
      <c r="G503" s="58">
        <v>44.421999999999997</v>
      </c>
      <c r="H503" s="58" t="s">
        <v>334</v>
      </c>
      <c r="I503" s="58">
        <v>45.45</v>
      </c>
      <c r="J503" s="58" t="s">
        <v>334</v>
      </c>
      <c r="K503" s="58">
        <v>47.982999999999997</v>
      </c>
      <c r="L503" s="58">
        <v>49.951000000000001</v>
      </c>
      <c r="M503" s="59" t="s">
        <v>334</v>
      </c>
      <c r="N503" s="58"/>
    </row>
    <row r="504" spans="1:14" ht="18" customHeight="1">
      <c r="A504" s="57">
        <v>21</v>
      </c>
      <c r="B504" s="58">
        <v>41.04</v>
      </c>
      <c r="C504" s="58">
        <v>40.716999999999999</v>
      </c>
      <c r="D504" s="58" t="s">
        <v>334</v>
      </c>
      <c r="E504" s="58">
        <v>41.929000000000002</v>
      </c>
      <c r="F504" s="58">
        <v>42.95</v>
      </c>
      <c r="G504" s="58" t="s">
        <v>334</v>
      </c>
      <c r="H504" s="58">
        <v>44.51</v>
      </c>
      <c r="I504" s="58">
        <v>45.628999999999998</v>
      </c>
      <c r="J504" s="58" t="s">
        <v>334</v>
      </c>
      <c r="K504" s="58">
        <v>48.122</v>
      </c>
      <c r="L504" s="58">
        <v>49.984000000000002</v>
      </c>
      <c r="M504" s="59" t="s">
        <v>334</v>
      </c>
      <c r="N504" s="58"/>
    </row>
    <row r="505" spans="1:14" ht="18" customHeight="1">
      <c r="A505" s="57">
        <v>22</v>
      </c>
      <c r="B505" s="58">
        <v>41.087000000000003</v>
      </c>
      <c r="C505" s="58">
        <v>40.718000000000004</v>
      </c>
      <c r="D505" s="58" t="s">
        <v>334</v>
      </c>
      <c r="E505" s="58">
        <v>41.875</v>
      </c>
      <c r="F505" s="58">
        <v>43.174999999999997</v>
      </c>
      <c r="G505" s="58" t="s">
        <v>334</v>
      </c>
      <c r="H505" s="58">
        <v>44.395000000000003</v>
      </c>
      <c r="I505" s="58">
        <v>45.576000000000001</v>
      </c>
      <c r="J505" s="58">
        <v>46.661999999999999</v>
      </c>
      <c r="K505" s="58">
        <v>48.219000000000001</v>
      </c>
      <c r="L505" s="58" t="s">
        <v>334</v>
      </c>
      <c r="M505" s="59">
        <v>46.890999999999998</v>
      </c>
      <c r="N505" s="58"/>
    </row>
    <row r="506" spans="1:14" ht="18" customHeight="1">
      <c r="A506" s="57">
        <v>23</v>
      </c>
      <c r="B506" s="58">
        <v>41.514000000000003</v>
      </c>
      <c r="C506" s="58" t="s">
        <v>334</v>
      </c>
      <c r="D506" s="58" t="s">
        <v>334</v>
      </c>
      <c r="E506" s="58">
        <v>41.917999999999999</v>
      </c>
      <c r="F506" s="58">
        <v>43.427</v>
      </c>
      <c r="G506" s="58">
        <v>44.405999999999999</v>
      </c>
      <c r="H506" s="58">
        <v>44.648000000000003</v>
      </c>
      <c r="I506" s="58" t="s">
        <v>334</v>
      </c>
      <c r="J506" s="58">
        <v>46.253</v>
      </c>
      <c r="K506" s="58">
        <v>48.634999999999998</v>
      </c>
      <c r="L506" s="58" t="s">
        <v>334</v>
      </c>
      <c r="M506" s="59">
        <v>47.201999999999998</v>
      </c>
      <c r="N506" s="58"/>
    </row>
    <row r="507" spans="1:14" ht="18" customHeight="1">
      <c r="A507" s="57">
        <v>24</v>
      </c>
      <c r="B507" s="58">
        <v>41.325000000000003</v>
      </c>
      <c r="C507" s="58" t="s">
        <v>334</v>
      </c>
      <c r="D507" s="58">
        <v>41.58</v>
      </c>
      <c r="E507" s="58">
        <v>41.953000000000003</v>
      </c>
      <c r="F507" s="58" t="s">
        <v>334</v>
      </c>
      <c r="G507" s="58">
        <v>44.527000000000001</v>
      </c>
      <c r="H507" s="58">
        <v>44.131</v>
      </c>
      <c r="I507" s="58" t="s">
        <v>334</v>
      </c>
      <c r="J507" s="58">
        <v>46.515999999999998</v>
      </c>
      <c r="K507" s="58">
        <v>48.942</v>
      </c>
      <c r="L507" s="58">
        <v>49.984000000000002</v>
      </c>
      <c r="M507" s="59">
        <v>47.484999999999999</v>
      </c>
      <c r="N507" s="58"/>
    </row>
    <row r="508" spans="1:14" ht="18" customHeight="1">
      <c r="A508" s="57">
        <v>25</v>
      </c>
      <c r="B508" s="58">
        <v>41.131999999999998</v>
      </c>
      <c r="C508" s="58" t="s">
        <v>334</v>
      </c>
      <c r="D508" s="58">
        <v>41.640999999999998</v>
      </c>
      <c r="E508" s="58">
        <v>41.954000000000001</v>
      </c>
      <c r="F508" s="58" t="s">
        <v>334</v>
      </c>
      <c r="G508" s="58">
        <v>44.643000000000001</v>
      </c>
      <c r="H508" s="58">
        <v>44.031999999999996</v>
      </c>
      <c r="I508" s="58" t="s">
        <v>334</v>
      </c>
      <c r="J508" s="58">
        <v>46.457999999999998</v>
      </c>
      <c r="K508" s="58" t="s">
        <v>334</v>
      </c>
      <c r="L508" s="58">
        <v>49.832000000000001</v>
      </c>
      <c r="M508" s="59" t="s">
        <v>334</v>
      </c>
      <c r="N508" s="58"/>
    </row>
    <row r="509" spans="1:14" ht="18" customHeight="1">
      <c r="A509" s="57">
        <v>26</v>
      </c>
      <c r="B509" s="58" t="s">
        <v>334</v>
      </c>
      <c r="C509" s="58">
        <v>40.643000000000001</v>
      </c>
      <c r="D509" s="58">
        <v>41.600999999999999</v>
      </c>
      <c r="E509" s="58" t="s">
        <v>334</v>
      </c>
      <c r="F509" s="58">
        <v>43.436</v>
      </c>
      <c r="G509" s="58">
        <v>44.557000000000002</v>
      </c>
      <c r="H509" s="58" t="s">
        <v>334</v>
      </c>
      <c r="I509" s="58">
        <v>45.600999999999999</v>
      </c>
      <c r="J509" s="58">
        <v>46.499000000000002</v>
      </c>
      <c r="K509" s="58" t="s">
        <v>334</v>
      </c>
      <c r="L509" s="58">
        <v>49.591999999999999</v>
      </c>
      <c r="M509" s="59" t="s">
        <v>334</v>
      </c>
      <c r="N509" s="58"/>
    </row>
    <row r="510" spans="1:14" ht="18" customHeight="1">
      <c r="A510" s="57">
        <v>27</v>
      </c>
      <c r="B510" s="58" t="s">
        <v>334</v>
      </c>
      <c r="C510" s="58">
        <v>40.482999999999997</v>
      </c>
      <c r="D510" s="58">
        <v>41.61</v>
      </c>
      <c r="E510" s="58" t="s">
        <v>334</v>
      </c>
      <c r="F510" s="58">
        <v>43.567999999999998</v>
      </c>
      <c r="G510" s="58">
        <v>44.463999999999999</v>
      </c>
      <c r="H510" s="58" t="s">
        <v>334</v>
      </c>
      <c r="I510" s="58">
        <v>45.933999999999997</v>
      </c>
      <c r="J510" s="58" t="s">
        <v>334</v>
      </c>
      <c r="K510" s="58">
        <v>48.915999999999997</v>
      </c>
      <c r="L510" s="58">
        <v>49.276000000000003</v>
      </c>
      <c r="M510" s="59" t="s">
        <v>334</v>
      </c>
      <c r="N510" s="58"/>
    </row>
    <row r="511" spans="1:14" ht="18" customHeight="1">
      <c r="A511" s="57">
        <v>28</v>
      </c>
      <c r="B511" s="58">
        <v>40.939</v>
      </c>
      <c r="C511" s="58">
        <v>40.399000000000001</v>
      </c>
      <c r="D511" s="58">
        <v>41.804000000000002</v>
      </c>
      <c r="E511" s="58">
        <v>42.058</v>
      </c>
      <c r="F511" s="58">
        <v>43.7</v>
      </c>
      <c r="G511" s="58" t="s">
        <v>334</v>
      </c>
      <c r="H511" s="58">
        <v>44.164000000000001</v>
      </c>
      <c r="I511" s="58">
        <v>45.862000000000002</v>
      </c>
      <c r="J511" s="58" t="s">
        <v>334</v>
      </c>
      <c r="K511" s="58">
        <v>49.331000000000003</v>
      </c>
      <c r="L511" s="58">
        <v>48.88</v>
      </c>
      <c r="M511" s="59" t="s">
        <v>334</v>
      </c>
      <c r="N511" s="58"/>
    </row>
    <row r="512" spans="1:14" ht="18" customHeight="1">
      <c r="A512" s="57">
        <v>29</v>
      </c>
      <c r="B512" s="58">
        <v>40.918999999999997</v>
      </c>
      <c r="C512" s="58">
        <v>40.36</v>
      </c>
      <c r="D512" s="58" t="s">
        <v>334</v>
      </c>
      <c r="E512" s="58">
        <v>42.121000000000002</v>
      </c>
      <c r="F512" s="58">
        <v>43.643000000000001</v>
      </c>
      <c r="G512" s="58" t="s">
        <v>334</v>
      </c>
      <c r="H512" s="58">
        <v>44.017000000000003</v>
      </c>
      <c r="I512" s="58">
        <v>45.685000000000002</v>
      </c>
      <c r="J512" s="58">
        <v>46.603000000000002</v>
      </c>
      <c r="K512" s="58">
        <v>49.378</v>
      </c>
      <c r="L512" s="58" t="s">
        <v>334</v>
      </c>
      <c r="M512" s="59" t="s">
        <v>334</v>
      </c>
      <c r="N512" s="58"/>
    </row>
    <row r="513" spans="1:15" ht="18" customHeight="1">
      <c r="A513" s="57">
        <v>30</v>
      </c>
      <c r="B513" s="58">
        <v>40.698</v>
      </c>
      <c r="C513" s="58" t="s">
        <v>335</v>
      </c>
      <c r="D513" s="58" t="s">
        <v>334</v>
      </c>
      <c r="E513" s="58">
        <v>42.192</v>
      </c>
      <c r="F513" s="58">
        <v>43.881999999999998</v>
      </c>
      <c r="G513" s="58">
        <v>44.756</v>
      </c>
      <c r="H513" s="58">
        <v>44.301000000000002</v>
      </c>
      <c r="I513" s="58" t="s">
        <v>334</v>
      </c>
      <c r="J513" s="58">
        <v>46.917000000000002</v>
      </c>
      <c r="K513" s="58">
        <v>49.011000000000003</v>
      </c>
      <c r="L513" s="58" t="s">
        <v>334</v>
      </c>
      <c r="M513" s="59" t="s">
        <v>334</v>
      </c>
      <c r="N513" s="58"/>
    </row>
    <row r="514" spans="1:15" ht="18" customHeight="1">
      <c r="A514" s="57">
        <v>31</v>
      </c>
      <c r="B514" s="58">
        <v>40.65</v>
      </c>
      <c r="C514" s="58" t="s">
        <v>335</v>
      </c>
      <c r="D514" s="58">
        <v>41.868000000000002</v>
      </c>
      <c r="E514" s="58" t="s">
        <v>335</v>
      </c>
      <c r="F514" s="58" t="s">
        <v>334</v>
      </c>
      <c r="G514" s="58" t="s">
        <v>335</v>
      </c>
      <c r="H514" s="58">
        <v>44.14</v>
      </c>
      <c r="I514" s="58" t="s">
        <v>334</v>
      </c>
      <c r="J514" s="58" t="s">
        <v>335</v>
      </c>
      <c r="K514" s="58">
        <v>48.746000000000002</v>
      </c>
      <c r="L514" s="58" t="s">
        <v>335</v>
      </c>
      <c r="M514" s="59" t="s">
        <v>334</v>
      </c>
      <c r="N514" s="58"/>
    </row>
    <row r="515" spans="1:15" ht="18" customHeight="1" thickBot="1">
      <c r="A515" s="74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75"/>
      <c r="N515" s="58"/>
    </row>
    <row r="516" spans="1:15" ht="18" customHeight="1">
      <c r="A516" s="605">
        <v>2007</v>
      </c>
      <c r="B516" s="616"/>
      <c r="C516" s="616"/>
      <c r="D516" s="616"/>
      <c r="E516" s="616"/>
      <c r="F516" s="616"/>
      <c r="G516" s="616"/>
      <c r="H516" s="616"/>
      <c r="I516" s="616"/>
      <c r="J516" s="616"/>
      <c r="K516" s="616"/>
      <c r="L516" s="616"/>
      <c r="M516" s="617"/>
      <c r="N516" s="52"/>
    </row>
    <row r="517" spans="1:15" ht="18" customHeight="1" thickBot="1">
      <c r="A517" s="51" t="s">
        <v>322</v>
      </c>
      <c r="B517" s="52" t="s">
        <v>323</v>
      </c>
      <c r="C517" s="52" t="s">
        <v>324</v>
      </c>
      <c r="D517" s="52" t="s">
        <v>325</v>
      </c>
      <c r="E517" s="52" t="s">
        <v>326</v>
      </c>
      <c r="F517" s="52" t="s">
        <v>236</v>
      </c>
      <c r="G517" s="52" t="s">
        <v>327</v>
      </c>
      <c r="H517" s="52" t="s">
        <v>328</v>
      </c>
      <c r="I517" s="52" t="s">
        <v>329</v>
      </c>
      <c r="J517" s="52" t="s">
        <v>330</v>
      </c>
      <c r="K517" s="52" t="s">
        <v>331</v>
      </c>
      <c r="L517" s="52" t="s">
        <v>332</v>
      </c>
      <c r="M517" s="53" t="s">
        <v>333</v>
      </c>
      <c r="N517" s="52"/>
    </row>
    <row r="518" spans="1:15" ht="18" customHeight="1">
      <c r="A518" s="54">
        <v>1</v>
      </c>
      <c r="B518" s="55" t="s">
        <v>334</v>
      </c>
      <c r="C518" s="55">
        <v>48.902000000000001</v>
      </c>
      <c r="D518" s="55">
        <v>48.582999999999998</v>
      </c>
      <c r="E518" s="55" t="s">
        <v>334</v>
      </c>
      <c r="F518" s="55" t="s">
        <v>334</v>
      </c>
      <c r="G518" s="55">
        <v>46.177999999999997</v>
      </c>
      <c r="H518" s="55" t="s">
        <v>334</v>
      </c>
      <c r="I518" s="55">
        <v>45.344000000000001</v>
      </c>
      <c r="J518" s="55" t="s">
        <v>334</v>
      </c>
      <c r="K518" s="55">
        <v>44.973999999999997</v>
      </c>
      <c r="L518" s="70" t="s">
        <v>334</v>
      </c>
      <c r="M518" s="71" t="s">
        <v>334</v>
      </c>
      <c r="N518" s="83">
        <v>2007</v>
      </c>
      <c r="O518" s="47">
        <f>AVERAGE(B518:M548)</f>
        <v>46.215766393442671</v>
      </c>
    </row>
    <row r="519" spans="1:15" ht="18" customHeight="1">
      <c r="A519" s="57">
        <v>2</v>
      </c>
      <c r="B519" s="58">
        <v>49.045000000000002</v>
      </c>
      <c r="C519" s="58">
        <v>48.780999999999999</v>
      </c>
      <c r="D519" s="58">
        <v>48.570999999999998</v>
      </c>
      <c r="E519" s="58">
        <v>48.216999999999999</v>
      </c>
      <c r="F519" s="58">
        <v>47.536000000000001</v>
      </c>
      <c r="G519" s="58" t="s">
        <v>334</v>
      </c>
      <c r="H519" s="58">
        <v>46.246000000000002</v>
      </c>
      <c r="I519" s="58">
        <v>45.679000000000002</v>
      </c>
      <c r="J519" s="58" t="s">
        <v>334</v>
      </c>
      <c r="K519" s="58">
        <v>44.863</v>
      </c>
      <c r="L519" s="72" t="s">
        <v>334</v>
      </c>
      <c r="M519" s="73" t="s">
        <v>334</v>
      </c>
      <c r="N519" s="58"/>
    </row>
    <row r="520" spans="1:15" ht="18" customHeight="1">
      <c r="A520" s="57">
        <v>3</v>
      </c>
      <c r="B520" s="58">
        <v>48.926000000000002</v>
      </c>
      <c r="C520" s="58" t="s">
        <v>334</v>
      </c>
      <c r="D520" s="58" t="s">
        <v>334</v>
      </c>
      <c r="E520" s="58">
        <v>48.293999999999997</v>
      </c>
      <c r="F520" s="58">
        <v>47.610999999999997</v>
      </c>
      <c r="G520" s="58" t="s">
        <v>334</v>
      </c>
      <c r="H520" s="58">
        <v>45.996000000000002</v>
      </c>
      <c r="I520" s="58">
        <v>45.78</v>
      </c>
      <c r="J520" s="58">
        <v>46.664000000000001</v>
      </c>
      <c r="K520" s="58">
        <v>44.834000000000003</v>
      </c>
      <c r="L520" s="72" t="s">
        <v>334</v>
      </c>
      <c r="M520" s="73">
        <v>42.759</v>
      </c>
      <c r="N520" s="58"/>
    </row>
    <row r="521" spans="1:15" ht="18" customHeight="1">
      <c r="A521" s="57">
        <v>4</v>
      </c>
      <c r="B521" s="58">
        <v>48.866999999999997</v>
      </c>
      <c r="C521" s="58" t="s">
        <v>334</v>
      </c>
      <c r="D521" s="58" t="s">
        <v>334</v>
      </c>
      <c r="E521" s="58">
        <v>48.268000000000001</v>
      </c>
      <c r="F521" s="58">
        <v>47.673000000000002</v>
      </c>
      <c r="G521" s="58">
        <v>46.122</v>
      </c>
      <c r="H521" s="58">
        <v>45.816000000000003</v>
      </c>
      <c r="I521" s="58" t="s">
        <v>334</v>
      </c>
      <c r="J521" s="58">
        <v>46.427</v>
      </c>
      <c r="K521" s="58">
        <v>44.999000000000002</v>
      </c>
      <c r="L521" s="58" t="s">
        <v>334</v>
      </c>
      <c r="M521" s="59">
        <v>42.362000000000002</v>
      </c>
      <c r="N521" s="58"/>
    </row>
    <row r="522" spans="1:15" ht="18" customHeight="1">
      <c r="A522" s="57">
        <v>5</v>
      </c>
      <c r="B522" s="58">
        <v>48.856999999999999</v>
      </c>
      <c r="C522" s="58">
        <v>48.697000000000003</v>
      </c>
      <c r="D522" s="58">
        <v>48.715000000000003</v>
      </c>
      <c r="E522" s="58" t="s">
        <v>334</v>
      </c>
      <c r="F522" s="58" t="s">
        <v>334</v>
      </c>
      <c r="G522" s="58">
        <v>45.718000000000004</v>
      </c>
      <c r="H522" s="58">
        <v>45.969000000000001</v>
      </c>
      <c r="I522" s="58" t="s">
        <v>334</v>
      </c>
      <c r="J522" s="58">
        <v>46.582000000000001</v>
      </c>
      <c r="K522" s="58">
        <v>45.040999999999997</v>
      </c>
      <c r="L522" s="58">
        <v>43.73</v>
      </c>
      <c r="M522" s="59">
        <v>42.223999999999997</v>
      </c>
      <c r="N522" s="58"/>
    </row>
    <row r="523" spans="1:15" ht="18" customHeight="1">
      <c r="A523" s="57">
        <v>6</v>
      </c>
      <c r="B523" s="58" t="s">
        <v>334</v>
      </c>
      <c r="C523" s="58">
        <v>48.713000000000001</v>
      </c>
      <c r="D523" s="58">
        <v>48.863999999999997</v>
      </c>
      <c r="E523" s="58" t="s">
        <v>334</v>
      </c>
      <c r="F523" s="58" t="s">
        <v>334</v>
      </c>
      <c r="G523" s="58">
        <v>45.720999999999997</v>
      </c>
      <c r="H523" s="58">
        <v>46.118000000000002</v>
      </c>
      <c r="I523" s="58">
        <v>45.634999999999998</v>
      </c>
      <c r="J523" s="58">
        <v>46.66</v>
      </c>
      <c r="K523" s="58" t="s">
        <v>334</v>
      </c>
      <c r="L523" s="58">
        <v>43.749000000000002</v>
      </c>
      <c r="M523" s="59">
        <v>42.057000000000002</v>
      </c>
      <c r="N523" s="58"/>
    </row>
    <row r="524" spans="1:15" ht="18" customHeight="1">
      <c r="A524" s="57">
        <v>7</v>
      </c>
      <c r="B524" s="58" t="s">
        <v>334</v>
      </c>
      <c r="C524" s="58">
        <v>48.564999999999998</v>
      </c>
      <c r="D524" s="58">
        <v>48.776000000000003</v>
      </c>
      <c r="E524" s="58" t="s">
        <v>334</v>
      </c>
      <c r="F524" s="58">
        <v>47.523000000000003</v>
      </c>
      <c r="G524" s="58">
        <v>45.9</v>
      </c>
      <c r="H524" s="58" t="s">
        <v>334</v>
      </c>
      <c r="I524" s="58">
        <v>45.65</v>
      </c>
      <c r="J524" s="58">
        <v>46.686</v>
      </c>
      <c r="K524" s="58" t="s">
        <v>334</v>
      </c>
      <c r="L524" s="58">
        <v>43.761000000000003</v>
      </c>
      <c r="M524" s="59">
        <v>41.892000000000003</v>
      </c>
      <c r="N524" s="58"/>
    </row>
    <row r="525" spans="1:15" ht="18" customHeight="1">
      <c r="A525" s="57">
        <v>8</v>
      </c>
      <c r="B525" s="58">
        <v>48.856999999999999</v>
      </c>
      <c r="C525" s="58">
        <v>48.383000000000003</v>
      </c>
      <c r="D525" s="58">
        <v>48.728999999999999</v>
      </c>
      <c r="E525" s="58" t="s">
        <v>334</v>
      </c>
      <c r="F525" s="58">
        <v>47.371000000000002</v>
      </c>
      <c r="G525" s="58">
        <v>46.112000000000002</v>
      </c>
      <c r="H525" s="58" t="s">
        <v>334</v>
      </c>
      <c r="I525" s="58">
        <v>45.350999999999999</v>
      </c>
      <c r="J525" s="58" t="s">
        <v>334</v>
      </c>
      <c r="K525" s="58">
        <v>44.768000000000001</v>
      </c>
      <c r="L525" s="58">
        <v>43.37</v>
      </c>
      <c r="M525" s="59" t="s">
        <v>334</v>
      </c>
      <c r="N525" s="58"/>
    </row>
    <row r="526" spans="1:15" ht="18" customHeight="1">
      <c r="A526" s="57">
        <v>9</v>
      </c>
      <c r="B526" s="58">
        <v>48.884999999999998</v>
      </c>
      <c r="C526" s="58">
        <v>48.421999999999997</v>
      </c>
      <c r="D526" s="58">
        <v>48.622</v>
      </c>
      <c r="E526" s="58" t="s">
        <v>334</v>
      </c>
      <c r="F526" s="58">
        <v>47.325000000000003</v>
      </c>
      <c r="G526" s="58" t="s">
        <v>334</v>
      </c>
      <c r="H526" s="58">
        <v>46.167000000000002</v>
      </c>
      <c r="I526" s="58">
        <v>45.289000000000001</v>
      </c>
      <c r="J526" s="58" t="s">
        <v>334</v>
      </c>
      <c r="K526" s="58">
        <v>44.406999999999996</v>
      </c>
      <c r="L526" s="58">
        <v>43.372999999999998</v>
      </c>
      <c r="M526" s="59" t="s">
        <v>334</v>
      </c>
      <c r="N526" s="58"/>
    </row>
    <row r="527" spans="1:15" ht="18" customHeight="1">
      <c r="A527" s="57">
        <v>10</v>
      </c>
      <c r="B527" s="58">
        <v>48.706000000000003</v>
      </c>
      <c r="C527" s="58" t="s">
        <v>334</v>
      </c>
      <c r="D527" s="58" t="s">
        <v>334</v>
      </c>
      <c r="E527" s="58">
        <v>48.116</v>
      </c>
      <c r="F527" s="58">
        <v>47.292999999999999</v>
      </c>
      <c r="G527" s="58" t="s">
        <v>334</v>
      </c>
      <c r="H527" s="58">
        <v>46.033999999999999</v>
      </c>
      <c r="I527" s="58">
        <v>45.164999999999999</v>
      </c>
      <c r="J527" s="58">
        <v>46.526000000000003</v>
      </c>
      <c r="K527" s="58">
        <v>44.344999999999999</v>
      </c>
      <c r="L527" s="58" t="s">
        <v>334</v>
      </c>
      <c r="M527" s="59">
        <v>41.744999999999997</v>
      </c>
      <c r="N527" s="58"/>
    </row>
    <row r="528" spans="1:15" ht="18" customHeight="1">
      <c r="A528" s="57">
        <v>11</v>
      </c>
      <c r="B528" s="58">
        <v>48.834000000000003</v>
      </c>
      <c r="C528" s="58" t="s">
        <v>334</v>
      </c>
      <c r="D528" s="58" t="s">
        <v>334</v>
      </c>
      <c r="E528" s="58">
        <v>47.984000000000002</v>
      </c>
      <c r="F528" s="58">
        <v>47.192</v>
      </c>
      <c r="G528" s="58" t="s">
        <v>334</v>
      </c>
      <c r="H528" s="58">
        <v>45.942</v>
      </c>
      <c r="I528" s="58" t="s">
        <v>334</v>
      </c>
      <c r="J528" s="58">
        <v>46.7</v>
      </c>
      <c r="K528" s="58">
        <v>44.173000000000002</v>
      </c>
      <c r="L528" s="58" t="s">
        <v>334</v>
      </c>
      <c r="M528" s="59">
        <v>41.658000000000001</v>
      </c>
      <c r="N528" s="58"/>
    </row>
    <row r="529" spans="1:14" ht="18" customHeight="1">
      <c r="A529" s="57">
        <v>12</v>
      </c>
      <c r="B529" s="58">
        <v>49</v>
      </c>
      <c r="C529" s="58">
        <v>48.308</v>
      </c>
      <c r="D529" s="58">
        <v>48.51</v>
      </c>
      <c r="E529" s="58">
        <v>47.94</v>
      </c>
      <c r="F529" s="58" t="s">
        <v>334</v>
      </c>
      <c r="G529" s="58">
        <v>46.411000000000001</v>
      </c>
      <c r="H529" s="58">
        <v>46.158999999999999</v>
      </c>
      <c r="I529" s="58" t="s">
        <v>334</v>
      </c>
      <c r="J529" s="58">
        <v>46.94</v>
      </c>
      <c r="K529" s="58" t="s">
        <v>334</v>
      </c>
      <c r="L529" s="58">
        <v>42.874000000000002</v>
      </c>
      <c r="M529" s="59">
        <v>41.444000000000003</v>
      </c>
      <c r="N529" s="58"/>
    </row>
    <row r="530" spans="1:14" ht="18" customHeight="1">
      <c r="A530" s="57">
        <v>13</v>
      </c>
      <c r="B530" s="58" t="s">
        <v>334</v>
      </c>
      <c r="C530" s="58">
        <v>48.351999999999997</v>
      </c>
      <c r="D530" s="58">
        <v>48.411999999999999</v>
      </c>
      <c r="E530" s="58">
        <v>47.994999999999997</v>
      </c>
      <c r="F530" s="58" t="s">
        <v>334</v>
      </c>
      <c r="G530" s="58">
        <v>46.298000000000002</v>
      </c>
      <c r="H530" s="58">
        <v>46.000999999999998</v>
      </c>
      <c r="I530" s="58">
        <v>45.710999999999999</v>
      </c>
      <c r="J530" s="58">
        <v>46.808</v>
      </c>
      <c r="K530" s="58" t="s">
        <v>334</v>
      </c>
      <c r="L530" s="58">
        <v>43.06</v>
      </c>
      <c r="M530" s="59">
        <v>41.402000000000001</v>
      </c>
      <c r="N530" s="58"/>
    </row>
    <row r="531" spans="1:14" ht="18" customHeight="1">
      <c r="A531" s="57">
        <v>14</v>
      </c>
      <c r="B531" s="58" t="s">
        <v>334</v>
      </c>
      <c r="C531" s="58">
        <v>48.451999999999998</v>
      </c>
      <c r="D531" s="58">
        <v>48.451000000000001</v>
      </c>
      <c r="E531" s="58" t="s">
        <v>334</v>
      </c>
      <c r="F531" s="58" t="s">
        <v>334</v>
      </c>
      <c r="G531" s="58">
        <v>46.594000000000001</v>
      </c>
      <c r="H531" s="58" t="s">
        <v>334</v>
      </c>
      <c r="I531" s="58">
        <v>45.612000000000002</v>
      </c>
      <c r="J531" s="58">
        <v>46.506</v>
      </c>
      <c r="K531" s="58" t="s">
        <v>334</v>
      </c>
      <c r="L531" s="58">
        <v>43.097999999999999</v>
      </c>
      <c r="M531" s="59">
        <v>41.142000000000003</v>
      </c>
      <c r="N531" s="58"/>
    </row>
    <row r="532" spans="1:14" ht="18" customHeight="1">
      <c r="A532" s="57">
        <v>15</v>
      </c>
      <c r="B532" s="58">
        <v>49.018000000000001</v>
      </c>
      <c r="C532" s="58">
        <v>48.454000000000001</v>
      </c>
      <c r="D532" s="58">
        <v>48.728000000000002</v>
      </c>
      <c r="E532" s="58" t="s">
        <v>334</v>
      </c>
      <c r="F532" s="58">
        <v>47.237000000000002</v>
      </c>
      <c r="G532" s="58">
        <v>46.509</v>
      </c>
      <c r="H532" s="58" t="s">
        <v>334</v>
      </c>
      <c r="I532" s="58">
        <v>45.695999999999998</v>
      </c>
      <c r="J532" s="58" t="s">
        <v>334</v>
      </c>
      <c r="K532" s="58">
        <v>44.106000000000002</v>
      </c>
      <c r="L532" s="58">
        <v>42.92</v>
      </c>
      <c r="M532" s="59" t="s">
        <v>334</v>
      </c>
      <c r="N532" s="58"/>
    </row>
    <row r="533" spans="1:14" ht="18" customHeight="1">
      <c r="A533" s="57">
        <v>16</v>
      </c>
      <c r="B533" s="58">
        <v>48.860999999999997</v>
      </c>
      <c r="C533" s="58">
        <v>48.27</v>
      </c>
      <c r="D533" s="58">
        <v>48.645000000000003</v>
      </c>
      <c r="E533" s="58">
        <v>47.92</v>
      </c>
      <c r="F533" s="58">
        <v>47.012</v>
      </c>
      <c r="G533" s="58" t="s">
        <v>334</v>
      </c>
      <c r="H533" s="58">
        <v>45.792000000000002</v>
      </c>
      <c r="I533" s="58">
        <v>46.182000000000002</v>
      </c>
      <c r="J533" s="58" t="s">
        <v>334</v>
      </c>
      <c r="K533" s="58">
        <v>44.061</v>
      </c>
      <c r="L533" s="58">
        <v>43.115000000000002</v>
      </c>
      <c r="M533" s="59" t="s">
        <v>334</v>
      </c>
      <c r="N533" s="58"/>
    </row>
    <row r="534" spans="1:14" ht="18" customHeight="1">
      <c r="A534" s="57">
        <v>17</v>
      </c>
      <c r="B534" s="58">
        <v>48.765999999999998</v>
      </c>
      <c r="C534" s="58" t="s">
        <v>334</v>
      </c>
      <c r="D534" s="58" t="s">
        <v>334</v>
      </c>
      <c r="E534" s="58">
        <v>47.823</v>
      </c>
      <c r="F534" s="58">
        <v>46.957000000000001</v>
      </c>
      <c r="G534" s="58" t="s">
        <v>334</v>
      </c>
      <c r="H534" s="58">
        <v>45.610999999999997</v>
      </c>
      <c r="I534" s="58">
        <v>46.597999999999999</v>
      </c>
      <c r="J534" s="58">
        <v>46.332000000000001</v>
      </c>
      <c r="K534" s="58">
        <v>44.219000000000001</v>
      </c>
      <c r="L534" s="58" t="s">
        <v>334</v>
      </c>
      <c r="M534" s="59">
        <v>41.191000000000003</v>
      </c>
      <c r="N534" s="58"/>
    </row>
    <row r="535" spans="1:14" ht="18" customHeight="1">
      <c r="A535" s="57">
        <v>18</v>
      </c>
      <c r="B535" s="58">
        <v>48.798999999999999</v>
      </c>
      <c r="C535" s="58" t="s">
        <v>334</v>
      </c>
      <c r="D535" s="58" t="s">
        <v>334</v>
      </c>
      <c r="E535" s="58">
        <v>47.718000000000004</v>
      </c>
      <c r="F535" s="58">
        <v>46.79</v>
      </c>
      <c r="G535" s="58">
        <v>46.539000000000001</v>
      </c>
      <c r="H535" s="58">
        <v>45.317</v>
      </c>
      <c r="I535" s="58" t="s">
        <v>334</v>
      </c>
      <c r="J535" s="58">
        <v>46.241</v>
      </c>
      <c r="K535" s="58">
        <v>44.360999999999997</v>
      </c>
      <c r="L535" s="58" t="s">
        <v>334</v>
      </c>
      <c r="M535" s="59">
        <v>41.530999999999999</v>
      </c>
      <c r="N535" s="58"/>
    </row>
    <row r="536" spans="1:14" ht="18" customHeight="1">
      <c r="A536" s="57">
        <v>19</v>
      </c>
      <c r="B536" s="58">
        <v>48.845999999999997</v>
      </c>
      <c r="C536" s="58">
        <v>48.152000000000001</v>
      </c>
      <c r="D536" s="58">
        <v>48.819000000000003</v>
      </c>
      <c r="E536" s="58">
        <v>47.662999999999997</v>
      </c>
      <c r="F536" s="58" t="s">
        <v>334</v>
      </c>
      <c r="G536" s="58">
        <v>45.985999999999997</v>
      </c>
      <c r="H536" s="58">
        <v>45.316000000000003</v>
      </c>
      <c r="I536" s="58" t="s">
        <v>334</v>
      </c>
      <c r="J536" s="58">
        <v>46.389000000000003</v>
      </c>
      <c r="K536" s="58">
        <v>44.082000000000001</v>
      </c>
      <c r="L536" s="58">
        <v>43.383000000000003</v>
      </c>
      <c r="M536" s="59">
        <v>41.999000000000002</v>
      </c>
      <c r="N536" s="58"/>
    </row>
    <row r="537" spans="1:14" ht="18" customHeight="1">
      <c r="A537" s="57">
        <v>20</v>
      </c>
      <c r="B537" s="58" t="s">
        <v>334</v>
      </c>
      <c r="C537" s="58">
        <v>48.061999999999998</v>
      </c>
      <c r="D537" s="58">
        <v>48.804000000000002</v>
      </c>
      <c r="E537" s="58">
        <v>47.639000000000003</v>
      </c>
      <c r="F537" s="58" t="s">
        <v>334</v>
      </c>
      <c r="G537" s="58">
        <v>45.911000000000001</v>
      </c>
      <c r="H537" s="58">
        <v>45.09</v>
      </c>
      <c r="I537" s="58" t="s">
        <v>334</v>
      </c>
      <c r="J537" s="58">
        <v>45.622999999999998</v>
      </c>
      <c r="K537" s="58" t="s">
        <v>334</v>
      </c>
      <c r="L537" s="58">
        <v>43.277999999999999</v>
      </c>
      <c r="M537" s="59">
        <v>41.753999999999998</v>
      </c>
      <c r="N537" s="58"/>
    </row>
    <row r="538" spans="1:14" ht="18" customHeight="1">
      <c r="A538" s="57">
        <v>21</v>
      </c>
      <c r="B538" s="58" t="s">
        <v>334</v>
      </c>
      <c r="C538" s="58">
        <v>48.054000000000002</v>
      </c>
      <c r="D538" s="58">
        <v>48.594000000000001</v>
      </c>
      <c r="E538" s="58" t="s">
        <v>334</v>
      </c>
      <c r="F538" s="58">
        <v>46.670999999999999</v>
      </c>
      <c r="G538" s="58">
        <v>45.85</v>
      </c>
      <c r="H538" s="58" t="s">
        <v>334</v>
      </c>
      <c r="I538" s="58">
        <v>46.859000000000002</v>
      </c>
      <c r="J538" s="58">
        <v>45.375</v>
      </c>
      <c r="K538" s="58" t="s">
        <v>334</v>
      </c>
      <c r="L538" s="58">
        <v>43.374000000000002</v>
      </c>
      <c r="M538" s="59">
        <v>41.795000000000002</v>
      </c>
      <c r="N538" s="58"/>
    </row>
    <row r="539" spans="1:14" ht="18" customHeight="1">
      <c r="A539" s="57">
        <v>22</v>
      </c>
      <c r="B539" s="58">
        <v>48.828000000000003</v>
      </c>
      <c r="C539" s="58">
        <v>48.12</v>
      </c>
      <c r="D539" s="58">
        <v>48.442</v>
      </c>
      <c r="E539" s="58" t="s">
        <v>334</v>
      </c>
      <c r="F539" s="58">
        <v>46.408000000000001</v>
      </c>
      <c r="G539" s="58">
        <v>46.103999999999999</v>
      </c>
      <c r="H539" s="58" t="s">
        <v>334</v>
      </c>
      <c r="I539" s="58">
        <v>46.790999999999997</v>
      </c>
      <c r="J539" s="58" t="s">
        <v>334</v>
      </c>
      <c r="K539" s="58">
        <v>44.192</v>
      </c>
      <c r="L539" s="58">
        <v>43.206000000000003</v>
      </c>
      <c r="M539" s="59" t="s">
        <v>334</v>
      </c>
      <c r="N539" s="58"/>
    </row>
    <row r="540" spans="1:14" ht="18" customHeight="1">
      <c r="A540" s="57">
        <v>23</v>
      </c>
      <c r="B540" s="58">
        <v>48.982999999999997</v>
      </c>
      <c r="C540" s="58">
        <v>48.268000000000001</v>
      </c>
      <c r="D540" s="58">
        <v>48.261000000000003</v>
      </c>
      <c r="E540" s="58">
        <v>47.564</v>
      </c>
      <c r="F540" s="58">
        <v>45.991999999999997</v>
      </c>
      <c r="G540" s="58" t="s">
        <v>334</v>
      </c>
      <c r="H540" s="58">
        <v>44.86</v>
      </c>
      <c r="I540" s="58">
        <v>46.725999999999999</v>
      </c>
      <c r="J540" s="58" t="s">
        <v>334</v>
      </c>
      <c r="K540" s="58">
        <v>44.264000000000003</v>
      </c>
      <c r="L540" s="58">
        <v>43.267000000000003</v>
      </c>
      <c r="M540" s="59" t="s">
        <v>334</v>
      </c>
      <c r="N540" s="58"/>
    </row>
    <row r="541" spans="1:14" ht="18" customHeight="1">
      <c r="A541" s="57">
        <v>24</v>
      </c>
      <c r="B541" s="58">
        <v>49.048999999999999</v>
      </c>
      <c r="C541" s="58" t="s">
        <v>334</v>
      </c>
      <c r="D541" s="58" t="s">
        <v>334</v>
      </c>
      <c r="E541" s="58">
        <v>47.551000000000002</v>
      </c>
      <c r="F541" s="58">
        <v>46</v>
      </c>
      <c r="G541" s="58" t="s">
        <v>334</v>
      </c>
      <c r="H541" s="58">
        <v>44.923999999999999</v>
      </c>
      <c r="I541" s="58">
        <v>46.417999999999999</v>
      </c>
      <c r="J541" s="58">
        <v>45.433</v>
      </c>
      <c r="K541" s="58">
        <v>44.115000000000002</v>
      </c>
      <c r="L541" s="58" t="s">
        <v>334</v>
      </c>
      <c r="M541" s="59" t="s">
        <v>334</v>
      </c>
      <c r="N541" s="58"/>
    </row>
    <row r="542" spans="1:14" ht="18" customHeight="1">
      <c r="A542" s="57">
        <v>25</v>
      </c>
      <c r="B542" s="58">
        <v>48.847999999999999</v>
      </c>
      <c r="C542" s="58" t="s">
        <v>334</v>
      </c>
      <c r="D542" s="58" t="s">
        <v>334</v>
      </c>
      <c r="E542" s="58">
        <v>47.634</v>
      </c>
      <c r="F542" s="58">
        <v>46.113999999999997</v>
      </c>
      <c r="G542" s="58">
        <v>46.1</v>
      </c>
      <c r="H542" s="58">
        <v>44.787999999999997</v>
      </c>
      <c r="I542" s="58" t="s">
        <v>334</v>
      </c>
      <c r="J542" s="58">
        <v>45.179000000000002</v>
      </c>
      <c r="K542" s="58">
        <v>44.128999999999998</v>
      </c>
      <c r="L542" s="58" t="s">
        <v>334</v>
      </c>
      <c r="M542" s="59" t="s">
        <v>334</v>
      </c>
      <c r="N542" s="58"/>
    </row>
    <row r="543" spans="1:14" ht="18" customHeight="1">
      <c r="A543" s="57">
        <v>26</v>
      </c>
      <c r="B543" s="58">
        <v>48.884999999999998</v>
      </c>
      <c r="C543" s="58">
        <v>48.212000000000003</v>
      </c>
      <c r="D543" s="58">
        <v>48.173999999999999</v>
      </c>
      <c r="E543" s="58">
        <v>47.518999999999998</v>
      </c>
      <c r="F543" s="58" t="s">
        <v>334</v>
      </c>
      <c r="G543" s="58">
        <v>46.104999999999997</v>
      </c>
      <c r="H543" s="58">
        <v>45.048000000000002</v>
      </c>
      <c r="I543" s="58" t="s">
        <v>334</v>
      </c>
      <c r="J543" s="58">
        <v>45.293999999999997</v>
      </c>
      <c r="K543" s="58">
        <v>44.061</v>
      </c>
      <c r="L543" s="58">
        <v>43.057000000000002</v>
      </c>
      <c r="M543" s="59">
        <v>41.683</v>
      </c>
      <c r="N543" s="58"/>
    </row>
    <row r="544" spans="1:14" ht="18" customHeight="1">
      <c r="A544" s="57">
        <v>27</v>
      </c>
      <c r="B544" s="58" t="s">
        <v>334</v>
      </c>
      <c r="C544" s="58">
        <v>48.173000000000002</v>
      </c>
      <c r="D544" s="58">
        <v>48.122</v>
      </c>
      <c r="E544" s="58">
        <v>47.448999999999998</v>
      </c>
      <c r="F544" s="58" t="s">
        <v>334</v>
      </c>
      <c r="G544" s="58">
        <v>46.222000000000001</v>
      </c>
      <c r="H544" s="58">
        <v>45.183999999999997</v>
      </c>
      <c r="I544" s="58" t="s">
        <v>334</v>
      </c>
      <c r="J544" s="58">
        <v>45.201000000000001</v>
      </c>
      <c r="K544" s="58" t="s">
        <v>334</v>
      </c>
      <c r="L544" s="58">
        <v>42.847999999999999</v>
      </c>
      <c r="M544" s="59">
        <v>41.332999999999998</v>
      </c>
      <c r="N544" s="58"/>
    </row>
    <row r="545" spans="1:15" ht="18" customHeight="1">
      <c r="A545" s="57">
        <v>28</v>
      </c>
      <c r="B545" s="58" t="s">
        <v>334</v>
      </c>
      <c r="C545" s="58">
        <v>48.286999999999999</v>
      </c>
      <c r="D545" s="58">
        <v>48.076999999999998</v>
      </c>
      <c r="E545" s="58" t="s">
        <v>334</v>
      </c>
      <c r="F545" s="58">
        <v>46.237000000000002</v>
      </c>
      <c r="G545" s="58">
        <v>46.494</v>
      </c>
      <c r="H545" s="58" t="s">
        <v>334</v>
      </c>
      <c r="I545" s="58">
        <v>46.765000000000001</v>
      </c>
      <c r="J545" s="58">
        <v>45.063000000000002</v>
      </c>
      <c r="K545" s="58" t="s">
        <v>334</v>
      </c>
      <c r="L545" s="58">
        <v>42.874000000000002</v>
      </c>
      <c r="M545" s="59">
        <v>41.401000000000003</v>
      </c>
      <c r="N545" s="58"/>
    </row>
    <row r="546" spans="1:15" ht="18" customHeight="1">
      <c r="A546" s="57">
        <v>29</v>
      </c>
      <c r="B546" s="58">
        <v>49.072000000000003</v>
      </c>
      <c r="C546" s="58" t="s">
        <v>335</v>
      </c>
      <c r="D546" s="58">
        <v>48.218000000000004</v>
      </c>
      <c r="E546" s="58" t="s">
        <v>334</v>
      </c>
      <c r="F546" s="58">
        <v>45.921999999999997</v>
      </c>
      <c r="G546" s="58">
        <v>46.329000000000001</v>
      </c>
      <c r="H546" s="58" t="s">
        <v>334</v>
      </c>
      <c r="I546" s="58">
        <v>46.698</v>
      </c>
      <c r="J546" s="58" t="s">
        <v>334</v>
      </c>
      <c r="K546" s="58" t="s">
        <v>334</v>
      </c>
      <c r="L546" s="58">
        <v>42.798000000000002</v>
      </c>
      <c r="M546" s="59" t="s">
        <v>334</v>
      </c>
      <c r="N546" s="58"/>
    </row>
    <row r="547" spans="1:15" ht="18" customHeight="1">
      <c r="A547" s="57">
        <v>30</v>
      </c>
      <c r="B547" s="58">
        <v>49.155999999999999</v>
      </c>
      <c r="C547" s="58" t="s">
        <v>335</v>
      </c>
      <c r="D547" s="58">
        <v>48.262</v>
      </c>
      <c r="E547" s="58">
        <v>47.51</v>
      </c>
      <c r="F547" s="58">
        <v>45.963999999999999</v>
      </c>
      <c r="G547" s="58" t="s">
        <v>334</v>
      </c>
      <c r="H547" s="58">
        <v>45.762999999999998</v>
      </c>
      <c r="I547" s="58">
        <v>46.904000000000003</v>
      </c>
      <c r="J547" s="58" t="s">
        <v>334</v>
      </c>
      <c r="K547" s="58">
        <v>44.045000000000002</v>
      </c>
      <c r="L547" s="58" t="s">
        <v>334</v>
      </c>
      <c r="M547" s="59" t="s">
        <v>334</v>
      </c>
      <c r="N547" s="58"/>
    </row>
    <row r="548" spans="1:15" ht="18" customHeight="1">
      <c r="A548" s="57">
        <v>31</v>
      </c>
      <c r="B548" s="58">
        <v>49.027000000000001</v>
      </c>
      <c r="C548" s="58" t="s">
        <v>335</v>
      </c>
      <c r="D548" s="58" t="s">
        <v>334</v>
      </c>
      <c r="E548" s="58" t="s">
        <v>335</v>
      </c>
      <c r="F548" s="58">
        <v>46.268999999999998</v>
      </c>
      <c r="G548" s="58" t="s">
        <v>335</v>
      </c>
      <c r="H548" s="58">
        <v>45.610999999999997</v>
      </c>
      <c r="I548" s="58">
        <v>46.695</v>
      </c>
      <c r="J548" s="58" t="s">
        <v>335</v>
      </c>
      <c r="K548" s="58">
        <v>43.947000000000003</v>
      </c>
      <c r="L548" s="58" t="s">
        <v>335</v>
      </c>
      <c r="M548" s="59" t="s">
        <v>334</v>
      </c>
      <c r="N548" s="58"/>
    </row>
    <row r="549" spans="1:15" ht="18" customHeight="1" thickBot="1">
      <c r="A549" s="76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8"/>
      <c r="N549" s="58"/>
    </row>
    <row r="550" spans="1:15" ht="18" customHeight="1">
      <c r="A550" s="618">
        <v>2006</v>
      </c>
      <c r="B550" s="619"/>
      <c r="C550" s="619"/>
      <c r="D550" s="619"/>
      <c r="E550" s="619"/>
      <c r="F550" s="619"/>
      <c r="G550" s="619"/>
      <c r="H550" s="619"/>
      <c r="I550" s="619"/>
      <c r="J550" s="619"/>
      <c r="K550" s="619"/>
      <c r="L550" s="619"/>
      <c r="M550" s="620"/>
      <c r="N550" s="52"/>
    </row>
    <row r="551" spans="1:15" ht="18" customHeight="1" thickBot="1">
      <c r="A551" s="63" t="s">
        <v>322</v>
      </c>
      <c r="B551" s="64" t="s">
        <v>323</v>
      </c>
      <c r="C551" s="64" t="s">
        <v>324</v>
      </c>
      <c r="D551" s="64" t="s">
        <v>325</v>
      </c>
      <c r="E551" s="64" t="s">
        <v>326</v>
      </c>
      <c r="F551" s="64" t="s">
        <v>236</v>
      </c>
      <c r="G551" s="64" t="s">
        <v>327</v>
      </c>
      <c r="H551" s="64" t="s">
        <v>328</v>
      </c>
      <c r="I551" s="64" t="s">
        <v>329</v>
      </c>
      <c r="J551" s="64" t="s">
        <v>330</v>
      </c>
      <c r="K551" s="64" t="s">
        <v>331</v>
      </c>
      <c r="L551" s="64" t="s">
        <v>332</v>
      </c>
      <c r="M551" s="65" t="s">
        <v>333</v>
      </c>
      <c r="N551" s="52"/>
    </row>
    <row r="552" spans="1:15" ht="18" customHeight="1">
      <c r="A552" s="54">
        <v>1</v>
      </c>
      <c r="B552" s="55" t="s">
        <v>334</v>
      </c>
      <c r="C552" s="55">
        <v>52.167000000000002</v>
      </c>
      <c r="D552" s="55">
        <v>51.725000000000001</v>
      </c>
      <c r="E552" s="55" t="s">
        <v>334</v>
      </c>
      <c r="F552" s="55" t="s">
        <v>334</v>
      </c>
      <c r="G552" s="55">
        <v>52.82</v>
      </c>
      <c r="H552" s="55" t="s">
        <v>334</v>
      </c>
      <c r="I552" s="55">
        <v>51.442</v>
      </c>
      <c r="J552" s="55">
        <v>50.81</v>
      </c>
      <c r="K552" s="55" t="s">
        <v>334</v>
      </c>
      <c r="L552" s="70" t="s">
        <v>334</v>
      </c>
      <c r="M552" s="71" t="s">
        <v>334</v>
      </c>
      <c r="N552" s="83">
        <v>2006</v>
      </c>
      <c r="O552" s="47">
        <f>AVERAGE(B552:M582)</f>
        <v>51.345121457489874</v>
      </c>
    </row>
    <row r="553" spans="1:15" ht="18" customHeight="1">
      <c r="A553" s="57">
        <v>2</v>
      </c>
      <c r="B553" s="58">
        <v>53.061999999999998</v>
      </c>
      <c r="C553" s="58">
        <v>52.081000000000003</v>
      </c>
      <c r="D553" s="58">
        <v>51.43</v>
      </c>
      <c r="E553" s="58" t="s">
        <v>334</v>
      </c>
      <c r="F553" s="58">
        <v>51.777000000000001</v>
      </c>
      <c r="G553" s="58">
        <v>52.911999999999999</v>
      </c>
      <c r="H553" s="58" t="s">
        <v>334</v>
      </c>
      <c r="I553" s="58">
        <v>51.575000000000003</v>
      </c>
      <c r="J553" s="58" t="s">
        <v>334</v>
      </c>
      <c r="K553" s="58">
        <v>50.249000000000002</v>
      </c>
      <c r="L553" s="72">
        <v>49.87</v>
      </c>
      <c r="M553" s="73" t="s">
        <v>334</v>
      </c>
      <c r="N553" s="58"/>
    </row>
    <row r="554" spans="1:15" ht="18" customHeight="1">
      <c r="A554" s="57">
        <v>3</v>
      </c>
      <c r="B554" s="58">
        <v>52.902999999999999</v>
      </c>
      <c r="C554" s="58">
        <v>52.097000000000001</v>
      </c>
      <c r="D554" s="58">
        <v>51.26</v>
      </c>
      <c r="E554" s="58">
        <v>51.158000000000001</v>
      </c>
      <c r="F554" s="58">
        <v>51.631999999999998</v>
      </c>
      <c r="G554" s="58" t="s">
        <v>334</v>
      </c>
      <c r="H554" s="58">
        <v>53.22</v>
      </c>
      <c r="I554" s="58">
        <v>51.581000000000003</v>
      </c>
      <c r="J554" s="58" t="s">
        <v>334</v>
      </c>
      <c r="K554" s="58">
        <v>50.003999999999998</v>
      </c>
      <c r="L554" s="72">
        <v>49.728999999999999</v>
      </c>
      <c r="M554" s="73" t="s">
        <v>334</v>
      </c>
      <c r="N554" s="58"/>
    </row>
    <row r="555" spans="1:15" ht="18" customHeight="1">
      <c r="A555" s="57">
        <v>4</v>
      </c>
      <c r="B555" s="58">
        <v>52.652000000000001</v>
      </c>
      <c r="C555" s="58" t="s">
        <v>334</v>
      </c>
      <c r="D555" s="58" t="s">
        <v>334</v>
      </c>
      <c r="E555" s="58">
        <v>51.088999999999999</v>
      </c>
      <c r="F555" s="58">
        <v>51.396000000000001</v>
      </c>
      <c r="G555" s="58" t="s">
        <v>334</v>
      </c>
      <c r="H555" s="58">
        <v>53.055</v>
      </c>
      <c r="I555" s="58">
        <v>51.637999999999998</v>
      </c>
      <c r="J555" s="58">
        <v>50.755000000000003</v>
      </c>
      <c r="K555" s="58">
        <v>49.908000000000001</v>
      </c>
      <c r="L555" s="58" t="s">
        <v>334</v>
      </c>
      <c r="M555" s="59">
        <v>49.695</v>
      </c>
      <c r="N555" s="58"/>
    </row>
    <row r="556" spans="1:15" ht="18" customHeight="1">
      <c r="A556" s="57">
        <v>5</v>
      </c>
      <c r="B556" s="58">
        <v>52.43</v>
      </c>
      <c r="C556" s="58" t="s">
        <v>334</v>
      </c>
      <c r="D556" s="58" t="s">
        <v>334</v>
      </c>
      <c r="E556" s="58">
        <v>51.002000000000002</v>
      </c>
      <c r="F556" s="58">
        <v>51.46</v>
      </c>
      <c r="G556" s="58">
        <v>52.845999999999997</v>
      </c>
      <c r="H556" s="58">
        <v>52.776000000000003</v>
      </c>
      <c r="I556" s="58" t="s">
        <v>334</v>
      </c>
      <c r="J556" s="58">
        <v>50.527000000000001</v>
      </c>
      <c r="K556" s="58">
        <v>49.984999999999999</v>
      </c>
      <c r="L556" s="58" t="s">
        <v>334</v>
      </c>
      <c r="M556" s="59">
        <v>49.625999999999998</v>
      </c>
      <c r="N556" s="58"/>
    </row>
    <row r="557" spans="1:15" ht="18" customHeight="1">
      <c r="A557" s="57">
        <v>6</v>
      </c>
      <c r="B557" s="58">
        <v>52.469000000000001</v>
      </c>
      <c r="C557" s="58">
        <v>51.948999999999998</v>
      </c>
      <c r="D557" s="58">
        <v>51.192</v>
      </c>
      <c r="E557" s="58">
        <v>50.997</v>
      </c>
      <c r="F557" s="58" t="s">
        <v>334</v>
      </c>
      <c r="G557" s="58">
        <v>52.694000000000003</v>
      </c>
      <c r="H557" s="58">
        <v>52.741999999999997</v>
      </c>
      <c r="I557" s="58" t="s">
        <v>334</v>
      </c>
      <c r="J557" s="58">
        <v>50.463000000000001</v>
      </c>
      <c r="K557" s="58">
        <v>50.04</v>
      </c>
      <c r="L557" s="58">
        <v>49.719000000000001</v>
      </c>
      <c r="M557" s="59">
        <v>49.612000000000002</v>
      </c>
      <c r="N557" s="58"/>
    </row>
    <row r="558" spans="1:15" ht="18" customHeight="1">
      <c r="A558" s="57">
        <v>7</v>
      </c>
      <c r="B558" s="58" t="s">
        <v>334</v>
      </c>
      <c r="C558" s="58">
        <v>51.698</v>
      </c>
      <c r="D558" s="58">
        <v>51.101999999999997</v>
      </c>
      <c r="E558" s="58">
        <v>51.119</v>
      </c>
      <c r="F558" s="58" t="s">
        <v>334</v>
      </c>
      <c r="G558" s="58">
        <v>52.84</v>
      </c>
      <c r="H558" s="58">
        <v>52.820999999999998</v>
      </c>
      <c r="I558" s="58">
        <v>51.573</v>
      </c>
      <c r="J558" s="58">
        <v>50.426000000000002</v>
      </c>
      <c r="K558" s="58" t="s">
        <v>334</v>
      </c>
      <c r="L558" s="58">
        <v>49.801000000000002</v>
      </c>
      <c r="M558" s="59">
        <v>49.52</v>
      </c>
      <c r="N558" s="58"/>
    </row>
    <row r="559" spans="1:15" ht="18" customHeight="1">
      <c r="A559" s="57">
        <v>8</v>
      </c>
      <c r="B559" s="58" t="s">
        <v>334</v>
      </c>
      <c r="C559" s="58">
        <v>51.673000000000002</v>
      </c>
      <c r="D559" s="58">
        <v>50.963000000000001</v>
      </c>
      <c r="E559" s="58" t="s">
        <v>334</v>
      </c>
      <c r="F559" s="58">
        <v>51.517000000000003</v>
      </c>
      <c r="G559" s="58">
        <v>52.915999999999997</v>
      </c>
      <c r="H559" s="58" t="s">
        <v>334</v>
      </c>
      <c r="I559" s="58">
        <v>51.383000000000003</v>
      </c>
      <c r="J559" s="58">
        <v>50.365000000000002</v>
      </c>
      <c r="K559" s="58" t="s">
        <v>334</v>
      </c>
      <c r="L559" s="58">
        <v>49.838000000000001</v>
      </c>
      <c r="M559" s="59">
        <v>49.488</v>
      </c>
      <c r="N559" s="58"/>
    </row>
    <row r="560" spans="1:15" ht="18" customHeight="1">
      <c r="A560" s="57">
        <v>9</v>
      </c>
      <c r="B560" s="58">
        <v>52.646000000000001</v>
      </c>
      <c r="C560" s="58">
        <v>51.759</v>
      </c>
      <c r="D560" s="58">
        <v>51.313000000000002</v>
      </c>
      <c r="E560" s="58" t="s">
        <v>334</v>
      </c>
      <c r="F560" s="58">
        <v>51.392000000000003</v>
      </c>
      <c r="G560" s="58">
        <v>53.033999999999999</v>
      </c>
      <c r="H560" s="58" t="s">
        <v>334</v>
      </c>
      <c r="I560" s="58">
        <v>51.393000000000001</v>
      </c>
      <c r="J560" s="58" t="s">
        <v>334</v>
      </c>
      <c r="K560" s="58">
        <v>50.005000000000003</v>
      </c>
      <c r="L560" s="58">
        <v>49.899000000000001</v>
      </c>
      <c r="M560" s="59" t="s">
        <v>334</v>
      </c>
      <c r="N560" s="58"/>
    </row>
    <row r="561" spans="1:14" ht="18" customHeight="1">
      <c r="A561" s="57">
        <v>10</v>
      </c>
      <c r="B561" s="58">
        <v>52.420999999999999</v>
      </c>
      <c r="C561" s="58">
        <v>51.856000000000002</v>
      </c>
      <c r="D561" s="58">
        <v>51.484000000000002</v>
      </c>
      <c r="E561" s="58">
        <v>51.100999999999999</v>
      </c>
      <c r="F561" s="58">
        <v>51.389000000000003</v>
      </c>
      <c r="G561" s="58" t="s">
        <v>334</v>
      </c>
      <c r="H561" s="58">
        <v>52.506999999999998</v>
      </c>
      <c r="I561" s="58">
        <v>51.433</v>
      </c>
      <c r="J561" s="58" t="s">
        <v>334</v>
      </c>
      <c r="K561" s="58">
        <v>50.106999999999999</v>
      </c>
      <c r="L561" s="58">
        <v>49.936</v>
      </c>
      <c r="M561" s="59" t="s">
        <v>334</v>
      </c>
      <c r="N561" s="58"/>
    </row>
    <row r="562" spans="1:14" ht="18" customHeight="1">
      <c r="A562" s="57">
        <v>11</v>
      </c>
      <c r="B562" s="58">
        <v>52.548999999999999</v>
      </c>
      <c r="C562" s="58" t="s">
        <v>334</v>
      </c>
      <c r="D562" s="58" t="s">
        <v>334</v>
      </c>
      <c r="E562" s="58">
        <v>51.131999999999998</v>
      </c>
      <c r="F562" s="58">
        <v>51.526000000000003</v>
      </c>
      <c r="G562" s="58" t="s">
        <v>334</v>
      </c>
      <c r="H562" s="58">
        <v>52.134999999999998</v>
      </c>
      <c r="I562" s="58">
        <v>51.265000000000001</v>
      </c>
      <c r="J562" s="58">
        <v>50.508000000000003</v>
      </c>
      <c r="K562" s="58">
        <v>50.094999999999999</v>
      </c>
      <c r="L562" s="58" t="s">
        <v>334</v>
      </c>
      <c r="M562" s="59">
        <v>49.603999999999999</v>
      </c>
      <c r="N562" s="58"/>
    </row>
    <row r="563" spans="1:14" ht="18" customHeight="1">
      <c r="A563" s="57">
        <v>12</v>
      </c>
      <c r="B563" s="58">
        <v>52.65</v>
      </c>
      <c r="C563" s="58" t="s">
        <v>334</v>
      </c>
      <c r="D563" s="58" t="s">
        <v>334</v>
      </c>
      <c r="E563" s="58">
        <v>51.22</v>
      </c>
      <c r="F563" s="58">
        <v>51.603999999999999</v>
      </c>
      <c r="G563" s="58" t="s">
        <v>334</v>
      </c>
      <c r="H563" s="58">
        <v>52.2</v>
      </c>
      <c r="I563" s="58" t="s">
        <v>334</v>
      </c>
      <c r="J563" s="58">
        <v>50.552</v>
      </c>
      <c r="K563" s="58">
        <v>50.052999999999997</v>
      </c>
      <c r="L563" s="58" t="s">
        <v>334</v>
      </c>
      <c r="M563" s="59">
        <v>49.658999999999999</v>
      </c>
      <c r="N563" s="58"/>
    </row>
    <row r="564" spans="1:14" ht="18" customHeight="1">
      <c r="A564" s="57">
        <v>13</v>
      </c>
      <c r="B564" s="58">
        <v>52.453000000000003</v>
      </c>
      <c r="C564" s="58">
        <v>51.499000000000002</v>
      </c>
      <c r="D564" s="58">
        <v>51.408000000000001</v>
      </c>
      <c r="E564" s="58" t="s">
        <v>334</v>
      </c>
      <c r="F564" s="58" t="s">
        <v>334</v>
      </c>
      <c r="G564" s="58">
        <v>53.198</v>
      </c>
      <c r="H564" s="58">
        <v>52.195999999999998</v>
      </c>
      <c r="I564" s="58" t="s">
        <v>334</v>
      </c>
      <c r="J564" s="58">
        <v>50.524000000000001</v>
      </c>
      <c r="K564" s="58">
        <v>50.003999999999998</v>
      </c>
      <c r="L564" s="58">
        <v>49.944000000000003</v>
      </c>
      <c r="M564" s="59">
        <v>49.509</v>
      </c>
      <c r="N564" s="58"/>
    </row>
    <row r="565" spans="1:14" ht="18" customHeight="1">
      <c r="A565" s="57">
        <v>14</v>
      </c>
      <c r="B565" s="58" t="s">
        <v>334</v>
      </c>
      <c r="C565" s="58">
        <v>51.555</v>
      </c>
      <c r="D565" s="58">
        <v>51.259</v>
      </c>
      <c r="E565" s="58" t="s">
        <v>334</v>
      </c>
      <c r="F565" s="58" t="s">
        <v>334</v>
      </c>
      <c r="G565" s="58">
        <v>53.308999999999997</v>
      </c>
      <c r="H565" s="58">
        <v>52.24</v>
      </c>
      <c r="I565" s="58">
        <v>51.304000000000002</v>
      </c>
      <c r="J565" s="58">
        <v>50.421999999999997</v>
      </c>
      <c r="K565" s="58" t="s">
        <v>334</v>
      </c>
      <c r="L565" s="58">
        <v>49.783999999999999</v>
      </c>
      <c r="M565" s="59">
        <v>49.468000000000004</v>
      </c>
      <c r="N565" s="58"/>
    </row>
    <row r="566" spans="1:14" ht="18" customHeight="1">
      <c r="A566" s="57">
        <v>15</v>
      </c>
      <c r="B566" s="58" t="s">
        <v>334</v>
      </c>
      <c r="C566" s="58">
        <v>51.567999999999998</v>
      </c>
      <c r="D566" s="58">
        <v>51.192999999999998</v>
      </c>
      <c r="E566" s="58" t="s">
        <v>334</v>
      </c>
      <c r="F566" s="58">
        <v>51.712000000000003</v>
      </c>
      <c r="G566" s="58">
        <v>53.319000000000003</v>
      </c>
      <c r="H566" s="58" t="s">
        <v>334</v>
      </c>
      <c r="I566" s="58">
        <v>51.298999999999999</v>
      </c>
      <c r="J566" s="58">
        <v>50.305</v>
      </c>
      <c r="K566" s="58" t="s">
        <v>334</v>
      </c>
      <c r="L566" s="58">
        <v>49.823</v>
      </c>
      <c r="M566" s="59">
        <v>49.427999999999997</v>
      </c>
      <c r="N566" s="58"/>
    </row>
    <row r="567" spans="1:14" ht="18" customHeight="1">
      <c r="A567" s="57">
        <v>16</v>
      </c>
      <c r="B567" s="58">
        <v>52.44</v>
      </c>
      <c r="C567" s="58">
        <v>51.55</v>
      </c>
      <c r="D567" s="58">
        <v>51.046999999999997</v>
      </c>
      <c r="E567" s="58" t="s">
        <v>334</v>
      </c>
      <c r="F567" s="58">
        <v>52.067999999999998</v>
      </c>
      <c r="G567" s="58">
        <v>53.103999999999999</v>
      </c>
      <c r="H567" s="58" t="s">
        <v>334</v>
      </c>
      <c r="I567" s="58">
        <v>51.442</v>
      </c>
      <c r="J567" s="58" t="s">
        <v>334</v>
      </c>
      <c r="K567" s="58">
        <v>50.003</v>
      </c>
      <c r="L567" s="58">
        <v>50.018000000000001</v>
      </c>
      <c r="M567" s="59" t="s">
        <v>334</v>
      </c>
      <c r="N567" s="58"/>
    </row>
    <row r="568" spans="1:14" ht="18" customHeight="1">
      <c r="A568" s="57">
        <v>17</v>
      </c>
      <c r="B568" s="58">
        <v>52.453000000000003</v>
      </c>
      <c r="C568" s="58">
        <v>51.639000000000003</v>
      </c>
      <c r="D568" s="58">
        <v>51.091999999999999</v>
      </c>
      <c r="E568" s="58">
        <v>51.256999999999998</v>
      </c>
      <c r="F568" s="58">
        <v>52.363999999999997</v>
      </c>
      <c r="G568" s="58" t="s">
        <v>334</v>
      </c>
      <c r="H568" s="58">
        <v>52.456000000000003</v>
      </c>
      <c r="I568" s="58">
        <v>51.335999999999999</v>
      </c>
      <c r="J568" s="58" t="s">
        <v>334</v>
      </c>
      <c r="K568" s="58">
        <v>50.005000000000003</v>
      </c>
      <c r="L568" s="58">
        <v>50.119</v>
      </c>
      <c r="M568" s="59" t="s">
        <v>334</v>
      </c>
      <c r="N568" s="58"/>
    </row>
    <row r="569" spans="1:14" ht="18" customHeight="1">
      <c r="A569" s="57">
        <v>18</v>
      </c>
      <c r="B569" s="58">
        <v>52.615000000000002</v>
      </c>
      <c r="C569" s="58" t="s">
        <v>334</v>
      </c>
      <c r="D569" s="58" t="s">
        <v>334</v>
      </c>
      <c r="E569" s="58">
        <v>51.280999999999999</v>
      </c>
      <c r="F569" s="58">
        <v>52.12</v>
      </c>
      <c r="G569" s="58" t="s">
        <v>334</v>
      </c>
      <c r="H569" s="58">
        <v>52.607999999999997</v>
      </c>
      <c r="I569" s="58">
        <v>51.133000000000003</v>
      </c>
      <c r="J569" s="58">
        <v>50.268999999999998</v>
      </c>
      <c r="K569" s="58">
        <v>49.954999999999998</v>
      </c>
      <c r="L569" s="58" t="s">
        <v>334</v>
      </c>
      <c r="M569" s="59">
        <v>49.405999999999999</v>
      </c>
      <c r="N569" s="58"/>
    </row>
    <row r="570" spans="1:14" ht="18" customHeight="1">
      <c r="A570" s="57">
        <v>19</v>
      </c>
      <c r="B570" s="58">
        <v>52.771999999999998</v>
      </c>
      <c r="C570" s="58" t="s">
        <v>334</v>
      </c>
      <c r="D570" s="58" t="s">
        <v>334</v>
      </c>
      <c r="E570" s="58">
        <v>51.468000000000004</v>
      </c>
      <c r="F570" s="58">
        <v>52.572000000000003</v>
      </c>
      <c r="G570" s="58">
        <v>53.055</v>
      </c>
      <c r="H570" s="58">
        <v>52.661999999999999</v>
      </c>
      <c r="I570" s="58" t="s">
        <v>334</v>
      </c>
      <c r="J570" s="58">
        <v>50.234999999999999</v>
      </c>
      <c r="K570" s="58">
        <v>49.935000000000002</v>
      </c>
      <c r="L570" s="58" t="s">
        <v>334</v>
      </c>
      <c r="M570" s="59">
        <v>49.338999999999999</v>
      </c>
      <c r="N570" s="58"/>
    </row>
    <row r="571" spans="1:14" ht="18" customHeight="1">
      <c r="A571" s="57">
        <v>20</v>
      </c>
      <c r="B571" s="58">
        <v>52.823</v>
      </c>
      <c r="C571" s="58">
        <v>51.777000000000001</v>
      </c>
      <c r="D571" s="58">
        <v>51.066000000000003</v>
      </c>
      <c r="E571" s="58">
        <v>51.423000000000002</v>
      </c>
      <c r="F571" s="58" t="s">
        <v>334</v>
      </c>
      <c r="G571" s="58">
        <v>53.3</v>
      </c>
      <c r="H571" s="58">
        <v>52.673000000000002</v>
      </c>
      <c r="I571" s="58" t="s">
        <v>334</v>
      </c>
      <c r="J571" s="58">
        <v>50.116999999999997</v>
      </c>
      <c r="K571" s="58">
        <v>50.012999999999998</v>
      </c>
      <c r="L571" s="58">
        <v>50.029000000000003</v>
      </c>
      <c r="M571" s="59">
        <v>49.566000000000003</v>
      </c>
      <c r="N571" s="58"/>
    </row>
    <row r="572" spans="1:14" ht="18" customHeight="1">
      <c r="A572" s="57">
        <v>21</v>
      </c>
      <c r="B572" s="58" t="s">
        <v>334</v>
      </c>
      <c r="C572" s="58">
        <v>51.908000000000001</v>
      </c>
      <c r="D572" s="58">
        <v>51.042000000000002</v>
      </c>
      <c r="E572" s="58">
        <v>51.381999999999998</v>
      </c>
      <c r="F572" s="58" t="s">
        <v>334</v>
      </c>
      <c r="G572" s="58">
        <v>53.313000000000002</v>
      </c>
      <c r="H572" s="58">
        <v>52.383000000000003</v>
      </c>
      <c r="I572" s="58" t="s">
        <v>334</v>
      </c>
      <c r="J572" s="58">
        <v>50.241999999999997</v>
      </c>
      <c r="K572" s="58" t="s">
        <v>334</v>
      </c>
      <c r="L572" s="58">
        <v>49.859000000000002</v>
      </c>
      <c r="M572" s="59">
        <v>49.421999999999997</v>
      </c>
      <c r="N572" s="58"/>
    </row>
    <row r="573" spans="1:14" ht="18" customHeight="1">
      <c r="A573" s="57">
        <v>22</v>
      </c>
      <c r="B573" s="58" t="s">
        <v>334</v>
      </c>
      <c r="C573" s="58">
        <v>51.959000000000003</v>
      </c>
      <c r="D573" s="58">
        <v>51.094000000000001</v>
      </c>
      <c r="E573" s="58" t="s">
        <v>334</v>
      </c>
      <c r="F573" s="58">
        <v>52.628999999999998</v>
      </c>
      <c r="G573" s="58">
        <v>53.206000000000003</v>
      </c>
      <c r="H573" s="58" t="s">
        <v>334</v>
      </c>
      <c r="I573" s="58">
        <v>51.16</v>
      </c>
      <c r="J573" s="58">
        <v>50.106000000000002</v>
      </c>
      <c r="K573" s="58" t="s">
        <v>334</v>
      </c>
      <c r="L573" s="58">
        <v>49.883000000000003</v>
      </c>
      <c r="M573" s="59">
        <v>49.392000000000003</v>
      </c>
      <c r="N573" s="58"/>
    </row>
    <row r="574" spans="1:14" ht="18" customHeight="1">
      <c r="A574" s="57">
        <v>23</v>
      </c>
      <c r="B574" s="58">
        <v>52.866999999999997</v>
      </c>
      <c r="C574" s="58">
        <v>51.734000000000002</v>
      </c>
      <c r="D574" s="58">
        <v>51.162999999999997</v>
      </c>
      <c r="E574" s="58" t="s">
        <v>334</v>
      </c>
      <c r="F574" s="58">
        <v>52.823999999999998</v>
      </c>
      <c r="G574" s="58">
        <v>53.231999999999999</v>
      </c>
      <c r="H574" s="58" t="s">
        <v>334</v>
      </c>
      <c r="I574" s="58">
        <v>51.228999999999999</v>
      </c>
      <c r="J574" s="58" t="s">
        <v>334</v>
      </c>
      <c r="K574" s="58">
        <v>50.081000000000003</v>
      </c>
      <c r="L574" s="58">
        <v>49.777000000000001</v>
      </c>
      <c r="M574" s="59" t="s">
        <v>334</v>
      </c>
      <c r="N574" s="58"/>
    </row>
    <row r="575" spans="1:14" ht="18" customHeight="1">
      <c r="A575" s="57">
        <v>24</v>
      </c>
      <c r="B575" s="58">
        <v>52.866999999999997</v>
      </c>
      <c r="C575" s="58">
        <v>51.77</v>
      </c>
      <c r="D575" s="58">
        <v>51.154000000000003</v>
      </c>
      <c r="E575" s="58">
        <v>51.658000000000001</v>
      </c>
      <c r="F575" s="58">
        <v>52.722000000000001</v>
      </c>
      <c r="G575" s="58" t="s">
        <v>334</v>
      </c>
      <c r="H575" s="58" t="s">
        <v>334</v>
      </c>
      <c r="I575" s="58">
        <v>51.37</v>
      </c>
      <c r="J575" s="58" t="s">
        <v>334</v>
      </c>
      <c r="K575" s="58" t="s">
        <v>334</v>
      </c>
      <c r="L575" s="58">
        <v>49.689</v>
      </c>
      <c r="M575" s="59" t="s">
        <v>334</v>
      </c>
      <c r="N575" s="58"/>
    </row>
    <row r="576" spans="1:14" ht="18" customHeight="1">
      <c r="A576" s="57">
        <v>25</v>
      </c>
      <c r="B576" s="58">
        <v>52.747</v>
      </c>
      <c r="C576" s="58" t="s">
        <v>334</v>
      </c>
      <c r="D576" s="58" t="s">
        <v>334</v>
      </c>
      <c r="E576" s="58">
        <v>51.665999999999997</v>
      </c>
      <c r="F576" s="58">
        <v>52.883000000000003</v>
      </c>
      <c r="G576" s="58" t="s">
        <v>334</v>
      </c>
      <c r="H576" s="58">
        <v>52.201000000000001</v>
      </c>
      <c r="I576" s="58">
        <v>51.567999999999998</v>
      </c>
      <c r="J576" s="58">
        <v>50.265000000000001</v>
      </c>
      <c r="K576" s="58">
        <v>50.136000000000003</v>
      </c>
      <c r="L576" s="58" t="s">
        <v>334</v>
      </c>
      <c r="M576" s="59" t="s">
        <v>334</v>
      </c>
      <c r="N576" s="58"/>
    </row>
    <row r="577" spans="1:15" ht="18" customHeight="1">
      <c r="A577" s="57">
        <v>26</v>
      </c>
      <c r="B577" s="58">
        <v>52.555999999999997</v>
      </c>
      <c r="C577" s="58" t="s">
        <v>334</v>
      </c>
      <c r="D577" s="58" t="s">
        <v>334</v>
      </c>
      <c r="E577" s="58">
        <v>51.807000000000002</v>
      </c>
      <c r="F577" s="58">
        <v>52.92</v>
      </c>
      <c r="G577" s="58">
        <v>53.283000000000001</v>
      </c>
      <c r="H577" s="58">
        <v>51.970999999999997</v>
      </c>
      <c r="I577" s="58" t="s">
        <v>334</v>
      </c>
      <c r="J577" s="58">
        <v>50.344999999999999</v>
      </c>
      <c r="K577" s="58">
        <v>50.012</v>
      </c>
      <c r="L577" s="58" t="s">
        <v>334</v>
      </c>
      <c r="M577" s="59" t="s">
        <v>334</v>
      </c>
      <c r="N577" s="58"/>
    </row>
    <row r="578" spans="1:15" ht="18" customHeight="1">
      <c r="A578" s="57">
        <v>27</v>
      </c>
      <c r="B578" s="58">
        <v>52.430999999999997</v>
      </c>
      <c r="C578" s="58">
        <v>52.009</v>
      </c>
      <c r="D578" s="58">
        <v>51.210999999999999</v>
      </c>
      <c r="E578" s="58">
        <v>51.889000000000003</v>
      </c>
      <c r="F578" s="58" t="s">
        <v>334</v>
      </c>
      <c r="G578" s="58">
        <v>53.384999999999998</v>
      </c>
      <c r="H578" s="58">
        <v>51.886000000000003</v>
      </c>
      <c r="I578" s="58" t="s">
        <v>334</v>
      </c>
      <c r="J578" s="58">
        <v>50.387</v>
      </c>
      <c r="K578" s="58">
        <v>49.887999999999998</v>
      </c>
      <c r="L578" s="58">
        <v>49.755000000000003</v>
      </c>
      <c r="M578" s="59">
        <v>49.328000000000003</v>
      </c>
      <c r="N578" s="58"/>
    </row>
    <row r="579" spans="1:15" ht="18" customHeight="1">
      <c r="A579" s="57">
        <v>28</v>
      </c>
      <c r="B579" s="58" t="s">
        <v>334</v>
      </c>
      <c r="C579" s="58">
        <v>52.088000000000001</v>
      </c>
      <c r="D579" s="58">
        <v>51.17</v>
      </c>
      <c r="E579" s="58">
        <v>51.826000000000001</v>
      </c>
      <c r="F579" s="58" t="s">
        <v>334</v>
      </c>
      <c r="G579" s="58">
        <v>53.423000000000002</v>
      </c>
      <c r="H579" s="58">
        <v>51.595999999999997</v>
      </c>
      <c r="I579" s="58">
        <v>51.454999999999998</v>
      </c>
      <c r="J579" s="58" t="s">
        <v>334</v>
      </c>
      <c r="K579" s="58" t="s">
        <v>334</v>
      </c>
      <c r="L579" s="58">
        <v>49.661000000000001</v>
      </c>
      <c r="M579" s="59">
        <v>49.212000000000003</v>
      </c>
      <c r="N579" s="58"/>
    </row>
    <row r="580" spans="1:15" ht="18" customHeight="1">
      <c r="A580" s="57">
        <v>29</v>
      </c>
      <c r="B580" s="58" t="s">
        <v>334</v>
      </c>
      <c r="C580" s="58" t="s">
        <v>335</v>
      </c>
      <c r="D580" s="58">
        <v>51.145000000000003</v>
      </c>
      <c r="E580" s="58" t="s">
        <v>334</v>
      </c>
      <c r="F580" s="58">
        <v>52.822000000000003</v>
      </c>
      <c r="G580" s="58">
        <v>53.514000000000003</v>
      </c>
      <c r="H580" s="58" t="s">
        <v>334</v>
      </c>
      <c r="I580" s="58">
        <v>51.31</v>
      </c>
      <c r="J580" s="58" t="s">
        <v>334</v>
      </c>
      <c r="K580" s="58" t="s">
        <v>334</v>
      </c>
      <c r="L580" s="58">
        <v>49.816000000000003</v>
      </c>
      <c r="M580" s="59">
        <v>49.131999999999998</v>
      </c>
      <c r="N580" s="58"/>
    </row>
    <row r="581" spans="1:15" ht="18" customHeight="1">
      <c r="A581" s="57">
        <v>30</v>
      </c>
      <c r="B581" s="58">
        <v>52.435000000000002</v>
      </c>
      <c r="C581" s="58" t="s">
        <v>335</v>
      </c>
      <c r="D581" s="58">
        <v>51.238</v>
      </c>
      <c r="E581" s="58" t="s">
        <v>334</v>
      </c>
      <c r="F581" s="58">
        <v>52.817</v>
      </c>
      <c r="G581" s="58">
        <v>53.587000000000003</v>
      </c>
      <c r="H581" s="58" t="s">
        <v>334</v>
      </c>
      <c r="I581" s="58">
        <v>51.133000000000003</v>
      </c>
      <c r="J581" s="58" t="s">
        <v>334</v>
      </c>
      <c r="K581" s="58">
        <v>49.796999999999997</v>
      </c>
      <c r="L581" s="58">
        <v>49.762999999999998</v>
      </c>
      <c r="M581" s="59" t="s">
        <v>334</v>
      </c>
      <c r="N581" s="58"/>
    </row>
    <row r="582" spans="1:15" ht="18" customHeight="1">
      <c r="A582" s="57">
        <v>31</v>
      </c>
      <c r="B582" s="58">
        <v>52.335999999999999</v>
      </c>
      <c r="C582" s="58" t="s">
        <v>335</v>
      </c>
      <c r="D582" s="58">
        <v>51.283999999999999</v>
      </c>
      <c r="E582" s="58" t="s">
        <v>335</v>
      </c>
      <c r="F582" s="58">
        <v>52.654000000000003</v>
      </c>
      <c r="G582" s="58" t="s">
        <v>335</v>
      </c>
      <c r="H582" s="58">
        <v>51.624000000000002</v>
      </c>
      <c r="I582" s="58">
        <v>50.936999999999998</v>
      </c>
      <c r="J582" s="58" t="s">
        <v>335</v>
      </c>
      <c r="K582" s="58">
        <v>49.805</v>
      </c>
      <c r="L582" s="58" t="s">
        <v>335</v>
      </c>
      <c r="M582" s="59" t="s">
        <v>334</v>
      </c>
      <c r="N582" s="58"/>
    </row>
    <row r="583" spans="1:15" ht="18" customHeight="1" thickBot="1">
      <c r="A583" s="76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8"/>
      <c r="N583" s="58"/>
    </row>
    <row r="584" spans="1:15" ht="18" customHeight="1">
      <c r="A584" s="605">
        <v>2005</v>
      </c>
      <c r="B584" s="606"/>
      <c r="C584" s="606"/>
      <c r="D584" s="606"/>
      <c r="E584" s="606"/>
      <c r="F584" s="606"/>
      <c r="G584" s="606"/>
      <c r="H584" s="606"/>
      <c r="I584" s="606"/>
      <c r="J584" s="606"/>
      <c r="K584" s="606"/>
      <c r="L584" s="606"/>
      <c r="M584" s="607"/>
      <c r="N584" s="52"/>
    </row>
    <row r="585" spans="1:15" ht="18" customHeight="1" thickBot="1">
      <c r="A585" s="51" t="s">
        <v>322</v>
      </c>
      <c r="B585" s="52" t="s">
        <v>323</v>
      </c>
      <c r="C585" s="52" t="s">
        <v>324</v>
      </c>
      <c r="D585" s="52" t="s">
        <v>325</v>
      </c>
      <c r="E585" s="52" t="s">
        <v>326</v>
      </c>
      <c r="F585" s="52" t="s">
        <v>236</v>
      </c>
      <c r="G585" s="52" t="s">
        <v>327</v>
      </c>
      <c r="H585" s="52" t="s">
        <v>328</v>
      </c>
      <c r="I585" s="52" t="s">
        <v>329</v>
      </c>
      <c r="J585" s="52" t="s">
        <v>330</v>
      </c>
      <c r="K585" s="52" t="s">
        <v>331</v>
      </c>
      <c r="L585" s="52" t="s">
        <v>332</v>
      </c>
      <c r="M585" s="53" t="s">
        <v>333</v>
      </c>
      <c r="N585" s="52"/>
    </row>
    <row r="586" spans="1:15" ht="18" customHeight="1">
      <c r="A586" s="54">
        <v>1</v>
      </c>
      <c r="B586" s="55" t="s">
        <v>334</v>
      </c>
      <c r="C586" s="55">
        <v>55.097000000000001</v>
      </c>
      <c r="D586" s="55">
        <v>54.685000000000002</v>
      </c>
      <c r="E586" s="55">
        <v>54.747</v>
      </c>
      <c r="F586" s="55" t="s">
        <v>334</v>
      </c>
      <c r="G586" s="55">
        <v>54.488999999999997</v>
      </c>
      <c r="H586" s="55">
        <v>56.177</v>
      </c>
      <c r="I586" s="55">
        <v>56.161999999999999</v>
      </c>
      <c r="J586" s="55">
        <v>56.261000000000003</v>
      </c>
      <c r="K586" s="55" t="s">
        <v>334</v>
      </c>
      <c r="L586" s="70" t="s">
        <v>334</v>
      </c>
      <c r="M586" s="71">
        <v>54.036000000000001</v>
      </c>
      <c r="N586" s="83">
        <v>2005</v>
      </c>
      <c r="O586" s="47">
        <f>AVERAGE(B586:M616)</f>
        <v>55.09837651821865</v>
      </c>
    </row>
    <row r="587" spans="1:15" ht="18" customHeight="1">
      <c r="A587" s="57">
        <v>2</v>
      </c>
      <c r="B587" s="58" t="s">
        <v>334</v>
      </c>
      <c r="C587" s="58">
        <v>54.936999999999998</v>
      </c>
      <c r="D587" s="58">
        <v>54.710999999999999</v>
      </c>
      <c r="E587" s="58" t="s">
        <v>334</v>
      </c>
      <c r="F587" s="58" t="s">
        <v>334</v>
      </c>
      <c r="G587" s="58">
        <v>54.536999999999999</v>
      </c>
      <c r="H587" s="58" t="s">
        <v>334</v>
      </c>
      <c r="I587" s="58">
        <v>56.167000000000002</v>
      </c>
      <c r="J587" s="58">
        <v>56.207000000000001</v>
      </c>
      <c r="K587" s="58" t="s">
        <v>334</v>
      </c>
      <c r="L587" s="72">
        <v>55.048999999999999</v>
      </c>
      <c r="M587" s="73">
        <v>54.198</v>
      </c>
      <c r="N587" s="58"/>
    </row>
    <row r="588" spans="1:15" ht="18" customHeight="1">
      <c r="A588" s="57">
        <v>3</v>
      </c>
      <c r="B588" s="58">
        <v>56.341000000000001</v>
      </c>
      <c r="C588" s="58">
        <v>54.975999999999999</v>
      </c>
      <c r="D588" s="58">
        <v>54.777999999999999</v>
      </c>
      <c r="E588" s="58" t="s">
        <v>334</v>
      </c>
      <c r="F588" s="58">
        <v>54.332000000000001</v>
      </c>
      <c r="G588" s="58">
        <v>54.616</v>
      </c>
      <c r="H588" s="58" t="s">
        <v>334</v>
      </c>
      <c r="I588" s="58">
        <v>56.082000000000001</v>
      </c>
      <c r="J588" s="58" t="s">
        <v>334</v>
      </c>
      <c r="K588" s="58">
        <v>55.976999999999997</v>
      </c>
      <c r="L588" s="72">
        <v>54.801000000000002</v>
      </c>
      <c r="M588" s="73" t="s">
        <v>334</v>
      </c>
      <c r="N588" s="58"/>
    </row>
    <row r="589" spans="1:15" ht="18" customHeight="1">
      <c r="A589" s="57">
        <v>4</v>
      </c>
      <c r="B589" s="58">
        <v>56.198999999999998</v>
      </c>
      <c r="C589" s="58">
        <v>54.914000000000001</v>
      </c>
      <c r="D589" s="58">
        <v>54.872</v>
      </c>
      <c r="E589" s="58">
        <v>54.902000000000001</v>
      </c>
      <c r="F589" s="58">
        <v>54.182000000000002</v>
      </c>
      <c r="G589" s="58" t="s">
        <v>334</v>
      </c>
      <c r="H589" s="58">
        <v>55.938000000000002</v>
      </c>
      <c r="I589" s="58">
        <v>56.106000000000002</v>
      </c>
      <c r="J589" s="58" t="s">
        <v>334</v>
      </c>
      <c r="K589" s="58">
        <v>56.024999999999999</v>
      </c>
      <c r="L589" s="58" t="s">
        <v>334</v>
      </c>
      <c r="M589" s="59" t="s">
        <v>334</v>
      </c>
      <c r="N589" s="58"/>
    </row>
    <row r="590" spans="1:15" ht="18" customHeight="1">
      <c r="A590" s="57">
        <v>5</v>
      </c>
      <c r="B590" s="58">
        <v>56.14</v>
      </c>
      <c r="C590" s="58" t="s">
        <v>334</v>
      </c>
      <c r="D590" s="58" t="s">
        <v>334</v>
      </c>
      <c r="E590" s="58">
        <v>54.816000000000003</v>
      </c>
      <c r="F590" s="58">
        <v>54.100999999999999</v>
      </c>
      <c r="G590" s="58" t="s">
        <v>334</v>
      </c>
      <c r="H590" s="58">
        <v>56.08</v>
      </c>
      <c r="I590" s="58">
        <v>55.924999999999997</v>
      </c>
      <c r="J590" s="58">
        <v>56.116</v>
      </c>
      <c r="K590" s="58">
        <v>55.95</v>
      </c>
      <c r="L590" s="58" t="s">
        <v>334</v>
      </c>
      <c r="M590" s="59">
        <v>54.222000000000001</v>
      </c>
      <c r="N590" s="58"/>
    </row>
    <row r="591" spans="1:15" ht="18" customHeight="1">
      <c r="A591" s="57">
        <v>6</v>
      </c>
      <c r="B591" s="58">
        <v>56.22</v>
      </c>
      <c r="C591" s="58" t="s">
        <v>334</v>
      </c>
      <c r="D591" s="58" t="s">
        <v>334</v>
      </c>
      <c r="E591" s="58">
        <v>54.808999999999997</v>
      </c>
      <c r="F591" s="58">
        <v>53.975999999999999</v>
      </c>
      <c r="G591" s="58">
        <v>54.496000000000002</v>
      </c>
      <c r="H591" s="58">
        <v>56.174999999999997</v>
      </c>
      <c r="I591" s="58" t="s">
        <v>334</v>
      </c>
      <c r="J591" s="58">
        <v>56.122</v>
      </c>
      <c r="K591" s="58">
        <v>55.904000000000003</v>
      </c>
      <c r="L591" s="58" t="s">
        <v>334</v>
      </c>
      <c r="M591" s="59">
        <v>54.070999999999998</v>
      </c>
      <c r="N591" s="58"/>
    </row>
    <row r="592" spans="1:15" ht="18" customHeight="1">
      <c r="A592" s="57">
        <v>7</v>
      </c>
      <c r="B592" s="58">
        <v>56.225999999999999</v>
      </c>
      <c r="C592" s="58">
        <v>54.771999999999998</v>
      </c>
      <c r="D592" s="58">
        <v>54.963999999999999</v>
      </c>
      <c r="E592" s="58">
        <v>54.64</v>
      </c>
      <c r="F592" s="58" t="s">
        <v>334</v>
      </c>
      <c r="G592" s="58">
        <v>54.505000000000003</v>
      </c>
      <c r="H592" s="58">
        <v>56.128999999999998</v>
      </c>
      <c r="I592" s="58" t="s">
        <v>334</v>
      </c>
      <c r="J592" s="58">
        <v>56.201000000000001</v>
      </c>
      <c r="K592" s="58">
        <v>55.814999999999998</v>
      </c>
      <c r="L592" s="58">
        <v>54.66</v>
      </c>
      <c r="M592" s="59">
        <v>53.972999999999999</v>
      </c>
      <c r="N592" s="58"/>
    </row>
    <row r="593" spans="1:14" ht="18" customHeight="1">
      <c r="A593" s="57">
        <v>8</v>
      </c>
      <c r="B593" s="58" t="s">
        <v>334</v>
      </c>
      <c r="C593" s="58">
        <v>54.555999999999997</v>
      </c>
      <c r="D593" s="58">
        <v>54.779000000000003</v>
      </c>
      <c r="E593" s="58">
        <v>54.720999999999997</v>
      </c>
      <c r="F593" s="58" t="s">
        <v>334</v>
      </c>
      <c r="G593" s="58">
        <v>54.564</v>
      </c>
      <c r="H593" s="58">
        <v>56.283999999999999</v>
      </c>
      <c r="I593" s="58">
        <v>55.929000000000002</v>
      </c>
      <c r="J593" s="58">
        <v>56.155999999999999</v>
      </c>
      <c r="K593" s="58" t="s">
        <v>334</v>
      </c>
      <c r="L593" s="58">
        <v>54.78</v>
      </c>
      <c r="M593" s="59">
        <v>53.924999999999997</v>
      </c>
      <c r="N593" s="58"/>
    </row>
    <row r="594" spans="1:14" ht="18" customHeight="1">
      <c r="A594" s="57">
        <v>9</v>
      </c>
      <c r="B594" s="58" t="s">
        <v>334</v>
      </c>
      <c r="C594" s="58">
        <v>54.825000000000003</v>
      </c>
      <c r="D594" s="58">
        <v>54.673000000000002</v>
      </c>
      <c r="E594" s="58" t="s">
        <v>334</v>
      </c>
      <c r="F594" s="58">
        <v>53.988</v>
      </c>
      <c r="G594" s="58">
        <v>54.616</v>
      </c>
      <c r="H594" s="58" t="s">
        <v>334</v>
      </c>
      <c r="I594" s="58">
        <v>55.988</v>
      </c>
      <c r="J594" s="58">
        <v>56.076999999999998</v>
      </c>
      <c r="K594" s="58" t="s">
        <v>334</v>
      </c>
      <c r="L594" s="58">
        <v>54.613</v>
      </c>
      <c r="M594" s="59">
        <v>53.768999999999998</v>
      </c>
      <c r="N594" s="58"/>
    </row>
    <row r="595" spans="1:14" ht="18" customHeight="1">
      <c r="A595" s="57">
        <v>10</v>
      </c>
      <c r="B595" s="58">
        <v>56.222000000000001</v>
      </c>
      <c r="C595" s="58">
        <v>55.176000000000002</v>
      </c>
      <c r="D595" s="58">
        <v>54.47</v>
      </c>
      <c r="E595" s="58" t="s">
        <v>334</v>
      </c>
      <c r="F595" s="58">
        <v>54.140999999999998</v>
      </c>
      <c r="G595" s="58">
        <v>54.859000000000002</v>
      </c>
      <c r="H595" s="58" t="s">
        <v>334</v>
      </c>
      <c r="I595" s="58">
        <v>55.89</v>
      </c>
      <c r="J595" s="58" t="s">
        <v>334</v>
      </c>
      <c r="K595" s="58">
        <v>55.857999999999997</v>
      </c>
      <c r="L595" s="58">
        <v>54.64</v>
      </c>
      <c r="M595" s="59" t="s">
        <v>334</v>
      </c>
      <c r="N595" s="58"/>
    </row>
    <row r="596" spans="1:14" ht="18" customHeight="1">
      <c r="A596" s="57">
        <v>11</v>
      </c>
      <c r="B596" s="58">
        <v>56.158999999999999</v>
      </c>
      <c r="C596" s="58">
        <v>54.768000000000001</v>
      </c>
      <c r="D596" s="58">
        <v>54.220999999999997</v>
      </c>
      <c r="E596" s="58">
        <v>54.606999999999999</v>
      </c>
      <c r="F596" s="58">
        <v>54.207999999999998</v>
      </c>
      <c r="G596" s="58" t="s">
        <v>334</v>
      </c>
      <c r="H596" s="58">
        <v>56.320999999999998</v>
      </c>
      <c r="I596" s="58">
        <v>55.835000000000001</v>
      </c>
      <c r="J596" s="58" t="s">
        <v>334</v>
      </c>
      <c r="K596" s="58">
        <v>55.744</v>
      </c>
      <c r="L596" s="58">
        <v>54.71</v>
      </c>
      <c r="M596" s="59" t="s">
        <v>334</v>
      </c>
      <c r="N596" s="58"/>
    </row>
    <row r="597" spans="1:14" ht="18" customHeight="1">
      <c r="A597" s="57">
        <v>12</v>
      </c>
      <c r="B597" s="58">
        <v>56.061999999999998</v>
      </c>
      <c r="C597" s="58" t="s">
        <v>334</v>
      </c>
      <c r="D597" s="58" t="s">
        <v>334</v>
      </c>
      <c r="E597" s="58">
        <v>54.466000000000001</v>
      </c>
      <c r="F597" s="58">
        <v>54.143000000000001</v>
      </c>
      <c r="G597" s="58" t="s">
        <v>334</v>
      </c>
      <c r="H597" s="58">
        <v>56.22</v>
      </c>
      <c r="I597" s="58">
        <v>55.738</v>
      </c>
      <c r="J597" s="58">
        <v>56.094999999999999</v>
      </c>
      <c r="K597" s="58">
        <v>55.77</v>
      </c>
      <c r="L597" s="58" t="s">
        <v>334</v>
      </c>
      <c r="M597" s="59">
        <v>53.499000000000002</v>
      </c>
      <c r="N597" s="58"/>
    </row>
    <row r="598" spans="1:14" ht="18" customHeight="1">
      <c r="A598" s="57">
        <v>13</v>
      </c>
      <c r="B598" s="58">
        <v>55.99</v>
      </c>
      <c r="C598" s="58" t="s">
        <v>334</v>
      </c>
      <c r="D598" s="58" t="s">
        <v>334</v>
      </c>
      <c r="E598" s="58">
        <v>54.198</v>
      </c>
      <c r="F598" s="58">
        <v>54.218000000000004</v>
      </c>
      <c r="G598" s="58" t="s">
        <v>334</v>
      </c>
      <c r="H598" s="58">
        <v>56.124000000000002</v>
      </c>
      <c r="I598" s="58" t="s">
        <v>334</v>
      </c>
      <c r="J598" s="58">
        <v>55.999000000000002</v>
      </c>
      <c r="K598" s="58">
        <v>55.853999999999999</v>
      </c>
      <c r="L598" s="58" t="s">
        <v>334</v>
      </c>
      <c r="M598" s="59">
        <v>53.585999999999999</v>
      </c>
      <c r="N598" s="58"/>
    </row>
    <row r="599" spans="1:14" ht="18" customHeight="1">
      <c r="A599" s="57">
        <v>14</v>
      </c>
      <c r="B599" s="58">
        <v>55.701000000000001</v>
      </c>
      <c r="C599" s="58">
        <v>54.805</v>
      </c>
      <c r="D599" s="58">
        <v>54.173000000000002</v>
      </c>
      <c r="E599" s="58">
        <v>54.052999999999997</v>
      </c>
      <c r="F599" s="58" t="s">
        <v>334</v>
      </c>
      <c r="G599" s="58">
        <v>55.064</v>
      </c>
      <c r="H599" s="58">
        <v>56.124000000000002</v>
      </c>
      <c r="I599" s="58" t="s">
        <v>334</v>
      </c>
      <c r="J599" s="58">
        <v>55.981000000000002</v>
      </c>
      <c r="K599" s="58">
        <v>55.875999999999998</v>
      </c>
      <c r="L599" s="58">
        <v>54.52</v>
      </c>
      <c r="M599" s="59">
        <v>53.668999999999997</v>
      </c>
      <c r="N599" s="58"/>
    </row>
    <row r="600" spans="1:14" ht="18" customHeight="1">
      <c r="A600" s="57">
        <v>15</v>
      </c>
      <c r="B600" s="58" t="s">
        <v>334</v>
      </c>
      <c r="C600" s="58">
        <v>54.582000000000001</v>
      </c>
      <c r="D600" s="58">
        <v>53.932000000000002</v>
      </c>
      <c r="E600" s="58">
        <v>54.252000000000002</v>
      </c>
      <c r="F600" s="58" t="s">
        <v>334</v>
      </c>
      <c r="G600" s="58">
        <v>55.351999999999997</v>
      </c>
      <c r="H600" s="58">
        <v>55.997</v>
      </c>
      <c r="I600" s="58">
        <v>55.658999999999999</v>
      </c>
      <c r="J600" s="58">
        <v>55.890999999999998</v>
      </c>
      <c r="K600" s="58" t="s">
        <v>334</v>
      </c>
      <c r="L600" s="58">
        <v>54.578000000000003</v>
      </c>
      <c r="M600" s="59">
        <v>53.545000000000002</v>
      </c>
      <c r="N600" s="58"/>
    </row>
    <row r="601" spans="1:14" ht="18" customHeight="1">
      <c r="A601" s="57">
        <v>16</v>
      </c>
      <c r="B601" s="58" t="s">
        <v>334</v>
      </c>
      <c r="C601" s="58">
        <v>54.683999999999997</v>
      </c>
      <c r="D601" s="58">
        <v>54.152000000000001</v>
      </c>
      <c r="E601" s="58" t="s">
        <v>334</v>
      </c>
      <c r="F601" s="58">
        <v>54.262999999999998</v>
      </c>
      <c r="G601" s="58">
        <v>55.335000000000001</v>
      </c>
      <c r="H601" s="58" t="s">
        <v>334</v>
      </c>
      <c r="I601" s="58">
        <v>55.792000000000002</v>
      </c>
      <c r="J601" s="58">
        <v>56.014000000000003</v>
      </c>
      <c r="K601" s="58" t="s">
        <v>334</v>
      </c>
      <c r="L601" s="58">
        <v>54.677</v>
      </c>
      <c r="M601" s="59">
        <v>53.234000000000002</v>
      </c>
      <c r="N601" s="58"/>
    </row>
    <row r="602" spans="1:14" ht="18" customHeight="1">
      <c r="A602" s="57">
        <v>17</v>
      </c>
      <c r="B602" s="58">
        <v>55.665999999999997</v>
      </c>
      <c r="C602" s="58">
        <v>54.843000000000004</v>
      </c>
      <c r="D602" s="58">
        <v>53.984000000000002</v>
      </c>
      <c r="E602" s="58" t="s">
        <v>334</v>
      </c>
      <c r="F602" s="58">
        <v>54.418999999999997</v>
      </c>
      <c r="G602" s="58">
        <v>55.295000000000002</v>
      </c>
      <c r="H602" s="58" t="s">
        <v>334</v>
      </c>
      <c r="I602" s="58">
        <v>55.79</v>
      </c>
      <c r="J602" s="58" t="s">
        <v>334</v>
      </c>
      <c r="K602" s="58">
        <v>55.844000000000001</v>
      </c>
      <c r="L602" s="58">
        <v>54.63</v>
      </c>
      <c r="M602" s="59" t="s">
        <v>334</v>
      </c>
      <c r="N602" s="58"/>
    </row>
    <row r="603" spans="1:14" ht="18" customHeight="1">
      <c r="A603" s="57">
        <v>18</v>
      </c>
      <c r="B603" s="58">
        <v>55.533000000000001</v>
      </c>
      <c r="C603" s="58">
        <v>54.976999999999997</v>
      </c>
      <c r="D603" s="58">
        <v>53.911999999999999</v>
      </c>
      <c r="E603" s="58">
        <v>54.62</v>
      </c>
      <c r="F603" s="58">
        <v>54.393999999999998</v>
      </c>
      <c r="G603" s="58" t="s">
        <v>334</v>
      </c>
      <c r="H603" s="58">
        <v>55.86</v>
      </c>
      <c r="I603" s="58">
        <v>55.847000000000001</v>
      </c>
      <c r="J603" s="58" t="s">
        <v>334</v>
      </c>
      <c r="K603" s="58">
        <v>55.795999999999999</v>
      </c>
      <c r="L603" s="58">
        <v>54.430999999999997</v>
      </c>
      <c r="M603" s="59" t="s">
        <v>334</v>
      </c>
      <c r="N603" s="58"/>
    </row>
    <row r="604" spans="1:14" ht="18" customHeight="1">
      <c r="A604" s="57">
        <v>19</v>
      </c>
      <c r="B604" s="58">
        <v>55.636000000000003</v>
      </c>
      <c r="C604" s="58" t="s">
        <v>334</v>
      </c>
      <c r="D604" s="58" t="s">
        <v>334</v>
      </c>
      <c r="E604" s="58">
        <v>54.698</v>
      </c>
      <c r="F604" s="58">
        <v>54.466000000000001</v>
      </c>
      <c r="G604" s="58" t="s">
        <v>334</v>
      </c>
      <c r="H604" s="58">
        <v>55.679000000000002</v>
      </c>
      <c r="I604" s="58">
        <v>55.917999999999999</v>
      </c>
      <c r="J604" s="58">
        <v>56.128999999999998</v>
      </c>
      <c r="K604" s="58">
        <v>55.773000000000003</v>
      </c>
      <c r="L604" s="58" t="s">
        <v>334</v>
      </c>
      <c r="M604" s="59">
        <v>53.334000000000003</v>
      </c>
      <c r="N604" s="58"/>
    </row>
    <row r="605" spans="1:14" ht="18" customHeight="1">
      <c r="A605" s="57">
        <v>20</v>
      </c>
      <c r="B605" s="58">
        <v>55.552</v>
      </c>
      <c r="C605" s="58" t="s">
        <v>334</v>
      </c>
      <c r="D605" s="58" t="s">
        <v>334</v>
      </c>
      <c r="E605" s="58">
        <v>54.526000000000003</v>
      </c>
      <c r="F605" s="58">
        <v>54.634999999999998</v>
      </c>
      <c r="G605" s="58">
        <v>55.439</v>
      </c>
      <c r="H605" s="58">
        <v>55.683999999999997</v>
      </c>
      <c r="I605" s="58" t="s">
        <v>334</v>
      </c>
      <c r="J605" s="58">
        <v>56.258000000000003</v>
      </c>
      <c r="K605" s="58">
        <v>55.759</v>
      </c>
      <c r="L605" s="58" t="s">
        <v>334</v>
      </c>
      <c r="M605" s="59">
        <v>53.331000000000003</v>
      </c>
      <c r="N605" s="58"/>
    </row>
    <row r="606" spans="1:14" ht="18" customHeight="1">
      <c r="A606" s="57">
        <v>21</v>
      </c>
      <c r="B606" s="58">
        <v>55.482999999999997</v>
      </c>
      <c r="C606" s="58">
        <v>54.689</v>
      </c>
      <c r="D606" s="58">
        <v>54.222000000000001</v>
      </c>
      <c r="E606" s="58">
        <v>54.311</v>
      </c>
      <c r="F606" s="58" t="s">
        <v>334</v>
      </c>
      <c r="G606" s="58">
        <v>55.636000000000003</v>
      </c>
      <c r="H606" s="58">
        <v>55.904000000000003</v>
      </c>
      <c r="I606" s="58" t="s">
        <v>334</v>
      </c>
      <c r="J606" s="58">
        <v>56.29</v>
      </c>
      <c r="K606" s="58">
        <v>55.749000000000002</v>
      </c>
      <c r="L606" s="58">
        <v>54.476999999999997</v>
      </c>
      <c r="M606" s="59">
        <v>53.494</v>
      </c>
      <c r="N606" s="58"/>
    </row>
    <row r="607" spans="1:14" ht="18" customHeight="1">
      <c r="A607" s="57">
        <v>22</v>
      </c>
      <c r="B607" s="58" t="s">
        <v>334</v>
      </c>
      <c r="C607" s="58">
        <v>54.747</v>
      </c>
      <c r="D607" s="58">
        <v>54.265999999999998</v>
      </c>
      <c r="E607" s="58">
        <v>54.369</v>
      </c>
      <c r="F607" s="58" t="s">
        <v>334</v>
      </c>
      <c r="G607" s="58">
        <v>55.792999999999999</v>
      </c>
      <c r="H607" s="58">
        <v>55.743000000000002</v>
      </c>
      <c r="I607" s="58">
        <v>56.006999999999998</v>
      </c>
      <c r="J607" s="58">
        <v>56.274000000000001</v>
      </c>
      <c r="K607" s="58" t="s">
        <v>334</v>
      </c>
      <c r="L607" s="58">
        <v>54.686</v>
      </c>
      <c r="M607" s="59">
        <v>53.52</v>
      </c>
      <c r="N607" s="58"/>
    </row>
    <row r="608" spans="1:14" ht="18" customHeight="1">
      <c r="A608" s="57">
        <v>23</v>
      </c>
      <c r="B608" s="58" t="s">
        <v>334</v>
      </c>
      <c r="C608" s="58">
        <v>54.759</v>
      </c>
      <c r="D608" s="58">
        <v>54.161999999999999</v>
      </c>
      <c r="E608" s="58" t="s">
        <v>334</v>
      </c>
      <c r="F608" s="58">
        <v>54.640999999999998</v>
      </c>
      <c r="G608" s="58">
        <v>55.63</v>
      </c>
      <c r="H608" s="58" t="s">
        <v>334</v>
      </c>
      <c r="I608" s="58">
        <v>55.895000000000003</v>
      </c>
      <c r="J608" s="58">
        <v>56.280999999999999</v>
      </c>
      <c r="K608" s="58" t="s">
        <v>334</v>
      </c>
      <c r="L608" s="58">
        <v>54.563000000000002</v>
      </c>
      <c r="M608" s="59">
        <v>53.289000000000001</v>
      </c>
      <c r="N608" s="58"/>
    </row>
    <row r="609" spans="1:15" ht="18" customHeight="1">
      <c r="A609" s="57">
        <v>24</v>
      </c>
      <c r="B609" s="58">
        <v>55.545999999999999</v>
      </c>
      <c r="C609" s="58">
        <v>54.62</v>
      </c>
      <c r="D609" s="58" t="s">
        <v>334</v>
      </c>
      <c r="E609" s="58" t="s">
        <v>334</v>
      </c>
      <c r="F609" s="58">
        <v>54.706000000000003</v>
      </c>
      <c r="G609" s="58">
        <v>55.75</v>
      </c>
      <c r="H609" s="58" t="s">
        <v>334</v>
      </c>
      <c r="I609" s="58">
        <v>55.904000000000003</v>
      </c>
      <c r="J609" s="58" t="s">
        <v>334</v>
      </c>
      <c r="K609" s="58">
        <v>55.581000000000003</v>
      </c>
      <c r="L609" s="58">
        <v>54.338000000000001</v>
      </c>
      <c r="M609" s="59" t="s">
        <v>334</v>
      </c>
      <c r="N609" s="58"/>
    </row>
    <row r="610" spans="1:15" ht="18" customHeight="1">
      <c r="A610" s="57">
        <v>25</v>
      </c>
      <c r="B610" s="58">
        <v>55.405000000000001</v>
      </c>
      <c r="C610" s="58" t="s">
        <v>334</v>
      </c>
      <c r="D610" s="58" t="s">
        <v>334</v>
      </c>
      <c r="E610" s="58">
        <v>54.39</v>
      </c>
      <c r="F610" s="58">
        <v>54.646000000000001</v>
      </c>
      <c r="G610" s="58" t="s">
        <v>334</v>
      </c>
      <c r="H610" s="58" t="s">
        <v>334</v>
      </c>
      <c r="I610" s="58">
        <v>56.027000000000001</v>
      </c>
      <c r="J610" s="58" t="s">
        <v>334</v>
      </c>
      <c r="K610" s="58">
        <v>55.433</v>
      </c>
      <c r="L610" s="58">
        <v>54.238999999999997</v>
      </c>
      <c r="M610" s="59" t="s">
        <v>334</v>
      </c>
      <c r="N610" s="58"/>
    </row>
    <row r="611" spans="1:15" ht="18" customHeight="1">
      <c r="A611" s="57">
        <v>26</v>
      </c>
      <c r="B611" s="58">
        <v>55.341000000000001</v>
      </c>
      <c r="C611" s="58" t="s">
        <v>334</v>
      </c>
      <c r="D611" s="58" t="s">
        <v>334</v>
      </c>
      <c r="E611" s="58">
        <v>54.106000000000002</v>
      </c>
      <c r="F611" s="58">
        <v>54.448</v>
      </c>
      <c r="G611" s="58" t="s">
        <v>334</v>
      </c>
      <c r="H611" s="58">
        <v>55.552999999999997</v>
      </c>
      <c r="I611" s="58">
        <v>56.076999999999998</v>
      </c>
      <c r="J611" s="58">
        <v>56.268000000000001</v>
      </c>
      <c r="K611" s="58">
        <v>55.326999999999998</v>
      </c>
      <c r="L611" s="58" t="s">
        <v>334</v>
      </c>
      <c r="M611" s="59" t="s">
        <v>334</v>
      </c>
      <c r="N611" s="58"/>
    </row>
    <row r="612" spans="1:15" ht="18" customHeight="1">
      <c r="A612" s="57">
        <v>27</v>
      </c>
      <c r="B612" s="58">
        <v>55.368000000000002</v>
      </c>
      <c r="C612" s="58" t="s">
        <v>334</v>
      </c>
      <c r="D612" s="58" t="s">
        <v>334</v>
      </c>
      <c r="E612" s="58">
        <v>54.249000000000002</v>
      </c>
      <c r="F612" s="58">
        <v>54.454999999999998</v>
      </c>
      <c r="G612" s="58">
        <v>55.731000000000002</v>
      </c>
      <c r="H612" s="58">
        <v>55.88</v>
      </c>
      <c r="I612" s="58" t="s">
        <v>334</v>
      </c>
      <c r="J612" s="58">
        <v>56.273000000000003</v>
      </c>
      <c r="K612" s="58">
        <v>55.058999999999997</v>
      </c>
      <c r="L612" s="58" t="s">
        <v>334</v>
      </c>
      <c r="M612" s="59">
        <v>53.264000000000003</v>
      </c>
      <c r="N612" s="58"/>
    </row>
    <row r="613" spans="1:15" ht="18" customHeight="1">
      <c r="A613" s="57">
        <v>28</v>
      </c>
      <c r="B613" s="58">
        <v>55.188000000000002</v>
      </c>
      <c r="C613" s="58">
        <v>54.716999999999999</v>
      </c>
      <c r="D613" s="58">
        <v>54.189</v>
      </c>
      <c r="E613" s="58">
        <v>54.493000000000002</v>
      </c>
      <c r="F613" s="58" t="s">
        <v>334</v>
      </c>
      <c r="G613" s="58">
        <v>55.555</v>
      </c>
      <c r="H613" s="58">
        <v>56.146999999999998</v>
      </c>
      <c r="I613" s="58" t="s">
        <v>334</v>
      </c>
      <c r="J613" s="58">
        <v>56.305</v>
      </c>
      <c r="K613" s="58">
        <v>55.06</v>
      </c>
      <c r="L613" s="58" t="s">
        <v>334</v>
      </c>
      <c r="M613" s="59">
        <v>53.209000000000003</v>
      </c>
      <c r="N613" s="58"/>
    </row>
    <row r="614" spans="1:15" ht="18" customHeight="1">
      <c r="A614" s="57">
        <v>29</v>
      </c>
      <c r="B614" s="58" t="s">
        <v>334</v>
      </c>
      <c r="C614" s="58" t="s">
        <v>335</v>
      </c>
      <c r="D614" s="58">
        <v>54.393000000000001</v>
      </c>
      <c r="E614" s="58">
        <v>54.353999999999999</v>
      </c>
      <c r="F614" s="58" t="s">
        <v>334</v>
      </c>
      <c r="G614" s="58">
        <v>55.579000000000001</v>
      </c>
      <c r="H614" s="58">
        <v>56.104999999999997</v>
      </c>
      <c r="I614" s="58" t="s">
        <v>334</v>
      </c>
      <c r="J614" s="58">
        <v>56.183</v>
      </c>
      <c r="K614" s="58" t="s">
        <v>334</v>
      </c>
      <c r="L614" s="58">
        <v>54.26</v>
      </c>
      <c r="M614" s="59">
        <v>53.067</v>
      </c>
      <c r="N614" s="58"/>
    </row>
    <row r="615" spans="1:15" ht="18" customHeight="1">
      <c r="A615" s="57">
        <v>30</v>
      </c>
      <c r="B615" s="58" t="s">
        <v>334</v>
      </c>
      <c r="C615" s="58" t="s">
        <v>335</v>
      </c>
      <c r="D615" s="58">
        <v>54.634</v>
      </c>
      <c r="E615" s="58" t="s">
        <v>334</v>
      </c>
      <c r="F615" s="58">
        <v>54.433999999999997</v>
      </c>
      <c r="G615" s="58">
        <v>55.918999999999997</v>
      </c>
      <c r="H615" s="58" t="s">
        <v>334</v>
      </c>
      <c r="I615" s="58">
        <v>56.052</v>
      </c>
      <c r="J615" s="58">
        <v>56.055</v>
      </c>
      <c r="K615" s="58" t="s">
        <v>334</v>
      </c>
      <c r="L615" s="58">
        <v>53.999000000000002</v>
      </c>
      <c r="M615" s="59" t="s">
        <v>334</v>
      </c>
      <c r="N615" s="58"/>
    </row>
    <row r="616" spans="1:15" ht="18" customHeight="1">
      <c r="A616" s="57">
        <v>31</v>
      </c>
      <c r="B616" s="58">
        <v>55.112000000000002</v>
      </c>
      <c r="C616" s="58" t="s">
        <v>335</v>
      </c>
      <c r="D616" s="58">
        <v>54.792999999999999</v>
      </c>
      <c r="E616" s="58" t="s">
        <v>335</v>
      </c>
      <c r="F616" s="58">
        <v>54.366999999999997</v>
      </c>
      <c r="G616" s="58" t="s">
        <v>335</v>
      </c>
      <c r="H616" s="58" t="s">
        <v>334</v>
      </c>
      <c r="I616" s="58">
        <v>56.16</v>
      </c>
      <c r="J616" s="58" t="s">
        <v>335</v>
      </c>
      <c r="K616" s="58" t="s">
        <v>334</v>
      </c>
      <c r="L616" s="58" t="s">
        <v>335</v>
      </c>
      <c r="M616" s="59" t="s">
        <v>334</v>
      </c>
      <c r="N616" s="58"/>
    </row>
    <row r="617" spans="1:15" ht="18" customHeight="1" thickBot="1">
      <c r="A617" s="76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8"/>
      <c r="N617" s="58"/>
    </row>
    <row r="618" spans="1:15" ht="18" customHeight="1">
      <c r="A618" s="618">
        <v>2004</v>
      </c>
      <c r="B618" s="619"/>
      <c r="C618" s="619"/>
      <c r="D618" s="619"/>
      <c r="E618" s="619"/>
      <c r="F618" s="619"/>
      <c r="G618" s="619"/>
      <c r="H618" s="619"/>
      <c r="I618" s="619"/>
      <c r="J618" s="619"/>
      <c r="K618" s="619"/>
      <c r="L618" s="619"/>
      <c r="M618" s="620"/>
      <c r="N618" s="52"/>
    </row>
    <row r="619" spans="1:15" ht="18" customHeight="1" thickBot="1">
      <c r="A619" s="63" t="s">
        <v>322</v>
      </c>
      <c r="B619" s="64" t="s">
        <v>323</v>
      </c>
      <c r="C619" s="64" t="s">
        <v>324</v>
      </c>
      <c r="D619" s="64" t="s">
        <v>325</v>
      </c>
      <c r="E619" s="64" t="s">
        <v>326</v>
      </c>
      <c r="F619" s="64" t="s">
        <v>236</v>
      </c>
      <c r="G619" s="64" t="s">
        <v>327</v>
      </c>
      <c r="H619" s="64" t="s">
        <v>328</v>
      </c>
      <c r="I619" s="64" t="s">
        <v>329</v>
      </c>
      <c r="J619" s="64" t="s">
        <v>330</v>
      </c>
      <c r="K619" s="64" t="s">
        <v>331</v>
      </c>
      <c r="L619" s="64" t="s">
        <v>332</v>
      </c>
      <c r="M619" s="65" t="s">
        <v>333</v>
      </c>
      <c r="N619" s="52"/>
    </row>
    <row r="620" spans="1:15" ht="18" customHeight="1">
      <c r="A620" s="54">
        <v>1</v>
      </c>
      <c r="B620" s="55" t="s">
        <v>334</v>
      </c>
      <c r="C620" s="55" t="s">
        <v>334</v>
      </c>
      <c r="D620" s="55">
        <v>56.332000000000001</v>
      </c>
      <c r="E620" s="55">
        <v>56.216000000000001</v>
      </c>
      <c r="F620" s="55" t="s">
        <v>334</v>
      </c>
      <c r="G620" s="55">
        <v>55.807000000000002</v>
      </c>
      <c r="H620" s="55">
        <v>56.176000000000002</v>
      </c>
      <c r="I620" s="55" t="s">
        <v>334</v>
      </c>
      <c r="J620" s="55">
        <v>56.146999999999998</v>
      </c>
      <c r="K620" s="55">
        <v>56.276000000000003</v>
      </c>
      <c r="L620" s="70" t="s">
        <v>334</v>
      </c>
      <c r="M620" s="71">
        <v>56.161000000000001</v>
      </c>
      <c r="N620" s="83">
        <v>2004</v>
      </c>
      <c r="O620" s="47">
        <f>AVERAGE(B620:M650)</f>
        <v>56.041052631578928</v>
      </c>
    </row>
    <row r="621" spans="1:15" ht="18" customHeight="1">
      <c r="A621" s="57">
        <v>2</v>
      </c>
      <c r="B621" s="58" t="s">
        <v>334</v>
      </c>
      <c r="C621" s="58">
        <v>55.963999999999999</v>
      </c>
      <c r="D621" s="58">
        <v>56.286999999999999</v>
      </c>
      <c r="E621" s="58">
        <v>56.170999999999999</v>
      </c>
      <c r="F621" s="58" t="s">
        <v>334</v>
      </c>
      <c r="G621" s="58">
        <v>55.668999999999997</v>
      </c>
      <c r="H621" s="58">
        <v>56.031999999999996</v>
      </c>
      <c r="I621" s="58">
        <v>55.996000000000002</v>
      </c>
      <c r="J621" s="58">
        <v>56.197000000000003</v>
      </c>
      <c r="K621" s="58" t="s">
        <v>334</v>
      </c>
      <c r="L621" s="72">
        <v>56.34</v>
      </c>
      <c r="M621" s="73">
        <v>56.14</v>
      </c>
      <c r="N621" s="58"/>
    </row>
    <row r="622" spans="1:15" ht="18" customHeight="1">
      <c r="A622" s="57">
        <v>3</v>
      </c>
      <c r="B622" s="58" t="s">
        <v>334</v>
      </c>
      <c r="C622" s="58">
        <v>55.930999999999997</v>
      </c>
      <c r="D622" s="58">
        <v>56.262</v>
      </c>
      <c r="E622" s="58" t="s">
        <v>334</v>
      </c>
      <c r="F622" s="58">
        <v>56.033999999999999</v>
      </c>
      <c r="G622" s="58">
        <v>55.701999999999998</v>
      </c>
      <c r="H622" s="58" t="s">
        <v>334</v>
      </c>
      <c r="I622" s="58">
        <v>55.853000000000002</v>
      </c>
      <c r="J622" s="58">
        <v>56.179000000000002</v>
      </c>
      <c r="K622" s="58" t="s">
        <v>334</v>
      </c>
      <c r="L622" s="72">
        <v>56.317</v>
      </c>
      <c r="M622" s="73" t="s">
        <v>334</v>
      </c>
      <c r="N622" s="58"/>
    </row>
    <row r="623" spans="1:15" ht="18" customHeight="1">
      <c r="A623" s="57">
        <v>4</v>
      </c>
      <c r="B623" s="58" t="s">
        <v>334</v>
      </c>
      <c r="C623" s="58">
        <v>56.155000000000001</v>
      </c>
      <c r="D623" s="58">
        <v>56.206000000000003</v>
      </c>
      <c r="E623" s="58" t="s">
        <v>334</v>
      </c>
      <c r="F623" s="58">
        <v>55.847000000000001</v>
      </c>
      <c r="G623" s="58">
        <v>55.779000000000003</v>
      </c>
      <c r="H623" s="58" t="s">
        <v>334</v>
      </c>
      <c r="I623" s="58">
        <v>55.81</v>
      </c>
      <c r="J623" s="58" t="s">
        <v>334</v>
      </c>
      <c r="K623" s="58">
        <v>56.271000000000001</v>
      </c>
      <c r="L623" s="58">
        <v>56.372</v>
      </c>
      <c r="M623" s="59" t="s">
        <v>334</v>
      </c>
      <c r="N623" s="58"/>
    </row>
    <row r="624" spans="1:15" ht="18" customHeight="1">
      <c r="A624" s="57">
        <v>5</v>
      </c>
      <c r="B624" s="58">
        <v>55.585999999999999</v>
      </c>
      <c r="C624" s="58">
        <v>56.16</v>
      </c>
      <c r="D624" s="58">
        <v>56.21</v>
      </c>
      <c r="E624" s="58">
        <v>56.247999999999998</v>
      </c>
      <c r="F624" s="58">
        <v>55.643000000000001</v>
      </c>
      <c r="G624" s="58" t="s">
        <v>334</v>
      </c>
      <c r="H624" s="58">
        <v>55.951999999999998</v>
      </c>
      <c r="I624" s="58">
        <v>55.884</v>
      </c>
      <c r="J624" s="58" t="s">
        <v>334</v>
      </c>
      <c r="K624" s="58">
        <v>56.298000000000002</v>
      </c>
      <c r="L624" s="58">
        <v>56.360999999999997</v>
      </c>
      <c r="M624" s="59" t="s">
        <v>334</v>
      </c>
      <c r="N624" s="58"/>
    </row>
    <row r="625" spans="1:14" ht="18" customHeight="1">
      <c r="A625" s="57">
        <v>6</v>
      </c>
      <c r="B625" s="58">
        <v>55.360999999999997</v>
      </c>
      <c r="C625" s="58">
        <v>56.003999999999998</v>
      </c>
      <c r="D625" s="58" t="s">
        <v>334</v>
      </c>
      <c r="E625" s="58">
        <v>56.305999999999997</v>
      </c>
      <c r="F625" s="58">
        <v>55.49</v>
      </c>
      <c r="G625" s="58" t="s">
        <v>334</v>
      </c>
      <c r="H625" s="58">
        <v>55.860999999999997</v>
      </c>
      <c r="I625" s="58">
        <v>55.84</v>
      </c>
      <c r="J625" s="58">
        <v>56.103999999999999</v>
      </c>
      <c r="K625" s="58">
        <v>56.265999999999998</v>
      </c>
      <c r="L625" s="58" t="s">
        <v>334</v>
      </c>
      <c r="M625" s="59">
        <v>56.097000000000001</v>
      </c>
      <c r="N625" s="58"/>
    </row>
    <row r="626" spans="1:14" ht="18" customHeight="1">
      <c r="A626" s="57">
        <v>7</v>
      </c>
      <c r="B626" s="58">
        <v>55.142000000000003</v>
      </c>
      <c r="C626" s="58" t="s">
        <v>334</v>
      </c>
      <c r="D626" s="58" t="s">
        <v>334</v>
      </c>
      <c r="E626" s="58" t="s">
        <v>334</v>
      </c>
      <c r="F626" s="58">
        <v>55.546999999999997</v>
      </c>
      <c r="G626" s="58">
        <v>55.902999999999999</v>
      </c>
      <c r="H626" s="58">
        <v>55.895000000000003</v>
      </c>
      <c r="I626" s="58" t="s">
        <v>334</v>
      </c>
      <c r="J626" s="58">
        <v>56.088999999999999</v>
      </c>
      <c r="K626" s="58">
        <v>56.298000000000002</v>
      </c>
      <c r="L626" s="58" t="s">
        <v>334</v>
      </c>
      <c r="M626" s="59">
        <v>56.026000000000003</v>
      </c>
      <c r="N626" s="58"/>
    </row>
    <row r="627" spans="1:14" ht="18" customHeight="1">
      <c r="A627" s="57">
        <v>8</v>
      </c>
      <c r="B627" s="58">
        <v>55.158999999999999</v>
      </c>
      <c r="C627" s="58" t="s">
        <v>334</v>
      </c>
      <c r="D627" s="58">
        <v>56.320999999999998</v>
      </c>
      <c r="E627" s="58" t="s">
        <v>334</v>
      </c>
      <c r="F627" s="58" t="s">
        <v>334</v>
      </c>
      <c r="G627" s="58">
        <v>55.802999999999997</v>
      </c>
      <c r="H627" s="58">
        <v>55.942999999999998</v>
      </c>
      <c r="I627" s="58" t="s">
        <v>334</v>
      </c>
      <c r="J627" s="58">
        <v>56.119</v>
      </c>
      <c r="K627" s="58">
        <v>56.338999999999999</v>
      </c>
      <c r="L627" s="58">
        <v>56.384</v>
      </c>
      <c r="M627" s="59">
        <v>56.055999999999997</v>
      </c>
      <c r="N627" s="58"/>
    </row>
    <row r="628" spans="1:14" ht="18" customHeight="1">
      <c r="A628" s="57">
        <v>9</v>
      </c>
      <c r="B628" s="58">
        <v>55.232999999999997</v>
      </c>
      <c r="C628" s="58">
        <v>55.912999999999997</v>
      </c>
      <c r="D628" s="58">
        <v>56.292000000000002</v>
      </c>
      <c r="E628" s="58" t="s">
        <v>334</v>
      </c>
      <c r="F628" s="58" t="s">
        <v>334</v>
      </c>
      <c r="G628" s="58">
        <v>55.744999999999997</v>
      </c>
      <c r="H628" s="58">
        <v>55.936999999999998</v>
      </c>
      <c r="I628" s="58">
        <v>55.706000000000003</v>
      </c>
      <c r="J628" s="58">
        <v>56.103999999999999</v>
      </c>
      <c r="K628" s="58" t="s">
        <v>334</v>
      </c>
      <c r="L628" s="58">
        <v>56.319000000000003</v>
      </c>
      <c r="M628" s="59">
        <v>56.037999999999997</v>
      </c>
      <c r="N628" s="58"/>
    </row>
    <row r="629" spans="1:14" ht="18" customHeight="1">
      <c r="A629" s="57">
        <v>10</v>
      </c>
      <c r="B629" s="58" t="s">
        <v>334</v>
      </c>
      <c r="C629" s="58">
        <v>55.901000000000003</v>
      </c>
      <c r="D629" s="58">
        <v>56.151000000000003</v>
      </c>
      <c r="E629" s="58" t="s">
        <v>334</v>
      </c>
      <c r="F629" s="58" t="s">
        <v>334</v>
      </c>
      <c r="G629" s="58">
        <v>55.697000000000003</v>
      </c>
      <c r="H629" s="58" t="s">
        <v>334</v>
      </c>
      <c r="I629" s="58">
        <v>55.67</v>
      </c>
      <c r="J629" s="58">
        <v>56.058999999999997</v>
      </c>
      <c r="K629" s="58" t="s">
        <v>334</v>
      </c>
      <c r="L629" s="58">
        <v>56.332000000000001</v>
      </c>
      <c r="M629" s="59">
        <v>56.164000000000001</v>
      </c>
      <c r="N629" s="58"/>
    </row>
    <row r="630" spans="1:14" ht="18" customHeight="1">
      <c r="A630" s="57">
        <v>11</v>
      </c>
      <c r="B630" s="58" t="s">
        <v>334</v>
      </c>
      <c r="C630" s="58">
        <v>55.872</v>
      </c>
      <c r="D630" s="58">
        <v>56.201999999999998</v>
      </c>
      <c r="E630" s="58" t="s">
        <v>334</v>
      </c>
      <c r="F630" s="58">
        <v>55.746000000000002</v>
      </c>
      <c r="G630" s="58">
        <v>55.744999999999997</v>
      </c>
      <c r="H630" s="58" t="s">
        <v>334</v>
      </c>
      <c r="I630" s="58">
        <v>55.697000000000003</v>
      </c>
      <c r="J630" s="58" t="s">
        <v>334</v>
      </c>
      <c r="K630" s="58">
        <v>56.392000000000003</v>
      </c>
      <c r="L630" s="58">
        <v>56.338000000000001</v>
      </c>
      <c r="M630" s="59" t="s">
        <v>334</v>
      </c>
      <c r="N630" s="58"/>
    </row>
    <row r="631" spans="1:14" ht="18" customHeight="1">
      <c r="A631" s="57">
        <v>12</v>
      </c>
      <c r="B631" s="58">
        <v>55.228000000000002</v>
      </c>
      <c r="C631" s="58">
        <v>55.872</v>
      </c>
      <c r="D631" s="58">
        <v>56.273000000000003</v>
      </c>
      <c r="E631" s="58">
        <v>56.345999999999997</v>
      </c>
      <c r="F631" s="58">
        <v>55.960999999999999</v>
      </c>
      <c r="G631" s="58" t="s">
        <v>334</v>
      </c>
      <c r="H631" s="58">
        <v>55.835999999999999</v>
      </c>
      <c r="I631" s="58">
        <v>55.682000000000002</v>
      </c>
      <c r="J631" s="58" t="s">
        <v>334</v>
      </c>
      <c r="K631" s="58">
        <v>56.344000000000001</v>
      </c>
      <c r="L631" s="58">
        <v>56.331000000000003</v>
      </c>
      <c r="M631" s="59" t="s">
        <v>334</v>
      </c>
      <c r="N631" s="58"/>
    </row>
    <row r="632" spans="1:14" ht="18" customHeight="1">
      <c r="A632" s="57">
        <v>13</v>
      </c>
      <c r="B632" s="58">
        <v>55.241</v>
      </c>
      <c r="C632" s="58">
        <v>55.95</v>
      </c>
      <c r="D632" s="58" t="s">
        <v>334</v>
      </c>
      <c r="E632" s="58">
        <v>56.183999999999997</v>
      </c>
      <c r="F632" s="58">
        <v>55.863</v>
      </c>
      <c r="G632" s="58" t="s">
        <v>334</v>
      </c>
      <c r="H632" s="58">
        <v>55.707000000000001</v>
      </c>
      <c r="I632" s="58">
        <v>55.640999999999998</v>
      </c>
      <c r="J632" s="58">
        <v>56.116</v>
      </c>
      <c r="K632" s="58">
        <v>56.350999999999999</v>
      </c>
      <c r="L632" s="58" t="s">
        <v>334</v>
      </c>
      <c r="M632" s="59">
        <v>56.335000000000001</v>
      </c>
      <c r="N632" s="58"/>
    </row>
    <row r="633" spans="1:14" ht="18" customHeight="1">
      <c r="A633" s="57">
        <v>14</v>
      </c>
      <c r="B633" s="58">
        <v>55.341000000000001</v>
      </c>
      <c r="C633" s="58" t="s">
        <v>334</v>
      </c>
      <c r="D633" s="58" t="s">
        <v>334</v>
      </c>
      <c r="E633" s="58">
        <v>55.896000000000001</v>
      </c>
      <c r="F633" s="58">
        <v>55.932000000000002</v>
      </c>
      <c r="G633" s="58">
        <v>55.817</v>
      </c>
      <c r="H633" s="58">
        <v>55.851999999999997</v>
      </c>
      <c r="I633" s="58" t="s">
        <v>334</v>
      </c>
      <c r="J633" s="58">
        <v>56.168999999999997</v>
      </c>
      <c r="K633" s="58">
        <v>56.411999999999999</v>
      </c>
      <c r="L633" s="58" t="s">
        <v>334</v>
      </c>
      <c r="M633" s="59">
        <v>56.311999999999998</v>
      </c>
      <c r="N633" s="58"/>
    </row>
    <row r="634" spans="1:14" ht="18" customHeight="1">
      <c r="A634" s="57">
        <v>15</v>
      </c>
      <c r="B634" s="58">
        <v>55.412999999999997</v>
      </c>
      <c r="C634" s="58" t="s">
        <v>334</v>
      </c>
      <c r="D634" s="58">
        <v>56.287999999999997</v>
      </c>
      <c r="E634" s="58">
        <v>55.744999999999997</v>
      </c>
      <c r="F634" s="58" t="s">
        <v>334</v>
      </c>
      <c r="G634" s="58">
        <v>55.936</v>
      </c>
      <c r="H634" s="58">
        <v>55.825000000000003</v>
      </c>
      <c r="I634" s="58" t="s">
        <v>334</v>
      </c>
      <c r="J634" s="58">
        <v>56.195999999999998</v>
      </c>
      <c r="K634" s="58">
        <v>56.442999999999998</v>
      </c>
      <c r="L634" s="58" t="s">
        <v>334</v>
      </c>
      <c r="M634" s="59">
        <v>56.296999999999997</v>
      </c>
      <c r="N634" s="58"/>
    </row>
    <row r="635" spans="1:14" ht="18" customHeight="1">
      <c r="A635" s="57">
        <v>16</v>
      </c>
      <c r="B635" s="58">
        <v>55.515000000000001</v>
      </c>
      <c r="C635" s="58">
        <v>56.066000000000003</v>
      </c>
      <c r="D635" s="58">
        <v>56.290999999999997</v>
      </c>
      <c r="E635" s="58">
        <v>55.88</v>
      </c>
      <c r="F635" s="58" t="s">
        <v>334</v>
      </c>
      <c r="G635" s="58">
        <v>56.036999999999999</v>
      </c>
      <c r="H635" s="58">
        <v>55.945999999999998</v>
      </c>
      <c r="I635" s="58">
        <v>55.725999999999999</v>
      </c>
      <c r="J635" s="58">
        <v>56.106000000000002</v>
      </c>
      <c r="K635" s="58" t="s">
        <v>334</v>
      </c>
      <c r="L635" s="58">
        <v>56.332000000000001</v>
      </c>
      <c r="M635" s="59">
        <v>56.313000000000002</v>
      </c>
      <c r="N635" s="58"/>
    </row>
    <row r="636" spans="1:14" ht="18" customHeight="1">
      <c r="A636" s="57">
        <v>17</v>
      </c>
      <c r="B636" s="58" t="s">
        <v>334</v>
      </c>
      <c r="C636" s="58">
        <v>56.085000000000001</v>
      </c>
      <c r="D636" s="58">
        <v>56.268000000000001</v>
      </c>
      <c r="E636" s="58" t="s">
        <v>334</v>
      </c>
      <c r="F636" s="58">
        <v>55.972999999999999</v>
      </c>
      <c r="G636" s="58">
        <v>56.093000000000004</v>
      </c>
      <c r="H636" s="58" t="s">
        <v>334</v>
      </c>
      <c r="I636" s="58">
        <v>55.661999999999999</v>
      </c>
      <c r="J636" s="58">
        <v>56.167999999999999</v>
      </c>
      <c r="K636" s="58" t="s">
        <v>334</v>
      </c>
      <c r="L636" s="58">
        <v>56.332000000000001</v>
      </c>
      <c r="M636" s="59">
        <v>56.259</v>
      </c>
      <c r="N636" s="58"/>
    </row>
    <row r="637" spans="1:14" ht="18" customHeight="1">
      <c r="A637" s="57">
        <v>18</v>
      </c>
      <c r="B637" s="58" t="s">
        <v>334</v>
      </c>
      <c r="C637" s="58">
        <v>56.127000000000002</v>
      </c>
      <c r="D637" s="58">
        <v>56.237000000000002</v>
      </c>
      <c r="E637" s="58" t="s">
        <v>334</v>
      </c>
      <c r="F637" s="58">
        <v>55.884</v>
      </c>
      <c r="G637" s="58">
        <v>56.354999999999997</v>
      </c>
      <c r="H637" s="58" t="s">
        <v>334</v>
      </c>
      <c r="I637" s="58">
        <v>55.722000000000001</v>
      </c>
      <c r="J637" s="58" t="s">
        <v>334</v>
      </c>
      <c r="K637" s="58">
        <v>56.411999999999999</v>
      </c>
      <c r="L637" s="58">
        <v>56.348999999999997</v>
      </c>
      <c r="M637" s="59" t="s">
        <v>334</v>
      </c>
      <c r="N637" s="58"/>
    </row>
    <row r="638" spans="1:14" ht="18" customHeight="1">
      <c r="A638" s="57">
        <v>19</v>
      </c>
      <c r="B638" s="58">
        <v>55.512</v>
      </c>
      <c r="C638" s="58">
        <v>56.064</v>
      </c>
      <c r="D638" s="58">
        <v>56.258000000000003</v>
      </c>
      <c r="E638" s="58">
        <v>55.765000000000001</v>
      </c>
      <c r="F638" s="58">
        <v>55.912999999999997</v>
      </c>
      <c r="G638" s="58" t="s">
        <v>334</v>
      </c>
      <c r="H638" s="58">
        <v>56.024000000000001</v>
      </c>
      <c r="I638" s="58">
        <v>55.722000000000001</v>
      </c>
      <c r="J638" s="58" t="s">
        <v>334</v>
      </c>
      <c r="K638" s="58">
        <v>56.406999999999996</v>
      </c>
      <c r="L638" s="58">
        <v>56.293999999999997</v>
      </c>
      <c r="M638" s="59" t="s">
        <v>334</v>
      </c>
      <c r="N638" s="58"/>
    </row>
    <row r="639" spans="1:14" ht="18" customHeight="1">
      <c r="A639" s="57">
        <v>20</v>
      </c>
      <c r="B639" s="58">
        <v>55.634999999999998</v>
      </c>
      <c r="C639" s="58">
        <v>56.18</v>
      </c>
      <c r="D639" s="58" t="s">
        <v>334</v>
      </c>
      <c r="E639" s="58">
        <v>55.71</v>
      </c>
      <c r="F639" s="58">
        <v>55.777999999999999</v>
      </c>
      <c r="G639" s="58" t="s">
        <v>334</v>
      </c>
      <c r="H639" s="58">
        <v>55.917999999999999</v>
      </c>
      <c r="I639" s="58">
        <v>55.808999999999997</v>
      </c>
      <c r="J639" s="58">
        <v>56.179000000000002</v>
      </c>
      <c r="K639" s="58">
        <v>56.375999999999998</v>
      </c>
      <c r="L639" s="58" t="s">
        <v>334</v>
      </c>
      <c r="M639" s="59">
        <v>56.256999999999998</v>
      </c>
      <c r="N639" s="58"/>
    </row>
    <row r="640" spans="1:14" ht="18" customHeight="1">
      <c r="A640" s="57">
        <v>21</v>
      </c>
      <c r="B640" s="58">
        <v>55.698</v>
      </c>
      <c r="C640" s="58" t="s">
        <v>334</v>
      </c>
      <c r="D640" s="58" t="s">
        <v>334</v>
      </c>
      <c r="E640" s="58">
        <v>55.631</v>
      </c>
      <c r="F640" s="58">
        <v>55.831000000000003</v>
      </c>
      <c r="G640" s="58">
        <v>56.393000000000001</v>
      </c>
      <c r="H640" s="58">
        <v>55.911000000000001</v>
      </c>
      <c r="I640" s="58" t="s">
        <v>334</v>
      </c>
      <c r="J640" s="58">
        <v>56.226999999999997</v>
      </c>
      <c r="K640" s="58">
        <v>56.322000000000003</v>
      </c>
      <c r="L640" s="58" t="s">
        <v>334</v>
      </c>
      <c r="M640" s="59">
        <v>56.183999999999997</v>
      </c>
      <c r="N640" s="58"/>
    </row>
    <row r="641" spans="1:15" ht="18" customHeight="1">
      <c r="A641" s="57">
        <v>22</v>
      </c>
      <c r="B641" s="58">
        <v>55.567</v>
      </c>
      <c r="C641" s="58" t="s">
        <v>334</v>
      </c>
      <c r="D641" s="58">
        <v>56.32</v>
      </c>
      <c r="E641" s="58">
        <v>55.704000000000001</v>
      </c>
      <c r="F641" s="58" t="s">
        <v>334</v>
      </c>
      <c r="G641" s="58">
        <v>56.252000000000002</v>
      </c>
      <c r="H641" s="58">
        <v>55.921999999999997</v>
      </c>
      <c r="I641" s="58" t="s">
        <v>334</v>
      </c>
      <c r="J641" s="58">
        <v>56.295000000000002</v>
      </c>
      <c r="K641" s="58">
        <v>56.295000000000002</v>
      </c>
      <c r="L641" s="58">
        <v>56.323</v>
      </c>
      <c r="M641" s="59">
        <v>56.128</v>
      </c>
      <c r="N641" s="58"/>
    </row>
    <row r="642" spans="1:15" ht="18" customHeight="1">
      <c r="A642" s="57">
        <v>23</v>
      </c>
      <c r="B642" s="58">
        <v>55.619</v>
      </c>
      <c r="C642" s="58">
        <v>56.323</v>
      </c>
      <c r="D642" s="58">
        <v>56.429000000000002</v>
      </c>
      <c r="E642" s="58">
        <v>55.835000000000001</v>
      </c>
      <c r="F642" s="58" t="s">
        <v>334</v>
      </c>
      <c r="G642" s="58">
        <v>56.223999999999997</v>
      </c>
      <c r="H642" s="58">
        <v>56.018999999999998</v>
      </c>
      <c r="I642" s="58">
        <v>55.759</v>
      </c>
      <c r="J642" s="58">
        <v>56.322000000000003</v>
      </c>
      <c r="K642" s="58" t="s">
        <v>334</v>
      </c>
      <c r="L642" s="58">
        <v>56.274999999999999</v>
      </c>
      <c r="M642" s="59">
        <v>56.143999999999998</v>
      </c>
      <c r="N642" s="58"/>
    </row>
    <row r="643" spans="1:15" ht="18" customHeight="1">
      <c r="A643" s="57">
        <v>24</v>
      </c>
      <c r="B643" s="58" t="s">
        <v>334</v>
      </c>
      <c r="C643" s="58">
        <v>56.241999999999997</v>
      </c>
      <c r="D643" s="58">
        <v>56.411999999999999</v>
      </c>
      <c r="E643" s="58" t="s">
        <v>334</v>
      </c>
      <c r="F643" s="58">
        <v>55.881</v>
      </c>
      <c r="G643" s="58">
        <v>56.261000000000003</v>
      </c>
      <c r="H643" s="58" t="s">
        <v>334</v>
      </c>
      <c r="I643" s="58">
        <v>55.781999999999996</v>
      </c>
      <c r="J643" s="58">
        <v>56.366999999999997</v>
      </c>
      <c r="K643" s="58" t="s">
        <v>334</v>
      </c>
      <c r="L643" s="58">
        <v>56.268999999999998</v>
      </c>
      <c r="M643" s="59" t="s">
        <v>334</v>
      </c>
      <c r="N643" s="58"/>
    </row>
    <row r="644" spans="1:15" ht="18" customHeight="1">
      <c r="A644" s="57">
        <v>25</v>
      </c>
      <c r="B644" s="58" t="s">
        <v>334</v>
      </c>
      <c r="C644" s="58" t="s">
        <v>334</v>
      </c>
      <c r="D644" s="58">
        <v>56.366999999999997</v>
      </c>
      <c r="E644" s="58" t="s">
        <v>334</v>
      </c>
      <c r="F644" s="58">
        <v>55.914999999999999</v>
      </c>
      <c r="G644" s="58">
        <v>56.067</v>
      </c>
      <c r="H644" s="58" t="s">
        <v>334</v>
      </c>
      <c r="I644" s="58">
        <v>55.93</v>
      </c>
      <c r="J644" s="58" t="s">
        <v>334</v>
      </c>
      <c r="K644" s="58">
        <v>56.322000000000003</v>
      </c>
      <c r="L644" s="58">
        <v>56.314</v>
      </c>
      <c r="M644" s="59" t="s">
        <v>334</v>
      </c>
      <c r="N644" s="58"/>
    </row>
    <row r="645" spans="1:15" ht="18" customHeight="1">
      <c r="A645" s="57">
        <v>26</v>
      </c>
      <c r="B645" s="58">
        <v>55.728999999999999</v>
      </c>
      <c r="C645" s="58">
        <v>56.238</v>
      </c>
      <c r="D645" s="58">
        <v>56.396999999999998</v>
      </c>
      <c r="E645" s="58">
        <v>55.747</v>
      </c>
      <c r="F645" s="58">
        <v>55.957999999999998</v>
      </c>
      <c r="G645" s="58" t="s">
        <v>334</v>
      </c>
      <c r="H645" s="58">
        <v>56.040999999999997</v>
      </c>
      <c r="I645" s="58">
        <v>56.031999999999996</v>
      </c>
      <c r="J645" s="58" t="s">
        <v>334</v>
      </c>
      <c r="K645" s="58">
        <v>56.279000000000003</v>
      </c>
      <c r="L645" s="58">
        <v>56.305999999999997</v>
      </c>
      <c r="M645" s="59" t="s">
        <v>334</v>
      </c>
      <c r="N645" s="58"/>
    </row>
    <row r="646" spans="1:15" ht="18" customHeight="1">
      <c r="A646" s="57">
        <v>27</v>
      </c>
      <c r="B646" s="58">
        <v>55.802999999999997</v>
      </c>
      <c r="C646" s="58">
        <v>56.274999999999999</v>
      </c>
      <c r="D646" s="58" t="s">
        <v>334</v>
      </c>
      <c r="E646" s="58">
        <v>55.66</v>
      </c>
      <c r="F646" s="58">
        <v>55.957999999999998</v>
      </c>
      <c r="G646" s="58" t="s">
        <v>334</v>
      </c>
      <c r="H646" s="58">
        <v>56.046999999999997</v>
      </c>
      <c r="I646" s="58">
        <v>56.085999999999999</v>
      </c>
      <c r="J646" s="58">
        <v>56.378999999999998</v>
      </c>
      <c r="K646" s="58">
        <v>56.326000000000001</v>
      </c>
      <c r="L646" s="58" t="s">
        <v>334</v>
      </c>
      <c r="M646" s="59" t="s">
        <v>334</v>
      </c>
      <c r="N646" s="58"/>
    </row>
    <row r="647" spans="1:15" ht="18" customHeight="1">
      <c r="A647" s="57">
        <v>28</v>
      </c>
      <c r="B647" s="58">
        <v>55.82</v>
      </c>
      <c r="C647" s="58" t="s">
        <v>334</v>
      </c>
      <c r="D647" s="58" t="s">
        <v>334</v>
      </c>
      <c r="E647" s="58">
        <v>55.576999999999998</v>
      </c>
      <c r="F647" s="58">
        <v>55.914999999999999</v>
      </c>
      <c r="G647" s="58">
        <v>56.045000000000002</v>
      </c>
      <c r="H647" s="58">
        <v>56.085000000000001</v>
      </c>
      <c r="I647" s="58" t="s">
        <v>334</v>
      </c>
      <c r="J647" s="58">
        <v>56.421999999999997</v>
      </c>
      <c r="K647" s="58">
        <v>56.39</v>
      </c>
      <c r="L647" s="58" t="s">
        <v>334</v>
      </c>
      <c r="M647" s="59">
        <v>56.113</v>
      </c>
      <c r="N647" s="58"/>
    </row>
    <row r="648" spans="1:15" ht="18" customHeight="1">
      <c r="A648" s="57">
        <v>29</v>
      </c>
      <c r="B648" s="58">
        <v>55.835000000000001</v>
      </c>
      <c r="C648" s="58" t="s">
        <v>334</v>
      </c>
      <c r="D648" s="58">
        <v>56.421999999999997</v>
      </c>
      <c r="E648" s="58">
        <v>55.695</v>
      </c>
      <c r="F648" s="58" t="s">
        <v>334</v>
      </c>
      <c r="G648" s="58">
        <v>56.155000000000001</v>
      </c>
      <c r="H648" s="58">
        <v>56.021999999999998</v>
      </c>
      <c r="I648" s="58" t="s">
        <v>334</v>
      </c>
      <c r="J648" s="58">
        <v>56.41</v>
      </c>
      <c r="K648" s="58">
        <v>56.350999999999999</v>
      </c>
      <c r="L648" s="58" t="s">
        <v>334</v>
      </c>
      <c r="M648" s="59">
        <v>56.267000000000003</v>
      </c>
      <c r="N648" s="58"/>
    </row>
    <row r="649" spans="1:15" ht="18" customHeight="1">
      <c r="A649" s="57">
        <v>30</v>
      </c>
      <c r="B649" s="58">
        <v>56.085000000000001</v>
      </c>
      <c r="C649" s="58" t="s">
        <v>335</v>
      </c>
      <c r="D649" s="58">
        <v>56.384999999999998</v>
      </c>
      <c r="E649" s="58">
        <v>55.857999999999997</v>
      </c>
      <c r="F649" s="58" t="s">
        <v>334</v>
      </c>
      <c r="G649" s="58">
        <v>56.180999999999997</v>
      </c>
      <c r="H649" s="58">
        <v>56.009</v>
      </c>
      <c r="I649" s="58">
        <v>56.128</v>
      </c>
      <c r="J649" s="58">
        <v>56.335999999999999</v>
      </c>
      <c r="K649" s="58" t="s">
        <v>334</v>
      </c>
      <c r="L649" s="58">
        <v>56.231000000000002</v>
      </c>
      <c r="M649" s="59" t="s">
        <v>334</v>
      </c>
      <c r="N649" s="58"/>
    </row>
    <row r="650" spans="1:15" ht="18" customHeight="1">
      <c r="A650" s="57">
        <v>31</v>
      </c>
      <c r="B650" s="58" t="s">
        <v>334</v>
      </c>
      <c r="C650" s="58" t="s">
        <v>335</v>
      </c>
      <c r="D650" s="58">
        <v>56.356999999999999</v>
      </c>
      <c r="E650" s="58" t="s">
        <v>335</v>
      </c>
      <c r="F650" s="58">
        <v>55.837000000000003</v>
      </c>
      <c r="G650" s="58" t="s">
        <v>335</v>
      </c>
      <c r="H650" s="58" t="s">
        <v>334</v>
      </c>
      <c r="I650" s="58">
        <v>56.216000000000001</v>
      </c>
      <c r="J650" s="58" t="s">
        <v>335</v>
      </c>
      <c r="K650" s="58" t="s">
        <v>334</v>
      </c>
      <c r="L650" s="58" t="s">
        <v>335</v>
      </c>
      <c r="M650" s="59" t="s">
        <v>334</v>
      </c>
      <c r="N650" s="58"/>
    </row>
    <row r="651" spans="1:15" ht="18" customHeight="1" thickBot="1">
      <c r="A651" s="76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8"/>
      <c r="N651" s="58"/>
    </row>
    <row r="652" spans="1:15" ht="18" customHeight="1">
      <c r="A652" s="605">
        <v>2003</v>
      </c>
      <c r="B652" s="606"/>
      <c r="C652" s="606"/>
      <c r="D652" s="606"/>
      <c r="E652" s="606"/>
      <c r="F652" s="606"/>
      <c r="G652" s="606"/>
      <c r="H652" s="606"/>
      <c r="I652" s="606"/>
      <c r="J652" s="606"/>
      <c r="K652" s="606"/>
      <c r="L652" s="606"/>
      <c r="M652" s="607"/>
      <c r="N652" s="52"/>
    </row>
    <row r="653" spans="1:15" ht="18" customHeight="1" thickBot="1">
      <c r="A653" s="51" t="s">
        <v>322</v>
      </c>
      <c r="B653" s="52" t="s">
        <v>323</v>
      </c>
      <c r="C653" s="52" t="s">
        <v>324</v>
      </c>
      <c r="D653" s="52" t="s">
        <v>325</v>
      </c>
      <c r="E653" s="52" t="s">
        <v>326</v>
      </c>
      <c r="F653" s="52" t="s">
        <v>236</v>
      </c>
      <c r="G653" s="52" t="s">
        <v>327</v>
      </c>
      <c r="H653" s="52" t="s">
        <v>328</v>
      </c>
      <c r="I653" s="52" t="s">
        <v>329</v>
      </c>
      <c r="J653" s="52" t="s">
        <v>330</v>
      </c>
      <c r="K653" s="52" t="s">
        <v>331</v>
      </c>
      <c r="L653" s="52" t="s">
        <v>332</v>
      </c>
      <c r="M653" s="53" t="s">
        <v>333</v>
      </c>
      <c r="N653" s="52"/>
    </row>
    <row r="654" spans="1:15" ht="18" customHeight="1">
      <c r="A654" s="54">
        <v>1</v>
      </c>
      <c r="B654" s="55" t="s">
        <v>334</v>
      </c>
      <c r="C654" s="55" t="s">
        <v>334</v>
      </c>
      <c r="D654" s="55" t="s">
        <v>334</v>
      </c>
      <c r="E654" s="55">
        <v>53.603999999999999</v>
      </c>
      <c r="F654" s="55" t="s">
        <v>334</v>
      </c>
      <c r="G654" s="55" t="s">
        <v>334</v>
      </c>
      <c r="H654" s="55">
        <v>53.521999999999998</v>
      </c>
      <c r="I654" s="55">
        <v>54.734000000000002</v>
      </c>
      <c r="J654" s="55">
        <v>54.947000000000003</v>
      </c>
      <c r="K654" s="55">
        <v>54.877000000000002</v>
      </c>
      <c r="L654" s="70" t="s">
        <v>334</v>
      </c>
      <c r="M654" s="71">
        <v>55.719000000000001</v>
      </c>
      <c r="N654" s="83">
        <v>2003</v>
      </c>
      <c r="O654" s="47">
        <f>AVERAGE(B654:M684)</f>
        <v>54.20591497975704</v>
      </c>
    </row>
    <row r="655" spans="1:15" ht="18" customHeight="1">
      <c r="A655" s="57">
        <v>2</v>
      </c>
      <c r="B655" s="58">
        <v>53.253999999999998</v>
      </c>
      <c r="C655" s="58" t="s">
        <v>334</v>
      </c>
      <c r="D655" s="58" t="s">
        <v>334</v>
      </c>
      <c r="E655" s="58">
        <v>53.337000000000003</v>
      </c>
      <c r="F655" s="58" t="s">
        <v>334</v>
      </c>
      <c r="G655" s="58">
        <v>53.23</v>
      </c>
      <c r="H655" s="58">
        <v>53.414000000000001</v>
      </c>
      <c r="I655" s="58" t="s">
        <v>334</v>
      </c>
      <c r="J655" s="58">
        <v>55.037999999999997</v>
      </c>
      <c r="K655" s="58">
        <v>54.822000000000003</v>
      </c>
      <c r="L655" s="72" t="s">
        <v>334</v>
      </c>
      <c r="M655" s="73">
        <v>55.585000000000001</v>
      </c>
      <c r="N655" s="58"/>
    </row>
    <row r="656" spans="1:15" ht="18" customHeight="1">
      <c r="A656" s="57">
        <v>3</v>
      </c>
      <c r="B656" s="58">
        <v>53.405000000000001</v>
      </c>
      <c r="C656" s="58">
        <v>53.837000000000003</v>
      </c>
      <c r="D656" s="58">
        <v>54.491999999999997</v>
      </c>
      <c r="E656" s="58">
        <v>53.243000000000002</v>
      </c>
      <c r="F656" s="58" t="s">
        <v>334</v>
      </c>
      <c r="G656" s="58">
        <v>53.283000000000001</v>
      </c>
      <c r="H656" s="58">
        <v>53.384</v>
      </c>
      <c r="I656" s="58" t="s">
        <v>334</v>
      </c>
      <c r="J656" s="58">
        <v>54.890999999999998</v>
      </c>
      <c r="K656" s="58">
        <v>54.786000000000001</v>
      </c>
      <c r="L656" s="72">
        <v>55.335999999999999</v>
      </c>
      <c r="M656" s="73">
        <v>55.500999999999998</v>
      </c>
      <c r="N656" s="58"/>
    </row>
    <row r="657" spans="1:14" ht="18" customHeight="1">
      <c r="A657" s="57">
        <v>4</v>
      </c>
      <c r="B657" s="58" t="s">
        <v>334</v>
      </c>
      <c r="C657" s="58">
        <v>53.921999999999997</v>
      </c>
      <c r="D657" s="58">
        <v>54.536000000000001</v>
      </c>
      <c r="E657" s="58">
        <v>53.226999999999997</v>
      </c>
      <c r="F657" s="58" t="s">
        <v>334</v>
      </c>
      <c r="G657" s="58">
        <v>53.176000000000002</v>
      </c>
      <c r="H657" s="58">
        <v>53.406999999999996</v>
      </c>
      <c r="I657" s="58">
        <v>54.887999999999998</v>
      </c>
      <c r="J657" s="58">
        <v>54.784999999999997</v>
      </c>
      <c r="K657" s="58" t="s">
        <v>334</v>
      </c>
      <c r="L657" s="58">
        <v>55.454999999999998</v>
      </c>
      <c r="M657" s="59">
        <v>55.402000000000001</v>
      </c>
      <c r="N657" s="58"/>
    </row>
    <row r="658" spans="1:14" ht="18" customHeight="1">
      <c r="A658" s="57">
        <v>5</v>
      </c>
      <c r="B658" s="58" t="s">
        <v>334</v>
      </c>
      <c r="C658" s="58">
        <v>53.936999999999998</v>
      </c>
      <c r="D658" s="58">
        <v>54.491</v>
      </c>
      <c r="E658" s="58" t="s">
        <v>334</v>
      </c>
      <c r="F658" s="58">
        <v>52.612000000000002</v>
      </c>
      <c r="G658" s="58">
        <v>53.25</v>
      </c>
      <c r="H658" s="58" t="s">
        <v>334</v>
      </c>
      <c r="I658" s="58">
        <v>54.82</v>
      </c>
      <c r="J658" s="58">
        <v>54.764000000000003</v>
      </c>
      <c r="K658" s="58" t="s">
        <v>334</v>
      </c>
      <c r="L658" s="58">
        <v>55.481000000000002</v>
      </c>
      <c r="M658" s="59">
        <v>55.293999999999997</v>
      </c>
      <c r="N658" s="58"/>
    </row>
    <row r="659" spans="1:14" ht="18" customHeight="1">
      <c r="A659" s="57">
        <v>6</v>
      </c>
      <c r="B659" s="58">
        <v>53.506</v>
      </c>
      <c r="C659" s="58">
        <v>53.932000000000002</v>
      </c>
      <c r="D659" s="58">
        <v>54.715000000000003</v>
      </c>
      <c r="E659" s="58" t="s">
        <v>334</v>
      </c>
      <c r="F659" s="58">
        <v>52.301000000000002</v>
      </c>
      <c r="G659" s="58">
        <v>53.356000000000002</v>
      </c>
      <c r="H659" s="58" t="s">
        <v>334</v>
      </c>
      <c r="I659" s="58">
        <v>54.8</v>
      </c>
      <c r="J659" s="58" t="s">
        <v>334</v>
      </c>
      <c r="K659" s="58">
        <v>54.911000000000001</v>
      </c>
      <c r="L659" s="58">
        <v>55.252000000000002</v>
      </c>
      <c r="M659" s="59" t="s">
        <v>334</v>
      </c>
      <c r="N659" s="58"/>
    </row>
    <row r="660" spans="1:14" ht="18" customHeight="1">
      <c r="A660" s="57">
        <v>7</v>
      </c>
      <c r="B660" s="58">
        <v>53.482999999999997</v>
      </c>
      <c r="C660" s="58">
        <v>53.963000000000001</v>
      </c>
      <c r="D660" s="58">
        <v>54.831000000000003</v>
      </c>
      <c r="E660" s="58" t="s">
        <v>334</v>
      </c>
      <c r="F660" s="58">
        <v>52.305</v>
      </c>
      <c r="G660" s="58" t="s">
        <v>334</v>
      </c>
      <c r="H660" s="58">
        <v>53.395000000000003</v>
      </c>
      <c r="I660" s="58">
        <v>54.786000000000001</v>
      </c>
      <c r="J660" s="58" t="s">
        <v>334</v>
      </c>
      <c r="K660" s="58">
        <v>54.987000000000002</v>
      </c>
      <c r="L660" s="58">
        <v>55.18</v>
      </c>
      <c r="M660" s="59" t="s">
        <v>334</v>
      </c>
      <c r="N660" s="58"/>
    </row>
    <row r="661" spans="1:14" ht="18" customHeight="1">
      <c r="A661" s="57">
        <v>8</v>
      </c>
      <c r="B661" s="58">
        <v>53.451999999999998</v>
      </c>
      <c r="C661" s="58" t="s">
        <v>334</v>
      </c>
      <c r="D661" s="58" t="s">
        <v>334</v>
      </c>
      <c r="E661" s="58">
        <v>53.225000000000001</v>
      </c>
      <c r="F661" s="58">
        <v>52.084000000000003</v>
      </c>
      <c r="G661" s="58" t="s">
        <v>334</v>
      </c>
      <c r="H661" s="58">
        <v>53.369</v>
      </c>
      <c r="I661" s="58">
        <v>54.744999999999997</v>
      </c>
      <c r="J661" s="58">
        <v>55.06</v>
      </c>
      <c r="K661" s="58">
        <v>55.030999999999999</v>
      </c>
      <c r="L661" s="58" t="s">
        <v>334</v>
      </c>
      <c r="M661" s="59">
        <v>55.341000000000001</v>
      </c>
      <c r="N661" s="58"/>
    </row>
    <row r="662" spans="1:14" ht="18" customHeight="1">
      <c r="A662" s="57">
        <v>9</v>
      </c>
      <c r="B662" s="58">
        <v>53.505000000000003</v>
      </c>
      <c r="C662" s="58" t="s">
        <v>334</v>
      </c>
      <c r="D662" s="58" t="s">
        <v>334</v>
      </c>
      <c r="E662" s="58">
        <v>53.003</v>
      </c>
      <c r="F662" s="58">
        <v>52.021000000000001</v>
      </c>
      <c r="G662" s="58">
        <v>53.377000000000002</v>
      </c>
      <c r="H662" s="58">
        <v>53.402000000000001</v>
      </c>
      <c r="I662" s="58" t="s">
        <v>334</v>
      </c>
      <c r="J662" s="58">
        <v>55.069000000000003</v>
      </c>
      <c r="K662" s="58">
        <v>54.994</v>
      </c>
      <c r="L662" s="58" t="s">
        <v>334</v>
      </c>
      <c r="M662" s="59">
        <v>55.323</v>
      </c>
      <c r="N662" s="58"/>
    </row>
    <row r="663" spans="1:14" ht="18" customHeight="1">
      <c r="A663" s="57">
        <v>10</v>
      </c>
      <c r="B663" s="58">
        <v>53.543999999999997</v>
      </c>
      <c r="C663" s="58">
        <v>54.067999999999998</v>
      </c>
      <c r="D663" s="58">
        <v>54.847000000000001</v>
      </c>
      <c r="E663" s="58">
        <v>52.697000000000003</v>
      </c>
      <c r="F663" s="58" t="s">
        <v>334</v>
      </c>
      <c r="G663" s="58">
        <v>53.475999999999999</v>
      </c>
      <c r="H663" s="58">
        <v>53.466999999999999</v>
      </c>
      <c r="I663" s="58" t="s">
        <v>334</v>
      </c>
      <c r="J663" s="58">
        <v>55.167999999999999</v>
      </c>
      <c r="K663" s="58">
        <v>54.963000000000001</v>
      </c>
      <c r="L663" s="58">
        <v>55.161999999999999</v>
      </c>
      <c r="M663" s="59">
        <v>55.287999999999997</v>
      </c>
      <c r="N663" s="58"/>
    </row>
    <row r="664" spans="1:14" ht="18" customHeight="1">
      <c r="A664" s="57">
        <v>11</v>
      </c>
      <c r="B664" s="58" t="s">
        <v>334</v>
      </c>
      <c r="C664" s="58">
        <v>53.938000000000002</v>
      </c>
      <c r="D664" s="58">
        <v>54.847000000000001</v>
      </c>
      <c r="E664" s="58">
        <v>52.54</v>
      </c>
      <c r="F664" s="58" t="s">
        <v>334</v>
      </c>
      <c r="G664" s="58">
        <v>53.362000000000002</v>
      </c>
      <c r="H664" s="58">
        <v>53.415999999999997</v>
      </c>
      <c r="I664" s="58">
        <v>54.637999999999998</v>
      </c>
      <c r="J664" s="58">
        <v>55.057000000000002</v>
      </c>
      <c r="K664" s="58" t="s">
        <v>334</v>
      </c>
      <c r="L664" s="58">
        <v>55.335999999999999</v>
      </c>
      <c r="M664" s="59">
        <v>55.354999999999997</v>
      </c>
      <c r="N664" s="58"/>
    </row>
    <row r="665" spans="1:14" ht="18" customHeight="1">
      <c r="A665" s="57">
        <v>12</v>
      </c>
      <c r="B665" s="58" t="s">
        <v>334</v>
      </c>
      <c r="C665" s="58">
        <v>53.92</v>
      </c>
      <c r="D665" s="58">
        <v>54.896999999999998</v>
      </c>
      <c r="E665" s="58" t="s">
        <v>334</v>
      </c>
      <c r="F665" s="58">
        <v>52.341999999999999</v>
      </c>
      <c r="G665" s="58">
        <v>53.518000000000001</v>
      </c>
      <c r="H665" s="58" t="s">
        <v>334</v>
      </c>
      <c r="I665" s="58">
        <v>54.795000000000002</v>
      </c>
      <c r="J665" s="58">
        <v>54.942999999999998</v>
      </c>
      <c r="K665" s="58" t="s">
        <v>334</v>
      </c>
      <c r="L665" s="58">
        <v>55.180999999999997</v>
      </c>
      <c r="M665" s="59">
        <v>55.41</v>
      </c>
      <c r="N665" s="58"/>
    </row>
    <row r="666" spans="1:14" ht="18" customHeight="1">
      <c r="A666" s="57">
        <v>13</v>
      </c>
      <c r="B666" s="58">
        <v>53.601999999999997</v>
      </c>
      <c r="C666" s="58">
        <v>53.899000000000001</v>
      </c>
      <c r="D666" s="58">
        <v>55.075000000000003</v>
      </c>
      <c r="E666" s="58" t="s">
        <v>334</v>
      </c>
      <c r="F666" s="58">
        <v>52.152000000000001</v>
      </c>
      <c r="G666" s="58" t="s">
        <v>334</v>
      </c>
      <c r="H666" s="58" t="s">
        <v>334</v>
      </c>
      <c r="I666" s="58">
        <v>54.926000000000002</v>
      </c>
      <c r="J666" s="58" t="s">
        <v>334</v>
      </c>
      <c r="K666" s="58">
        <v>54.805</v>
      </c>
      <c r="L666" s="58">
        <v>55.268999999999998</v>
      </c>
      <c r="M666" s="59" t="s">
        <v>334</v>
      </c>
      <c r="N666" s="58"/>
    </row>
    <row r="667" spans="1:14" ht="18" customHeight="1">
      <c r="A667" s="57">
        <v>14</v>
      </c>
      <c r="B667" s="58">
        <v>53.463999999999999</v>
      </c>
      <c r="C667" s="58">
        <v>53.945</v>
      </c>
      <c r="D667" s="58">
        <v>55.042999999999999</v>
      </c>
      <c r="E667" s="58">
        <v>52.436</v>
      </c>
      <c r="F667" s="58">
        <v>52.213999999999999</v>
      </c>
      <c r="G667" s="58" t="s">
        <v>334</v>
      </c>
      <c r="H667" s="58">
        <v>53.435000000000002</v>
      </c>
      <c r="I667" s="58">
        <v>54.881999999999998</v>
      </c>
      <c r="J667" s="58" t="s">
        <v>334</v>
      </c>
      <c r="K667" s="58">
        <v>54.581000000000003</v>
      </c>
      <c r="L667" s="58">
        <v>55.286999999999999</v>
      </c>
      <c r="M667" s="59" t="s">
        <v>334</v>
      </c>
      <c r="N667" s="58"/>
    </row>
    <row r="668" spans="1:14" ht="18" customHeight="1">
      <c r="A668" s="57">
        <v>15</v>
      </c>
      <c r="B668" s="58">
        <v>53.402000000000001</v>
      </c>
      <c r="C668" s="58" t="s">
        <v>334</v>
      </c>
      <c r="D668" s="58" t="s">
        <v>334</v>
      </c>
      <c r="E668" s="58">
        <v>52.444000000000003</v>
      </c>
      <c r="F668" s="58">
        <v>52.128</v>
      </c>
      <c r="G668" s="58" t="s">
        <v>334</v>
      </c>
      <c r="H668" s="58">
        <v>53.48</v>
      </c>
      <c r="I668" s="58">
        <v>54.899000000000001</v>
      </c>
      <c r="J668" s="58">
        <v>55.026000000000003</v>
      </c>
      <c r="K668" s="58">
        <v>54.625</v>
      </c>
      <c r="L668" s="58" t="s">
        <v>334</v>
      </c>
      <c r="M668" s="59">
        <v>55.463999999999999</v>
      </c>
      <c r="N668" s="58"/>
    </row>
    <row r="669" spans="1:14" ht="18" customHeight="1">
      <c r="A669" s="57">
        <v>16</v>
      </c>
      <c r="B669" s="58">
        <v>53.411999999999999</v>
      </c>
      <c r="C669" s="58" t="s">
        <v>334</v>
      </c>
      <c r="D669" s="58" t="s">
        <v>334</v>
      </c>
      <c r="E669" s="58">
        <v>52.514000000000003</v>
      </c>
      <c r="F669" s="58">
        <v>52.13</v>
      </c>
      <c r="G669" s="58">
        <v>53.612000000000002</v>
      </c>
      <c r="H669" s="58">
        <v>53.598999999999997</v>
      </c>
      <c r="I669" s="58" t="s">
        <v>334</v>
      </c>
      <c r="J669" s="58">
        <v>54.984999999999999</v>
      </c>
      <c r="K669" s="58">
        <v>54.692999999999998</v>
      </c>
      <c r="L669" s="58" t="s">
        <v>334</v>
      </c>
      <c r="M669" s="59">
        <v>55.456000000000003</v>
      </c>
      <c r="N669" s="58"/>
    </row>
    <row r="670" spans="1:14" ht="18" customHeight="1">
      <c r="A670" s="57">
        <v>17</v>
      </c>
      <c r="B670" s="58">
        <v>53.502000000000002</v>
      </c>
      <c r="C670" s="58">
        <v>53.923999999999999</v>
      </c>
      <c r="D670" s="58">
        <v>54.814999999999998</v>
      </c>
      <c r="E670" s="58" t="s">
        <v>334</v>
      </c>
      <c r="F670" s="58" t="s">
        <v>334</v>
      </c>
      <c r="G670" s="58">
        <v>53.473999999999997</v>
      </c>
      <c r="H670" s="58">
        <v>53.601999999999997</v>
      </c>
      <c r="I670" s="58" t="s">
        <v>334</v>
      </c>
      <c r="J670" s="58">
        <v>55.015999999999998</v>
      </c>
      <c r="K670" s="58">
        <v>54.646999999999998</v>
      </c>
      <c r="L670" s="58">
        <v>55.325000000000003</v>
      </c>
      <c r="M670" s="59">
        <v>55.533999999999999</v>
      </c>
      <c r="N670" s="58"/>
    </row>
    <row r="671" spans="1:14" ht="18" customHeight="1">
      <c r="A671" s="57">
        <v>18</v>
      </c>
      <c r="B671" s="58" t="s">
        <v>334</v>
      </c>
      <c r="C671" s="58">
        <v>54.1</v>
      </c>
      <c r="D671" s="58">
        <v>54.83</v>
      </c>
      <c r="E671" s="58" t="s">
        <v>334</v>
      </c>
      <c r="F671" s="58" t="s">
        <v>334</v>
      </c>
      <c r="G671" s="58">
        <v>53.412999999999997</v>
      </c>
      <c r="H671" s="58">
        <v>53.593000000000004</v>
      </c>
      <c r="I671" s="58">
        <v>55.036000000000001</v>
      </c>
      <c r="J671" s="58">
        <v>55.048999999999999</v>
      </c>
      <c r="K671" s="58" t="s">
        <v>334</v>
      </c>
      <c r="L671" s="58">
        <v>55.366</v>
      </c>
      <c r="M671" s="59">
        <v>55.488</v>
      </c>
      <c r="N671" s="58"/>
    </row>
    <row r="672" spans="1:14" ht="18" customHeight="1">
      <c r="A672" s="57">
        <v>19</v>
      </c>
      <c r="B672" s="58" t="s">
        <v>334</v>
      </c>
      <c r="C672" s="58">
        <v>54.152999999999999</v>
      </c>
      <c r="D672" s="58">
        <v>55.058999999999997</v>
      </c>
      <c r="E672" s="58" t="s">
        <v>334</v>
      </c>
      <c r="F672" s="58">
        <v>52.375999999999998</v>
      </c>
      <c r="G672" s="58">
        <v>53.423999999999999</v>
      </c>
      <c r="H672" s="58" t="s">
        <v>334</v>
      </c>
      <c r="I672" s="58">
        <v>55.055</v>
      </c>
      <c r="J672" s="58">
        <v>55.253</v>
      </c>
      <c r="K672" s="58" t="s">
        <v>334</v>
      </c>
      <c r="L672" s="58">
        <v>55.435000000000002</v>
      </c>
      <c r="M672" s="59">
        <v>55.337000000000003</v>
      </c>
      <c r="N672" s="58"/>
    </row>
    <row r="673" spans="1:15" ht="18" customHeight="1">
      <c r="A673" s="57">
        <v>20</v>
      </c>
      <c r="B673" s="58">
        <v>53.554000000000002</v>
      </c>
      <c r="C673" s="58">
        <v>54.237000000000002</v>
      </c>
      <c r="D673" s="58">
        <v>54.960999999999999</v>
      </c>
      <c r="E673" s="58" t="s">
        <v>334</v>
      </c>
      <c r="F673" s="58">
        <v>52.543999999999997</v>
      </c>
      <c r="G673" s="58">
        <v>53.396999999999998</v>
      </c>
      <c r="H673" s="58" t="s">
        <v>334</v>
      </c>
      <c r="I673" s="58">
        <v>55.131</v>
      </c>
      <c r="J673" s="58" t="s">
        <v>334</v>
      </c>
      <c r="K673" s="58">
        <v>54.633000000000003</v>
      </c>
      <c r="L673" s="58">
        <v>55.348999999999997</v>
      </c>
      <c r="M673" s="59" t="s">
        <v>334</v>
      </c>
      <c r="N673" s="58"/>
    </row>
    <row r="674" spans="1:15" ht="18" customHeight="1">
      <c r="A674" s="57">
        <v>21</v>
      </c>
      <c r="B674" s="58">
        <v>53.709000000000003</v>
      </c>
      <c r="C674" s="58">
        <v>54.311999999999998</v>
      </c>
      <c r="D674" s="58">
        <v>54.662999999999997</v>
      </c>
      <c r="E674" s="58">
        <v>52.271999999999998</v>
      </c>
      <c r="F674" s="58">
        <v>52.667999999999999</v>
      </c>
      <c r="G674" s="58" t="s">
        <v>334</v>
      </c>
      <c r="H674" s="58">
        <v>53.667000000000002</v>
      </c>
      <c r="I674" s="58">
        <v>55.168999999999997</v>
      </c>
      <c r="J674" s="58" t="s">
        <v>334</v>
      </c>
      <c r="K674" s="58">
        <v>54.648000000000003</v>
      </c>
      <c r="L674" s="58">
        <v>55.289000000000001</v>
      </c>
      <c r="M674" s="59" t="s">
        <v>334</v>
      </c>
      <c r="N674" s="58"/>
    </row>
    <row r="675" spans="1:15" ht="18" customHeight="1">
      <c r="A675" s="57">
        <v>22</v>
      </c>
      <c r="B675" s="58">
        <v>53.73</v>
      </c>
      <c r="C675" s="58" t="s">
        <v>334</v>
      </c>
      <c r="D675" s="58" t="s">
        <v>334</v>
      </c>
      <c r="E675" s="58">
        <v>52.286999999999999</v>
      </c>
      <c r="F675" s="58">
        <v>52.695999999999998</v>
      </c>
      <c r="G675" s="58" t="s">
        <v>334</v>
      </c>
      <c r="H675" s="58">
        <v>53.71</v>
      </c>
      <c r="I675" s="58" t="s">
        <v>334</v>
      </c>
      <c r="J675" s="58">
        <v>55.213000000000001</v>
      </c>
      <c r="K675" s="58">
        <v>54.786999999999999</v>
      </c>
      <c r="L675" s="58" t="s">
        <v>334</v>
      </c>
      <c r="M675" s="59">
        <v>55.381</v>
      </c>
      <c r="N675" s="58"/>
    </row>
    <row r="676" spans="1:15" ht="18" customHeight="1">
      <c r="A676" s="57">
        <v>23</v>
      </c>
      <c r="B676" s="58">
        <v>53.677</v>
      </c>
      <c r="C676" s="58" t="s">
        <v>334</v>
      </c>
      <c r="D676" s="58" t="s">
        <v>334</v>
      </c>
      <c r="E676" s="58">
        <v>52.476999999999997</v>
      </c>
      <c r="F676" s="58">
        <v>52.862000000000002</v>
      </c>
      <c r="G676" s="58">
        <v>53.279000000000003</v>
      </c>
      <c r="H676" s="58">
        <v>53.83</v>
      </c>
      <c r="I676" s="58" t="s">
        <v>334</v>
      </c>
      <c r="J676" s="58">
        <v>55.037999999999997</v>
      </c>
      <c r="K676" s="58">
        <v>55.066000000000003</v>
      </c>
      <c r="L676" s="58" t="s">
        <v>334</v>
      </c>
      <c r="M676" s="59">
        <v>55.463999999999999</v>
      </c>
      <c r="N676" s="58"/>
    </row>
    <row r="677" spans="1:15" ht="18" customHeight="1">
      <c r="A677" s="57">
        <v>24</v>
      </c>
      <c r="B677" s="58">
        <v>53.692</v>
      </c>
      <c r="C677" s="58">
        <v>54.238</v>
      </c>
      <c r="D677" s="58">
        <v>54.567</v>
      </c>
      <c r="E677" s="58">
        <v>52.555999999999997</v>
      </c>
      <c r="F677" s="58" t="s">
        <v>334</v>
      </c>
      <c r="G677" s="58">
        <v>53.354999999999997</v>
      </c>
      <c r="H677" s="58">
        <v>53.94</v>
      </c>
      <c r="I677" s="58" t="s">
        <v>334</v>
      </c>
      <c r="J677" s="58">
        <v>55.003</v>
      </c>
      <c r="K677" s="58">
        <v>55.241</v>
      </c>
      <c r="L677" s="58">
        <v>55.408999999999999</v>
      </c>
      <c r="M677" s="59" t="s">
        <v>334</v>
      </c>
      <c r="N677" s="58"/>
    </row>
    <row r="678" spans="1:15" ht="18" customHeight="1">
      <c r="A678" s="57">
        <v>25</v>
      </c>
      <c r="B678" s="58" t="s">
        <v>334</v>
      </c>
      <c r="C678" s="58" t="s">
        <v>334</v>
      </c>
      <c r="D678" s="58">
        <v>54.472999999999999</v>
      </c>
      <c r="E678" s="58">
        <v>52.658000000000001</v>
      </c>
      <c r="F678" s="58" t="s">
        <v>334</v>
      </c>
      <c r="G678" s="58">
        <v>53.482999999999997</v>
      </c>
      <c r="H678" s="58">
        <v>54.122999999999998</v>
      </c>
      <c r="I678" s="58">
        <v>55.241999999999997</v>
      </c>
      <c r="J678" s="58">
        <v>55.043999999999997</v>
      </c>
      <c r="K678" s="58" t="s">
        <v>334</v>
      </c>
      <c r="L678" s="58">
        <v>55.649000000000001</v>
      </c>
      <c r="M678" s="59" t="s">
        <v>334</v>
      </c>
      <c r="N678" s="58"/>
    </row>
    <row r="679" spans="1:15" ht="18" customHeight="1">
      <c r="A679" s="57">
        <v>26</v>
      </c>
      <c r="B679" s="58" t="s">
        <v>334</v>
      </c>
      <c r="C679" s="58">
        <v>54.381999999999998</v>
      </c>
      <c r="D679" s="58">
        <v>54.427</v>
      </c>
      <c r="E679" s="58" t="s">
        <v>334</v>
      </c>
      <c r="F679" s="58">
        <v>52.854999999999997</v>
      </c>
      <c r="G679" s="58">
        <v>53.372999999999998</v>
      </c>
      <c r="H679" s="58" t="s">
        <v>334</v>
      </c>
      <c r="I679" s="58">
        <v>55.363999999999997</v>
      </c>
      <c r="J679" s="58">
        <v>55.14</v>
      </c>
      <c r="K679" s="58" t="s">
        <v>334</v>
      </c>
      <c r="L679" s="58" t="s">
        <v>334</v>
      </c>
      <c r="M679" s="59" t="s">
        <v>334</v>
      </c>
      <c r="N679" s="58"/>
    </row>
    <row r="680" spans="1:15" ht="18" customHeight="1">
      <c r="A680" s="57">
        <v>27</v>
      </c>
      <c r="B680" s="58">
        <v>53.63</v>
      </c>
      <c r="C680" s="58">
        <v>54.37</v>
      </c>
      <c r="D680" s="58">
        <v>53.933999999999997</v>
      </c>
      <c r="E680" s="58" t="s">
        <v>334</v>
      </c>
      <c r="F680" s="58">
        <v>52.774000000000001</v>
      </c>
      <c r="G680" s="58">
        <v>53.44</v>
      </c>
      <c r="H680" s="58" t="s">
        <v>334</v>
      </c>
      <c r="I680" s="58">
        <v>55.531999999999996</v>
      </c>
      <c r="J680" s="58" t="s">
        <v>334</v>
      </c>
      <c r="K680" s="58">
        <v>55.341999999999999</v>
      </c>
      <c r="L680" s="58">
        <v>55.536000000000001</v>
      </c>
      <c r="M680" s="59" t="s">
        <v>334</v>
      </c>
      <c r="N680" s="58"/>
    </row>
    <row r="681" spans="1:15" ht="18" customHeight="1">
      <c r="A681" s="57">
        <v>28</v>
      </c>
      <c r="B681" s="58">
        <v>53.619</v>
      </c>
      <c r="C681" s="58">
        <v>54.344999999999999</v>
      </c>
      <c r="D681" s="58">
        <v>53.372999999999998</v>
      </c>
      <c r="E681" s="58">
        <v>53.009</v>
      </c>
      <c r="F681" s="58">
        <v>52.768999999999998</v>
      </c>
      <c r="G681" s="58" t="s">
        <v>334</v>
      </c>
      <c r="H681" s="58">
        <v>54.021999999999998</v>
      </c>
      <c r="I681" s="58">
        <v>55.271999999999998</v>
      </c>
      <c r="J681" s="58" t="s">
        <v>334</v>
      </c>
      <c r="K681" s="58">
        <v>55.49</v>
      </c>
      <c r="L681" s="58">
        <v>55.767000000000003</v>
      </c>
      <c r="M681" s="59" t="s">
        <v>334</v>
      </c>
      <c r="N681" s="58"/>
    </row>
    <row r="682" spans="1:15" ht="18" customHeight="1">
      <c r="A682" s="57">
        <v>29</v>
      </c>
      <c r="B682" s="58">
        <v>53.701000000000001</v>
      </c>
      <c r="C682" s="58" t="s">
        <v>335</v>
      </c>
      <c r="D682" s="58" t="s">
        <v>334</v>
      </c>
      <c r="E682" s="58">
        <v>52.982999999999997</v>
      </c>
      <c r="F682" s="58">
        <v>53.027999999999999</v>
      </c>
      <c r="G682" s="58" t="s">
        <v>334</v>
      </c>
      <c r="H682" s="58">
        <v>54.326000000000001</v>
      </c>
      <c r="I682" s="58">
        <v>55.113</v>
      </c>
      <c r="J682" s="58">
        <v>55.085999999999999</v>
      </c>
      <c r="K682" s="58">
        <v>55.463000000000001</v>
      </c>
      <c r="L682" s="58" t="s">
        <v>334</v>
      </c>
      <c r="M682" s="59">
        <v>55.545999999999999</v>
      </c>
      <c r="N682" s="58"/>
    </row>
    <row r="683" spans="1:15" ht="18" customHeight="1">
      <c r="A683" s="57">
        <v>30</v>
      </c>
      <c r="B683" s="58">
        <v>53.755000000000003</v>
      </c>
      <c r="C683" s="58" t="s">
        <v>335</v>
      </c>
      <c r="D683" s="58" t="s">
        <v>334</v>
      </c>
      <c r="E683" s="58">
        <v>52.817</v>
      </c>
      <c r="F683" s="58">
        <v>53.281999999999996</v>
      </c>
      <c r="G683" s="58">
        <v>53.706000000000003</v>
      </c>
      <c r="H683" s="58">
        <v>54.625999999999998</v>
      </c>
      <c r="I683" s="58" t="s">
        <v>334</v>
      </c>
      <c r="J683" s="58">
        <v>54.942</v>
      </c>
      <c r="K683" s="58">
        <v>55.258000000000003</v>
      </c>
      <c r="L683" s="58" t="s">
        <v>334</v>
      </c>
      <c r="M683" s="59">
        <v>55.569000000000003</v>
      </c>
      <c r="N683" s="58"/>
    </row>
    <row r="684" spans="1:15" ht="18" customHeight="1">
      <c r="A684" s="57">
        <v>31</v>
      </c>
      <c r="B684" s="58">
        <v>53.798999999999999</v>
      </c>
      <c r="C684" s="58" t="s">
        <v>335</v>
      </c>
      <c r="D684" s="58">
        <v>53.531999999999996</v>
      </c>
      <c r="E684" s="58" t="s">
        <v>335</v>
      </c>
      <c r="F684" s="58" t="s">
        <v>334</v>
      </c>
      <c r="G684" s="58" t="s">
        <v>335</v>
      </c>
      <c r="H684" s="58">
        <v>54.689</v>
      </c>
      <c r="I684" s="58" t="s">
        <v>334</v>
      </c>
      <c r="J684" s="58" t="s">
        <v>335</v>
      </c>
      <c r="K684" s="58">
        <v>55.244999999999997</v>
      </c>
      <c r="L684" s="58" t="s">
        <v>335</v>
      </c>
      <c r="M684" s="59" t="s">
        <v>334</v>
      </c>
      <c r="N684" s="58"/>
    </row>
    <row r="685" spans="1:15" ht="18" customHeight="1" thickBot="1">
      <c r="A685" s="76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8"/>
      <c r="N685" s="58"/>
    </row>
    <row r="686" spans="1:15" ht="18" customHeight="1">
      <c r="A686" s="618">
        <v>2002</v>
      </c>
      <c r="B686" s="619"/>
      <c r="C686" s="619"/>
      <c r="D686" s="619"/>
      <c r="E686" s="619"/>
      <c r="F686" s="619"/>
      <c r="G686" s="619"/>
      <c r="H686" s="619"/>
      <c r="I686" s="619"/>
      <c r="J686" s="619"/>
      <c r="K686" s="619"/>
      <c r="L686" s="619"/>
      <c r="M686" s="620"/>
      <c r="N686" s="52"/>
    </row>
    <row r="687" spans="1:15" ht="18" customHeight="1" thickBot="1">
      <c r="A687" s="63" t="s">
        <v>322</v>
      </c>
      <c r="B687" s="64" t="s">
        <v>323</v>
      </c>
      <c r="C687" s="64" t="s">
        <v>324</v>
      </c>
      <c r="D687" s="64" t="s">
        <v>325</v>
      </c>
      <c r="E687" s="64" t="s">
        <v>326</v>
      </c>
      <c r="F687" s="64" t="s">
        <v>236</v>
      </c>
      <c r="G687" s="64" t="s">
        <v>327</v>
      </c>
      <c r="H687" s="64" t="s">
        <v>328</v>
      </c>
      <c r="I687" s="64" t="s">
        <v>329</v>
      </c>
      <c r="J687" s="64" t="s">
        <v>330</v>
      </c>
      <c r="K687" s="64" t="s">
        <v>331</v>
      </c>
      <c r="L687" s="64" t="s">
        <v>332</v>
      </c>
      <c r="M687" s="65" t="s">
        <v>333</v>
      </c>
      <c r="N687" s="52"/>
    </row>
    <row r="688" spans="1:15" ht="18" customHeight="1">
      <c r="A688" s="54">
        <v>1</v>
      </c>
      <c r="B688" s="55" t="s">
        <v>334</v>
      </c>
      <c r="C688" s="55">
        <v>51.238</v>
      </c>
      <c r="D688" s="55">
        <v>51.281999999999996</v>
      </c>
      <c r="E688" s="55">
        <v>51.095999999999997</v>
      </c>
      <c r="F688" s="55" t="s">
        <v>334</v>
      </c>
      <c r="G688" s="55" t="s">
        <v>334</v>
      </c>
      <c r="H688" s="55">
        <v>50.540999999999997</v>
      </c>
      <c r="I688" s="55">
        <v>51.195</v>
      </c>
      <c r="J688" s="55" t="s">
        <v>334</v>
      </c>
      <c r="K688" s="55">
        <v>52.41</v>
      </c>
      <c r="L688" s="70" t="s">
        <v>334</v>
      </c>
      <c r="M688" s="71" t="s">
        <v>334</v>
      </c>
      <c r="N688" s="83">
        <v>2002</v>
      </c>
      <c r="O688" s="47">
        <f>AVERAGE(B688:M718)</f>
        <v>51.576199186991843</v>
      </c>
    </row>
    <row r="689" spans="1:14" ht="18" customHeight="1">
      <c r="A689" s="57">
        <v>2</v>
      </c>
      <c r="B689" s="58">
        <v>51.69</v>
      </c>
      <c r="C689" s="58" t="s">
        <v>334</v>
      </c>
      <c r="D689" s="58" t="s">
        <v>334</v>
      </c>
      <c r="E689" s="58">
        <v>50.997</v>
      </c>
      <c r="F689" s="58">
        <v>50.585000000000001</v>
      </c>
      <c r="G689" s="58" t="s">
        <v>334</v>
      </c>
      <c r="H689" s="58">
        <v>50.426000000000002</v>
      </c>
      <c r="I689" s="58">
        <v>51.156999999999996</v>
      </c>
      <c r="J689" s="58">
        <v>51.828000000000003</v>
      </c>
      <c r="K689" s="58">
        <v>52.418999999999997</v>
      </c>
      <c r="L689" s="72" t="s">
        <v>334</v>
      </c>
      <c r="M689" s="73">
        <v>53.575000000000003</v>
      </c>
      <c r="N689" s="58"/>
    </row>
    <row r="690" spans="1:14" ht="18" customHeight="1">
      <c r="A690" s="57">
        <v>3</v>
      </c>
      <c r="B690" s="58">
        <v>51.720999999999997</v>
      </c>
      <c r="C690" s="58" t="s">
        <v>334</v>
      </c>
      <c r="D690" s="58" t="s">
        <v>334</v>
      </c>
      <c r="E690" s="58">
        <v>51.085000000000001</v>
      </c>
      <c r="F690" s="58">
        <v>50.362000000000002</v>
      </c>
      <c r="G690" s="58">
        <v>50.033999999999999</v>
      </c>
      <c r="H690" s="58">
        <v>50.57</v>
      </c>
      <c r="I690" s="58" t="s">
        <v>334</v>
      </c>
      <c r="J690" s="58">
        <v>51.863999999999997</v>
      </c>
      <c r="K690" s="58">
        <v>52.55</v>
      </c>
      <c r="L690" s="72" t="s">
        <v>334</v>
      </c>
      <c r="M690" s="73">
        <v>53.591000000000001</v>
      </c>
      <c r="N690" s="58"/>
    </row>
    <row r="691" spans="1:14" ht="18" customHeight="1">
      <c r="A691" s="57">
        <v>4</v>
      </c>
      <c r="B691" s="58">
        <v>51.686</v>
      </c>
      <c r="C691" s="58">
        <v>51.32</v>
      </c>
      <c r="D691" s="58">
        <v>51.201000000000001</v>
      </c>
      <c r="E691" s="58">
        <v>51.21</v>
      </c>
      <c r="F691" s="58" t="s">
        <v>334</v>
      </c>
      <c r="G691" s="58">
        <v>50.41</v>
      </c>
      <c r="H691" s="58">
        <v>50.76</v>
      </c>
      <c r="I691" s="58" t="s">
        <v>334</v>
      </c>
      <c r="J691" s="58">
        <v>51.741</v>
      </c>
      <c r="K691" s="58">
        <v>52.655000000000001</v>
      </c>
      <c r="L691" s="58">
        <v>53.222000000000001</v>
      </c>
      <c r="M691" s="59">
        <v>53.581000000000003</v>
      </c>
      <c r="N691" s="58"/>
    </row>
    <row r="692" spans="1:14" ht="18" customHeight="1">
      <c r="A692" s="57">
        <v>5</v>
      </c>
      <c r="B692" s="58" t="s">
        <v>334</v>
      </c>
      <c r="C692" s="58">
        <v>51.284999999999997</v>
      </c>
      <c r="D692" s="58">
        <v>51.06</v>
      </c>
      <c r="E692" s="58">
        <v>51.104999999999997</v>
      </c>
      <c r="F692" s="58" t="s">
        <v>334</v>
      </c>
      <c r="G692" s="58">
        <v>50.462000000000003</v>
      </c>
      <c r="H692" s="58">
        <v>50.677999999999997</v>
      </c>
      <c r="I692" s="58">
        <v>51.195</v>
      </c>
      <c r="J692" s="58">
        <v>51.709000000000003</v>
      </c>
      <c r="K692" s="58" t="s">
        <v>334</v>
      </c>
      <c r="L692" s="58">
        <v>52.994999999999997</v>
      </c>
      <c r="M692" s="59">
        <v>53.661999999999999</v>
      </c>
      <c r="N692" s="58"/>
    </row>
    <row r="693" spans="1:14" ht="18" customHeight="1">
      <c r="A693" s="57">
        <v>6</v>
      </c>
      <c r="B693" s="58" t="s">
        <v>334</v>
      </c>
      <c r="C693" s="58">
        <v>51.168999999999997</v>
      </c>
      <c r="D693" s="58">
        <v>51.119</v>
      </c>
      <c r="E693" s="58" t="s">
        <v>334</v>
      </c>
      <c r="F693" s="58">
        <v>50.164999999999999</v>
      </c>
      <c r="G693" s="58">
        <v>50.649000000000001</v>
      </c>
      <c r="H693" s="58" t="s">
        <v>334</v>
      </c>
      <c r="I693" s="58">
        <v>51.423999999999999</v>
      </c>
      <c r="J693" s="58">
        <v>51.795000000000002</v>
      </c>
      <c r="K693" s="58" t="s">
        <v>334</v>
      </c>
      <c r="L693" s="58">
        <v>52.920999999999999</v>
      </c>
      <c r="M693" s="59" t="s">
        <v>334</v>
      </c>
      <c r="N693" s="58"/>
    </row>
    <row r="694" spans="1:14" ht="18" customHeight="1">
      <c r="A694" s="57">
        <v>7</v>
      </c>
      <c r="B694" s="58">
        <v>51.603000000000002</v>
      </c>
      <c r="C694" s="58">
        <v>51.212000000000003</v>
      </c>
      <c r="D694" s="58">
        <v>51.142000000000003</v>
      </c>
      <c r="E694" s="58" t="s">
        <v>334</v>
      </c>
      <c r="F694" s="58">
        <v>49.902999999999999</v>
      </c>
      <c r="G694" s="58">
        <v>50.826000000000001</v>
      </c>
      <c r="H694" s="58" t="s">
        <v>334</v>
      </c>
      <c r="I694" s="58">
        <v>51.744</v>
      </c>
      <c r="J694" s="58" t="s">
        <v>334</v>
      </c>
      <c r="K694" s="58">
        <v>52.722999999999999</v>
      </c>
      <c r="L694" s="58">
        <v>52.902999999999999</v>
      </c>
      <c r="M694" s="59" t="s">
        <v>334</v>
      </c>
      <c r="N694" s="58"/>
    </row>
    <row r="695" spans="1:14" ht="18" customHeight="1">
      <c r="A695" s="57">
        <v>8</v>
      </c>
      <c r="B695" s="58">
        <v>51.543999999999997</v>
      </c>
      <c r="C695" s="58">
        <v>51.203000000000003</v>
      </c>
      <c r="D695" s="58">
        <v>51.006999999999998</v>
      </c>
      <c r="E695" s="58" t="s">
        <v>334</v>
      </c>
      <c r="F695" s="58">
        <v>49.542999999999999</v>
      </c>
      <c r="G695" s="58" t="s">
        <v>334</v>
      </c>
      <c r="H695" s="58">
        <v>50.511000000000003</v>
      </c>
      <c r="I695" s="58">
        <v>51.813000000000002</v>
      </c>
      <c r="J695" s="58" t="s">
        <v>334</v>
      </c>
      <c r="K695" s="58">
        <v>52.854999999999997</v>
      </c>
      <c r="L695" s="58">
        <v>52.899000000000001</v>
      </c>
      <c r="M695" s="59" t="s">
        <v>334</v>
      </c>
      <c r="N695" s="58"/>
    </row>
    <row r="696" spans="1:14" ht="18" customHeight="1">
      <c r="A696" s="57">
        <v>9</v>
      </c>
      <c r="B696" s="58">
        <v>51.637</v>
      </c>
      <c r="C696" s="58" t="s">
        <v>334</v>
      </c>
      <c r="D696" s="58" t="s">
        <v>334</v>
      </c>
      <c r="E696" s="58">
        <v>51.107999999999997</v>
      </c>
      <c r="F696" s="58">
        <v>49.723999999999997</v>
      </c>
      <c r="G696" s="58" t="s">
        <v>334</v>
      </c>
      <c r="H696" s="58">
        <v>50.494999999999997</v>
      </c>
      <c r="I696" s="58">
        <v>51.662999999999997</v>
      </c>
      <c r="J696" s="58">
        <v>51.79</v>
      </c>
      <c r="K696" s="58">
        <v>52.857999999999997</v>
      </c>
      <c r="L696" s="58" t="s">
        <v>334</v>
      </c>
      <c r="M696" s="59">
        <v>53.564999999999998</v>
      </c>
      <c r="N696" s="58"/>
    </row>
    <row r="697" spans="1:14" ht="18" customHeight="1">
      <c r="A697" s="57">
        <v>10</v>
      </c>
      <c r="B697" s="58">
        <v>51.646000000000001</v>
      </c>
      <c r="C697" s="58" t="s">
        <v>334</v>
      </c>
      <c r="D697" s="58" t="s">
        <v>334</v>
      </c>
      <c r="E697" s="58">
        <v>51.042000000000002</v>
      </c>
      <c r="F697" s="58">
        <v>49.9</v>
      </c>
      <c r="G697" s="58">
        <v>50.774000000000001</v>
      </c>
      <c r="H697" s="58">
        <v>50.365000000000002</v>
      </c>
      <c r="I697" s="58" t="s">
        <v>334</v>
      </c>
      <c r="J697" s="58">
        <v>51.944000000000003</v>
      </c>
      <c r="K697" s="58">
        <v>52.79</v>
      </c>
      <c r="L697" s="58" t="s">
        <v>334</v>
      </c>
      <c r="M697" s="59">
        <v>53.368000000000002</v>
      </c>
      <c r="N697" s="58"/>
    </row>
    <row r="698" spans="1:14" ht="18" customHeight="1">
      <c r="A698" s="57">
        <v>11</v>
      </c>
      <c r="B698" s="58">
        <v>51.414000000000001</v>
      </c>
      <c r="C698" s="58">
        <v>51.218000000000004</v>
      </c>
      <c r="D698" s="58">
        <v>50.951000000000001</v>
      </c>
      <c r="E698" s="58">
        <v>51.005000000000003</v>
      </c>
      <c r="F698" s="58" t="s">
        <v>334</v>
      </c>
      <c r="G698" s="58">
        <v>50.618000000000002</v>
      </c>
      <c r="H698" s="58">
        <v>50.225000000000001</v>
      </c>
      <c r="I698" s="58" t="s">
        <v>334</v>
      </c>
      <c r="J698" s="58">
        <v>51.997999999999998</v>
      </c>
      <c r="K698" s="58">
        <v>52.737000000000002</v>
      </c>
      <c r="L698" s="58">
        <v>52.872999999999998</v>
      </c>
      <c r="M698" s="59">
        <v>53.372999999999998</v>
      </c>
      <c r="N698" s="58"/>
    </row>
    <row r="699" spans="1:14" ht="18" customHeight="1">
      <c r="A699" s="57">
        <v>12</v>
      </c>
      <c r="B699" s="58" t="s">
        <v>334</v>
      </c>
      <c r="C699" s="58">
        <v>51.298999999999999</v>
      </c>
      <c r="D699" s="58">
        <v>51.021000000000001</v>
      </c>
      <c r="E699" s="58">
        <v>50.994999999999997</v>
      </c>
      <c r="F699" s="58" t="s">
        <v>334</v>
      </c>
      <c r="G699" s="58" t="s">
        <v>334</v>
      </c>
      <c r="H699" s="58">
        <v>50.265000000000001</v>
      </c>
      <c r="I699" s="58">
        <v>51.819000000000003</v>
      </c>
      <c r="J699" s="58">
        <v>51.994</v>
      </c>
      <c r="K699" s="58" t="s">
        <v>334</v>
      </c>
      <c r="L699" s="58">
        <v>52.832999999999998</v>
      </c>
      <c r="M699" s="59">
        <v>53.381999999999998</v>
      </c>
      <c r="N699" s="58"/>
    </row>
    <row r="700" spans="1:14" ht="18" customHeight="1">
      <c r="A700" s="57">
        <v>13</v>
      </c>
      <c r="B700" s="58" t="s">
        <v>334</v>
      </c>
      <c r="C700" s="58">
        <v>51.341000000000001</v>
      </c>
      <c r="D700" s="58">
        <v>50.933999999999997</v>
      </c>
      <c r="E700" s="58" t="s">
        <v>334</v>
      </c>
      <c r="F700" s="58">
        <v>49.737000000000002</v>
      </c>
      <c r="G700" s="58">
        <v>50.438000000000002</v>
      </c>
      <c r="H700" s="58" t="s">
        <v>334</v>
      </c>
      <c r="I700" s="58">
        <v>51.612000000000002</v>
      </c>
      <c r="J700" s="58">
        <v>51.898000000000003</v>
      </c>
      <c r="K700" s="58" t="s">
        <v>334</v>
      </c>
      <c r="L700" s="58">
        <v>53.167999999999999</v>
      </c>
      <c r="M700" s="59">
        <v>53.326000000000001</v>
      </c>
      <c r="N700" s="58"/>
    </row>
    <row r="701" spans="1:14" ht="18" customHeight="1">
      <c r="A701" s="57">
        <v>14</v>
      </c>
      <c r="B701" s="58">
        <v>51.253999999999998</v>
      </c>
      <c r="C701" s="58">
        <v>51.320999999999998</v>
      </c>
      <c r="D701" s="58">
        <v>50.912999999999997</v>
      </c>
      <c r="E701" s="58" t="s">
        <v>334</v>
      </c>
      <c r="F701" s="58">
        <v>49.487000000000002</v>
      </c>
      <c r="G701" s="58">
        <v>50.491999999999997</v>
      </c>
      <c r="H701" s="58" t="s">
        <v>334</v>
      </c>
      <c r="I701" s="58">
        <v>51.857999999999997</v>
      </c>
      <c r="J701" s="58" t="s">
        <v>334</v>
      </c>
      <c r="K701" s="58">
        <v>52.813000000000002</v>
      </c>
      <c r="L701" s="58">
        <v>53.250999999999998</v>
      </c>
      <c r="M701" s="59" t="s">
        <v>334</v>
      </c>
      <c r="N701" s="58"/>
    </row>
    <row r="702" spans="1:14" ht="18" customHeight="1">
      <c r="A702" s="57">
        <v>15</v>
      </c>
      <c r="B702" s="58">
        <v>51.261000000000003</v>
      </c>
      <c r="C702" s="58">
        <v>51.334000000000003</v>
      </c>
      <c r="D702" s="58">
        <v>50.921999999999997</v>
      </c>
      <c r="E702" s="58">
        <v>51.031999999999996</v>
      </c>
      <c r="F702" s="58">
        <v>49.567999999999998</v>
      </c>
      <c r="G702" s="58" t="s">
        <v>334</v>
      </c>
      <c r="H702" s="58" t="s">
        <v>334</v>
      </c>
      <c r="I702" s="58">
        <v>51.756</v>
      </c>
      <c r="J702" s="58" t="s">
        <v>334</v>
      </c>
      <c r="K702" s="58">
        <v>52.984999999999999</v>
      </c>
      <c r="L702" s="58">
        <v>53.338000000000001</v>
      </c>
      <c r="M702" s="59" t="s">
        <v>334</v>
      </c>
      <c r="N702" s="58"/>
    </row>
    <row r="703" spans="1:14" ht="18" customHeight="1">
      <c r="A703" s="57">
        <v>16</v>
      </c>
      <c r="B703" s="58">
        <v>51.387</v>
      </c>
      <c r="C703" s="58" t="s">
        <v>334</v>
      </c>
      <c r="D703" s="58" t="s">
        <v>334</v>
      </c>
      <c r="E703" s="58">
        <v>50.984999999999999</v>
      </c>
      <c r="F703" s="58">
        <v>49.622</v>
      </c>
      <c r="G703" s="58" t="s">
        <v>334</v>
      </c>
      <c r="H703" s="58">
        <v>50.475999999999999</v>
      </c>
      <c r="I703" s="58">
        <v>51.823999999999998</v>
      </c>
      <c r="J703" s="58">
        <v>52.115000000000002</v>
      </c>
      <c r="K703" s="58">
        <v>53.13</v>
      </c>
      <c r="L703" s="58" t="s">
        <v>334</v>
      </c>
      <c r="M703" s="59">
        <v>53.374000000000002</v>
      </c>
      <c r="N703" s="58"/>
    </row>
    <row r="704" spans="1:14" ht="18" customHeight="1">
      <c r="A704" s="57">
        <v>17</v>
      </c>
      <c r="B704" s="58">
        <v>51.225999999999999</v>
      </c>
      <c r="C704" s="58" t="s">
        <v>334</v>
      </c>
      <c r="D704" s="58" t="s">
        <v>334</v>
      </c>
      <c r="E704" s="58">
        <v>50.98</v>
      </c>
      <c r="F704" s="58">
        <v>49.545000000000002</v>
      </c>
      <c r="G704" s="58">
        <v>50.383000000000003</v>
      </c>
      <c r="H704" s="58">
        <v>50.337000000000003</v>
      </c>
      <c r="I704" s="58" t="s">
        <v>334</v>
      </c>
      <c r="J704" s="58">
        <v>52.451999999999998</v>
      </c>
      <c r="K704" s="58">
        <v>53.008000000000003</v>
      </c>
      <c r="L704" s="58" t="s">
        <v>334</v>
      </c>
      <c r="M704" s="59">
        <v>53.603000000000002</v>
      </c>
      <c r="N704" s="58"/>
    </row>
    <row r="705" spans="1:14" ht="18" customHeight="1">
      <c r="A705" s="57">
        <v>18</v>
      </c>
      <c r="B705" s="58">
        <v>51.348999999999997</v>
      </c>
      <c r="C705" s="58">
        <v>51.250999999999998</v>
      </c>
      <c r="D705" s="58">
        <v>50.941000000000003</v>
      </c>
      <c r="E705" s="58">
        <v>51.002000000000002</v>
      </c>
      <c r="F705" s="58" t="s">
        <v>334</v>
      </c>
      <c r="G705" s="58">
        <v>50.365000000000002</v>
      </c>
      <c r="H705" s="58">
        <v>50.411000000000001</v>
      </c>
      <c r="I705" s="58" t="s">
        <v>334</v>
      </c>
      <c r="J705" s="58">
        <v>52.417000000000002</v>
      </c>
      <c r="K705" s="58">
        <v>52.856999999999999</v>
      </c>
      <c r="L705" s="58">
        <v>53.389000000000003</v>
      </c>
      <c r="M705" s="59">
        <v>53.725000000000001</v>
      </c>
      <c r="N705" s="58"/>
    </row>
    <row r="706" spans="1:14" ht="18" customHeight="1">
      <c r="A706" s="57">
        <v>19</v>
      </c>
      <c r="B706" s="58" t="s">
        <v>334</v>
      </c>
      <c r="C706" s="58">
        <v>51.220999999999997</v>
      </c>
      <c r="D706" s="58">
        <v>50.970999999999997</v>
      </c>
      <c r="E706" s="58">
        <v>50.963000000000001</v>
      </c>
      <c r="F706" s="58" t="s">
        <v>334</v>
      </c>
      <c r="G706" s="58">
        <v>50.231000000000002</v>
      </c>
      <c r="H706" s="58">
        <v>50.381</v>
      </c>
      <c r="I706" s="58">
        <v>51.838999999999999</v>
      </c>
      <c r="J706" s="58">
        <v>52.335999999999999</v>
      </c>
      <c r="K706" s="58" t="s">
        <v>334</v>
      </c>
      <c r="L706" s="58">
        <v>53.395000000000003</v>
      </c>
      <c r="M706" s="59">
        <v>53.720999999999997</v>
      </c>
      <c r="N706" s="58"/>
    </row>
    <row r="707" spans="1:14" ht="18" customHeight="1">
      <c r="A707" s="57">
        <v>20</v>
      </c>
      <c r="B707" s="58" t="s">
        <v>334</v>
      </c>
      <c r="C707" s="58">
        <v>51.289000000000001</v>
      </c>
      <c r="D707" s="58">
        <v>51.11</v>
      </c>
      <c r="E707" s="58" t="s">
        <v>334</v>
      </c>
      <c r="F707" s="58">
        <v>49.482999999999997</v>
      </c>
      <c r="G707" s="58">
        <v>50.087000000000003</v>
      </c>
      <c r="H707" s="58" t="s">
        <v>334</v>
      </c>
      <c r="I707" s="58">
        <v>51.884</v>
      </c>
      <c r="J707" s="58">
        <v>52.253999999999998</v>
      </c>
      <c r="K707" s="58" t="s">
        <v>334</v>
      </c>
      <c r="L707" s="58">
        <v>53.401000000000003</v>
      </c>
      <c r="M707" s="59">
        <v>53.731999999999999</v>
      </c>
      <c r="N707" s="58"/>
    </row>
    <row r="708" spans="1:14" ht="18" customHeight="1">
      <c r="A708" s="57">
        <v>21</v>
      </c>
      <c r="B708" s="58">
        <v>51.405999999999999</v>
      </c>
      <c r="C708" s="58">
        <v>51.305</v>
      </c>
      <c r="D708" s="58">
        <v>51.207999999999998</v>
      </c>
      <c r="E708" s="58" t="s">
        <v>334</v>
      </c>
      <c r="F708" s="58">
        <v>49.335999999999999</v>
      </c>
      <c r="G708" s="58">
        <v>50.204999999999998</v>
      </c>
      <c r="H708" s="58" t="s">
        <v>334</v>
      </c>
      <c r="I708" s="58">
        <v>52.061999999999998</v>
      </c>
      <c r="J708" s="58" t="s">
        <v>334</v>
      </c>
      <c r="K708" s="58">
        <v>53.189</v>
      </c>
      <c r="L708" s="58">
        <v>53.651000000000003</v>
      </c>
      <c r="M708" s="59" t="s">
        <v>334</v>
      </c>
      <c r="N708" s="58"/>
    </row>
    <row r="709" spans="1:14" ht="18" customHeight="1">
      <c r="A709" s="57">
        <v>22</v>
      </c>
      <c r="B709" s="58">
        <v>51.253999999999998</v>
      </c>
      <c r="C709" s="58">
        <v>51.302999999999997</v>
      </c>
      <c r="D709" s="58">
        <v>51.085000000000001</v>
      </c>
      <c r="E709" s="58">
        <v>50.884999999999998</v>
      </c>
      <c r="F709" s="58">
        <v>49.472999999999999</v>
      </c>
      <c r="G709" s="58" t="s">
        <v>334</v>
      </c>
      <c r="H709" s="58">
        <v>50.381999999999998</v>
      </c>
      <c r="I709" s="58">
        <v>52.01</v>
      </c>
      <c r="J709" s="58" t="s">
        <v>334</v>
      </c>
      <c r="K709" s="58">
        <v>53.341999999999999</v>
      </c>
      <c r="L709" s="58">
        <v>53.591999999999999</v>
      </c>
      <c r="M709" s="59" t="s">
        <v>334</v>
      </c>
      <c r="N709" s="58"/>
    </row>
    <row r="710" spans="1:14" ht="18" customHeight="1">
      <c r="A710" s="57">
        <v>23</v>
      </c>
      <c r="B710" s="58">
        <v>51.243000000000002</v>
      </c>
      <c r="C710" s="58" t="s">
        <v>334</v>
      </c>
      <c r="D710" s="58" t="s">
        <v>334</v>
      </c>
      <c r="E710" s="58">
        <v>50.923999999999999</v>
      </c>
      <c r="F710" s="58">
        <v>49.457000000000001</v>
      </c>
      <c r="G710" s="58" t="s">
        <v>334</v>
      </c>
      <c r="H710" s="58">
        <v>50.38</v>
      </c>
      <c r="I710" s="58">
        <v>52.088999999999999</v>
      </c>
      <c r="J710" s="58">
        <v>52.423999999999999</v>
      </c>
      <c r="K710" s="58">
        <v>53.186999999999998</v>
      </c>
      <c r="L710" s="58" t="s">
        <v>334</v>
      </c>
      <c r="M710" s="59">
        <v>53.720999999999997</v>
      </c>
      <c r="N710" s="58"/>
    </row>
    <row r="711" spans="1:14" ht="18" customHeight="1">
      <c r="A711" s="57">
        <v>24</v>
      </c>
      <c r="B711" s="58">
        <v>51.375</v>
      </c>
      <c r="C711" s="58" t="s">
        <v>334</v>
      </c>
      <c r="D711" s="58" t="s">
        <v>334</v>
      </c>
      <c r="E711" s="58">
        <v>50.966000000000001</v>
      </c>
      <c r="F711" s="58">
        <v>49.828000000000003</v>
      </c>
      <c r="G711" s="58">
        <v>50.21</v>
      </c>
      <c r="H711" s="58">
        <v>50.573</v>
      </c>
      <c r="I711" s="58" t="s">
        <v>334</v>
      </c>
      <c r="J711" s="58">
        <v>52.460999999999999</v>
      </c>
      <c r="K711" s="58">
        <v>53.238</v>
      </c>
      <c r="L711" s="58" t="s">
        <v>334</v>
      </c>
      <c r="M711" s="59" t="s">
        <v>334</v>
      </c>
      <c r="N711" s="58"/>
    </row>
    <row r="712" spans="1:14" ht="18" customHeight="1">
      <c r="A712" s="57">
        <v>25</v>
      </c>
      <c r="B712" s="58">
        <v>51.363999999999997</v>
      </c>
      <c r="C712" s="58" t="s">
        <v>334</v>
      </c>
      <c r="D712" s="58">
        <v>51.103999999999999</v>
      </c>
      <c r="E712" s="58">
        <v>50.945</v>
      </c>
      <c r="F712" s="58" t="s">
        <v>334</v>
      </c>
      <c r="G712" s="58">
        <v>50.298000000000002</v>
      </c>
      <c r="H712" s="58">
        <v>50.658000000000001</v>
      </c>
      <c r="I712" s="58" t="s">
        <v>334</v>
      </c>
      <c r="J712" s="58">
        <v>52.429000000000002</v>
      </c>
      <c r="K712" s="58">
        <v>53.030999999999999</v>
      </c>
      <c r="L712" s="58">
        <v>53.668999999999997</v>
      </c>
      <c r="M712" s="59" t="s">
        <v>334</v>
      </c>
      <c r="N712" s="58"/>
    </row>
    <row r="713" spans="1:14" ht="18" customHeight="1">
      <c r="A713" s="57">
        <v>26</v>
      </c>
      <c r="B713" s="58" t="s">
        <v>334</v>
      </c>
      <c r="C713" s="58">
        <v>51.36</v>
      </c>
      <c r="D713" s="58">
        <v>51.136000000000003</v>
      </c>
      <c r="E713" s="58">
        <v>50.829000000000001</v>
      </c>
      <c r="F713" s="58" t="s">
        <v>334</v>
      </c>
      <c r="G713" s="58">
        <v>50.472000000000001</v>
      </c>
      <c r="H713" s="58">
        <v>50.682000000000002</v>
      </c>
      <c r="I713" s="58">
        <v>52.283999999999999</v>
      </c>
      <c r="J713" s="58">
        <v>52.369</v>
      </c>
      <c r="K713" s="58" t="s">
        <v>334</v>
      </c>
      <c r="L713" s="58">
        <v>53.841000000000001</v>
      </c>
      <c r="M713" s="59">
        <v>53.436</v>
      </c>
      <c r="N713" s="58"/>
    </row>
    <row r="714" spans="1:14" ht="18" customHeight="1">
      <c r="A714" s="57">
        <v>27</v>
      </c>
      <c r="B714" s="58" t="s">
        <v>334</v>
      </c>
      <c r="C714" s="58">
        <v>51.329000000000001</v>
      </c>
      <c r="D714" s="58">
        <v>51.148000000000003</v>
      </c>
      <c r="E714" s="58" t="s">
        <v>334</v>
      </c>
      <c r="F714" s="58">
        <v>50.09</v>
      </c>
      <c r="G714" s="58">
        <v>50.350999999999999</v>
      </c>
      <c r="H714" s="58" t="s">
        <v>334</v>
      </c>
      <c r="I714" s="58">
        <v>52.344999999999999</v>
      </c>
      <c r="J714" s="58">
        <v>52.448999999999998</v>
      </c>
      <c r="K714" s="58" t="s">
        <v>334</v>
      </c>
      <c r="L714" s="58">
        <v>53.64</v>
      </c>
      <c r="M714" s="59">
        <v>53.095999999999997</v>
      </c>
      <c r="N714" s="58"/>
    </row>
    <row r="715" spans="1:14" ht="18" customHeight="1">
      <c r="A715" s="57">
        <v>28</v>
      </c>
      <c r="B715" s="58">
        <v>51.292000000000002</v>
      </c>
      <c r="C715" s="58">
        <v>51.353999999999999</v>
      </c>
      <c r="D715" s="58" t="s">
        <v>334</v>
      </c>
      <c r="E715" s="58" t="s">
        <v>334</v>
      </c>
      <c r="F715" s="58">
        <v>50.56</v>
      </c>
      <c r="G715" s="58">
        <v>50.417999999999999</v>
      </c>
      <c r="H715" s="58" t="s">
        <v>334</v>
      </c>
      <c r="I715" s="58">
        <v>52.097000000000001</v>
      </c>
      <c r="J715" s="58" t="s">
        <v>334</v>
      </c>
      <c r="K715" s="58">
        <v>53.094000000000001</v>
      </c>
      <c r="L715" s="58">
        <v>53.594000000000001</v>
      </c>
      <c r="M715" s="59" t="s">
        <v>334</v>
      </c>
      <c r="N715" s="58"/>
    </row>
    <row r="716" spans="1:14" ht="18" customHeight="1">
      <c r="A716" s="57">
        <v>29</v>
      </c>
      <c r="B716" s="58">
        <v>51.265000000000001</v>
      </c>
      <c r="C716" s="58" t="s">
        <v>335</v>
      </c>
      <c r="D716" s="58" t="s">
        <v>334</v>
      </c>
      <c r="E716" s="58">
        <v>50.832999999999998</v>
      </c>
      <c r="F716" s="58">
        <v>50.137999999999998</v>
      </c>
      <c r="G716" s="58" t="s">
        <v>334</v>
      </c>
      <c r="H716" s="58">
        <v>50.985999999999997</v>
      </c>
      <c r="I716" s="58">
        <v>51.969000000000001</v>
      </c>
      <c r="J716" s="58" t="s">
        <v>334</v>
      </c>
      <c r="K716" s="58">
        <v>53.064999999999998</v>
      </c>
      <c r="L716" s="58">
        <v>53.588999999999999</v>
      </c>
      <c r="M716" s="59" t="s">
        <v>334</v>
      </c>
      <c r="N716" s="58"/>
    </row>
    <row r="717" spans="1:14" ht="18" customHeight="1">
      <c r="A717" s="57">
        <v>30</v>
      </c>
      <c r="B717" s="58">
        <v>51.195</v>
      </c>
      <c r="C717" s="58" t="s">
        <v>335</v>
      </c>
      <c r="D717" s="58" t="s">
        <v>334</v>
      </c>
      <c r="E717" s="58">
        <v>50.744</v>
      </c>
      <c r="F717" s="58">
        <v>49.97</v>
      </c>
      <c r="G717" s="58" t="s">
        <v>334</v>
      </c>
      <c r="H717" s="58">
        <v>51.73</v>
      </c>
      <c r="I717" s="58">
        <v>51.808999999999997</v>
      </c>
      <c r="J717" s="58">
        <v>52.447000000000003</v>
      </c>
      <c r="K717" s="58">
        <v>53.017000000000003</v>
      </c>
      <c r="L717" s="58" t="s">
        <v>334</v>
      </c>
      <c r="M717" s="59" t="s">
        <v>334</v>
      </c>
      <c r="N717" s="58"/>
    </row>
    <row r="718" spans="1:14" ht="18" customHeight="1">
      <c r="A718" s="57">
        <v>31</v>
      </c>
      <c r="B718" s="58">
        <v>51.201000000000001</v>
      </c>
      <c r="C718" s="58" t="s">
        <v>335</v>
      </c>
      <c r="D718" s="58" t="s">
        <v>334</v>
      </c>
      <c r="E718" s="58" t="s">
        <v>335</v>
      </c>
      <c r="F718" s="58">
        <v>49.966000000000001</v>
      </c>
      <c r="G718" s="58" t="s">
        <v>335</v>
      </c>
      <c r="H718" s="58">
        <v>51.286999999999999</v>
      </c>
      <c r="I718" s="58" t="s">
        <v>334</v>
      </c>
      <c r="J718" s="58" t="s">
        <v>335</v>
      </c>
      <c r="K718" s="58" t="s">
        <v>334</v>
      </c>
      <c r="L718" s="58" t="s">
        <v>335</v>
      </c>
      <c r="M718" s="59" t="s">
        <v>334</v>
      </c>
      <c r="N718" s="58"/>
    </row>
    <row r="719" spans="1:14" ht="18" customHeight="1" thickBot="1">
      <c r="A719" s="76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8"/>
      <c r="N719" s="58"/>
    </row>
    <row r="720" spans="1:14" ht="18" customHeight="1">
      <c r="A720" s="605">
        <v>2001</v>
      </c>
      <c r="B720" s="606"/>
      <c r="C720" s="606"/>
      <c r="D720" s="606"/>
      <c r="E720" s="606"/>
      <c r="F720" s="606"/>
      <c r="G720" s="606"/>
      <c r="H720" s="606"/>
      <c r="I720" s="606"/>
      <c r="J720" s="606"/>
      <c r="K720" s="606"/>
      <c r="L720" s="606"/>
      <c r="M720" s="607"/>
      <c r="N720" s="52"/>
    </row>
    <row r="721" spans="1:15" ht="18" customHeight="1" thickBot="1">
      <c r="A721" s="51" t="s">
        <v>322</v>
      </c>
      <c r="B721" s="52" t="s">
        <v>323</v>
      </c>
      <c r="C721" s="52" t="s">
        <v>324</v>
      </c>
      <c r="D721" s="52" t="s">
        <v>325</v>
      </c>
      <c r="E721" s="52" t="s">
        <v>326</v>
      </c>
      <c r="F721" s="52" t="s">
        <v>236</v>
      </c>
      <c r="G721" s="52" t="s">
        <v>327</v>
      </c>
      <c r="H721" s="52" t="s">
        <v>328</v>
      </c>
      <c r="I721" s="52" t="s">
        <v>329</v>
      </c>
      <c r="J721" s="52" t="s">
        <v>330</v>
      </c>
      <c r="K721" s="52" t="s">
        <v>331</v>
      </c>
      <c r="L721" s="52" t="s">
        <v>332</v>
      </c>
      <c r="M721" s="53" t="s">
        <v>333</v>
      </c>
      <c r="N721" s="52"/>
    </row>
    <row r="722" spans="1:15" ht="18" customHeight="1">
      <c r="A722" s="54">
        <v>1</v>
      </c>
      <c r="B722" s="55" t="s">
        <v>334</v>
      </c>
      <c r="C722" s="55">
        <v>49.220999999999997</v>
      </c>
      <c r="D722" s="55">
        <v>48.286000000000001</v>
      </c>
      <c r="E722" s="55" t="s">
        <v>334</v>
      </c>
      <c r="F722" s="55" t="s">
        <v>334</v>
      </c>
      <c r="G722" s="55">
        <v>50.494999999999997</v>
      </c>
      <c r="H722" s="55" t="s">
        <v>334</v>
      </c>
      <c r="I722" s="55">
        <v>53.526000000000003</v>
      </c>
      <c r="J722" s="55" t="s">
        <v>334</v>
      </c>
      <c r="K722" s="55">
        <v>51.347999999999999</v>
      </c>
      <c r="L722" s="70" t="s">
        <v>334</v>
      </c>
      <c r="M722" s="71" t="s">
        <v>334</v>
      </c>
      <c r="N722" s="83">
        <v>2001</v>
      </c>
      <c r="O722" s="47">
        <f>AVERAGE(B722:M752)</f>
        <v>51.002210526315828</v>
      </c>
    </row>
    <row r="723" spans="1:15" ht="18" customHeight="1">
      <c r="A723" s="57">
        <v>2</v>
      </c>
      <c r="B723" s="58">
        <v>49.985999999999997</v>
      </c>
      <c r="C723" s="58">
        <v>49.15</v>
      </c>
      <c r="D723" s="58">
        <v>48.374000000000002</v>
      </c>
      <c r="E723" s="58">
        <v>49.371000000000002</v>
      </c>
      <c r="F723" s="58">
        <v>51.338999999999999</v>
      </c>
      <c r="G723" s="58" t="s">
        <v>334</v>
      </c>
      <c r="H723" s="58">
        <v>52.427999999999997</v>
      </c>
      <c r="I723" s="58">
        <v>53.744</v>
      </c>
      <c r="J723" s="58" t="s">
        <v>334</v>
      </c>
      <c r="K723" s="58">
        <v>51.371000000000002</v>
      </c>
      <c r="L723" s="72" t="s">
        <v>334</v>
      </c>
      <c r="M723" s="73" t="s">
        <v>334</v>
      </c>
      <c r="N723" s="58"/>
    </row>
    <row r="724" spans="1:15" ht="18" customHeight="1">
      <c r="A724" s="57">
        <v>3</v>
      </c>
      <c r="B724" s="58">
        <v>51.293999999999997</v>
      </c>
      <c r="C724" s="58" t="s">
        <v>334</v>
      </c>
      <c r="D724" s="58" t="s">
        <v>334</v>
      </c>
      <c r="E724" s="58">
        <v>49.716999999999999</v>
      </c>
      <c r="F724" s="58">
        <v>51.000999999999998</v>
      </c>
      <c r="G724" s="58" t="s">
        <v>334</v>
      </c>
      <c r="H724" s="58">
        <v>52.612000000000002</v>
      </c>
      <c r="I724" s="58">
        <v>53.667000000000002</v>
      </c>
      <c r="J724" s="58">
        <v>51.017000000000003</v>
      </c>
      <c r="K724" s="58">
        <v>51.58</v>
      </c>
      <c r="L724" s="72" t="s">
        <v>334</v>
      </c>
      <c r="M724" s="73">
        <v>52.02</v>
      </c>
      <c r="N724" s="58"/>
    </row>
    <row r="725" spans="1:15" ht="18" customHeight="1">
      <c r="A725" s="57">
        <v>4</v>
      </c>
      <c r="B725" s="58">
        <v>51.024999999999999</v>
      </c>
      <c r="C725" s="58" t="s">
        <v>334</v>
      </c>
      <c r="D725" s="58" t="s">
        <v>334</v>
      </c>
      <c r="E725" s="58">
        <v>49.743000000000002</v>
      </c>
      <c r="F725" s="58">
        <v>50.459000000000003</v>
      </c>
      <c r="G725" s="58">
        <v>50.633000000000003</v>
      </c>
      <c r="H725" s="58">
        <v>52.905000000000001</v>
      </c>
      <c r="I725" s="58" t="s">
        <v>334</v>
      </c>
      <c r="J725" s="58">
        <v>51.005000000000003</v>
      </c>
      <c r="K725" s="58">
        <v>51.597999999999999</v>
      </c>
      <c r="L725" s="58" t="s">
        <v>334</v>
      </c>
      <c r="M725" s="59">
        <v>52.027999999999999</v>
      </c>
      <c r="N725" s="58"/>
    </row>
    <row r="726" spans="1:15" ht="18" customHeight="1">
      <c r="A726" s="57">
        <v>5</v>
      </c>
      <c r="B726" s="58">
        <v>50.953000000000003</v>
      </c>
      <c r="C726" s="58">
        <v>49.215000000000003</v>
      </c>
      <c r="D726" s="58">
        <v>48.49</v>
      </c>
      <c r="E726" s="58">
        <v>49.88</v>
      </c>
      <c r="F726" s="58" t="s">
        <v>334</v>
      </c>
      <c r="G726" s="58">
        <v>50.8</v>
      </c>
      <c r="H726" s="58">
        <v>53.024999999999999</v>
      </c>
      <c r="I726" s="58" t="s">
        <v>334</v>
      </c>
      <c r="J726" s="58">
        <v>51.078000000000003</v>
      </c>
      <c r="K726" s="58">
        <v>51.587000000000003</v>
      </c>
      <c r="L726" s="58">
        <v>51.956000000000003</v>
      </c>
      <c r="M726" s="59">
        <v>52.034999999999997</v>
      </c>
      <c r="N726" s="58"/>
    </row>
    <row r="727" spans="1:15" ht="18" customHeight="1">
      <c r="A727" s="57">
        <v>6</v>
      </c>
      <c r="B727" s="58" t="s">
        <v>334</v>
      </c>
      <c r="C727" s="58">
        <v>49.161000000000001</v>
      </c>
      <c r="D727" s="58">
        <v>47.811999999999998</v>
      </c>
      <c r="E727" s="58">
        <v>50.182000000000002</v>
      </c>
      <c r="F727" s="58" t="s">
        <v>334</v>
      </c>
      <c r="G727" s="58">
        <v>50.645000000000003</v>
      </c>
      <c r="H727" s="58">
        <v>52.965000000000003</v>
      </c>
      <c r="I727" s="58">
        <v>53.561999999999998</v>
      </c>
      <c r="J727" s="58">
        <v>51.216000000000001</v>
      </c>
      <c r="K727" s="58" t="s">
        <v>334</v>
      </c>
      <c r="L727" s="58">
        <v>51.91</v>
      </c>
      <c r="M727" s="59">
        <v>51.984999999999999</v>
      </c>
      <c r="N727" s="58"/>
    </row>
    <row r="728" spans="1:15" ht="18" customHeight="1">
      <c r="A728" s="57">
        <v>7</v>
      </c>
      <c r="B728" s="58" t="s">
        <v>334</v>
      </c>
      <c r="C728" s="58">
        <v>48.856999999999999</v>
      </c>
      <c r="D728" s="58">
        <v>47.665999999999997</v>
      </c>
      <c r="E728" s="58" t="s">
        <v>334</v>
      </c>
      <c r="F728" s="58">
        <v>50.348999999999997</v>
      </c>
      <c r="G728" s="58">
        <v>50.643000000000001</v>
      </c>
      <c r="H728" s="58" t="s">
        <v>334</v>
      </c>
      <c r="I728" s="58">
        <v>53.281999999999996</v>
      </c>
      <c r="J728" s="58">
        <v>51.311</v>
      </c>
      <c r="K728" s="58" t="s">
        <v>334</v>
      </c>
      <c r="L728" s="58">
        <v>51.966000000000001</v>
      </c>
      <c r="M728" s="59">
        <v>51.963000000000001</v>
      </c>
      <c r="N728" s="58"/>
    </row>
    <row r="729" spans="1:15" ht="18" customHeight="1">
      <c r="A729" s="57">
        <v>8</v>
      </c>
      <c r="B729" s="58">
        <v>51.091999999999999</v>
      </c>
      <c r="C729" s="58">
        <v>48.706000000000003</v>
      </c>
      <c r="D729" s="58">
        <v>47.798999999999999</v>
      </c>
      <c r="E729" s="58" t="s">
        <v>334</v>
      </c>
      <c r="F729" s="58">
        <v>50.503999999999998</v>
      </c>
      <c r="G729" s="58">
        <v>50.762</v>
      </c>
      <c r="H729" s="58" t="s">
        <v>334</v>
      </c>
      <c r="I729" s="58">
        <v>53.292999999999999</v>
      </c>
      <c r="J729" s="58" t="s">
        <v>334</v>
      </c>
      <c r="K729" s="58">
        <v>51.531999999999996</v>
      </c>
      <c r="L729" s="58">
        <v>51.94</v>
      </c>
      <c r="M729" s="59" t="s">
        <v>334</v>
      </c>
      <c r="N729" s="58"/>
    </row>
    <row r="730" spans="1:15" ht="18" customHeight="1">
      <c r="A730" s="57">
        <v>9</v>
      </c>
      <c r="B730" s="58">
        <v>50.939</v>
      </c>
      <c r="C730" s="58">
        <v>48.283999999999999</v>
      </c>
      <c r="D730" s="58">
        <v>48.002000000000002</v>
      </c>
      <c r="E730" s="58" t="s">
        <v>334</v>
      </c>
      <c r="F730" s="58">
        <v>50.476999999999997</v>
      </c>
      <c r="G730" s="58" t="s">
        <v>334</v>
      </c>
      <c r="H730" s="58">
        <v>52.901000000000003</v>
      </c>
      <c r="I730" s="58">
        <v>53.302999999999997</v>
      </c>
      <c r="J730" s="58" t="s">
        <v>334</v>
      </c>
      <c r="K730" s="58">
        <v>51.588999999999999</v>
      </c>
      <c r="L730" s="58">
        <v>51.84</v>
      </c>
      <c r="M730" s="59" t="s">
        <v>334</v>
      </c>
      <c r="N730" s="58"/>
    </row>
    <row r="731" spans="1:15" ht="18" customHeight="1">
      <c r="A731" s="57">
        <v>10</v>
      </c>
      <c r="B731" s="58">
        <v>50.902000000000001</v>
      </c>
      <c r="C731" s="58" t="s">
        <v>334</v>
      </c>
      <c r="D731" s="58" t="s">
        <v>334</v>
      </c>
      <c r="E731" s="58">
        <v>50.372</v>
      </c>
      <c r="F731" s="58">
        <v>50.481999999999999</v>
      </c>
      <c r="G731" s="58" t="s">
        <v>334</v>
      </c>
      <c r="H731" s="58">
        <v>52.863</v>
      </c>
      <c r="I731" s="58">
        <v>53.085000000000001</v>
      </c>
      <c r="J731" s="58">
        <v>51.344999999999999</v>
      </c>
      <c r="K731" s="58">
        <v>51.767000000000003</v>
      </c>
      <c r="L731" s="58" t="s">
        <v>334</v>
      </c>
      <c r="M731" s="59">
        <v>51.960999999999999</v>
      </c>
      <c r="N731" s="58"/>
    </row>
    <row r="732" spans="1:15" ht="18" customHeight="1">
      <c r="A732" s="57">
        <v>11</v>
      </c>
      <c r="B732" s="58">
        <v>51.064</v>
      </c>
      <c r="C732" s="58" t="s">
        <v>334</v>
      </c>
      <c r="D732" s="58" t="s">
        <v>334</v>
      </c>
      <c r="E732" s="58">
        <v>50.017000000000003</v>
      </c>
      <c r="F732" s="58">
        <v>50.624000000000002</v>
      </c>
      <c r="G732" s="58">
        <v>50.802999999999997</v>
      </c>
      <c r="H732" s="58">
        <v>52.91</v>
      </c>
      <c r="I732" s="58" t="s">
        <v>334</v>
      </c>
      <c r="J732" s="58">
        <v>51.284999999999997</v>
      </c>
      <c r="K732" s="58">
        <v>51.793999999999997</v>
      </c>
      <c r="L732" s="58" t="s">
        <v>334</v>
      </c>
      <c r="M732" s="59">
        <v>51.956000000000003</v>
      </c>
      <c r="N732" s="58"/>
    </row>
    <row r="733" spans="1:15" ht="18" customHeight="1">
      <c r="A733" s="57">
        <v>12</v>
      </c>
      <c r="B733" s="58">
        <v>51.325000000000003</v>
      </c>
      <c r="C733" s="58">
        <v>48.052</v>
      </c>
      <c r="D733" s="58">
        <v>47.981999999999999</v>
      </c>
      <c r="E733" s="58" t="s">
        <v>334</v>
      </c>
      <c r="F733" s="58" t="s">
        <v>334</v>
      </c>
      <c r="G733" s="58" t="s">
        <v>334</v>
      </c>
      <c r="H733" s="58">
        <v>53.023000000000003</v>
      </c>
      <c r="I733" s="58" t="s">
        <v>334</v>
      </c>
      <c r="J733" s="58">
        <v>51.298999999999999</v>
      </c>
      <c r="K733" s="58">
        <v>51.793999999999997</v>
      </c>
      <c r="L733" s="58">
        <v>51.786000000000001</v>
      </c>
      <c r="M733" s="59">
        <v>51.959000000000003</v>
      </c>
      <c r="N733" s="58"/>
    </row>
    <row r="734" spans="1:15" ht="18" customHeight="1">
      <c r="A734" s="57">
        <v>13</v>
      </c>
      <c r="B734" s="58" t="s">
        <v>334</v>
      </c>
      <c r="C734" s="58">
        <v>48.14</v>
      </c>
      <c r="D734" s="58">
        <v>48.177</v>
      </c>
      <c r="E734" s="58" t="s">
        <v>334</v>
      </c>
      <c r="F734" s="58" t="s">
        <v>334</v>
      </c>
      <c r="G734" s="58">
        <v>51.079000000000001</v>
      </c>
      <c r="H734" s="58">
        <v>53.246000000000002</v>
      </c>
      <c r="I734" s="58">
        <v>52.322000000000003</v>
      </c>
      <c r="J734" s="58">
        <v>51.18</v>
      </c>
      <c r="K734" s="58" t="s">
        <v>334</v>
      </c>
      <c r="L734" s="58">
        <v>52.03</v>
      </c>
      <c r="M734" s="59">
        <v>51.972000000000001</v>
      </c>
      <c r="N734" s="58"/>
    </row>
    <row r="735" spans="1:15" ht="18" customHeight="1">
      <c r="A735" s="57">
        <v>14</v>
      </c>
      <c r="B735" s="58" t="s">
        <v>334</v>
      </c>
      <c r="C735" s="58">
        <v>47.673999999999999</v>
      </c>
      <c r="D735" s="58">
        <v>48.158999999999999</v>
      </c>
      <c r="E735" s="58" t="s">
        <v>334</v>
      </c>
      <c r="F735" s="58" t="s">
        <v>334</v>
      </c>
      <c r="G735" s="58">
        <v>51.326000000000001</v>
      </c>
      <c r="H735" s="58" t="s">
        <v>334</v>
      </c>
      <c r="I735" s="58">
        <v>51.277999999999999</v>
      </c>
      <c r="J735" s="58">
        <v>51.268999999999998</v>
      </c>
      <c r="K735" s="58" t="s">
        <v>334</v>
      </c>
      <c r="L735" s="58">
        <v>52.085999999999999</v>
      </c>
      <c r="M735" s="59">
        <v>52.033999999999999</v>
      </c>
      <c r="N735" s="58"/>
    </row>
    <row r="736" spans="1:15" ht="18" customHeight="1">
      <c r="A736" s="57">
        <v>15</v>
      </c>
      <c r="B736" s="58">
        <v>51.462000000000003</v>
      </c>
      <c r="C736" s="58">
        <v>47.582999999999998</v>
      </c>
      <c r="D736" s="58">
        <v>48.140999999999998</v>
      </c>
      <c r="E736" s="58" t="s">
        <v>334</v>
      </c>
      <c r="F736" s="58">
        <v>50.487000000000002</v>
      </c>
      <c r="G736" s="58">
        <v>51.308999999999997</v>
      </c>
      <c r="H736" s="58" t="s">
        <v>334</v>
      </c>
      <c r="I736" s="58">
        <v>51.183</v>
      </c>
      <c r="J736" s="58" t="s">
        <v>334</v>
      </c>
      <c r="K736" s="58">
        <v>51.77</v>
      </c>
      <c r="L736" s="58">
        <v>52.140999999999998</v>
      </c>
      <c r="M736" s="59" t="s">
        <v>334</v>
      </c>
      <c r="N736" s="58"/>
    </row>
    <row r="737" spans="1:14" ht="18" customHeight="1">
      <c r="A737" s="57">
        <v>16</v>
      </c>
      <c r="B737" s="58">
        <v>51.978000000000002</v>
      </c>
      <c r="C737" s="58">
        <v>47.889000000000003</v>
      </c>
      <c r="D737" s="58">
        <v>48.366999999999997</v>
      </c>
      <c r="E737" s="58">
        <v>49.88</v>
      </c>
      <c r="F737" s="58">
        <v>50.320999999999998</v>
      </c>
      <c r="G737" s="58" t="s">
        <v>334</v>
      </c>
      <c r="H737" s="58">
        <v>53.186</v>
      </c>
      <c r="I737" s="58">
        <v>50.831000000000003</v>
      </c>
      <c r="J737" s="58" t="s">
        <v>334</v>
      </c>
      <c r="K737" s="58">
        <v>51.780999999999999</v>
      </c>
      <c r="L737" s="58">
        <v>52.043999999999997</v>
      </c>
      <c r="M737" s="59" t="s">
        <v>334</v>
      </c>
      <c r="N737" s="58"/>
    </row>
    <row r="738" spans="1:14" ht="18" customHeight="1">
      <c r="A738" s="57">
        <v>17</v>
      </c>
      <c r="B738" s="58">
        <v>52.649000000000001</v>
      </c>
      <c r="C738" s="58" t="s">
        <v>334</v>
      </c>
      <c r="D738" s="58" t="s">
        <v>334</v>
      </c>
      <c r="E738" s="58">
        <v>50.085999999999999</v>
      </c>
      <c r="F738" s="58">
        <v>50.136000000000003</v>
      </c>
      <c r="G738" s="58" t="s">
        <v>334</v>
      </c>
      <c r="H738" s="58">
        <v>53.503</v>
      </c>
      <c r="I738" s="58">
        <v>51.100999999999999</v>
      </c>
      <c r="J738" s="58">
        <v>51.258000000000003</v>
      </c>
      <c r="K738" s="58">
        <v>51.734999999999999</v>
      </c>
      <c r="L738" s="58" t="s">
        <v>334</v>
      </c>
      <c r="M738" s="59" t="s">
        <v>334</v>
      </c>
      <c r="N738" s="58"/>
    </row>
    <row r="739" spans="1:14" ht="18" customHeight="1">
      <c r="A739" s="57">
        <v>18</v>
      </c>
      <c r="B739" s="58">
        <v>54.808</v>
      </c>
      <c r="C739" s="58" t="s">
        <v>334</v>
      </c>
      <c r="D739" s="58" t="s">
        <v>334</v>
      </c>
      <c r="E739" s="58">
        <v>50.238</v>
      </c>
      <c r="F739" s="58">
        <v>50.161999999999999</v>
      </c>
      <c r="G739" s="58">
        <v>51.478999999999999</v>
      </c>
      <c r="H739" s="58">
        <v>53.896000000000001</v>
      </c>
      <c r="I739" s="58" t="s">
        <v>334</v>
      </c>
      <c r="J739" s="58">
        <v>51.206000000000003</v>
      </c>
      <c r="K739" s="58">
        <v>51.77</v>
      </c>
      <c r="L739" s="58" t="s">
        <v>334</v>
      </c>
      <c r="M739" s="59">
        <v>52.058</v>
      </c>
      <c r="N739" s="58"/>
    </row>
    <row r="740" spans="1:14" ht="18" customHeight="1">
      <c r="A740" s="57">
        <v>19</v>
      </c>
      <c r="B740" s="58">
        <v>55.012999999999998</v>
      </c>
      <c r="C740" s="58">
        <v>47.55</v>
      </c>
      <c r="D740" s="58">
        <v>48.627000000000002</v>
      </c>
      <c r="E740" s="58">
        <v>50.173000000000002</v>
      </c>
      <c r="F740" s="58" t="s">
        <v>334</v>
      </c>
      <c r="G740" s="58">
        <v>51.819000000000003</v>
      </c>
      <c r="H740" s="58">
        <v>53.927999999999997</v>
      </c>
      <c r="I740" s="58" t="s">
        <v>334</v>
      </c>
      <c r="J740" s="58">
        <v>51.375</v>
      </c>
      <c r="K740" s="58">
        <v>51.694000000000003</v>
      </c>
      <c r="L740" s="58">
        <v>51.994</v>
      </c>
      <c r="M740" s="59">
        <v>51.82</v>
      </c>
      <c r="N740" s="58"/>
    </row>
    <row r="741" spans="1:14" ht="18" customHeight="1">
      <c r="A741" s="57">
        <v>20</v>
      </c>
      <c r="B741" s="58" t="s">
        <v>334</v>
      </c>
      <c r="C741" s="58">
        <v>47.671999999999997</v>
      </c>
      <c r="D741" s="58">
        <v>48.551000000000002</v>
      </c>
      <c r="E741" s="58">
        <v>50.054000000000002</v>
      </c>
      <c r="F741" s="58" t="s">
        <v>334</v>
      </c>
      <c r="G741" s="58">
        <v>52.281999999999996</v>
      </c>
      <c r="H741" s="58">
        <v>53.316000000000003</v>
      </c>
      <c r="I741" s="58">
        <v>51.192999999999998</v>
      </c>
      <c r="J741" s="58">
        <v>51.393000000000001</v>
      </c>
      <c r="K741" s="58" t="s">
        <v>334</v>
      </c>
      <c r="L741" s="58">
        <v>52.045999999999999</v>
      </c>
      <c r="M741" s="59">
        <v>51.476999999999997</v>
      </c>
      <c r="N741" s="58"/>
    </row>
    <row r="742" spans="1:14" ht="18" customHeight="1">
      <c r="A742" s="57">
        <v>21</v>
      </c>
      <c r="B742" s="58" t="s">
        <v>334</v>
      </c>
      <c r="C742" s="58">
        <v>47.801000000000002</v>
      </c>
      <c r="D742" s="58">
        <v>48.496000000000002</v>
      </c>
      <c r="E742" s="58" t="s">
        <v>334</v>
      </c>
      <c r="F742" s="58">
        <v>50.341999999999999</v>
      </c>
      <c r="G742" s="58">
        <v>52.070999999999998</v>
      </c>
      <c r="H742" s="58" t="s">
        <v>334</v>
      </c>
      <c r="I742" s="58">
        <v>51.302999999999997</v>
      </c>
      <c r="J742" s="58">
        <v>51.372999999999998</v>
      </c>
      <c r="K742" s="58" t="s">
        <v>334</v>
      </c>
      <c r="L742" s="58">
        <v>52.149000000000001</v>
      </c>
      <c r="M742" s="59">
        <v>51.234999999999999</v>
      </c>
      <c r="N742" s="58"/>
    </row>
    <row r="743" spans="1:14" ht="18" customHeight="1">
      <c r="A743" s="57">
        <v>22</v>
      </c>
      <c r="B743" s="58">
        <v>53.356999999999999</v>
      </c>
      <c r="C743" s="58">
        <v>47.924999999999997</v>
      </c>
      <c r="D743" s="58">
        <v>48.58</v>
      </c>
      <c r="E743" s="58" t="s">
        <v>334</v>
      </c>
      <c r="F743" s="58">
        <v>50.609000000000002</v>
      </c>
      <c r="G743" s="58">
        <v>52.100999999999999</v>
      </c>
      <c r="H743" s="58" t="s">
        <v>334</v>
      </c>
      <c r="I743" s="58">
        <v>51.329000000000001</v>
      </c>
      <c r="J743" s="58" t="s">
        <v>334</v>
      </c>
      <c r="K743" s="58">
        <v>51.712000000000003</v>
      </c>
      <c r="L743" s="58">
        <v>52.045999999999999</v>
      </c>
      <c r="M743" s="59" t="s">
        <v>334</v>
      </c>
      <c r="N743" s="58"/>
    </row>
    <row r="744" spans="1:14" ht="18" customHeight="1">
      <c r="A744" s="57">
        <v>23</v>
      </c>
      <c r="B744" s="58">
        <v>48.207000000000001</v>
      </c>
      <c r="C744" s="58">
        <v>48.234000000000002</v>
      </c>
      <c r="D744" s="58">
        <v>48.796999999999997</v>
      </c>
      <c r="E744" s="58">
        <v>50.218000000000004</v>
      </c>
      <c r="F744" s="58">
        <v>50.789000000000001</v>
      </c>
      <c r="G744" s="58" t="s">
        <v>334</v>
      </c>
      <c r="H744" s="58">
        <v>53.21</v>
      </c>
      <c r="I744" s="58">
        <v>50.945999999999998</v>
      </c>
      <c r="J744" s="58" t="s">
        <v>334</v>
      </c>
      <c r="K744" s="58">
        <v>51.777999999999999</v>
      </c>
      <c r="L744" s="58">
        <v>51.975999999999999</v>
      </c>
      <c r="M744" s="59" t="s">
        <v>334</v>
      </c>
      <c r="N744" s="58"/>
    </row>
    <row r="745" spans="1:14" ht="18" customHeight="1">
      <c r="A745" s="57">
        <v>24</v>
      </c>
      <c r="B745" s="58">
        <v>49.75</v>
      </c>
      <c r="C745" s="58" t="s">
        <v>334</v>
      </c>
      <c r="D745" s="58" t="s">
        <v>334</v>
      </c>
      <c r="E745" s="58">
        <v>50.441000000000003</v>
      </c>
      <c r="F745" s="58">
        <v>50.438000000000002</v>
      </c>
      <c r="G745" s="58" t="s">
        <v>334</v>
      </c>
      <c r="H745" s="58">
        <v>53.387</v>
      </c>
      <c r="I745" s="58">
        <v>51.014000000000003</v>
      </c>
      <c r="J745" s="58">
        <v>51.268000000000001</v>
      </c>
      <c r="K745" s="58">
        <v>51.813000000000002</v>
      </c>
      <c r="L745" s="58" t="s">
        <v>334</v>
      </c>
      <c r="M745" s="59" t="s">
        <v>334</v>
      </c>
      <c r="N745" s="58"/>
    </row>
    <row r="746" spans="1:14" ht="18" customHeight="1">
      <c r="A746" s="57">
        <v>25</v>
      </c>
      <c r="B746" s="58">
        <v>48.472999999999999</v>
      </c>
      <c r="C746" s="58" t="s">
        <v>334</v>
      </c>
      <c r="D746" s="58" t="s">
        <v>334</v>
      </c>
      <c r="E746" s="58">
        <v>50.436999999999998</v>
      </c>
      <c r="F746" s="58">
        <v>50.286999999999999</v>
      </c>
      <c r="G746" s="58">
        <v>52.280999999999999</v>
      </c>
      <c r="H746" s="58">
        <v>53.552</v>
      </c>
      <c r="I746" s="58" t="s">
        <v>334</v>
      </c>
      <c r="J746" s="58">
        <v>51.194000000000003</v>
      </c>
      <c r="K746" s="58">
        <v>51.896999999999998</v>
      </c>
      <c r="L746" s="58" t="s">
        <v>334</v>
      </c>
      <c r="M746" s="59" t="s">
        <v>334</v>
      </c>
      <c r="N746" s="58"/>
    </row>
    <row r="747" spans="1:14" ht="18" customHeight="1">
      <c r="A747" s="57">
        <v>26</v>
      </c>
      <c r="B747" s="58">
        <v>48.637999999999998</v>
      </c>
      <c r="C747" s="58">
        <v>48.323</v>
      </c>
      <c r="D747" s="58">
        <v>49.048000000000002</v>
      </c>
      <c r="E747" s="58">
        <v>50.545999999999999</v>
      </c>
      <c r="F747" s="58" t="s">
        <v>334</v>
      </c>
      <c r="G747" s="58">
        <v>52.252000000000002</v>
      </c>
      <c r="H747" s="58">
        <v>53.587000000000003</v>
      </c>
      <c r="I747" s="58" t="s">
        <v>334</v>
      </c>
      <c r="J747" s="58">
        <v>51.281999999999996</v>
      </c>
      <c r="K747" s="58">
        <v>51.97</v>
      </c>
      <c r="L747" s="58">
        <v>51.981999999999999</v>
      </c>
      <c r="M747" s="59">
        <v>51.152999999999999</v>
      </c>
      <c r="N747" s="58"/>
    </row>
    <row r="748" spans="1:14" ht="18" customHeight="1">
      <c r="A748" s="57">
        <v>27</v>
      </c>
      <c r="B748" s="58" t="s">
        <v>334</v>
      </c>
      <c r="C748" s="58">
        <v>48.094000000000001</v>
      </c>
      <c r="D748" s="58">
        <v>49.220999999999997</v>
      </c>
      <c r="E748" s="58">
        <v>50.764000000000003</v>
      </c>
      <c r="F748" s="58" t="s">
        <v>334</v>
      </c>
      <c r="G748" s="58">
        <v>52.307000000000002</v>
      </c>
      <c r="H748" s="58">
        <v>53.537999999999997</v>
      </c>
      <c r="I748" s="58">
        <v>51.055999999999997</v>
      </c>
      <c r="J748" s="58">
        <v>51.289000000000001</v>
      </c>
      <c r="K748" s="58" t="s">
        <v>334</v>
      </c>
      <c r="L748" s="58">
        <v>51.896999999999998</v>
      </c>
      <c r="M748" s="59">
        <v>51.351999999999997</v>
      </c>
      <c r="N748" s="58"/>
    </row>
    <row r="749" spans="1:14" ht="18" customHeight="1">
      <c r="A749" s="57">
        <v>28</v>
      </c>
      <c r="B749" s="58" t="s">
        <v>334</v>
      </c>
      <c r="C749" s="58">
        <v>48.262999999999998</v>
      </c>
      <c r="D749" s="58">
        <v>49.12</v>
      </c>
      <c r="E749" s="58" t="s">
        <v>334</v>
      </c>
      <c r="F749" s="58">
        <v>50.448999999999998</v>
      </c>
      <c r="G749" s="58">
        <v>52.308</v>
      </c>
      <c r="H749" s="58" t="s">
        <v>334</v>
      </c>
      <c r="I749" s="58">
        <v>51.176000000000002</v>
      </c>
      <c r="J749" s="58">
        <v>51.354999999999997</v>
      </c>
      <c r="K749" s="58" t="s">
        <v>334</v>
      </c>
      <c r="L749" s="58">
        <v>51.994999999999997</v>
      </c>
      <c r="M749" s="59">
        <v>51.404000000000003</v>
      </c>
      <c r="N749" s="58"/>
    </row>
    <row r="750" spans="1:14" ht="18" customHeight="1">
      <c r="A750" s="57">
        <v>29</v>
      </c>
      <c r="B750" s="58">
        <v>49.320999999999998</v>
      </c>
      <c r="C750" s="58" t="s">
        <v>335</v>
      </c>
      <c r="D750" s="58">
        <v>49.207999999999998</v>
      </c>
      <c r="E750" s="58" t="s">
        <v>334</v>
      </c>
      <c r="F750" s="58">
        <v>50.774000000000001</v>
      </c>
      <c r="G750" s="58">
        <v>52.366</v>
      </c>
      <c r="H750" s="58" t="s">
        <v>334</v>
      </c>
      <c r="I750" s="58">
        <v>51.106000000000002</v>
      </c>
      <c r="J750" s="58" t="s">
        <v>334</v>
      </c>
      <c r="K750" s="58">
        <v>52.058</v>
      </c>
      <c r="L750" s="58">
        <v>52.024000000000001</v>
      </c>
      <c r="M750" s="59" t="s">
        <v>334</v>
      </c>
      <c r="N750" s="58"/>
    </row>
    <row r="751" spans="1:14" ht="18" customHeight="1">
      <c r="A751" s="57">
        <v>30</v>
      </c>
      <c r="B751" s="58">
        <v>49.676000000000002</v>
      </c>
      <c r="C751" s="58" t="s">
        <v>335</v>
      </c>
      <c r="D751" s="58">
        <v>49.378</v>
      </c>
      <c r="E751" s="58">
        <v>51.218000000000004</v>
      </c>
      <c r="F751" s="58">
        <v>50.703000000000003</v>
      </c>
      <c r="G751" s="58" t="s">
        <v>334</v>
      </c>
      <c r="H751" s="58">
        <v>53.389000000000003</v>
      </c>
      <c r="I751" s="58">
        <v>51.207000000000001</v>
      </c>
      <c r="J751" s="58" t="s">
        <v>334</v>
      </c>
      <c r="K751" s="58">
        <v>51.993000000000002</v>
      </c>
      <c r="L751" s="58" t="s">
        <v>334</v>
      </c>
      <c r="M751" s="59" t="s">
        <v>334</v>
      </c>
      <c r="N751" s="58"/>
    </row>
    <row r="752" spans="1:14" ht="18" customHeight="1">
      <c r="A752" s="57">
        <v>31</v>
      </c>
      <c r="B752" s="58">
        <v>49.411999999999999</v>
      </c>
      <c r="C752" s="58" t="s">
        <v>335</v>
      </c>
      <c r="D752" s="58" t="s">
        <v>334</v>
      </c>
      <c r="E752" s="58" t="s">
        <v>335</v>
      </c>
      <c r="F752" s="58">
        <v>50.584000000000003</v>
      </c>
      <c r="G752" s="58" t="s">
        <v>335</v>
      </c>
      <c r="H752" s="58">
        <v>53.561999999999998</v>
      </c>
      <c r="I752" s="58">
        <v>51.21</v>
      </c>
      <c r="J752" s="58" t="s">
        <v>335</v>
      </c>
      <c r="K752" s="58">
        <v>51.935000000000002</v>
      </c>
      <c r="L752" s="58" t="s">
        <v>335</v>
      </c>
      <c r="M752" s="59" t="s">
        <v>334</v>
      </c>
      <c r="N752" s="58"/>
    </row>
    <row r="753" spans="1:15" ht="18" customHeight="1" thickBot="1">
      <c r="A753" s="76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8"/>
      <c r="N753" s="58"/>
    </row>
    <row r="754" spans="1:15" ht="18" customHeight="1">
      <c r="A754" s="618">
        <v>2000</v>
      </c>
      <c r="B754" s="619"/>
      <c r="C754" s="619"/>
      <c r="D754" s="619"/>
      <c r="E754" s="619"/>
      <c r="F754" s="619"/>
      <c r="G754" s="619"/>
      <c r="H754" s="619"/>
      <c r="I754" s="619"/>
      <c r="J754" s="619"/>
      <c r="K754" s="619"/>
      <c r="L754" s="619"/>
      <c r="M754" s="620"/>
      <c r="N754" s="52"/>
    </row>
    <row r="755" spans="1:15" ht="18" customHeight="1" thickBot="1">
      <c r="A755" s="63" t="s">
        <v>322</v>
      </c>
      <c r="B755" s="64" t="s">
        <v>323</v>
      </c>
      <c r="C755" s="64" t="s">
        <v>324</v>
      </c>
      <c r="D755" s="64" t="s">
        <v>325</v>
      </c>
      <c r="E755" s="64" t="s">
        <v>326</v>
      </c>
      <c r="F755" s="64" t="s">
        <v>236</v>
      </c>
      <c r="G755" s="64" t="s">
        <v>327</v>
      </c>
      <c r="H755" s="64" t="s">
        <v>328</v>
      </c>
      <c r="I755" s="64" t="s">
        <v>329</v>
      </c>
      <c r="J755" s="64" t="s">
        <v>330</v>
      </c>
      <c r="K755" s="64" t="s">
        <v>331</v>
      </c>
      <c r="L755" s="64" t="s">
        <v>332</v>
      </c>
      <c r="M755" s="65" t="s">
        <v>333</v>
      </c>
      <c r="N755" s="52"/>
    </row>
    <row r="756" spans="1:15" ht="18" customHeight="1">
      <c r="A756" s="54">
        <v>1</v>
      </c>
      <c r="B756" s="55" t="s">
        <v>334</v>
      </c>
      <c r="C756" s="55">
        <v>40.555999999999997</v>
      </c>
      <c r="D756" s="55">
        <v>40.972000000000001</v>
      </c>
      <c r="E756" s="55" t="s">
        <v>334</v>
      </c>
      <c r="F756" s="55" t="s">
        <v>334</v>
      </c>
      <c r="G756" s="55">
        <v>42.649000000000001</v>
      </c>
      <c r="H756" s="55" t="s">
        <v>334</v>
      </c>
      <c r="I756" s="55">
        <v>44.96</v>
      </c>
      <c r="J756" s="55">
        <v>45.125999999999998</v>
      </c>
      <c r="K756" s="55" t="s">
        <v>334</v>
      </c>
      <c r="L756" s="70" t="s">
        <v>334</v>
      </c>
      <c r="M756" s="71">
        <v>49.59</v>
      </c>
      <c r="N756" s="83">
        <v>2000</v>
      </c>
      <c r="O756" s="47">
        <f>AVERAGE(B756:M786)</f>
        <v>44.140543999999991</v>
      </c>
    </row>
    <row r="757" spans="1:15" ht="18" customHeight="1">
      <c r="A757" s="57">
        <v>2</v>
      </c>
      <c r="B757" s="58" t="s">
        <v>334</v>
      </c>
      <c r="C757" s="58">
        <v>40.567999999999998</v>
      </c>
      <c r="D757" s="58">
        <v>40.905999999999999</v>
      </c>
      <c r="E757" s="58" t="s">
        <v>334</v>
      </c>
      <c r="F757" s="58">
        <v>41.279000000000003</v>
      </c>
      <c r="G757" s="58">
        <v>42.633000000000003</v>
      </c>
      <c r="H757" s="58" t="s">
        <v>334</v>
      </c>
      <c r="I757" s="58">
        <v>44.808</v>
      </c>
      <c r="J757" s="58" t="s">
        <v>334</v>
      </c>
      <c r="K757" s="58">
        <v>46.213000000000001</v>
      </c>
      <c r="L757" s="72" t="s">
        <v>334</v>
      </c>
      <c r="M757" s="73" t="s">
        <v>334</v>
      </c>
      <c r="N757" s="58"/>
    </row>
    <row r="758" spans="1:15" ht="18" customHeight="1">
      <c r="A758" s="57">
        <v>3</v>
      </c>
      <c r="B758" s="58">
        <v>40.298000000000002</v>
      </c>
      <c r="C758" s="58">
        <v>40.600999999999999</v>
      </c>
      <c r="D758" s="58">
        <v>40.951999999999998</v>
      </c>
      <c r="E758" s="58">
        <v>41.085999999999999</v>
      </c>
      <c r="F758" s="58">
        <v>41.274999999999999</v>
      </c>
      <c r="G758" s="58" t="s">
        <v>334</v>
      </c>
      <c r="H758" s="58">
        <v>43.253</v>
      </c>
      <c r="I758" s="58">
        <v>44.787999999999997</v>
      </c>
      <c r="J758" s="58" t="s">
        <v>334</v>
      </c>
      <c r="K758" s="58">
        <v>46.246000000000002</v>
      </c>
      <c r="L758" s="72" t="s">
        <v>334</v>
      </c>
      <c r="M758" s="73" t="s">
        <v>334</v>
      </c>
      <c r="N758" s="58"/>
    </row>
    <row r="759" spans="1:15" ht="18" customHeight="1">
      <c r="A759" s="57">
        <v>4</v>
      </c>
      <c r="B759" s="58">
        <v>40.021000000000001</v>
      </c>
      <c r="C759" s="58">
        <v>40.65</v>
      </c>
      <c r="D759" s="58" t="s">
        <v>334</v>
      </c>
      <c r="E759" s="58">
        <v>41.146999999999998</v>
      </c>
      <c r="F759" s="58">
        <v>41.268999999999998</v>
      </c>
      <c r="G759" s="58" t="s">
        <v>334</v>
      </c>
      <c r="H759" s="58">
        <v>43.436</v>
      </c>
      <c r="I759" s="58">
        <v>44.762999999999998</v>
      </c>
      <c r="J759" s="58">
        <v>45.146000000000001</v>
      </c>
      <c r="K759" s="58">
        <v>46.427999999999997</v>
      </c>
      <c r="L759" s="58" t="s">
        <v>334</v>
      </c>
      <c r="M759" s="59">
        <v>49.667000000000002</v>
      </c>
      <c r="N759" s="58"/>
    </row>
    <row r="760" spans="1:15" ht="18" customHeight="1">
      <c r="A760" s="57">
        <v>5</v>
      </c>
      <c r="B760" s="58">
        <v>39.83</v>
      </c>
      <c r="C760" s="58" t="s">
        <v>334</v>
      </c>
      <c r="D760" s="58" t="s">
        <v>334</v>
      </c>
      <c r="E760" s="58">
        <v>41.173999999999999</v>
      </c>
      <c r="F760" s="58">
        <v>41.265000000000001</v>
      </c>
      <c r="G760" s="58">
        <v>42.465000000000003</v>
      </c>
      <c r="H760" s="58">
        <v>43.563000000000002</v>
      </c>
      <c r="I760" s="58" t="s">
        <v>334</v>
      </c>
      <c r="J760" s="58">
        <v>45.244</v>
      </c>
      <c r="K760" s="58">
        <v>46.566000000000003</v>
      </c>
      <c r="L760" s="58" t="s">
        <v>334</v>
      </c>
      <c r="M760" s="59">
        <v>49.470999999999997</v>
      </c>
      <c r="N760" s="58"/>
    </row>
    <row r="761" spans="1:15" ht="18" customHeight="1">
      <c r="A761" s="57">
        <v>6</v>
      </c>
      <c r="B761" s="58">
        <v>40.01</v>
      </c>
      <c r="C761" s="58" t="s">
        <v>334</v>
      </c>
      <c r="D761" s="58">
        <v>40.896000000000001</v>
      </c>
      <c r="E761" s="58">
        <v>41.171999999999997</v>
      </c>
      <c r="F761" s="58" t="s">
        <v>334</v>
      </c>
      <c r="G761" s="58">
        <v>42.420999999999999</v>
      </c>
      <c r="H761" s="58">
        <v>43.646000000000001</v>
      </c>
      <c r="I761" s="58" t="s">
        <v>334</v>
      </c>
      <c r="J761" s="58">
        <v>45.500999999999998</v>
      </c>
      <c r="K761" s="58">
        <v>46.44</v>
      </c>
      <c r="L761" s="58">
        <v>51.68</v>
      </c>
      <c r="M761" s="59">
        <v>49.564999999999998</v>
      </c>
      <c r="N761" s="58"/>
    </row>
    <row r="762" spans="1:15" ht="18" customHeight="1">
      <c r="A762" s="57">
        <v>7</v>
      </c>
      <c r="B762" s="58">
        <v>40.375999999999998</v>
      </c>
      <c r="C762" s="58">
        <v>40.567</v>
      </c>
      <c r="D762" s="58">
        <v>40.853999999999999</v>
      </c>
      <c r="E762" s="58">
        <v>41.128999999999998</v>
      </c>
      <c r="F762" s="58" t="s">
        <v>334</v>
      </c>
      <c r="G762" s="58">
        <v>42.232999999999997</v>
      </c>
      <c r="H762" s="58">
        <v>43.850999999999999</v>
      </c>
      <c r="I762" s="58">
        <v>44.625</v>
      </c>
      <c r="J762" s="58">
        <v>45.673999999999999</v>
      </c>
      <c r="K762" s="58" t="s">
        <v>334</v>
      </c>
      <c r="L762" s="58">
        <v>48.895000000000003</v>
      </c>
      <c r="M762" s="59">
        <v>49.832000000000001</v>
      </c>
      <c r="N762" s="58"/>
    </row>
    <row r="763" spans="1:15" ht="18" customHeight="1">
      <c r="A763" s="57">
        <v>8</v>
      </c>
      <c r="B763" s="58" t="s">
        <v>334</v>
      </c>
      <c r="C763" s="58">
        <v>40.536999999999999</v>
      </c>
      <c r="D763" s="58">
        <v>40.923000000000002</v>
      </c>
      <c r="E763" s="58" t="s">
        <v>334</v>
      </c>
      <c r="F763" s="58">
        <v>41.279000000000003</v>
      </c>
      <c r="G763" s="58">
        <v>42.417000000000002</v>
      </c>
      <c r="H763" s="58" t="s">
        <v>334</v>
      </c>
      <c r="I763" s="58">
        <v>44.765999999999998</v>
      </c>
      <c r="J763" s="58">
        <v>45.545000000000002</v>
      </c>
      <c r="K763" s="58" t="s">
        <v>334</v>
      </c>
      <c r="L763" s="58">
        <v>48.911000000000001</v>
      </c>
      <c r="M763" s="59">
        <v>50.273000000000003</v>
      </c>
      <c r="N763" s="58"/>
    </row>
    <row r="764" spans="1:15" ht="18" customHeight="1">
      <c r="A764" s="57">
        <v>9</v>
      </c>
      <c r="B764" s="58" t="s">
        <v>334</v>
      </c>
      <c r="C764" s="58">
        <v>40.546999999999997</v>
      </c>
      <c r="D764" s="58">
        <v>41.042000000000002</v>
      </c>
      <c r="E764" s="58" t="s">
        <v>334</v>
      </c>
      <c r="F764" s="58">
        <v>41.274000000000001</v>
      </c>
      <c r="G764" s="58">
        <v>42.475000000000001</v>
      </c>
      <c r="H764" s="58" t="s">
        <v>334</v>
      </c>
      <c r="I764" s="58">
        <v>44.881999999999998</v>
      </c>
      <c r="J764" s="58" t="s">
        <v>334</v>
      </c>
      <c r="K764" s="58">
        <v>46.362000000000002</v>
      </c>
      <c r="L764" s="58">
        <v>50.189</v>
      </c>
      <c r="M764" s="59" t="s">
        <v>334</v>
      </c>
      <c r="N764" s="58"/>
    </row>
    <row r="765" spans="1:15" ht="18" customHeight="1">
      <c r="A765" s="57">
        <v>10</v>
      </c>
      <c r="B765" s="58">
        <v>40.472000000000001</v>
      </c>
      <c r="C765" s="58">
        <v>40.463000000000001</v>
      </c>
      <c r="D765" s="58">
        <v>40.957000000000001</v>
      </c>
      <c r="E765" s="58">
        <v>41.093000000000004</v>
      </c>
      <c r="F765" s="58">
        <v>41.279000000000003</v>
      </c>
      <c r="G765" s="58" t="s">
        <v>334</v>
      </c>
      <c r="H765" s="58">
        <v>43.981000000000002</v>
      </c>
      <c r="I765" s="58">
        <v>44.819000000000003</v>
      </c>
      <c r="J765" s="58" t="s">
        <v>334</v>
      </c>
      <c r="K765" s="58">
        <v>46.506</v>
      </c>
      <c r="L765" s="58">
        <v>50.414999999999999</v>
      </c>
      <c r="M765" s="59" t="s">
        <v>334</v>
      </c>
      <c r="N765" s="58"/>
    </row>
    <row r="766" spans="1:15" ht="18" customHeight="1">
      <c r="A766" s="57">
        <v>11</v>
      </c>
      <c r="B766" s="58">
        <v>40.225999999999999</v>
      </c>
      <c r="C766" s="58">
        <v>40.402999999999999</v>
      </c>
      <c r="D766" s="58" t="s">
        <v>334</v>
      </c>
      <c r="E766" s="58">
        <v>41.115000000000002</v>
      </c>
      <c r="F766" s="58">
        <v>41.353000000000002</v>
      </c>
      <c r="G766" s="58" t="s">
        <v>334</v>
      </c>
      <c r="H766" s="58">
        <v>44.116</v>
      </c>
      <c r="I766" s="58">
        <v>44.808999999999997</v>
      </c>
      <c r="J766" s="58">
        <v>45.588999999999999</v>
      </c>
      <c r="K766" s="58">
        <v>46.79</v>
      </c>
      <c r="L766" s="58" t="s">
        <v>334</v>
      </c>
      <c r="M766" s="59">
        <v>50.107999999999997</v>
      </c>
      <c r="N766" s="58"/>
    </row>
    <row r="767" spans="1:15" ht="18" customHeight="1">
      <c r="A767" s="57">
        <v>12</v>
      </c>
      <c r="B767" s="58">
        <v>40.476999999999997</v>
      </c>
      <c r="C767" s="58" t="s">
        <v>334</v>
      </c>
      <c r="D767" s="58" t="s">
        <v>334</v>
      </c>
      <c r="E767" s="58">
        <v>41.103999999999999</v>
      </c>
      <c r="F767" s="58">
        <v>41.398000000000003</v>
      </c>
      <c r="G767" s="58" t="s">
        <v>334</v>
      </c>
      <c r="H767" s="58">
        <v>44.768999999999998</v>
      </c>
      <c r="I767" s="58" t="s">
        <v>334</v>
      </c>
      <c r="J767" s="58">
        <v>45.521999999999998</v>
      </c>
      <c r="K767" s="58">
        <v>47.265000000000001</v>
      </c>
      <c r="L767" s="58" t="s">
        <v>334</v>
      </c>
      <c r="M767" s="59">
        <v>49.948999999999998</v>
      </c>
      <c r="N767" s="58"/>
    </row>
    <row r="768" spans="1:15" ht="18" customHeight="1">
      <c r="A768" s="57">
        <v>13</v>
      </c>
      <c r="B768" s="58">
        <v>40.627000000000002</v>
      </c>
      <c r="C768" s="58" t="s">
        <v>334</v>
      </c>
      <c r="D768" s="58">
        <v>40.923000000000002</v>
      </c>
      <c r="E768" s="58">
        <v>41.156999999999996</v>
      </c>
      <c r="F768" s="58" t="s">
        <v>334</v>
      </c>
      <c r="G768" s="58">
        <v>42.521000000000001</v>
      </c>
      <c r="H768" s="58">
        <v>44.866</v>
      </c>
      <c r="I768" s="58" t="s">
        <v>334</v>
      </c>
      <c r="J768" s="58">
        <v>45.561999999999998</v>
      </c>
      <c r="K768" s="58">
        <v>47.805999999999997</v>
      </c>
      <c r="L768" s="58">
        <v>49.661000000000001</v>
      </c>
      <c r="M768" s="59">
        <v>49.856000000000002</v>
      </c>
      <c r="N768" s="58"/>
    </row>
    <row r="769" spans="1:14" ht="18" customHeight="1">
      <c r="A769" s="57">
        <v>14</v>
      </c>
      <c r="B769" s="58">
        <v>40.509</v>
      </c>
      <c r="C769" s="58">
        <v>40.432000000000002</v>
      </c>
      <c r="D769" s="58">
        <v>40.859000000000002</v>
      </c>
      <c r="E769" s="58">
        <v>41.165999999999997</v>
      </c>
      <c r="F769" s="58" t="s">
        <v>334</v>
      </c>
      <c r="G769" s="58">
        <v>42.4</v>
      </c>
      <c r="H769" s="58">
        <v>44.567</v>
      </c>
      <c r="I769" s="58">
        <v>44.899000000000001</v>
      </c>
      <c r="J769" s="58">
        <v>45.69</v>
      </c>
      <c r="K769" s="58" t="s">
        <v>334</v>
      </c>
      <c r="L769" s="58">
        <v>50.314</v>
      </c>
      <c r="M769" s="59">
        <v>49.93</v>
      </c>
      <c r="N769" s="58"/>
    </row>
    <row r="770" spans="1:14" ht="18" customHeight="1">
      <c r="A770" s="57">
        <v>15</v>
      </c>
      <c r="B770" s="58" t="s">
        <v>334</v>
      </c>
      <c r="C770" s="58">
        <v>40.396000000000001</v>
      </c>
      <c r="D770" s="58">
        <v>40.906999999999996</v>
      </c>
      <c r="E770" s="58" t="s">
        <v>334</v>
      </c>
      <c r="F770" s="58">
        <v>41.473999999999997</v>
      </c>
      <c r="G770" s="58">
        <v>42.414999999999999</v>
      </c>
      <c r="H770" s="58" t="s">
        <v>334</v>
      </c>
      <c r="I770" s="58">
        <v>44.847000000000001</v>
      </c>
      <c r="J770" s="58">
        <v>45.789000000000001</v>
      </c>
      <c r="K770" s="58" t="s">
        <v>334</v>
      </c>
      <c r="L770" s="58">
        <v>49.884999999999998</v>
      </c>
      <c r="M770" s="59">
        <v>50.070999999999998</v>
      </c>
      <c r="N770" s="58"/>
    </row>
    <row r="771" spans="1:14" ht="18" customHeight="1">
      <c r="A771" s="57">
        <v>16</v>
      </c>
      <c r="B771" s="58" t="s">
        <v>334</v>
      </c>
      <c r="C771" s="58">
        <v>40.387</v>
      </c>
      <c r="D771" s="58">
        <v>40.936999999999998</v>
      </c>
      <c r="E771" s="58" t="s">
        <v>334</v>
      </c>
      <c r="F771" s="58">
        <v>41.588999999999999</v>
      </c>
      <c r="G771" s="58">
        <v>42.465000000000003</v>
      </c>
      <c r="H771" s="58" t="s">
        <v>334</v>
      </c>
      <c r="I771" s="58">
        <v>44.923000000000002</v>
      </c>
      <c r="J771" s="58" t="s">
        <v>334</v>
      </c>
      <c r="K771" s="58">
        <v>48.35</v>
      </c>
      <c r="L771" s="58">
        <v>49.716999999999999</v>
      </c>
      <c r="M771" s="59" t="s">
        <v>334</v>
      </c>
      <c r="N771" s="58"/>
    </row>
    <row r="772" spans="1:14" ht="18" customHeight="1">
      <c r="A772" s="57">
        <v>17</v>
      </c>
      <c r="B772" s="58">
        <v>40.6</v>
      </c>
      <c r="C772" s="58">
        <v>40.459000000000003</v>
      </c>
      <c r="D772" s="58">
        <v>40.954000000000001</v>
      </c>
      <c r="E772" s="58">
        <v>41.156999999999996</v>
      </c>
      <c r="F772" s="58">
        <v>41.613</v>
      </c>
      <c r="G772" s="58" t="s">
        <v>334</v>
      </c>
      <c r="H772" s="58">
        <v>44.558999999999997</v>
      </c>
      <c r="I772" s="58">
        <v>44.944000000000003</v>
      </c>
      <c r="J772" s="58" t="s">
        <v>334</v>
      </c>
      <c r="K772" s="58">
        <v>48.738</v>
      </c>
      <c r="L772" s="58">
        <v>49.904000000000003</v>
      </c>
      <c r="M772" s="59" t="s">
        <v>334</v>
      </c>
      <c r="N772" s="58"/>
    </row>
    <row r="773" spans="1:14" ht="18" customHeight="1">
      <c r="A773" s="57">
        <v>18</v>
      </c>
      <c r="B773" s="58">
        <v>40.529000000000003</v>
      </c>
      <c r="C773" s="58">
        <v>40.56</v>
      </c>
      <c r="D773" s="58" t="s">
        <v>334</v>
      </c>
      <c r="E773" s="58">
        <v>41.228000000000002</v>
      </c>
      <c r="F773" s="58">
        <v>41.661999999999999</v>
      </c>
      <c r="G773" s="58" t="s">
        <v>334</v>
      </c>
      <c r="H773" s="58">
        <v>44.542999999999999</v>
      </c>
      <c r="I773" s="58">
        <v>44.902999999999999</v>
      </c>
      <c r="J773" s="58">
        <v>45.612000000000002</v>
      </c>
      <c r="K773" s="58">
        <v>48.457999999999998</v>
      </c>
      <c r="L773" s="58" t="s">
        <v>334</v>
      </c>
      <c r="M773" s="59">
        <v>50.05</v>
      </c>
      <c r="N773" s="58"/>
    </row>
    <row r="774" spans="1:14" ht="18" customHeight="1">
      <c r="A774" s="57">
        <v>19</v>
      </c>
      <c r="B774" s="58">
        <v>40.612000000000002</v>
      </c>
      <c r="C774" s="58" t="s">
        <v>334</v>
      </c>
      <c r="D774" s="58" t="s">
        <v>334</v>
      </c>
      <c r="E774" s="58">
        <v>41.189</v>
      </c>
      <c r="F774" s="58">
        <v>41.726999999999997</v>
      </c>
      <c r="G774" s="58">
        <v>42.610999999999997</v>
      </c>
      <c r="H774" s="58">
        <v>44.622</v>
      </c>
      <c r="I774" s="58" t="s">
        <v>334</v>
      </c>
      <c r="J774" s="58">
        <v>45.796999999999997</v>
      </c>
      <c r="K774" s="58">
        <v>48.515999999999998</v>
      </c>
      <c r="L774" s="58" t="s">
        <v>334</v>
      </c>
      <c r="M774" s="59">
        <v>50.072000000000003</v>
      </c>
      <c r="N774" s="58"/>
    </row>
    <row r="775" spans="1:14" ht="18" customHeight="1">
      <c r="A775" s="57">
        <v>20</v>
      </c>
      <c r="B775" s="58">
        <v>40.634</v>
      </c>
      <c r="C775" s="58" t="s">
        <v>334</v>
      </c>
      <c r="D775" s="58">
        <v>40.932000000000002</v>
      </c>
      <c r="E775" s="58" t="s">
        <v>334</v>
      </c>
      <c r="F775" s="58" t="s">
        <v>334</v>
      </c>
      <c r="G775" s="58">
        <v>42.649000000000001</v>
      </c>
      <c r="H775" s="58">
        <v>44.456000000000003</v>
      </c>
      <c r="I775" s="58" t="s">
        <v>334</v>
      </c>
      <c r="J775" s="58">
        <v>45.884</v>
      </c>
      <c r="K775" s="58">
        <v>48.738999999999997</v>
      </c>
      <c r="L775" s="58">
        <v>49.914999999999999</v>
      </c>
      <c r="M775" s="59">
        <v>50.14</v>
      </c>
      <c r="N775" s="58"/>
    </row>
    <row r="776" spans="1:14" ht="18" customHeight="1">
      <c r="A776" s="57">
        <v>21</v>
      </c>
      <c r="B776" s="58">
        <v>40.682000000000002</v>
      </c>
      <c r="C776" s="58">
        <v>40.628999999999998</v>
      </c>
      <c r="D776" s="58">
        <v>40.957000000000001</v>
      </c>
      <c r="E776" s="58" t="s">
        <v>334</v>
      </c>
      <c r="F776" s="58" t="s">
        <v>334</v>
      </c>
      <c r="G776" s="58">
        <v>42.671999999999997</v>
      </c>
      <c r="H776" s="58">
        <v>44.552</v>
      </c>
      <c r="I776" s="58">
        <v>44.991999999999997</v>
      </c>
      <c r="J776" s="58">
        <v>45.890999999999998</v>
      </c>
      <c r="K776" s="58" t="s">
        <v>334</v>
      </c>
      <c r="L776" s="58">
        <v>49.834000000000003</v>
      </c>
      <c r="M776" s="59">
        <v>50.075000000000003</v>
      </c>
      <c r="N776" s="58"/>
    </row>
    <row r="777" spans="1:14" ht="18" customHeight="1">
      <c r="A777" s="57">
        <v>22</v>
      </c>
      <c r="B777" s="58" t="s">
        <v>334</v>
      </c>
      <c r="C777" s="58">
        <v>40.683999999999997</v>
      </c>
      <c r="D777" s="58">
        <v>40.960999999999999</v>
      </c>
      <c r="E777" s="58" t="s">
        <v>334</v>
      </c>
      <c r="F777" s="58">
        <v>41.682000000000002</v>
      </c>
      <c r="G777" s="58">
        <v>42.692999999999998</v>
      </c>
      <c r="H777" s="58" t="s">
        <v>334</v>
      </c>
      <c r="I777" s="58">
        <v>44.942999999999998</v>
      </c>
      <c r="J777" s="58">
        <v>45.996000000000002</v>
      </c>
      <c r="K777" s="58" t="s">
        <v>334</v>
      </c>
      <c r="L777" s="58">
        <v>49.554000000000002</v>
      </c>
      <c r="M777" s="59">
        <v>50.076999999999998</v>
      </c>
      <c r="N777" s="58"/>
    </row>
    <row r="778" spans="1:14" ht="18" customHeight="1">
      <c r="A778" s="57">
        <v>23</v>
      </c>
      <c r="B778" s="58" t="s">
        <v>334</v>
      </c>
      <c r="C778" s="58">
        <v>40.716999999999999</v>
      </c>
      <c r="D778" s="58">
        <v>40.914999999999999</v>
      </c>
      <c r="E778" s="58" t="s">
        <v>334</v>
      </c>
      <c r="F778" s="58">
        <v>41.801000000000002</v>
      </c>
      <c r="G778" s="58">
        <v>42.906999999999996</v>
      </c>
      <c r="H778" s="58" t="s">
        <v>334</v>
      </c>
      <c r="I778" s="58">
        <v>44.93</v>
      </c>
      <c r="J778" s="58" t="s">
        <v>334</v>
      </c>
      <c r="K778" s="58">
        <v>48.767000000000003</v>
      </c>
      <c r="L778" s="58">
        <v>49.164999999999999</v>
      </c>
      <c r="M778" s="59" t="s">
        <v>334</v>
      </c>
      <c r="N778" s="58"/>
    </row>
    <row r="779" spans="1:14" ht="18" customHeight="1">
      <c r="A779" s="57">
        <v>24</v>
      </c>
      <c r="B779" s="58">
        <v>40.637</v>
      </c>
      <c r="C779" s="58">
        <v>40.654000000000003</v>
      </c>
      <c r="D779" s="58">
        <v>40.866999999999997</v>
      </c>
      <c r="E779" s="58">
        <v>41.218000000000004</v>
      </c>
      <c r="F779" s="58">
        <v>42.158000000000001</v>
      </c>
      <c r="G779" s="58" t="s">
        <v>334</v>
      </c>
      <c r="H779" s="58">
        <v>44.51</v>
      </c>
      <c r="I779" s="58">
        <v>44.906999999999996</v>
      </c>
      <c r="J779" s="58" t="s">
        <v>334</v>
      </c>
      <c r="K779" s="58">
        <v>48.893999999999998</v>
      </c>
      <c r="L779" s="58">
        <v>49.151000000000003</v>
      </c>
      <c r="M779" s="59" t="s">
        <v>334</v>
      </c>
      <c r="N779" s="58"/>
    </row>
    <row r="780" spans="1:14" ht="18" customHeight="1">
      <c r="A780" s="57">
        <v>25</v>
      </c>
      <c r="B780" s="58">
        <v>40.606999999999999</v>
      </c>
      <c r="C780" s="58" t="s">
        <v>334</v>
      </c>
      <c r="D780" s="58" t="s">
        <v>334</v>
      </c>
      <c r="E780" s="58">
        <v>41.258000000000003</v>
      </c>
      <c r="F780" s="58">
        <v>42.749000000000002</v>
      </c>
      <c r="G780" s="58" t="s">
        <v>334</v>
      </c>
      <c r="H780" s="58">
        <v>44.529000000000003</v>
      </c>
      <c r="I780" s="58">
        <v>44.984999999999999</v>
      </c>
      <c r="J780" s="58">
        <v>46.073999999999998</v>
      </c>
      <c r="K780" s="58">
        <v>49.143000000000001</v>
      </c>
      <c r="L780" s="58" t="s">
        <v>334</v>
      </c>
      <c r="M780" s="59" t="s">
        <v>334</v>
      </c>
      <c r="N780" s="58"/>
    </row>
    <row r="781" spans="1:14" ht="18" customHeight="1">
      <c r="A781" s="57">
        <v>26</v>
      </c>
      <c r="B781" s="58">
        <v>40.436</v>
      </c>
      <c r="C781" s="58" t="s">
        <v>334</v>
      </c>
      <c r="D781" s="58" t="s">
        <v>334</v>
      </c>
      <c r="E781" s="58">
        <v>41.341999999999999</v>
      </c>
      <c r="F781" s="58">
        <v>43.158999999999999</v>
      </c>
      <c r="G781" s="58">
        <v>42.878999999999998</v>
      </c>
      <c r="H781" s="58">
        <v>44.692</v>
      </c>
      <c r="I781" s="58" t="s">
        <v>334</v>
      </c>
      <c r="J781" s="58">
        <v>46.091000000000001</v>
      </c>
      <c r="K781" s="58">
        <v>49.633000000000003</v>
      </c>
      <c r="L781" s="58" t="s">
        <v>334</v>
      </c>
      <c r="M781" s="59">
        <v>50.024000000000001</v>
      </c>
      <c r="N781" s="58"/>
    </row>
    <row r="782" spans="1:14" ht="18" customHeight="1">
      <c r="A782" s="57">
        <v>27</v>
      </c>
      <c r="B782" s="58">
        <v>40.514000000000003</v>
      </c>
      <c r="C782" s="58" t="s">
        <v>334</v>
      </c>
      <c r="D782" s="58">
        <v>40.896999999999998</v>
      </c>
      <c r="E782" s="58">
        <v>41.378</v>
      </c>
      <c r="F782" s="58" t="s">
        <v>334</v>
      </c>
      <c r="G782" s="58">
        <v>42.89</v>
      </c>
      <c r="H782" s="58">
        <v>45.027999999999999</v>
      </c>
      <c r="I782" s="58" t="s">
        <v>334</v>
      </c>
      <c r="J782" s="58">
        <v>46.256</v>
      </c>
      <c r="K782" s="58">
        <v>50.033000000000001</v>
      </c>
      <c r="L782" s="58">
        <v>49.543999999999997</v>
      </c>
      <c r="M782" s="59">
        <v>49.442999999999998</v>
      </c>
      <c r="N782" s="58"/>
    </row>
    <row r="783" spans="1:14" ht="18" customHeight="1">
      <c r="A783" s="57">
        <v>28</v>
      </c>
      <c r="B783" s="58">
        <v>40.472000000000001</v>
      </c>
      <c r="C783" s="58">
        <v>40.779000000000003</v>
      </c>
      <c r="D783" s="58">
        <v>40.951000000000001</v>
      </c>
      <c r="E783" s="58">
        <v>41.277999999999999</v>
      </c>
      <c r="F783" s="58" t="s">
        <v>334</v>
      </c>
      <c r="G783" s="58">
        <v>42.963000000000001</v>
      </c>
      <c r="H783" s="58">
        <v>44.988999999999997</v>
      </c>
      <c r="I783" s="58">
        <v>45.012999999999998</v>
      </c>
      <c r="J783" s="58">
        <v>46.198</v>
      </c>
      <c r="K783" s="58" t="s">
        <v>334</v>
      </c>
      <c r="L783" s="58">
        <v>49.44</v>
      </c>
      <c r="M783" s="59">
        <v>49.731999999999999</v>
      </c>
      <c r="N783" s="58"/>
    </row>
    <row r="784" spans="1:14" ht="18" customHeight="1">
      <c r="A784" s="57">
        <v>29</v>
      </c>
      <c r="B784" s="58" t="s">
        <v>334</v>
      </c>
      <c r="C784" s="58">
        <v>40.844999999999999</v>
      </c>
      <c r="D784" s="58">
        <v>40.942999999999998</v>
      </c>
      <c r="E784" s="58" t="s">
        <v>334</v>
      </c>
      <c r="F784" s="58">
        <v>42.975999999999999</v>
      </c>
      <c r="G784" s="58">
        <v>43.115000000000002</v>
      </c>
      <c r="H784" s="58" t="s">
        <v>334</v>
      </c>
      <c r="I784" s="58">
        <v>45.02</v>
      </c>
      <c r="J784" s="58">
        <v>46.283000000000001</v>
      </c>
      <c r="K784" s="58" t="s">
        <v>334</v>
      </c>
      <c r="L784" s="58">
        <v>49.393000000000001</v>
      </c>
      <c r="M784" s="59">
        <v>49.997999999999998</v>
      </c>
      <c r="N784" s="58"/>
    </row>
    <row r="785" spans="1:15" ht="18" customHeight="1">
      <c r="A785" s="57">
        <v>30</v>
      </c>
      <c r="B785" s="58" t="s">
        <v>334</v>
      </c>
      <c r="C785" s="58" t="s">
        <v>335</v>
      </c>
      <c r="D785" s="58">
        <v>41.008000000000003</v>
      </c>
      <c r="E785" s="58" t="s">
        <v>334</v>
      </c>
      <c r="F785" s="58">
        <v>42.649000000000001</v>
      </c>
      <c r="G785" s="58">
        <v>43.154000000000003</v>
      </c>
      <c r="H785" s="58" t="s">
        <v>334</v>
      </c>
      <c r="I785" s="58">
        <v>45.042999999999999</v>
      </c>
      <c r="J785" s="58" t="s">
        <v>334</v>
      </c>
      <c r="K785" s="58">
        <v>51.015000000000001</v>
      </c>
      <c r="L785" s="58" t="s">
        <v>334</v>
      </c>
      <c r="M785" s="59" t="s">
        <v>334</v>
      </c>
      <c r="N785" s="58"/>
    </row>
    <row r="786" spans="1:15" ht="18" customHeight="1">
      <c r="A786" s="57">
        <v>31</v>
      </c>
      <c r="B786" s="58">
        <v>40.39</v>
      </c>
      <c r="C786" s="58" t="s">
        <v>335</v>
      </c>
      <c r="D786" s="58">
        <v>41.063000000000002</v>
      </c>
      <c r="E786" s="58" t="s">
        <v>335</v>
      </c>
      <c r="F786" s="58">
        <v>42.829000000000001</v>
      </c>
      <c r="G786" s="58" t="s">
        <v>335</v>
      </c>
      <c r="H786" s="58">
        <v>44.941000000000003</v>
      </c>
      <c r="I786" s="58">
        <v>45.076999999999998</v>
      </c>
      <c r="J786" s="58" t="s">
        <v>335</v>
      </c>
      <c r="K786" s="58">
        <v>51.427</v>
      </c>
      <c r="L786" s="58" t="s">
        <v>335</v>
      </c>
      <c r="M786" s="59" t="s">
        <v>334</v>
      </c>
      <c r="N786" s="58"/>
    </row>
    <row r="787" spans="1:15" ht="18" customHeight="1" thickBot="1">
      <c r="A787" s="76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8"/>
      <c r="N787" s="58"/>
    </row>
    <row r="788" spans="1:15" ht="18" customHeight="1">
      <c r="A788" s="605">
        <v>1999</v>
      </c>
      <c r="B788" s="606"/>
      <c r="C788" s="606"/>
      <c r="D788" s="606"/>
      <c r="E788" s="606"/>
      <c r="F788" s="606"/>
      <c r="G788" s="606"/>
      <c r="H788" s="606"/>
      <c r="I788" s="606"/>
      <c r="J788" s="606"/>
      <c r="K788" s="606"/>
      <c r="L788" s="606"/>
      <c r="M788" s="607"/>
      <c r="N788" s="52"/>
    </row>
    <row r="789" spans="1:15" ht="18" customHeight="1" thickBot="1">
      <c r="A789" s="51" t="s">
        <v>322</v>
      </c>
      <c r="B789" s="52" t="s">
        <v>323</v>
      </c>
      <c r="C789" s="52" t="s">
        <v>324</v>
      </c>
      <c r="D789" s="52" t="s">
        <v>325</v>
      </c>
      <c r="E789" s="52" t="s">
        <v>326</v>
      </c>
      <c r="F789" s="52" t="s">
        <v>236</v>
      </c>
      <c r="G789" s="52" t="s">
        <v>327</v>
      </c>
      <c r="H789" s="52" t="s">
        <v>328</v>
      </c>
      <c r="I789" s="52" t="s">
        <v>329</v>
      </c>
      <c r="J789" s="52" t="s">
        <v>330</v>
      </c>
      <c r="K789" s="52" t="s">
        <v>331</v>
      </c>
      <c r="L789" s="52" t="s">
        <v>332</v>
      </c>
      <c r="M789" s="53" t="s">
        <v>333</v>
      </c>
      <c r="N789" s="52"/>
    </row>
    <row r="790" spans="1:15" ht="18" customHeight="1">
      <c r="A790" s="54">
        <v>1</v>
      </c>
      <c r="B790" s="55" t="s">
        <v>334</v>
      </c>
      <c r="C790" s="55">
        <v>38.536000000000001</v>
      </c>
      <c r="D790" s="55">
        <v>38.994999999999997</v>
      </c>
      <c r="E790" s="55" t="s">
        <v>334</v>
      </c>
      <c r="F790" s="55" t="s">
        <v>334</v>
      </c>
      <c r="G790" s="55">
        <v>38.003999999999998</v>
      </c>
      <c r="H790" s="55">
        <v>38.021999999999998</v>
      </c>
      <c r="I790" s="55" t="s">
        <v>334</v>
      </c>
      <c r="J790" s="55">
        <v>39.704999999999998</v>
      </c>
      <c r="K790" s="55">
        <v>40.857999999999997</v>
      </c>
      <c r="L790" s="70" t="s">
        <v>334</v>
      </c>
      <c r="M790" s="71">
        <v>40.92</v>
      </c>
      <c r="N790" s="83">
        <v>1999</v>
      </c>
      <c r="O790" s="47">
        <f>AVERAGE(B790:M820)</f>
        <v>39.085396825396828</v>
      </c>
    </row>
    <row r="791" spans="1:15" ht="18" customHeight="1">
      <c r="A791" s="57">
        <v>2</v>
      </c>
      <c r="B791" s="58" t="s">
        <v>334</v>
      </c>
      <c r="C791" s="58">
        <v>38.497</v>
      </c>
      <c r="D791" s="58">
        <v>39.006</v>
      </c>
      <c r="E791" s="58" t="s">
        <v>334</v>
      </c>
      <c r="F791" s="58" t="s">
        <v>334</v>
      </c>
      <c r="G791" s="58">
        <v>38.000999999999998</v>
      </c>
      <c r="H791" s="58">
        <v>37.988</v>
      </c>
      <c r="I791" s="58">
        <v>38.442999999999998</v>
      </c>
      <c r="J791" s="58">
        <v>39.655000000000001</v>
      </c>
      <c r="K791" s="58" t="s">
        <v>334</v>
      </c>
      <c r="L791" s="72" t="s">
        <v>334</v>
      </c>
      <c r="M791" s="73">
        <v>40.875</v>
      </c>
      <c r="N791" s="58"/>
    </row>
    <row r="792" spans="1:15" ht="18" customHeight="1">
      <c r="A792" s="57">
        <v>3</v>
      </c>
      <c r="B792" s="58" t="s">
        <v>334</v>
      </c>
      <c r="C792" s="58">
        <v>38.481000000000002</v>
      </c>
      <c r="D792" s="58">
        <v>39.033999999999999</v>
      </c>
      <c r="E792" s="58" t="s">
        <v>334</v>
      </c>
      <c r="F792" s="58">
        <v>37.960999999999999</v>
      </c>
      <c r="G792" s="58">
        <v>37.969000000000001</v>
      </c>
      <c r="H792" s="58" t="s">
        <v>334</v>
      </c>
      <c r="I792" s="58">
        <v>38.58</v>
      </c>
      <c r="J792" s="58">
        <v>39.770000000000003</v>
      </c>
      <c r="K792" s="58" t="s">
        <v>334</v>
      </c>
      <c r="L792" s="72">
        <v>40.25</v>
      </c>
      <c r="M792" s="73">
        <v>40.83</v>
      </c>
      <c r="N792" s="58"/>
    </row>
    <row r="793" spans="1:15" ht="18" customHeight="1">
      <c r="A793" s="57">
        <v>4</v>
      </c>
      <c r="B793" s="58">
        <v>39.145000000000003</v>
      </c>
      <c r="C793" s="58">
        <v>38.459000000000003</v>
      </c>
      <c r="D793" s="58">
        <v>39.070999999999998</v>
      </c>
      <c r="E793" s="58" t="s">
        <v>334</v>
      </c>
      <c r="F793" s="58">
        <v>37.875</v>
      </c>
      <c r="G793" s="58">
        <v>38.012999999999998</v>
      </c>
      <c r="H793" s="58" t="s">
        <v>334</v>
      </c>
      <c r="I793" s="58">
        <v>38.58</v>
      </c>
      <c r="J793" s="58" t="s">
        <v>334</v>
      </c>
      <c r="K793" s="58">
        <v>40.746000000000002</v>
      </c>
      <c r="L793" s="58">
        <v>40.142000000000003</v>
      </c>
      <c r="M793" s="59" t="s">
        <v>334</v>
      </c>
      <c r="N793" s="58"/>
    </row>
    <row r="794" spans="1:15" ht="18" customHeight="1">
      <c r="A794" s="57">
        <v>5</v>
      </c>
      <c r="B794" s="58">
        <v>38.686</v>
      </c>
      <c r="C794" s="58">
        <v>38.497999999999998</v>
      </c>
      <c r="D794" s="58">
        <v>39.125999999999998</v>
      </c>
      <c r="E794" s="58">
        <v>38.819000000000003</v>
      </c>
      <c r="F794" s="58">
        <v>37.762</v>
      </c>
      <c r="G794" s="58" t="s">
        <v>334</v>
      </c>
      <c r="H794" s="58">
        <v>38.052</v>
      </c>
      <c r="I794" s="58">
        <v>38.841999999999999</v>
      </c>
      <c r="J794" s="58" t="s">
        <v>334</v>
      </c>
      <c r="K794" s="58">
        <v>40.628</v>
      </c>
      <c r="L794" s="58">
        <v>40.122999999999998</v>
      </c>
      <c r="M794" s="59" t="s">
        <v>334</v>
      </c>
      <c r="N794" s="58"/>
    </row>
    <row r="795" spans="1:15" ht="18" customHeight="1">
      <c r="A795" s="57">
        <v>6</v>
      </c>
      <c r="B795" s="58">
        <v>38.207000000000001</v>
      </c>
      <c r="C795" s="58" t="s">
        <v>334</v>
      </c>
      <c r="D795" s="58" t="s">
        <v>334</v>
      </c>
      <c r="E795" s="58">
        <v>38.701999999999998</v>
      </c>
      <c r="F795" s="58">
        <v>37.755000000000003</v>
      </c>
      <c r="G795" s="58" t="s">
        <v>334</v>
      </c>
      <c r="H795" s="58">
        <v>38.149000000000001</v>
      </c>
      <c r="I795" s="58">
        <v>38.817999999999998</v>
      </c>
      <c r="J795" s="58">
        <v>39.765999999999998</v>
      </c>
      <c r="K795" s="58">
        <v>40.393999999999998</v>
      </c>
      <c r="L795" s="58" t="s">
        <v>334</v>
      </c>
      <c r="M795" s="59">
        <v>40.817</v>
      </c>
      <c r="N795" s="58"/>
    </row>
    <row r="796" spans="1:15" ht="18" customHeight="1">
      <c r="A796" s="57">
        <v>7</v>
      </c>
      <c r="B796" s="58">
        <v>38.103999999999999</v>
      </c>
      <c r="C796" s="58" t="s">
        <v>334</v>
      </c>
      <c r="D796" s="58" t="s">
        <v>334</v>
      </c>
      <c r="E796" s="58">
        <v>38.543999999999997</v>
      </c>
      <c r="F796" s="58">
        <v>37.819000000000003</v>
      </c>
      <c r="G796" s="58">
        <v>38.027000000000001</v>
      </c>
      <c r="H796" s="58">
        <v>38.116</v>
      </c>
      <c r="I796" s="58" t="s">
        <v>334</v>
      </c>
      <c r="J796" s="58">
        <v>39.755000000000003</v>
      </c>
      <c r="K796" s="58">
        <v>39.951999999999998</v>
      </c>
      <c r="L796" s="58" t="s">
        <v>334</v>
      </c>
      <c r="M796" s="59">
        <v>40.838999999999999</v>
      </c>
      <c r="N796" s="58"/>
    </row>
    <row r="797" spans="1:15" ht="18" customHeight="1">
      <c r="A797" s="57">
        <v>8</v>
      </c>
      <c r="B797" s="58">
        <v>38.261000000000003</v>
      </c>
      <c r="C797" s="58">
        <v>38.591999999999999</v>
      </c>
      <c r="D797" s="58">
        <v>39.225000000000001</v>
      </c>
      <c r="E797" s="58">
        <v>38.442</v>
      </c>
      <c r="F797" s="58" t="s">
        <v>334</v>
      </c>
      <c r="G797" s="58">
        <v>37.991</v>
      </c>
      <c r="H797" s="58">
        <v>38.256</v>
      </c>
      <c r="I797" s="58" t="s">
        <v>334</v>
      </c>
      <c r="J797" s="58">
        <v>39.747999999999998</v>
      </c>
      <c r="K797" s="58">
        <v>40.247</v>
      </c>
      <c r="L797" s="58">
        <v>40.024000000000001</v>
      </c>
      <c r="M797" s="59">
        <v>40.747</v>
      </c>
      <c r="N797" s="58"/>
    </row>
    <row r="798" spans="1:15" ht="18" customHeight="1">
      <c r="A798" s="57">
        <v>9</v>
      </c>
      <c r="B798" s="58" t="s">
        <v>334</v>
      </c>
      <c r="C798" s="58">
        <v>38.927999999999997</v>
      </c>
      <c r="D798" s="58">
        <v>39.064999999999998</v>
      </c>
      <c r="E798" s="58" t="s">
        <v>334</v>
      </c>
      <c r="F798" s="58" t="s">
        <v>334</v>
      </c>
      <c r="G798" s="58">
        <v>37.872</v>
      </c>
      <c r="H798" s="58">
        <v>38.429000000000002</v>
      </c>
      <c r="I798" s="58">
        <v>38.811999999999998</v>
      </c>
      <c r="J798" s="58">
        <v>40.061999999999998</v>
      </c>
      <c r="K798" s="58" t="s">
        <v>334</v>
      </c>
      <c r="L798" s="58">
        <v>40.094999999999999</v>
      </c>
      <c r="M798" s="59">
        <v>40.712000000000003</v>
      </c>
      <c r="N798" s="58"/>
    </row>
    <row r="799" spans="1:15" ht="18" customHeight="1">
      <c r="A799" s="57">
        <v>10</v>
      </c>
      <c r="B799" s="58" t="s">
        <v>334</v>
      </c>
      <c r="C799" s="58">
        <v>39.46</v>
      </c>
      <c r="D799" s="58">
        <v>38.945</v>
      </c>
      <c r="E799" s="58" t="s">
        <v>334</v>
      </c>
      <c r="F799" s="58">
        <v>37.94</v>
      </c>
      <c r="G799" s="58">
        <v>37.776000000000003</v>
      </c>
      <c r="H799" s="58" t="s">
        <v>334</v>
      </c>
      <c r="I799" s="58">
        <v>39.206000000000003</v>
      </c>
      <c r="J799" s="58">
        <v>40.326999999999998</v>
      </c>
      <c r="K799" s="58" t="s">
        <v>334</v>
      </c>
      <c r="L799" s="58">
        <v>40.070999999999998</v>
      </c>
      <c r="M799" s="59">
        <v>40.722999999999999</v>
      </c>
      <c r="N799" s="58"/>
    </row>
    <row r="800" spans="1:15" ht="18" customHeight="1">
      <c r="A800" s="57">
        <v>11</v>
      </c>
      <c r="B800" s="58">
        <v>38.18</v>
      </c>
      <c r="C800" s="58">
        <v>39.213999999999999</v>
      </c>
      <c r="D800" s="58">
        <v>39.033999999999999</v>
      </c>
      <c r="E800" s="58" t="s">
        <v>334</v>
      </c>
      <c r="F800" s="58">
        <v>37.735999999999997</v>
      </c>
      <c r="G800" s="58">
        <v>37.814999999999998</v>
      </c>
      <c r="H800" s="58" t="s">
        <v>334</v>
      </c>
      <c r="I800" s="58">
        <v>38.991</v>
      </c>
      <c r="J800" s="58" t="s">
        <v>334</v>
      </c>
      <c r="K800" s="58">
        <v>40.506999999999998</v>
      </c>
      <c r="L800" s="58">
        <v>40.237000000000002</v>
      </c>
      <c r="M800" s="59" t="s">
        <v>334</v>
      </c>
      <c r="N800" s="58"/>
    </row>
    <row r="801" spans="1:14" ht="18" customHeight="1">
      <c r="A801" s="57">
        <v>12</v>
      </c>
      <c r="B801" s="58">
        <v>37.832000000000001</v>
      </c>
      <c r="C801" s="58">
        <v>38.841000000000001</v>
      </c>
      <c r="D801" s="58">
        <v>38.942</v>
      </c>
      <c r="E801" s="58">
        <v>38.506</v>
      </c>
      <c r="F801" s="58">
        <v>37.566000000000003</v>
      </c>
      <c r="G801" s="58" t="s">
        <v>334</v>
      </c>
      <c r="H801" s="58">
        <v>38.6</v>
      </c>
      <c r="I801" s="58">
        <v>38.978000000000002</v>
      </c>
      <c r="J801" s="58" t="s">
        <v>334</v>
      </c>
      <c r="K801" s="58">
        <v>40.411999999999999</v>
      </c>
      <c r="L801" s="58">
        <v>40.296999999999997</v>
      </c>
      <c r="M801" s="59" t="s">
        <v>334</v>
      </c>
      <c r="N801" s="58"/>
    </row>
    <row r="802" spans="1:14" ht="18" customHeight="1">
      <c r="A802" s="57">
        <v>13</v>
      </c>
      <c r="B802" s="58">
        <v>37.811</v>
      </c>
      <c r="C802" s="58" t="s">
        <v>334</v>
      </c>
      <c r="D802" s="58" t="s">
        <v>334</v>
      </c>
      <c r="E802" s="58">
        <v>38.466000000000001</v>
      </c>
      <c r="F802" s="58">
        <v>37.581000000000003</v>
      </c>
      <c r="G802" s="58" t="s">
        <v>334</v>
      </c>
      <c r="H802" s="58">
        <v>38.360999999999997</v>
      </c>
      <c r="I802" s="58">
        <v>39.335000000000001</v>
      </c>
      <c r="J802" s="58">
        <v>40.031999999999996</v>
      </c>
      <c r="K802" s="58">
        <v>40.116999999999997</v>
      </c>
      <c r="L802" s="58" t="s">
        <v>334</v>
      </c>
      <c r="M802" s="59">
        <v>40.695</v>
      </c>
      <c r="N802" s="58"/>
    </row>
    <row r="803" spans="1:14" ht="18" customHeight="1">
      <c r="A803" s="57">
        <v>14</v>
      </c>
      <c r="B803" s="58">
        <v>38.207000000000001</v>
      </c>
      <c r="C803" s="58" t="s">
        <v>334</v>
      </c>
      <c r="D803" s="58" t="s">
        <v>334</v>
      </c>
      <c r="E803" s="58">
        <v>38.314999999999998</v>
      </c>
      <c r="F803" s="58">
        <v>37.707999999999998</v>
      </c>
      <c r="G803" s="58">
        <v>37.878</v>
      </c>
      <c r="H803" s="58">
        <v>38.341999999999999</v>
      </c>
      <c r="I803" s="58" t="s">
        <v>334</v>
      </c>
      <c r="J803" s="58">
        <v>39.828000000000003</v>
      </c>
      <c r="K803" s="58">
        <v>40.320999999999998</v>
      </c>
      <c r="L803" s="58" t="s">
        <v>334</v>
      </c>
      <c r="M803" s="59">
        <v>40.731999999999999</v>
      </c>
      <c r="N803" s="58"/>
    </row>
    <row r="804" spans="1:14" ht="18" customHeight="1">
      <c r="A804" s="57">
        <v>15</v>
      </c>
      <c r="B804" s="58">
        <v>38.668999999999997</v>
      </c>
      <c r="C804" s="58">
        <v>38.46</v>
      </c>
      <c r="D804" s="58">
        <v>38.942</v>
      </c>
      <c r="E804" s="58">
        <v>38.148000000000003</v>
      </c>
      <c r="F804" s="58" t="s">
        <v>334</v>
      </c>
      <c r="G804" s="58">
        <v>37.933</v>
      </c>
      <c r="H804" s="58">
        <v>38.295000000000002</v>
      </c>
      <c r="I804" s="58" t="s">
        <v>334</v>
      </c>
      <c r="J804" s="58">
        <v>40.078000000000003</v>
      </c>
      <c r="K804" s="58">
        <v>40.409999999999997</v>
      </c>
      <c r="L804" s="58">
        <v>40.253</v>
      </c>
      <c r="M804" s="59">
        <v>40.707000000000001</v>
      </c>
      <c r="N804" s="58"/>
    </row>
    <row r="805" spans="1:14" ht="18" customHeight="1">
      <c r="A805" s="57">
        <v>16</v>
      </c>
      <c r="B805" s="58" t="s">
        <v>334</v>
      </c>
      <c r="C805" s="58">
        <v>38.598999999999997</v>
      </c>
      <c r="D805" s="58">
        <v>38.898000000000003</v>
      </c>
      <c r="E805" s="58">
        <v>38.131</v>
      </c>
      <c r="F805" s="58" t="s">
        <v>334</v>
      </c>
      <c r="G805" s="58">
        <v>37.834000000000003</v>
      </c>
      <c r="H805" s="58">
        <v>38.143999999999998</v>
      </c>
      <c r="I805" s="58">
        <v>39.177999999999997</v>
      </c>
      <c r="J805" s="58">
        <v>39.935000000000002</v>
      </c>
      <c r="K805" s="58" t="s">
        <v>334</v>
      </c>
      <c r="L805" s="58">
        <v>40.149000000000001</v>
      </c>
      <c r="M805" s="59">
        <v>40.665999999999997</v>
      </c>
      <c r="N805" s="58"/>
    </row>
    <row r="806" spans="1:14" ht="18" customHeight="1">
      <c r="A806" s="57">
        <v>17</v>
      </c>
      <c r="B806" s="58" t="s">
        <v>334</v>
      </c>
      <c r="C806" s="58">
        <v>38.670999999999999</v>
      </c>
      <c r="D806" s="58">
        <v>38.820999999999998</v>
      </c>
      <c r="E806" s="58" t="s">
        <v>334</v>
      </c>
      <c r="F806" s="58">
        <v>37.771000000000001</v>
      </c>
      <c r="G806" s="58">
        <v>37.805</v>
      </c>
      <c r="H806" s="58" t="s">
        <v>334</v>
      </c>
      <c r="I806" s="58">
        <v>39.314999999999998</v>
      </c>
      <c r="J806" s="58">
        <v>40.081000000000003</v>
      </c>
      <c r="K806" s="58" t="s">
        <v>334</v>
      </c>
      <c r="L806" s="58">
        <v>40.171999999999997</v>
      </c>
      <c r="M806" s="59">
        <v>40.643000000000001</v>
      </c>
      <c r="N806" s="58"/>
    </row>
    <row r="807" spans="1:14" ht="18" customHeight="1">
      <c r="A807" s="57">
        <v>18</v>
      </c>
      <c r="B807" s="58">
        <v>38.694000000000003</v>
      </c>
      <c r="C807" s="58">
        <v>38.531999999999996</v>
      </c>
      <c r="D807" s="58">
        <v>38.883000000000003</v>
      </c>
      <c r="E807" s="58" t="s">
        <v>334</v>
      </c>
      <c r="F807" s="58">
        <v>37.948999999999998</v>
      </c>
      <c r="G807" s="58">
        <v>37.756999999999998</v>
      </c>
      <c r="H807" s="58" t="s">
        <v>334</v>
      </c>
      <c r="I807" s="58">
        <v>39.588999999999999</v>
      </c>
      <c r="J807" s="58" t="s">
        <v>334</v>
      </c>
      <c r="K807" s="58">
        <v>40.235999999999997</v>
      </c>
      <c r="L807" s="58">
        <v>40.353999999999999</v>
      </c>
      <c r="M807" s="59" t="s">
        <v>334</v>
      </c>
      <c r="N807" s="58"/>
    </row>
    <row r="808" spans="1:14" ht="18" customHeight="1">
      <c r="A808" s="57">
        <v>19</v>
      </c>
      <c r="B808" s="58">
        <v>38.308</v>
      </c>
      <c r="C808" s="58">
        <v>38.648000000000003</v>
      </c>
      <c r="D808" s="58">
        <v>38.89</v>
      </c>
      <c r="E808" s="58">
        <v>38.15</v>
      </c>
      <c r="F808" s="58">
        <v>37.828000000000003</v>
      </c>
      <c r="G808" s="58" t="s">
        <v>334</v>
      </c>
      <c r="H808" s="58">
        <v>38.343000000000004</v>
      </c>
      <c r="I808" s="58">
        <v>39.68</v>
      </c>
      <c r="J808" s="58" t="s">
        <v>334</v>
      </c>
      <c r="K808" s="58">
        <v>40.259</v>
      </c>
      <c r="L808" s="58">
        <v>40.320999999999998</v>
      </c>
      <c r="M808" s="59" t="s">
        <v>334</v>
      </c>
      <c r="N808" s="58"/>
    </row>
    <row r="809" spans="1:14" ht="18" customHeight="1">
      <c r="A809" s="57">
        <v>20</v>
      </c>
      <c r="B809" s="58">
        <v>38.335999999999999</v>
      </c>
      <c r="C809" s="58" t="s">
        <v>334</v>
      </c>
      <c r="D809" s="58" t="s">
        <v>334</v>
      </c>
      <c r="E809" s="58">
        <v>38.061999999999998</v>
      </c>
      <c r="F809" s="58">
        <v>37.79</v>
      </c>
      <c r="G809" s="58" t="s">
        <v>334</v>
      </c>
      <c r="H809" s="58">
        <v>38.402000000000001</v>
      </c>
      <c r="I809" s="58">
        <v>39.499000000000002</v>
      </c>
      <c r="J809" s="58">
        <v>40.262</v>
      </c>
      <c r="K809" s="58">
        <v>40.450000000000003</v>
      </c>
      <c r="L809" s="58" t="s">
        <v>334</v>
      </c>
      <c r="M809" s="59">
        <v>40.594999999999999</v>
      </c>
      <c r="N809" s="58"/>
    </row>
    <row r="810" spans="1:14" ht="18" customHeight="1">
      <c r="A810" s="57">
        <v>21</v>
      </c>
      <c r="B810" s="58">
        <v>38.293999999999997</v>
      </c>
      <c r="C810" s="58" t="s">
        <v>334</v>
      </c>
      <c r="D810" s="58" t="s">
        <v>334</v>
      </c>
      <c r="E810" s="58">
        <v>37.945999999999998</v>
      </c>
      <c r="F810" s="58">
        <v>37.878999999999998</v>
      </c>
      <c r="G810" s="58">
        <v>37.795000000000002</v>
      </c>
      <c r="H810" s="58">
        <v>38.319000000000003</v>
      </c>
      <c r="I810" s="58" t="s">
        <v>334</v>
      </c>
      <c r="J810" s="58">
        <v>40.148000000000003</v>
      </c>
      <c r="K810" s="58">
        <v>40.295000000000002</v>
      </c>
      <c r="L810" s="58" t="s">
        <v>334</v>
      </c>
      <c r="M810" s="59">
        <v>40.609000000000002</v>
      </c>
      <c r="N810" s="58"/>
    </row>
    <row r="811" spans="1:14" ht="18" customHeight="1">
      <c r="A811" s="57">
        <v>22</v>
      </c>
      <c r="B811" s="58">
        <v>38.24</v>
      </c>
      <c r="C811" s="58">
        <v>38.899000000000001</v>
      </c>
      <c r="D811" s="58">
        <v>38.755000000000003</v>
      </c>
      <c r="E811" s="58">
        <v>38.122999999999998</v>
      </c>
      <c r="F811" s="58" t="s">
        <v>334</v>
      </c>
      <c r="G811" s="58">
        <v>37.915999999999997</v>
      </c>
      <c r="H811" s="58">
        <v>38.432000000000002</v>
      </c>
      <c r="I811" s="58" t="s">
        <v>334</v>
      </c>
      <c r="J811" s="58">
        <v>40.197000000000003</v>
      </c>
      <c r="K811" s="58">
        <v>40.262</v>
      </c>
      <c r="L811" s="58">
        <v>40.453000000000003</v>
      </c>
      <c r="M811" s="59">
        <v>40.572000000000003</v>
      </c>
      <c r="N811" s="58"/>
    </row>
    <row r="812" spans="1:14" ht="18" customHeight="1">
      <c r="A812" s="57">
        <v>23</v>
      </c>
      <c r="B812" s="58" t="s">
        <v>334</v>
      </c>
      <c r="C812" s="58">
        <v>39.119</v>
      </c>
      <c r="D812" s="58">
        <v>38.725999999999999</v>
      </c>
      <c r="E812" s="58">
        <v>38.17</v>
      </c>
      <c r="F812" s="58" t="s">
        <v>334</v>
      </c>
      <c r="G812" s="58">
        <v>37.860999999999997</v>
      </c>
      <c r="H812" s="58">
        <v>38.435000000000002</v>
      </c>
      <c r="I812" s="58">
        <v>39.591999999999999</v>
      </c>
      <c r="J812" s="58">
        <v>40.256999999999998</v>
      </c>
      <c r="K812" s="58" t="s">
        <v>334</v>
      </c>
      <c r="L812" s="58">
        <v>40.634</v>
      </c>
      <c r="M812" s="59">
        <v>40.433999999999997</v>
      </c>
      <c r="N812" s="58"/>
    </row>
    <row r="813" spans="1:14" ht="18" customHeight="1">
      <c r="A813" s="57">
        <v>24</v>
      </c>
      <c r="B813" s="58" t="s">
        <v>334</v>
      </c>
      <c r="C813" s="58">
        <v>39.073</v>
      </c>
      <c r="D813" s="58">
        <v>38.790999999999997</v>
      </c>
      <c r="E813" s="58" t="s">
        <v>334</v>
      </c>
      <c r="F813" s="58">
        <v>37.857999999999997</v>
      </c>
      <c r="G813" s="58">
        <v>37.774999999999999</v>
      </c>
      <c r="H813" s="58" t="s">
        <v>334</v>
      </c>
      <c r="I813" s="58">
        <v>39.542999999999999</v>
      </c>
      <c r="J813" s="58">
        <v>40.488</v>
      </c>
      <c r="K813" s="58" t="s">
        <v>334</v>
      </c>
      <c r="L813" s="58">
        <v>40.715000000000003</v>
      </c>
      <c r="M813" s="59">
        <v>40.31</v>
      </c>
      <c r="N813" s="58"/>
    </row>
    <row r="814" spans="1:14" ht="18" customHeight="1">
      <c r="A814" s="57">
        <v>25</v>
      </c>
      <c r="B814" s="58">
        <v>38.502000000000002</v>
      </c>
      <c r="C814" s="58">
        <v>38.993000000000002</v>
      </c>
      <c r="D814" s="58">
        <v>38.707000000000001</v>
      </c>
      <c r="E814" s="58" t="s">
        <v>334</v>
      </c>
      <c r="F814" s="58">
        <v>37.82</v>
      </c>
      <c r="G814" s="58">
        <v>37.856999999999999</v>
      </c>
      <c r="H814" s="58" t="s">
        <v>334</v>
      </c>
      <c r="I814" s="58">
        <v>39.734999999999999</v>
      </c>
      <c r="J814" s="58" t="s">
        <v>334</v>
      </c>
      <c r="K814" s="58">
        <v>40.134999999999998</v>
      </c>
      <c r="L814" s="58">
        <v>40.612000000000002</v>
      </c>
      <c r="M814" s="59" t="s">
        <v>334</v>
      </c>
      <c r="N814" s="58"/>
    </row>
    <row r="815" spans="1:14" ht="18" customHeight="1">
      <c r="A815" s="57">
        <v>26</v>
      </c>
      <c r="B815" s="58">
        <v>38.869</v>
      </c>
      <c r="C815" s="58">
        <v>39.097999999999999</v>
      </c>
      <c r="D815" s="58">
        <v>38.720999999999997</v>
      </c>
      <c r="E815" s="58">
        <v>38.012999999999998</v>
      </c>
      <c r="F815" s="58">
        <v>37.832999999999998</v>
      </c>
      <c r="G815" s="58" t="s">
        <v>334</v>
      </c>
      <c r="H815" s="58">
        <v>38.420999999999999</v>
      </c>
      <c r="I815" s="58">
        <v>39.811999999999998</v>
      </c>
      <c r="J815" s="58" t="s">
        <v>334</v>
      </c>
      <c r="K815" s="58">
        <v>40.103999999999999</v>
      </c>
      <c r="L815" s="58">
        <v>40.789000000000001</v>
      </c>
      <c r="M815" s="59" t="s">
        <v>334</v>
      </c>
      <c r="N815" s="58"/>
    </row>
    <row r="816" spans="1:14" ht="18" customHeight="1">
      <c r="A816" s="57">
        <v>27</v>
      </c>
      <c r="B816" s="58">
        <v>38.558</v>
      </c>
      <c r="C816" s="58" t="s">
        <v>334</v>
      </c>
      <c r="D816" s="58" t="s">
        <v>334</v>
      </c>
      <c r="E816" s="58">
        <v>37.988</v>
      </c>
      <c r="F816" s="58">
        <v>38.061</v>
      </c>
      <c r="G816" s="58" t="s">
        <v>334</v>
      </c>
      <c r="H816" s="58">
        <v>38.299999999999997</v>
      </c>
      <c r="I816" s="58">
        <v>39.758000000000003</v>
      </c>
      <c r="J816" s="58">
        <v>40.921999999999997</v>
      </c>
      <c r="K816" s="58">
        <v>40.116999999999997</v>
      </c>
      <c r="L816" s="58" t="s">
        <v>334</v>
      </c>
      <c r="M816" s="59">
        <v>40.198</v>
      </c>
      <c r="N816" s="58"/>
    </row>
    <row r="817" spans="1:15" ht="18" customHeight="1">
      <c r="A817" s="57">
        <v>28</v>
      </c>
      <c r="B817" s="58">
        <v>38.465000000000003</v>
      </c>
      <c r="C817" s="58" t="s">
        <v>334</v>
      </c>
      <c r="D817" s="58" t="s">
        <v>334</v>
      </c>
      <c r="E817" s="58">
        <v>38.045000000000002</v>
      </c>
      <c r="F817" s="58">
        <v>38.021000000000001</v>
      </c>
      <c r="G817" s="58">
        <v>37.966999999999999</v>
      </c>
      <c r="H817" s="58">
        <v>38.273000000000003</v>
      </c>
      <c r="I817" s="58" t="s">
        <v>334</v>
      </c>
      <c r="J817" s="58">
        <v>40.713000000000001</v>
      </c>
      <c r="K817" s="58">
        <v>40.008000000000003</v>
      </c>
      <c r="L817" s="58" t="s">
        <v>334</v>
      </c>
      <c r="M817" s="59">
        <v>40.151000000000003</v>
      </c>
      <c r="N817" s="58"/>
    </row>
    <row r="818" spans="1:15" ht="18" customHeight="1">
      <c r="A818" s="57">
        <v>29</v>
      </c>
      <c r="B818" s="58">
        <v>38.716999999999999</v>
      </c>
      <c r="C818" s="58" t="s">
        <v>335</v>
      </c>
      <c r="D818" s="58">
        <v>38.761000000000003</v>
      </c>
      <c r="E818" s="58">
        <v>38.005000000000003</v>
      </c>
      <c r="F818" s="58" t="s">
        <v>334</v>
      </c>
      <c r="G818" s="58">
        <v>37.92</v>
      </c>
      <c r="H818" s="58">
        <v>38.231999999999999</v>
      </c>
      <c r="I818" s="58" t="s">
        <v>334</v>
      </c>
      <c r="J818" s="58">
        <v>40.982999999999997</v>
      </c>
      <c r="K818" s="58">
        <v>40.158000000000001</v>
      </c>
      <c r="L818" s="58">
        <v>40.786999999999999</v>
      </c>
      <c r="M818" s="59">
        <v>40.313000000000002</v>
      </c>
      <c r="N818" s="58"/>
    </row>
    <row r="819" spans="1:15" ht="18" customHeight="1">
      <c r="A819" s="57">
        <v>30</v>
      </c>
      <c r="B819" s="58" t="s">
        <v>334</v>
      </c>
      <c r="C819" s="58" t="s">
        <v>335</v>
      </c>
      <c r="D819" s="58">
        <v>38.844000000000001</v>
      </c>
      <c r="E819" s="58">
        <v>38.018000000000001</v>
      </c>
      <c r="F819" s="58" t="s">
        <v>334</v>
      </c>
      <c r="G819" s="58">
        <v>38.018999999999998</v>
      </c>
      <c r="H819" s="58">
        <v>38.244999999999997</v>
      </c>
      <c r="I819" s="58">
        <v>39.783999999999999</v>
      </c>
      <c r="J819" s="58">
        <v>41.112000000000002</v>
      </c>
      <c r="K819" s="58" t="s">
        <v>334</v>
      </c>
      <c r="L819" s="58" t="s">
        <v>334</v>
      </c>
      <c r="M819" s="59" t="s">
        <v>334</v>
      </c>
      <c r="N819" s="58"/>
    </row>
    <row r="820" spans="1:15" ht="18" customHeight="1">
      <c r="A820" s="57">
        <v>31</v>
      </c>
      <c r="B820" s="58" t="s">
        <v>334</v>
      </c>
      <c r="C820" s="58" t="s">
        <v>335</v>
      </c>
      <c r="D820" s="58">
        <v>38.765999999999998</v>
      </c>
      <c r="E820" s="58" t="s">
        <v>335</v>
      </c>
      <c r="F820" s="58">
        <v>38.094999999999999</v>
      </c>
      <c r="G820" s="58" t="s">
        <v>335</v>
      </c>
      <c r="H820" s="58" t="s">
        <v>334</v>
      </c>
      <c r="I820" s="58">
        <v>39.670999999999999</v>
      </c>
      <c r="J820" s="58" t="s">
        <v>335</v>
      </c>
      <c r="K820" s="58" t="s">
        <v>334</v>
      </c>
      <c r="L820" s="58" t="s">
        <v>335</v>
      </c>
      <c r="M820" s="59" t="s">
        <v>334</v>
      </c>
      <c r="N820" s="58"/>
    </row>
    <row r="821" spans="1:15" ht="18" customHeight="1" thickBot="1">
      <c r="A821" s="76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8"/>
      <c r="N821" s="58"/>
    </row>
    <row r="822" spans="1:15" ht="18" customHeight="1">
      <c r="A822" s="618">
        <v>1998</v>
      </c>
      <c r="B822" s="619"/>
      <c r="C822" s="619"/>
      <c r="D822" s="619"/>
      <c r="E822" s="619"/>
      <c r="F822" s="619"/>
      <c r="G822" s="619"/>
      <c r="H822" s="619"/>
      <c r="I822" s="619"/>
      <c r="J822" s="619"/>
      <c r="K822" s="619"/>
      <c r="L822" s="619"/>
      <c r="M822" s="620"/>
      <c r="N822" s="52"/>
    </row>
    <row r="823" spans="1:15" ht="18" customHeight="1" thickBot="1">
      <c r="A823" s="63" t="s">
        <v>322</v>
      </c>
      <c r="B823" s="64" t="s">
        <v>323</v>
      </c>
      <c r="C823" s="64" t="s">
        <v>324</v>
      </c>
      <c r="D823" s="64" t="s">
        <v>325</v>
      </c>
      <c r="E823" s="64" t="s">
        <v>326</v>
      </c>
      <c r="F823" s="64" t="s">
        <v>236</v>
      </c>
      <c r="G823" s="64" t="s">
        <v>327</v>
      </c>
      <c r="H823" s="64" t="s">
        <v>328</v>
      </c>
      <c r="I823" s="64" t="s">
        <v>329</v>
      </c>
      <c r="J823" s="64" t="s">
        <v>330</v>
      </c>
      <c r="K823" s="64" t="s">
        <v>331</v>
      </c>
      <c r="L823" s="64" t="s">
        <v>332</v>
      </c>
      <c r="M823" s="65" t="s">
        <v>333</v>
      </c>
      <c r="N823" s="52"/>
    </row>
    <row r="824" spans="1:15" ht="18" customHeight="1">
      <c r="A824" s="54">
        <v>1</v>
      </c>
      <c r="B824" s="55" t="s">
        <v>334</v>
      </c>
      <c r="C824" s="55" t="s">
        <v>334</v>
      </c>
      <c r="D824" s="55" t="s">
        <v>334</v>
      </c>
      <c r="E824" s="55">
        <v>37.817</v>
      </c>
      <c r="F824" s="55" t="s">
        <v>334</v>
      </c>
      <c r="G824" s="55">
        <v>39.127000000000002</v>
      </c>
      <c r="H824" s="55">
        <v>42.036000000000001</v>
      </c>
      <c r="I824" s="55" t="s">
        <v>334</v>
      </c>
      <c r="J824" s="55">
        <v>43.923000000000002</v>
      </c>
      <c r="K824" s="55">
        <v>44.027000000000001</v>
      </c>
      <c r="L824" s="70" t="s">
        <v>334</v>
      </c>
      <c r="M824" s="71">
        <v>39.512</v>
      </c>
      <c r="N824" s="83">
        <v>1998</v>
      </c>
      <c r="O824" s="47">
        <f>AVERAGE(B824:M854)</f>
        <v>40.94588709677415</v>
      </c>
    </row>
    <row r="825" spans="1:15" ht="18" customHeight="1">
      <c r="A825" s="57">
        <v>2</v>
      </c>
      <c r="B825" s="58">
        <v>40.116</v>
      </c>
      <c r="C825" s="58">
        <v>42.686999999999998</v>
      </c>
      <c r="D825" s="58">
        <v>39.906999999999996</v>
      </c>
      <c r="E825" s="58">
        <v>38.229999999999997</v>
      </c>
      <c r="F825" s="58" t="s">
        <v>334</v>
      </c>
      <c r="G825" s="58">
        <v>39.072000000000003</v>
      </c>
      <c r="H825" s="58">
        <v>41.527999999999999</v>
      </c>
      <c r="I825" s="58" t="s">
        <v>334</v>
      </c>
      <c r="J825" s="58">
        <v>43.531999999999996</v>
      </c>
      <c r="K825" s="58">
        <v>43.973999999999997</v>
      </c>
      <c r="L825" s="72" t="s">
        <v>334</v>
      </c>
      <c r="M825" s="73">
        <v>39.341999999999999</v>
      </c>
      <c r="N825" s="58"/>
    </row>
    <row r="826" spans="1:15" ht="18" customHeight="1">
      <c r="A826" s="57">
        <v>3</v>
      </c>
      <c r="B826" s="58" t="s">
        <v>334</v>
      </c>
      <c r="C826" s="58">
        <v>41.923999999999999</v>
      </c>
      <c r="D826" s="58">
        <v>39.691000000000003</v>
      </c>
      <c r="E826" s="58">
        <v>38.75</v>
      </c>
      <c r="F826" s="58" t="s">
        <v>334</v>
      </c>
      <c r="G826" s="58">
        <v>39.396000000000001</v>
      </c>
      <c r="H826" s="58">
        <v>41.31</v>
      </c>
      <c r="I826" s="58">
        <v>42.08</v>
      </c>
      <c r="J826" s="58">
        <v>43.067</v>
      </c>
      <c r="K826" s="58" t="s">
        <v>334</v>
      </c>
      <c r="L826" s="72">
        <v>40.398000000000003</v>
      </c>
      <c r="M826" s="73">
        <v>39.100999999999999</v>
      </c>
      <c r="N826" s="58"/>
    </row>
    <row r="827" spans="1:15" ht="18" customHeight="1">
      <c r="A827" s="57">
        <v>4</v>
      </c>
      <c r="B827" s="58" t="s">
        <v>334</v>
      </c>
      <c r="C827" s="58">
        <v>40.133000000000003</v>
      </c>
      <c r="D827" s="58">
        <v>39.578000000000003</v>
      </c>
      <c r="E827" s="58" t="s">
        <v>334</v>
      </c>
      <c r="F827" s="58">
        <v>40.177999999999997</v>
      </c>
      <c r="G827" s="58">
        <v>38.942</v>
      </c>
      <c r="H827" s="58" t="s">
        <v>334</v>
      </c>
      <c r="I827" s="58">
        <v>42.082000000000001</v>
      </c>
      <c r="J827" s="58">
        <v>43.506</v>
      </c>
      <c r="K827" s="58" t="s">
        <v>334</v>
      </c>
      <c r="L827" s="58">
        <v>39.906999999999996</v>
      </c>
      <c r="M827" s="59">
        <v>38.795000000000002</v>
      </c>
      <c r="N827" s="58"/>
    </row>
    <row r="828" spans="1:15" ht="18" customHeight="1">
      <c r="A828" s="57">
        <v>5</v>
      </c>
      <c r="B828" s="58">
        <v>41.078000000000003</v>
      </c>
      <c r="C828" s="58">
        <v>40.116999999999997</v>
      </c>
      <c r="D828" s="58">
        <v>39.963000000000001</v>
      </c>
      <c r="E828" s="58" t="s">
        <v>334</v>
      </c>
      <c r="F828" s="58">
        <v>39.988999999999997</v>
      </c>
      <c r="G828" s="58">
        <v>39.097999999999999</v>
      </c>
      <c r="H828" s="58" t="s">
        <v>334</v>
      </c>
      <c r="I828" s="58">
        <v>42.128</v>
      </c>
      <c r="J828" s="58" t="s">
        <v>334</v>
      </c>
      <c r="K828" s="58">
        <v>43.875999999999998</v>
      </c>
      <c r="L828" s="58">
        <v>39.380000000000003</v>
      </c>
      <c r="M828" s="59" t="s">
        <v>334</v>
      </c>
      <c r="N828" s="58"/>
    </row>
    <row r="829" spans="1:15" ht="18" customHeight="1">
      <c r="A829" s="57">
        <v>6</v>
      </c>
      <c r="B829" s="58">
        <v>41.738</v>
      </c>
      <c r="C829" s="58">
        <v>40.613999999999997</v>
      </c>
      <c r="D829" s="58">
        <v>40.015000000000001</v>
      </c>
      <c r="E829" s="58">
        <v>39.078000000000003</v>
      </c>
      <c r="F829" s="58">
        <v>39.073999999999998</v>
      </c>
      <c r="G829" s="58" t="s">
        <v>334</v>
      </c>
      <c r="H829" s="58">
        <v>41.305999999999997</v>
      </c>
      <c r="I829" s="58">
        <v>42.127000000000002</v>
      </c>
      <c r="J829" s="58" t="s">
        <v>334</v>
      </c>
      <c r="K829" s="58">
        <v>43.905999999999999</v>
      </c>
      <c r="L829" s="58">
        <v>39.585000000000001</v>
      </c>
      <c r="M829" s="59" t="s">
        <v>334</v>
      </c>
      <c r="N829" s="58"/>
    </row>
    <row r="830" spans="1:15" ht="18" customHeight="1">
      <c r="A830" s="57">
        <v>7</v>
      </c>
      <c r="B830" s="58">
        <v>44.893999999999998</v>
      </c>
      <c r="C830" s="58" t="s">
        <v>334</v>
      </c>
      <c r="D830" s="58" t="s">
        <v>334</v>
      </c>
      <c r="E830" s="58">
        <v>38.488</v>
      </c>
      <c r="F830" s="58">
        <v>39.387</v>
      </c>
      <c r="G830" s="58" t="s">
        <v>334</v>
      </c>
      <c r="H830" s="58">
        <v>41.41</v>
      </c>
      <c r="I830" s="58">
        <v>42.343000000000004</v>
      </c>
      <c r="J830" s="58">
        <v>43.488999999999997</v>
      </c>
      <c r="K830" s="58">
        <v>43.777999999999999</v>
      </c>
      <c r="L830" s="58" t="s">
        <v>334</v>
      </c>
      <c r="M830" s="59">
        <v>38.880000000000003</v>
      </c>
      <c r="N830" s="58"/>
    </row>
    <row r="831" spans="1:15" ht="18" customHeight="1">
      <c r="A831" s="57">
        <v>8</v>
      </c>
      <c r="B831" s="58">
        <v>45.42</v>
      </c>
      <c r="C831" s="58" t="s">
        <v>334</v>
      </c>
      <c r="D831" s="58" t="s">
        <v>334</v>
      </c>
      <c r="E831" s="58">
        <v>37.770000000000003</v>
      </c>
      <c r="F831" s="58">
        <v>40.424999999999997</v>
      </c>
      <c r="G831" s="58">
        <v>39.154000000000003</v>
      </c>
      <c r="H831" s="58">
        <v>41.37</v>
      </c>
      <c r="I831" s="58" t="s">
        <v>334</v>
      </c>
      <c r="J831" s="58">
        <v>43.35</v>
      </c>
      <c r="K831" s="58">
        <v>43.643000000000001</v>
      </c>
      <c r="L831" s="58" t="s">
        <v>334</v>
      </c>
      <c r="M831" s="59">
        <v>39.313000000000002</v>
      </c>
      <c r="N831" s="58"/>
    </row>
    <row r="832" spans="1:15" ht="18" customHeight="1">
      <c r="A832" s="57">
        <v>9</v>
      </c>
      <c r="B832" s="58">
        <v>44.981999999999999</v>
      </c>
      <c r="C832" s="58">
        <v>40.901000000000003</v>
      </c>
      <c r="D832" s="58">
        <v>40.505000000000003</v>
      </c>
      <c r="E832" s="58" t="s">
        <v>334</v>
      </c>
      <c r="F832" s="58" t="s">
        <v>334</v>
      </c>
      <c r="G832" s="58">
        <v>39.649000000000001</v>
      </c>
      <c r="H832" s="58">
        <v>41.396999999999998</v>
      </c>
      <c r="I832" s="58" t="s">
        <v>334</v>
      </c>
      <c r="J832" s="58">
        <v>43.395000000000003</v>
      </c>
      <c r="K832" s="58">
        <v>43.405999999999999</v>
      </c>
      <c r="L832" s="58">
        <v>40.046999999999997</v>
      </c>
      <c r="M832" s="59">
        <v>38.982999999999997</v>
      </c>
      <c r="N832" s="58"/>
    </row>
    <row r="833" spans="1:14" ht="18" customHeight="1">
      <c r="A833" s="57">
        <v>10</v>
      </c>
      <c r="B833" s="58" t="s">
        <v>334</v>
      </c>
      <c r="C833" s="58">
        <v>40.125</v>
      </c>
      <c r="D833" s="58">
        <v>40.200000000000003</v>
      </c>
      <c r="E833" s="58" t="s">
        <v>334</v>
      </c>
      <c r="F833" s="58" t="s">
        <v>334</v>
      </c>
      <c r="G833" s="58">
        <v>39.47</v>
      </c>
      <c r="H833" s="58">
        <v>41.685000000000002</v>
      </c>
      <c r="I833" s="58">
        <v>42.915999999999997</v>
      </c>
      <c r="J833" s="58">
        <v>43.537999999999997</v>
      </c>
      <c r="K833" s="58" t="s">
        <v>334</v>
      </c>
      <c r="L833" s="58">
        <v>39.844999999999999</v>
      </c>
      <c r="M833" s="59">
        <v>38.682000000000002</v>
      </c>
      <c r="N833" s="58"/>
    </row>
    <row r="834" spans="1:14" ht="18" customHeight="1">
      <c r="A834" s="57">
        <v>11</v>
      </c>
      <c r="B834" s="58" t="s">
        <v>334</v>
      </c>
      <c r="C834" s="58">
        <v>39.369</v>
      </c>
      <c r="D834" s="58">
        <v>39.933</v>
      </c>
      <c r="E834" s="58" t="s">
        <v>334</v>
      </c>
      <c r="F834" s="58" t="s">
        <v>334</v>
      </c>
      <c r="G834" s="58">
        <v>39.774999999999999</v>
      </c>
      <c r="H834" s="58" t="s">
        <v>334</v>
      </c>
      <c r="I834" s="58">
        <v>44.134999999999998</v>
      </c>
      <c r="J834" s="58">
        <v>43.935000000000002</v>
      </c>
      <c r="K834" s="58" t="s">
        <v>334</v>
      </c>
      <c r="L834" s="58">
        <v>40.491999999999997</v>
      </c>
      <c r="M834" s="59">
        <v>38.723999999999997</v>
      </c>
      <c r="N834" s="58"/>
    </row>
    <row r="835" spans="1:14" ht="18" customHeight="1">
      <c r="A835" s="57">
        <v>12</v>
      </c>
      <c r="B835" s="58">
        <v>44.558</v>
      </c>
      <c r="C835" s="58">
        <v>38.29</v>
      </c>
      <c r="D835" s="58">
        <v>39.823999999999998</v>
      </c>
      <c r="E835" s="58" t="s">
        <v>334</v>
      </c>
      <c r="F835" s="58">
        <v>39.561</v>
      </c>
      <c r="G835" s="58" t="s">
        <v>334</v>
      </c>
      <c r="H835" s="58" t="s">
        <v>334</v>
      </c>
      <c r="I835" s="58">
        <v>43.968000000000004</v>
      </c>
      <c r="J835" s="58" t="s">
        <v>334</v>
      </c>
      <c r="K835" s="58">
        <v>43.055999999999997</v>
      </c>
      <c r="L835" s="58">
        <v>40.744</v>
      </c>
      <c r="M835" s="59" t="s">
        <v>334</v>
      </c>
      <c r="N835" s="58"/>
    </row>
    <row r="836" spans="1:14" ht="18" customHeight="1">
      <c r="A836" s="57">
        <v>13</v>
      </c>
      <c r="B836" s="58">
        <v>44.073</v>
      </c>
      <c r="C836" s="58">
        <v>39.805</v>
      </c>
      <c r="D836" s="58">
        <v>39.89</v>
      </c>
      <c r="E836" s="58">
        <v>38.170999999999999</v>
      </c>
      <c r="F836" s="58">
        <v>38.673000000000002</v>
      </c>
      <c r="G836" s="58" t="s">
        <v>334</v>
      </c>
      <c r="H836" s="58">
        <v>42.119</v>
      </c>
      <c r="I836" s="58">
        <v>43.393000000000001</v>
      </c>
      <c r="J836" s="58" t="s">
        <v>334</v>
      </c>
      <c r="K836" s="58">
        <v>43.018000000000001</v>
      </c>
      <c r="L836" s="58">
        <v>40.362000000000002</v>
      </c>
      <c r="M836" s="59" t="s">
        <v>334</v>
      </c>
      <c r="N836" s="58"/>
    </row>
    <row r="837" spans="1:14" ht="18" customHeight="1">
      <c r="A837" s="57">
        <v>14</v>
      </c>
      <c r="B837" s="58">
        <v>43.610999999999997</v>
      </c>
      <c r="C837" s="58" t="s">
        <v>334</v>
      </c>
      <c r="D837" s="58" t="s">
        <v>334</v>
      </c>
      <c r="E837" s="58">
        <v>37.606999999999999</v>
      </c>
      <c r="F837" s="58">
        <v>39.445999999999998</v>
      </c>
      <c r="G837" s="58" t="s">
        <v>334</v>
      </c>
      <c r="H837" s="58">
        <v>42.218000000000004</v>
      </c>
      <c r="I837" s="58">
        <v>43.456000000000003</v>
      </c>
      <c r="J837" s="58">
        <v>43.728000000000002</v>
      </c>
      <c r="K837" s="58">
        <v>43.133000000000003</v>
      </c>
      <c r="L837" s="58" t="s">
        <v>334</v>
      </c>
      <c r="M837" s="59">
        <v>39.003999999999998</v>
      </c>
      <c r="N837" s="58"/>
    </row>
    <row r="838" spans="1:14" ht="18" customHeight="1">
      <c r="A838" s="57">
        <v>15</v>
      </c>
      <c r="B838" s="58">
        <v>42.622</v>
      </c>
      <c r="C838" s="58" t="s">
        <v>334</v>
      </c>
      <c r="D838" s="58" t="s">
        <v>334</v>
      </c>
      <c r="E838" s="58">
        <v>38.106000000000002</v>
      </c>
      <c r="F838" s="58">
        <v>39.552999999999997</v>
      </c>
      <c r="G838" s="58">
        <v>40.319000000000003</v>
      </c>
      <c r="H838" s="58">
        <v>41.862000000000002</v>
      </c>
      <c r="I838" s="58" t="s">
        <v>334</v>
      </c>
      <c r="J838" s="58">
        <v>43.723999999999997</v>
      </c>
      <c r="K838" s="58">
        <v>43.287999999999997</v>
      </c>
      <c r="L838" s="58" t="s">
        <v>334</v>
      </c>
      <c r="M838" s="59">
        <v>38.956000000000003</v>
      </c>
      <c r="N838" s="58"/>
    </row>
    <row r="839" spans="1:14" ht="18" customHeight="1">
      <c r="A839" s="57">
        <v>16</v>
      </c>
      <c r="B839" s="58">
        <v>41.570999999999998</v>
      </c>
      <c r="C839" s="58">
        <v>41.031999999999996</v>
      </c>
      <c r="D839" s="58">
        <v>39.781999999999996</v>
      </c>
      <c r="E839" s="58">
        <v>38.148000000000003</v>
      </c>
      <c r="F839" s="58" t="s">
        <v>334</v>
      </c>
      <c r="G839" s="58">
        <v>41.566000000000003</v>
      </c>
      <c r="H839" s="58">
        <v>41.701999999999998</v>
      </c>
      <c r="I839" s="58" t="s">
        <v>334</v>
      </c>
      <c r="J839" s="58">
        <v>43.616</v>
      </c>
      <c r="K839" s="58">
        <v>43.23</v>
      </c>
      <c r="L839" s="58">
        <v>40.640999999999998</v>
      </c>
      <c r="M839" s="59">
        <v>38.982999999999997</v>
      </c>
      <c r="N839" s="58"/>
    </row>
    <row r="840" spans="1:14" ht="18" customHeight="1">
      <c r="A840" s="57">
        <v>17</v>
      </c>
      <c r="B840" s="58" t="s">
        <v>334</v>
      </c>
      <c r="C840" s="58">
        <v>40.86</v>
      </c>
      <c r="D840" s="58">
        <v>39.354999999999997</v>
      </c>
      <c r="E840" s="58">
        <v>38.249000000000002</v>
      </c>
      <c r="F840" s="58" t="s">
        <v>334</v>
      </c>
      <c r="G840" s="58">
        <v>41.771999999999998</v>
      </c>
      <c r="H840" s="58">
        <v>41.661999999999999</v>
      </c>
      <c r="I840" s="58">
        <v>43.198999999999998</v>
      </c>
      <c r="J840" s="58">
        <v>43.746000000000002</v>
      </c>
      <c r="K840" s="58" t="s">
        <v>334</v>
      </c>
      <c r="L840" s="58">
        <v>40.286000000000001</v>
      </c>
      <c r="M840" s="59">
        <v>39.24</v>
      </c>
      <c r="N840" s="58"/>
    </row>
    <row r="841" spans="1:14" ht="18" customHeight="1">
      <c r="A841" s="57">
        <v>18</v>
      </c>
      <c r="B841" s="58" t="s">
        <v>334</v>
      </c>
      <c r="C841" s="58">
        <v>40.655000000000001</v>
      </c>
      <c r="D841" s="58">
        <v>39.326999999999998</v>
      </c>
      <c r="E841" s="58" t="s">
        <v>334</v>
      </c>
      <c r="F841" s="58">
        <v>39.537999999999997</v>
      </c>
      <c r="G841" s="58">
        <v>41.716999999999999</v>
      </c>
      <c r="H841" s="58" t="s">
        <v>334</v>
      </c>
      <c r="I841" s="58">
        <v>43.243000000000002</v>
      </c>
      <c r="J841" s="58">
        <v>43.78</v>
      </c>
      <c r="K841" s="58" t="s">
        <v>334</v>
      </c>
      <c r="L841" s="58">
        <v>39.856999999999999</v>
      </c>
      <c r="M841" s="59">
        <v>39.51</v>
      </c>
      <c r="N841" s="58"/>
    </row>
    <row r="842" spans="1:14" ht="18" customHeight="1">
      <c r="A842" s="57">
        <v>19</v>
      </c>
      <c r="B842" s="58">
        <v>41.351999999999997</v>
      </c>
      <c r="C842" s="58">
        <v>40.244</v>
      </c>
      <c r="D842" s="58">
        <v>39.270000000000003</v>
      </c>
      <c r="E842" s="58" t="s">
        <v>334</v>
      </c>
      <c r="F842" s="58">
        <v>39.819000000000003</v>
      </c>
      <c r="G842" s="58">
        <v>40.424999999999997</v>
      </c>
      <c r="H842" s="58" t="s">
        <v>334</v>
      </c>
      <c r="I842" s="58">
        <v>43.027999999999999</v>
      </c>
      <c r="J842" s="58" t="s">
        <v>334</v>
      </c>
      <c r="K842" s="58">
        <v>42.987000000000002</v>
      </c>
      <c r="L842" s="58">
        <v>39.947000000000003</v>
      </c>
      <c r="M842" s="59" t="s">
        <v>334</v>
      </c>
      <c r="N842" s="58"/>
    </row>
    <row r="843" spans="1:14" ht="18" customHeight="1">
      <c r="A843" s="57">
        <v>20</v>
      </c>
      <c r="B843" s="58">
        <v>41</v>
      </c>
      <c r="C843" s="58">
        <v>39.729999999999997</v>
      </c>
      <c r="D843" s="58">
        <v>38.719000000000001</v>
      </c>
      <c r="E843" s="58">
        <v>38.277999999999999</v>
      </c>
      <c r="F843" s="58">
        <v>39.625999999999998</v>
      </c>
      <c r="G843" s="58" t="s">
        <v>334</v>
      </c>
      <c r="H843" s="58">
        <v>41.392000000000003</v>
      </c>
      <c r="I843" s="58">
        <v>42.844999999999999</v>
      </c>
      <c r="J843" s="58" t="s">
        <v>334</v>
      </c>
      <c r="K843" s="58">
        <v>42.761000000000003</v>
      </c>
      <c r="L843" s="58">
        <v>39.869</v>
      </c>
      <c r="M843" s="59" t="s">
        <v>334</v>
      </c>
      <c r="N843" s="58"/>
    </row>
    <row r="844" spans="1:14" ht="18" customHeight="1">
      <c r="A844" s="57">
        <v>21</v>
      </c>
      <c r="B844" s="58">
        <v>40.954000000000001</v>
      </c>
      <c r="C844" s="58" t="s">
        <v>334</v>
      </c>
      <c r="D844" s="58" t="s">
        <v>334</v>
      </c>
      <c r="E844" s="58">
        <v>38.156999999999996</v>
      </c>
      <c r="F844" s="58">
        <v>39.009</v>
      </c>
      <c r="G844" s="58" t="s">
        <v>334</v>
      </c>
      <c r="H844" s="58">
        <v>41.718000000000004</v>
      </c>
      <c r="I844" s="58">
        <v>42.691000000000003</v>
      </c>
      <c r="J844" s="58">
        <v>43.890999999999998</v>
      </c>
      <c r="K844" s="58">
        <v>42.923000000000002</v>
      </c>
      <c r="L844" s="58" t="s">
        <v>334</v>
      </c>
      <c r="M844" s="59">
        <v>39.351999999999997</v>
      </c>
      <c r="N844" s="58"/>
    </row>
    <row r="845" spans="1:14" ht="18" customHeight="1">
      <c r="A845" s="57">
        <v>22</v>
      </c>
      <c r="B845" s="58">
        <v>41.222999999999999</v>
      </c>
      <c r="C845" s="58" t="s">
        <v>334</v>
      </c>
      <c r="D845" s="58" t="s">
        <v>334</v>
      </c>
      <c r="E845" s="58">
        <v>38.103000000000002</v>
      </c>
      <c r="F845" s="58">
        <v>38.686999999999998</v>
      </c>
      <c r="G845" s="58">
        <v>40.898000000000003</v>
      </c>
      <c r="H845" s="58">
        <v>41.777999999999999</v>
      </c>
      <c r="I845" s="58" t="s">
        <v>334</v>
      </c>
      <c r="J845" s="58">
        <v>44.154000000000003</v>
      </c>
      <c r="K845" s="58" t="s">
        <v>334</v>
      </c>
      <c r="L845" s="58" t="s">
        <v>334</v>
      </c>
      <c r="M845" s="59">
        <v>38.984999999999999</v>
      </c>
      <c r="N845" s="58"/>
    </row>
    <row r="846" spans="1:14" ht="18" customHeight="1">
      <c r="A846" s="57">
        <v>23</v>
      </c>
      <c r="B846" s="58">
        <v>42.16</v>
      </c>
      <c r="C846" s="58">
        <v>40.335999999999999</v>
      </c>
      <c r="D846" s="58">
        <v>37.729999999999997</v>
      </c>
      <c r="E846" s="58">
        <v>38.192</v>
      </c>
      <c r="F846" s="58" t="s">
        <v>334</v>
      </c>
      <c r="G846" s="58">
        <v>41.234999999999999</v>
      </c>
      <c r="H846" s="58">
        <v>42.051000000000002</v>
      </c>
      <c r="I846" s="58" t="s">
        <v>334</v>
      </c>
      <c r="J846" s="58">
        <v>44.395000000000003</v>
      </c>
      <c r="K846" s="58">
        <v>42.753999999999998</v>
      </c>
      <c r="L846" s="58">
        <v>39.567</v>
      </c>
      <c r="M846" s="59">
        <v>39.084000000000003</v>
      </c>
      <c r="N846" s="58"/>
    </row>
    <row r="847" spans="1:14" ht="18" customHeight="1">
      <c r="A847" s="57">
        <v>24</v>
      </c>
      <c r="B847" s="58" t="s">
        <v>334</v>
      </c>
      <c r="C847" s="58">
        <v>40.643000000000001</v>
      </c>
      <c r="D847" s="58">
        <v>37.747999999999998</v>
      </c>
      <c r="E847" s="58">
        <v>38.387</v>
      </c>
      <c r="F847" s="58" t="s">
        <v>334</v>
      </c>
      <c r="G847" s="58">
        <v>41.329000000000001</v>
      </c>
      <c r="H847" s="58">
        <v>42.045000000000002</v>
      </c>
      <c r="I847" s="58">
        <v>42.654000000000003</v>
      </c>
      <c r="J847" s="58">
        <v>44.566000000000003</v>
      </c>
      <c r="K847" s="58" t="s">
        <v>334</v>
      </c>
      <c r="L847" s="58">
        <v>39.551000000000002</v>
      </c>
      <c r="M847" s="59">
        <v>38.988999999999997</v>
      </c>
      <c r="N847" s="58"/>
    </row>
    <row r="848" spans="1:14" ht="18" customHeight="1">
      <c r="A848" s="57">
        <v>25</v>
      </c>
      <c r="B848" s="58" t="s">
        <v>334</v>
      </c>
      <c r="C848" s="58">
        <v>40.398000000000003</v>
      </c>
      <c r="D848" s="58">
        <v>37.350999999999999</v>
      </c>
      <c r="E848" s="58" t="s">
        <v>334</v>
      </c>
      <c r="F848" s="58">
        <v>38.750999999999998</v>
      </c>
      <c r="G848" s="58">
        <v>41.442999999999998</v>
      </c>
      <c r="H848" s="58" t="s">
        <v>334</v>
      </c>
      <c r="I848" s="58">
        <v>43.173000000000002</v>
      </c>
      <c r="J848" s="58">
        <v>44.366999999999997</v>
      </c>
      <c r="K848" s="58" t="s">
        <v>334</v>
      </c>
      <c r="L848" s="58">
        <v>39.606000000000002</v>
      </c>
      <c r="M848" s="59" t="s">
        <v>334</v>
      </c>
      <c r="N848" s="58"/>
    </row>
    <row r="849" spans="1:15" ht="18" customHeight="1">
      <c r="A849" s="57">
        <v>26</v>
      </c>
      <c r="B849" s="58">
        <v>43.96</v>
      </c>
      <c r="C849" s="58">
        <v>40.058999999999997</v>
      </c>
      <c r="D849" s="58">
        <v>36.988999999999997</v>
      </c>
      <c r="E849" s="58" t="s">
        <v>334</v>
      </c>
      <c r="F849" s="58">
        <v>38.658000000000001</v>
      </c>
      <c r="G849" s="58">
        <v>41.503</v>
      </c>
      <c r="H849" s="58" t="s">
        <v>334</v>
      </c>
      <c r="I849" s="58">
        <v>43.238999999999997</v>
      </c>
      <c r="J849" s="58" t="s">
        <v>334</v>
      </c>
      <c r="K849" s="58">
        <v>42.244999999999997</v>
      </c>
      <c r="L849" s="58">
        <v>39.381</v>
      </c>
      <c r="M849" s="59" t="s">
        <v>334</v>
      </c>
      <c r="N849" s="58"/>
    </row>
    <row r="850" spans="1:15" ht="18" customHeight="1">
      <c r="A850" s="57">
        <v>27</v>
      </c>
      <c r="B850" s="58">
        <v>43.573999999999998</v>
      </c>
      <c r="C850" s="58">
        <v>40.363999999999997</v>
      </c>
      <c r="D850" s="58">
        <v>37.444000000000003</v>
      </c>
      <c r="E850" s="58">
        <v>38.633000000000003</v>
      </c>
      <c r="F850" s="58">
        <v>38.747</v>
      </c>
      <c r="G850" s="58" t="s">
        <v>334</v>
      </c>
      <c r="H850" s="58">
        <v>42.124000000000002</v>
      </c>
      <c r="I850" s="58">
        <v>43.631999999999998</v>
      </c>
      <c r="J850" s="58" t="s">
        <v>334</v>
      </c>
      <c r="K850" s="58">
        <v>41.805999999999997</v>
      </c>
      <c r="L850" s="58">
        <v>39.462000000000003</v>
      </c>
      <c r="M850" s="59" t="s">
        <v>334</v>
      </c>
      <c r="N850" s="58"/>
    </row>
    <row r="851" spans="1:15" ht="18" customHeight="1">
      <c r="A851" s="57">
        <v>28</v>
      </c>
      <c r="B851" s="58">
        <v>42.758000000000003</v>
      </c>
      <c r="C851" s="58" t="s">
        <v>334</v>
      </c>
      <c r="D851" s="58" t="s">
        <v>334</v>
      </c>
      <c r="E851" s="58">
        <v>38.817</v>
      </c>
      <c r="F851" s="58">
        <v>38.625999999999998</v>
      </c>
      <c r="G851" s="58" t="s">
        <v>334</v>
      </c>
      <c r="H851" s="58">
        <v>42.177999999999997</v>
      </c>
      <c r="I851" s="58">
        <v>43.582000000000001</v>
      </c>
      <c r="J851" s="58">
        <v>43.668999999999997</v>
      </c>
      <c r="K851" s="58">
        <v>41.22</v>
      </c>
      <c r="L851" s="58" t="s">
        <v>334</v>
      </c>
      <c r="M851" s="59">
        <v>38.972000000000001</v>
      </c>
      <c r="N851" s="58"/>
    </row>
    <row r="852" spans="1:15" ht="18" customHeight="1">
      <c r="A852" s="57">
        <v>29</v>
      </c>
      <c r="B852" s="58">
        <v>41.826999999999998</v>
      </c>
      <c r="C852" s="58" t="s">
        <v>335</v>
      </c>
      <c r="D852" s="58" t="s">
        <v>334</v>
      </c>
      <c r="E852" s="58">
        <v>39.883000000000003</v>
      </c>
      <c r="F852" s="58">
        <v>38.898000000000003</v>
      </c>
      <c r="G852" s="58">
        <v>42.091000000000001</v>
      </c>
      <c r="H852" s="58">
        <v>42.1</v>
      </c>
      <c r="I852" s="58" t="s">
        <v>334</v>
      </c>
      <c r="J852" s="58">
        <v>43.89</v>
      </c>
      <c r="K852" s="58">
        <v>40.79</v>
      </c>
      <c r="L852" s="58" t="s">
        <v>334</v>
      </c>
      <c r="M852" s="59">
        <v>39.058999999999997</v>
      </c>
      <c r="N852" s="58"/>
    </row>
    <row r="853" spans="1:15" ht="18" customHeight="1">
      <c r="A853" s="57">
        <v>30</v>
      </c>
      <c r="B853" s="58">
        <v>42.41</v>
      </c>
      <c r="C853" s="58" t="s">
        <v>335</v>
      </c>
      <c r="D853" s="58">
        <v>37.786999999999999</v>
      </c>
      <c r="E853" s="58">
        <v>39.978999999999999</v>
      </c>
      <c r="F853" s="58" t="s">
        <v>334</v>
      </c>
      <c r="G853" s="58" t="s">
        <v>334</v>
      </c>
      <c r="H853" s="58">
        <v>41.945</v>
      </c>
      <c r="I853" s="58" t="s">
        <v>334</v>
      </c>
      <c r="J853" s="58">
        <v>43.808999999999997</v>
      </c>
      <c r="K853" s="58">
        <v>40.831000000000003</v>
      </c>
      <c r="L853" s="58" t="s">
        <v>334</v>
      </c>
      <c r="M853" s="59" t="s">
        <v>334</v>
      </c>
      <c r="N853" s="58"/>
    </row>
    <row r="854" spans="1:15" ht="18" customHeight="1">
      <c r="A854" s="57">
        <v>31</v>
      </c>
      <c r="B854" s="58" t="s">
        <v>334</v>
      </c>
      <c r="C854" s="58" t="s">
        <v>335</v>
      </c>
      <c r="D854" s="58">
        <v>37.081000000000003</v>
      </c>
      <c r="E854" s="58" t="s">
        <v>335</v>
      </c>
      <c r="F854" s="58" t="s">
        <v>334</v>
      </c>
      <c r="G854" s="58" t="s">
        <v>335</v>
      </c>
      <c r="H854" s="58">
        <v>42.015999999999998</v>
      </c>
      <c r="I854" s="58">
        <v>43.874000000000002</v>
      </c>
      <c r="J854" s="58" t="s">
        <v>335</v>
      </c>
      <c r="K854" s="58" t="s">
        <v>334</v>
      </c>
      <c r="L854" s="58" t="s">
        <v>335</v>
      </c>
      <c r="M854" s="59" t="s">
        <v>334</v>
      </c>
      <c r="N854" s="58"/>
    </row>
    <row r="855" spans="1:15" ht="18" customHeight="1" thickBot="1">
      <c r="A855" s="76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8"/>
      <c r="N855" s="58"/>
    </row>
    <row r="856" spans="1:15" ht="18" customHeight="1">
      <c r="A856" s="605">
        <v>1997</v>
      </c>
      <c r="B856" s="606"/>
      <c r="C856" s="606"/>
      <c r="D856" s="606"/>
      <c r="E856" s="606"/>
      <c r="F856" s="606"/>
      <c r="G856" s="606"/>
      <c r="H856" s="606"/>
      <c r="I856" s="606"/>
      <c r="J856" s="606"/>
      <c r="K856" s="606"/>
      <c r="L856" s="606"/>
      <c r="M856" s="607"/>
      <c r="N856" s="52"/>
    </row>
    <row r="857" spans="1:15" ht="18" customHeight="1" thickBot="1">
      <c r="A857" s="51" t="s">
        <v>322</v>
      </c>
      <c r="B857" s="52" t="s">
        <v>323</v>
      </c>
      <c r="C857" s="52" t="s">
        <v>324</v>
      </c>
      <c r="D857" s="52" t="s">
        <v>325</v>
      </c>
      <c r="E857" s="52" t="s">
        <v>326</v>
      </c>
      <c r="F857" s="52" t="s">
        <v>236</v>
      </c>
      <c r="G857" s="52" t="s">
        <v>327</v>
      </c>
      <c r="H857" s="52" t="s">
        <v>328</v>
      </c>
      <c r="I857" s="52" t="s">
        <v>329</v>
      </c>
      <c r="J857" s="52" t="s">
        <v>330</v>
      </c>
      <c r="K857" s="52" t="s">
        <v>331</v>
      </c>
      <c r="L857" s="52" t="s">
        <v>332</v>
      </c>
      <c r="M857" s="53" t="s">
        <v>333</v>
      </c>
      <c r="N857" s="52"/>
    </row>
    <row r="858" spans="1:15" ht="18" customHeight="1">
      <c r="A858" s="54">
        <v>1</v>
      </c>
      <c r="B858" s="55" t="s">
        <v>334</v>
      </c>
      <c r="C858" s="55" t="s">
        <v>334</v>
      </c>
      <c r="D858" s="55" t="s">
        <v>334</v>
      </c>
      <c r="E858" s="55">
        <v>26.364000000000001</v>
      </c>
      <c r="F858" s="55" t="s">
        <v>334</v>
      </c>
      <c r="G858" s="55" t="s">
        <v>334</v>
      </c>
      <c r="H858" s="55">
        <v>26.376000000000001</v>
      </c>
      <c r="I858" s="55">
        <v>29</v>
      </c>
      <c r="J858" s="55">
        <v>30.352</v>
      </c>
      <c r="K858" s="55">
        <v>34.295000000000002</v>
      </c>
      <c r="L858" s="70" t="s">
        <v>334</v>
      </c>
      <c r="M858" s="71">
        <v>34.762999999999998</v>
      </c>
      <c r="N858" s="83">
        <v>1997</v>
      </c>
      <c r="O858" s="47">
        <f>AVERAGE(B858:M888)</f>
        <v>29.464011999999975</v>
      </c>
    </row>
    <row r="859" spans="1:15" ht="18" customHeight="1">
      <c r="A859" s="57">
        <v>2</v>
      </c>
      <c r="B859" s="58">
        <v>26.292999999999999</v>
      </c>
      <c r="C859" s="58" t="s">
        <v>334</v>
      </c>
      <c r="D859" s="58" t="s">
        <v>334</v>
      </c>
      <c r="E859" s="58">
        <v>26.364000000000001</v>
      </c>
      <c r="F859" s="58">
        <v>26.373000000000001</v>
      </c>
      <c r="G859" s="58">
        <v>26.375</v>
      </c>
      <c r="H859" s="58">
        <v>26.376000000000001</v>
      </c>
      <c r="I859" s="58" t="s">
        <v>334</v>
      </c>
      <c r="J859" s="58">
        <v>30.266999999999999</v>
      </c>
      <c r="K859" s="58">
        <v>34.926000000000002</v>
      </c>
      <c r="L859" s="72" t="s">
        <v>334</v>
      </c>
      <c r="M859" s="73">
        <v>35.018999999999998</v>
      </c>
      <c r="N859" s="58"/>
    </row>
    <row r="860" spans="1:15" ht="18" customHeight="1">
      <c r="A860" s="57">
        <v>3</v>
      </c>
      <c r="B860" s="58">
        <v>26.288</v>
      </c>
      <c r="C860" s="58">
        <v>26.347000000000001</v>
      </c>
      <c r="D860" s="58">
        <v>26.331</v>
      </c>
      <c r="E860" s="58">
        <v>26.367999999999999</v>
      </c>
      <c r="F860" s="58" t="s">
        <v>334</v>
      </c>
      <c r="G860" s="58">
        <v>26.373999999999999</v>
      </c>
      <c r="H860" s="58">
        <v>26.378</v>
      </c>
      <c r="I860" s="58" t="s">
        <v>334</v>
      </c>
      <c r="J860" s="58">
        <v>30.687999999999999</v>
      </c>
      <c r="K860" s="58">
        <v>34.232999999999997</v>
      </c>
      <c r="L860" s="72">
        <v>35.274999999999999</v>
      </c>
      <c r="M860" s="73">
        <v>35.127000000000002</v>
      </c>
      <c r="N860" s="58"/>
    </row>
    <row r="861" spans="1:15" ht="18" customHeight="1">
      <c r="A861" s="57">
        <v>4</v>
      </c>
      <c r="B861" s="58" t="s">
        <v>334</v>
      </c>
      <c r="C861" s="58">
        <v>26.343</v>
      </c>
      <c r="D861" s="58">
        <v>26.323</v>
      </c>
      <c r="E861" s="58">
        <v>26.367000000000001</v>
      </c>
      <c r="F861" s="58" t="s">
        <v>334</v>
      </c>
      <c r="G861" s="58">
        <v>26.370999999999999</v>
      </c>
      <c r="H861" s="58">
        <v>26.402999999999999</v>
      </c>
      <c r="I861" s="58">
        <v>28.978000000000002</v>
      </c>
      <c r="J861" s="58">
        <v>31.617000000000001</v>
      </c>
      <c r="K861" s="58" t="s">
        <v>334</v>
      </c>
      <c r="L861" s="58">
        <v>35.143999999999998</v>
      </c>
      <c r="M861" s="59">
        <v>35.183999999999997</v>
      </c>
      <c r="N861" s="58"/>
    </row>
    <row r="862" spans="1:15" ht="18" customHeight="1">
      <c r="A862" s="57">
        <v>5</v>
      </c>
      <c r="B862" s="58" t="s">
        <v>334</v>
      </c>
      <c r="C862" s="58">
        <v>26.332000000000001</v>
      </c>
      <c r="D862" s="58">
        <v>26.324000000000002</v>
      </c>
      <c r="E862" s="58" t="s">
        <v>334</v>
      </c>
      <c r="F862" s="58">
        <v>26.373999999999999</v>
      </c>
      <c r="G862" s="58">
        <v>26.364000000000001</v>
      </c>
      <c r="H862" s="58" t="s">
        <v>334</v>
      </c>
      <c r="I862" s="58">
        <v>28.885999999999999</v>
      </c>
      <c r="J862" s="58">
        <v>32.308999999999997</v>
      </c>
      <c r="K862" s="58" t="s">
        <v>334</v>
      </c>
      <c r="L862" s="58">
        <v>34.784999999999997</v>
      </c>
      <c r="M862" s="59">
        <v>35.069000000000003</v>
      </c>
      <c r="N862" s="58"/>
    </row>
    <row r="863" spans="1:15" ht="18" customHeight="1">
      <c r="A863" s="57">
        <v>6</v>
      </c>
      <c r="B863" s="58">
        <v>26.285</v>
      </c>
      <c r="C863" s="58">
        <v>26.338999999999999</v>
      </c>
      <c r="D863" s="58">
        <v>26.323</v>
      </c>
      <c r="E863" s="58" t="s">
        <v>334</v>
      </c>
      <c r="F863" s="58">
        <v>26.367000000000001</v>
      </c>
      <c r="G863" s="58">
        <v>26.37</v>
      </c>
      <c r="H863" s="58" t="s">
        <v>334</v>
      </c>
      <c r="I863" s="58">
        <v>28.704000000000001</v>
      </c>
      <c r="J863" s="58" t="s">
        <v>334</v>
      </c>
      <c r="K863" s="58">
        <v>34.494</v>
      </c>
      <c r="L863" s="58">
        <v>34.698</v>
      </c>
      <c r="M863" s="59" t="s">
        <v>334</v>
      </c>
      <c r="N863" s="58"/>
    </row>
    <row r="864" spans="1:15" ht="18" customHeight="1">
      <c r="A864" s="57">
        <v>7</v>
      </c>
      <c r="B864" s="58">
        <v>26.286999999999999</v>
      </c>
      <c r="C864" s="58">
        <v>26.338999999999999</v>
      </c>
      <c r="D864" s="58">
        <v>26.321000000000002</v>
      </c>
      <c r="E864" s="58">
        <v>26.367000000000001</v>
      </c>
      <c r="F864" s="58">
        <v>26.361999999999998</v>
      </c>
      <c r="G864" s="58" t="s">
        <v>334</v>
      </c>
      <c r="H864" s="58">
        <v>26.399000000000001</v>
      </c>
      <c r="I864" s="58">
        <v>28.512</v>
      </c>
      <c r="J864" s="58" t="s">
        <v>334</v>
      </c>
      <c r="K864" s="58">
        <v>34.926000000000002</v>
      </c>
      <c r="L864" s="58">
        <v>34.927</v>
      </c>
      <c r="M864" s="59" t="s">
        <v>334</v>
      </c>
      <c r="N864" s="58"/>
    </row>
    <row r="865" spans="1:14" ht="18" customHeight="1">
      <c r="A865" s="57">
        <v>8</v>
      </c>
      <c r="B865" s="58">
        <v>26.297000000000001</v>
      </c>
      <c r="C865" s="58" t="s">
        <v>334</v>
      </c>
      <c r="D865" s="58" t="s">
        <v>334</v>
      </c>
      <c r="E865" s="58">
        <v>26.364999999999998</v>
      </c>
      <c r="F865" s="58">
        <v>26.364999999999998</v>
      </c>
      <c r="G865" s="58" t="s">
        <v>334</v>
      </c>
      <c r="H865" s="58">
        <v>26.4</v>
      </c>
      <c r="I865" s="58">
        <v>28.494</v>
      </c>
      <c r="J865" s="58">
        <v>32.191000000000003</v>
      </c>
      <c r="K865" s="58">
        <v>35.536999999999999</v>
      </c>
      <c r="L865" s="58" t="s">
        <v>334</v>
      </c>
      <c r="M865" s="59">
        <v>35.136000000000003</v>
      </c>
      <c r="N865" s="58"/>
    </row>
    <row r="866" spans="1:14" ht="18" customHeight="1">
      <c r="A866" s="57">
        <v>9</v>
      </c>
      <c r="B866" s="58">
        <v>26.318000000000001</v>
      </c>
      <c r="C866" s="58" t="s">
        <v>334</v>
      </c>
      <c r="D866" s="58" t="s">
        <v>334</v>
      </c>
      <c r="E866" s="58">
        <v>26.364999999999998</v>
      </c>
      <c r="F866" s="58">
        <v>26.37</v>
      </c>
      <c r="G866" s="58">
        <v>26.388999999999999</v>
      </c>
      <c r="H866" s="58">
        <v>26.398</v>
      </c>
      <c r="I866" s="58" t="s">
        <v>334</v>
      </c>
      <c r="J866" s="58">
        <v>32.08</v>
      </c>
      <c r="K866" s="58">
        <v>35.564999999999998</v>
      </c>
      <c r="L866" s="58" t="s">
        <v>334</v>
      </c>
      <c r="M866" s="59">
        <v>35.122999999999998</v>
      </c>
      <c r="N866" s="58"/>
    </row>
    <row r="867" spans="1:14" ht="18" customHeight="1">
      <c r="A867" s="57">
        <v>10</v>
      </c>
      <c r="B867" s="58">
        <v>26.338000000000001</v>
      </c>
      <c r="C867" s="58">
        <v>26.346</v>
      </c>
      <c r="D867" s="58">
        <v>26.32</v>
      </c>
      <c r="E867" s="58">
        <v>26.367999999999999</v>
      </c>
      <c r="F867" s="58" t="s">
        <v>334</v>
      </c>
      <c r="G867" s="58">
        <v>26.379000000000001</v>
      </c>
      <c r="H867" s="58">
        <v>26.4</v>
      </c>
      <c r="I867" s="58" t="s">
        <v>334</v>
      </c>
      <c r="J867" s="58">
        <v>31.247</v>
      </c>
      <c r="K867" s="58">
        <v>34.851999999999997</v>
      </c>
      <c r="L867" s="58">
        <v>34.868000000000002</v>
      </c>
      <c r="M867" s="59">
        <v>35.070999999999998</v>
      </c>
      <c r="N867" s="58"/>
    </row>
    <row r="868" spans="1:14" ht="18" customHeight="1">
      <c r="A868" s="57">
        <v>11</v>
      </c>
      <c r="B868" s="58" t="s">
        <v>334</v>
      </c>
      <c r="C868" s="58">
        <v>26.349</v>
      </c>
      <c r="D868" s="58">
        <v>26.326000000000001</v>
      </c>
      <c r="E868" s="58">
        <v>26.364999999999998</v>
      </c>
      <c r="F868" s="58" t="s">
        <v>334</v>
      </c>
      <c r="G868" s="58">
        <v>26.375</v>
      </c>
      <c r="H868" s="58">
        <v>26.4</v>
      </c>
      <c r="I868" s="58">
        <v>28.486999999999998</v>
      </c>
      <c r="J868" s="58">
        <v>31.946999999999999</v>
      </c>
      <c r="K868" s="58" t="s">
        <v>334</v>
      </c>
      <c r="L868" s="58">
        <v>34.533000000000001</v>
      </c>
      <c r="M868" s="59">
        <v>35.131999999999998</v>
      </c>
      <c r="N868" s="58"/>
    </row>
    <row r="869" spans="1:14" ht="18" customHeight="1">
      <c r="A869" s="57">
        <v>12</v>
      </c>
      <c r="B869" s="58" t="s">
        <v>334</v>
      </c>
      <c r="C869" s="58">
        <v>26.347000000000001</v>
      </c>
      <c r="D869" s="58">
        <v>26.323</v>
      </c>
      <c r="E869" s="58" t="s">
        <v>334</v>
      </c>
      <c r="F869" s="58" t="s">
        <v>334</v>
      </c>
      <c r="G869" s="58" t="s">
        <v>334</v>
      </c>
      <c r="H869" s="58" t="s">
        <v>334</v>
      </c>
      <c r="I869" s="58">
        <v>28.547999999999998</v>
      </c>
      <c r="J869" s="58">
        <v>32.375</v>
      </c>
      <c r="K869" s="58" t="s">
        <v>334</v>
      </c>
      <c r="L869" s="58">
        <v>33.906999999999996</v>
      </c>
      <c r="M869" s="59">
        <v>35.686999999999998</v>
      </c>
      <c r="N869" s="58"/>
    </row>
    <row r="870" spans="1:14" ht="18" customHeight="1">
      <c r="A870" s="57">
        <v>13</v>
      </c>
      <c r="B870" s="58">
        <v>26.34</v>
      </c>
      <c r="C870" s="58">
        <v>26.347000000000001</v>
      </c>
      <c r="D870" s="58">
        <v>26.321000000000002</v>
      </c>
      <c r="E870" s="58" t="s">
        <v>334</v>
      </c>
      <c r="F870" s="58">
        <v>26.373000000000001</v>
      </c>
      <c r="G870" s="58">
        <v>26.376000000000001</v>
      </c>
      <c r="H870" s="58" t="s">
        <v>334</v>
      </c>
      <c r="I870" s="58">
        <v>28.63</v>
      </c>
      <c r="J870" s="58" t="s">
        <v>334</v>
      </c>
      <c r="K870" s="58">
        <v>33.155999999999999</v>
      </c>
      <c r="L870" s="58">
        <v>33.466999999999999</v>
      </c>
      <c r="M870" s="59" t="s">
        <v>334</v>
      </c>
      <c r="N870" s="58"/>
    </row>
    <row r="871" spans="1:14" ht="18" customHeight="1">
      <c r="A871" s="57">
        <v>14</v>
      </c>
      <c r="B871" s="58">
        <v>26.327999999999999</v>
      </c>
      <c r="C871" s="58">
        <v>26.343</v>
      </c>
      <c r="D871" s="58">
        <v>26.321000000000002</v>
      </c>
      <c r="E871" s="58">
        <v>26.364000000000001</v>
      </c>
      <c r="F871" s="58">
        <v>26.372</v>
      </c>
      <c r="G871" s="58" t="s">
        <v>334</v>
      </c>
      <c r="H871" s="58">
        <v>26.4</v>
      </c>
      <c r="I871" s="58">
        <v>28.966000000000001</v>
      </c>
      <c r="J871" s="58" t="s">
        <v>334</v>
      </c>
      <c r="K871" s="58">
        <v>32.883000000000003</v>
      </c>
      <c r="L871" s="58">
        <v>33.619999999999997</v>
      </c>
      <c r="M871" s="59" t="s">
        <v>334</v>
      </c>
      <c r="N871" s="58"/>
    </row>
    <row r="872" spans="1:14" ht="18" customHeight="1">
      <c r="A872" s="57">
        <v>15</v>
      </c>
      <c r="B872" s="58">
        <v>26.315000000000001</v>
      </c>
      <c r="C872" s="58" t="s">
        <v>334</v>
      </c>
      <c r="D872" s="58" t="s">
        <v>334</v>
      </c>
      <c r="E872" s="58">
        <v>26.361000000000001</v>
      </c>
      <c r="F872" s="58">
        <v>26.373999999999999</v>
      </c>
      <c r="G872" s="58" t="s">
        <v>334</v>
      </c>
      <c r="H872" s="58">
        <v>28.771999999999998</v>
      </c>
      <c r="I872" s="58">
        <v>29.44</v>
      </c>
      <c r="J872" s="58">
        <v>32.286999999999999</v>
      </c>
      <c r="K872" s="58">
        <v>33.308</v>
      </c>
      <c r="L872" s="58" t="s">
        <v>334</v>
      </c>
      <c r="M872" s="59">
        <v>36.987000000000002</v>
      </c>
      <c r="N872" s="58"/>
    </row>
    <row r="873" spans="1:14" ht="18" customHeight="1">
      <c r="A873" s="57">
        <v>16</v>
      </c>
      <c r="B873" s="58">
        <v>26.302</v>
      </c>
      <c r="C873" s="58" t="s">
        <v>334</v>
      </c>
      <c r="D873" s="58" t="s">
        <v>334</v>
      </c>
      <c r="E873" s="58">
        <v>26.36</v>
      </c>
      <c r="F873" s="58">
        <v>26.373999999999999</v>
      </c>
      <c r="G873" s="58">
        <v>26.382000000000001</v>
      </c>
      <c r="H873" s="58">
        <v>29.673999999999999</v>
      </c>
      <c r="I873" s="58" t="s">
        <v>334</v>
      </c>
      <c r="J873" s="58">
        <v>32.277999999999999</v>
      </c>
      <c r="K873" s="58">
        <v>34.238999999999997</v>
      </c>
      <c r="L873" s="58" t="s">
        <v>334</v>
      </c>
      <c r="M873" s="59">
        <v>38.347000000000001</v>
      </c>
      <c r="N873" s="58"/>
    </row>
    <row r="874" spans="1:14" ht="18" customHeight="1">
      <c r="A874" s="57">
        <v>17</v>
      </c>
      <c r="B874" s="58">
        <v>26.292999999999999</v>
      </c>
      <c r="C874" s="58">
        <v>26.344000000000001</v>
      </c>
      <c r="D874" s="58">
        <v>26.331</v>
      </c>
      <c r="E874" s="58">
        <v>26.353000000000002</v>
      </c>
      <c r="F874" s="58" t="s">
        <v>334</v>
      </c>
      <c r="G874" s="58">
        <v>26.376000000000001</v>
      </c>
      <c r="H874" s="58">
        <v>29.352</v>
      </c>
      <c r="I874" s="58" t="s">
        <v>334</v>
      </c>
      <c r="J874" s="58">
        <v>32.36</v>
      </c>
      <c r="K874" s="58">
        <v>33.951999999999998</v>
      </c>
      <c r="L874" s="58">
        <v>33.921999999999997</v>
      </c>
      <c r="M874" s="59">
        <v>39.99</v>
      </c>
      <c r="N874" s="58"/>
    </row>
    <row r="875" spans="1:14" ht="18" customHeight="1">
      <c r="A875" s="57">
        <v>18</v>
      </c>
      <c r="B875" s="58" t="s">
        <v>334</v>
      </c>
      <c r="C875" s="58">
        <v>26.344999999999999</v>
      </c>
      <c r="D875" s="58">
        <v>26.338999999999999</v>
      </c>
      <c r="E875" s="58">
        <v>26.355</v>
      </c>
      <c r="F875" s="58" t="s">
        <v>334</v>
      </c>
      <c r="G875" s="58">
        <v>26.375</v>
      </c>
      <c r="H875" s="58">
        <v>28.574000000000002</v>
      </c>
      <c r="I875" s="58">
        <v>29.762</v>
      </c>
      <c r="J875" s="58">
        <v>32.807000000000002</v>
      </c>
      <c r="K875" s="58" t="s">
        <v>334</v>
      </c>
      <c r="L875" s="58">
        <v>34.051000000000002</v>
      </c>
      <c r="M875" s="59">
        <v>40.024000000000001</v>
      </c>
      <c r="N875" s="58"/>
    </row>
    <row r="876" spans="1:14" ht="18" customHeight="1">
      <c r="A876" s="57">
        <v>19</v>
      </c>
      <c r="B876" s="58" t="s">
        <v>334</v>
      </c>
      <c r="C876" s="58">
        <v>26.341999999999999</v>
      </c>
      <c r="D876" s="58">
        <v>26.338000000000001</v>
      </c>
      <c r="E876" s="58" t="s">
        <v>334</v>
      </c>
      <c r="F876" s="58">
        <v>26.373999999999999</v>
      </c>
      <c r="G876" s="58">
        <v>26.376999999999999</v>
      </c>
      <c r="H876" s="58" t="s">
        <v>334</v>
      </c>
      <c r="I876" s="58" t="s">
        <v>334</v>
      </c>
      <c r="J876" s="58">
        <v>33.851999999999997</v>
      </c>
      <c r="K876" s="58" t="s">
        <v>334</v>
      </c>
      <c r="L876" s="58">
        <v>34.546999999999997</v>
      </c>
      <c r="M876" s="59">
        <v>39.533999999999999</v>
      </c>
      <c r="N876" s="58"/>
    </row>
    <row r="877" spans="1:14" ht="18" customHeight="1">
      <c r="A877" s="57">
        <v>20</v>
      </c>
      <c r="B877" s="58">
        <v>26.303999999999998</v>
      </c>
      <c r="C877" s="58">
        <v>26.34</v>
      </c>
      <c r="D877" s="58">
        <v>26.332999999999998</v>
      </c>
      <c r="E877" s="58" t="s">
        <v>334</v>
      </c>
      <c r="F877" s="58">
        <v>26.373000000000001</v>
      </c>
      <c r="G877" s="58">
        <v>26.378</v>
      </c>
      <c r="H877" s="58" t="s">
        <v>334</v>
      </c>
      <c r="I877" s="58">
        <v>30.073</v>
      </c>
      <c r="J877" s="58" t="s">
        <v>334</v>
      </c>
      <c r="K877" s="58">
        <v>33.850999999999999</v>
      </c>
      <c r="L877" s="58">
        <v>34.997</v>
      </c>
      <c r="M877" s="59" t="s">
        <v>334</v>
      </c>
      <c r="N877" s="58"/>
    </row>
    <row r="878" spans="1:14" ht="18" customHeight="1">
      <c r="A878" s="57">
        <v>21</v>
      </c>
      <c r="B878" s="58">
        <v>26.311</v>
      </c>
      <c r="C878" s="58">
        <v>26.338000000000001</v>
      </c>
      <c r="D878" s="58">
        <v>26.334</v>
      </c>
      <c r="E878" s="58">
        <v>26.364000000000001</v>
      </c>
      <c r="F878" s="58">
        <v>26.373000000000001</v>
      </c>
      <c r="G878" s="58" t="s">
        <v>334</v>
      </c>
      <c r="H878" s="58">
        <v>28.141999999999999</v>
      </c>
      <c r="I878" s="58">
        <v>30.036000000000001</v>
      </c>
      <c r="J878" s="58" t="s">
        <v>334</v>
      </c>
      <c r="K878" s="58">
        <v>33.921999999999997</v>
      </c>
      <c r="L878" s="58">
        <v>34.826000000000001</v>
      </c>
      <c r="M878" s="59" t="s">
        <v>334</v>
      </c>
      <c r="N878" s="58"/>
    </row>
    <row r="879" spans="1:14" ht="18" customHeight="1">
      <c r="A879" s="57">
        <v>22</v>
      </c>
      <c r="B879" s="58">
        <v>26.324999999999999</v>
      </c>
      <c r="C879" s="58" t="s">
        <v>334</v>
      </c>
      <c r="D879" s="58" t="s">
        <v>334</v>
      </c>
      <c r="E879" s="58">
        <v>26.361999999999998</v>
      </c>
      <c r="F879" s="58">
        <v>26.373999999999999</v>
      </c>
      <c r="G879" s="58" t="s">
        <v>334</v>
      </c>
      <c r="H879" s="58">
        <v>28.231000000000002</v>
      </c>
      <c r="I879" s="58">
        <v>29.978999999999999</v>
      </c>
      <c r="J879" s="58">
        <v>33.491</v>
      </c>
      <c r="K879" s="58">
        <v>34.222999999999999</v>
      </c>
      <c r="L879" s="58" t="s">
        <v>334</v>
      </c>
      <c r="M879" s="59">
        <v>39.588999999999999</v>
      </c>
      <c r="N879" s="58"/>
    </row>
    <row r="880" spans="1:14" ht="18" customHeight="1">
      <c r="A880" s="57">
        <v>23</v>
      </c>
      <c r="B880" s="58">
        <v>26.324999999999999</v>
      </c>
      <c r="C880" s="58" t="s">
        <v>334</v>
      </c>
      <c r="D880" s="58" t="s">
        <v>334</v>
      </c>
      <c r="E880" s="58">
        <v>26.361999999999998</v>
      </c>
      <c r="F880" s="58">
        <v>26.373999999999999</v>
      </c>
      <c r="G880" s="58">
        <v>26.381</v>
      </c>
      <c r="H880" s="58">
        <v>28.398</v>
      </c>
      <c r="I880" s="58" t="s">
        <v>334</v>
      </c>
      <c r="J880" s="58">
        <v>32.817</v>
      </c>
      <c r="K880" s="58">
        <v>34.646000000000001</v>
      </c>
      <c r="L880" s="58" t="s">
        <v>334</v>
      </c>
      <c r="M880" s="59">
        <v>39.859000000000002</v>
      </c>
      <c r="N880" s="58"/>
    </row>
    <row r="881" spans="1:15" ht="18" customHeight="1">
      <c r="A881" s="57">
        <v>24</v>
      </c>
      <c r="B881" s="58">
        <v>26.332000000000001</v>
      </c>
      <c r="C881" s="58">
        <v>26.341000000000001</v>
      </c>
      <c r="D881" s="58">
        <v>26.338999999999999</v>
      </c>
      <c r="E881" s="58">
        <v>26.367000000000001</v>
      </c>
      <c r="F881" s="58" t="s">
        <v>334</v>
      </c>
      <c r="G881" s="58">
        <v>26.373999999999999</v>
      </c>
      <c r="H881" s="58">
        <v>28.402999999999999</v>
      </c>
      <c r="I881" s="58" t="s">
        <v>334</v>
      </c>
      <c r="J881" s="58">
        <v>33.725999999999999</v>
      </c>
      <c r="K881" s="58">
        <v>34.518999999999998</v>
      </c>
      <c r="L881" s="58">
        <v>34.569000000000003</v>
      </c>
      <c r="M881" s="59">
        <v>40.625999999999998</v>
      </c>
      <c r="N881" s="58"/>
    </row>
    <row r="882" spans="1:15" ht="18" customHeight="1">
      <c r="A882" s="57">
        <v>25</v>
      </c>
      <c r="B882" s="58" t="s">
        <v>334</v>
      </c>
      <c r="C882" s="58">
        <v>26.338000000000001</v>
      </c>
      <c r="D882" s="58">
        <v>26.341999999999999</v>
      </c>
      <c r="E882" s="58">
        <v>26.369</v>
      </c>
      <c r="F882" s="58" t="s">
        <v>334</v>
      </c>
      <c r="G882" s="58">
        <v>26.373999999999999</v>
      </c>
      <c r="H882" s="58">
        <v>28.478000000000002</v>
      </c>
      <c r="I882" s="58">
        <v>29.85</v>
      </c>
      <c r="J882" s="58">
        <v>33.213999999999999</v>
      </c>
      <c r="K882" s="58" t="s">
        <v>334</v>
      </c>
      <c r="L882" s="58">
        <v>34.241</v>
      </c>
      <c r="M882" s="59" t="s">
        <v>334</v>
      </c>
      <c r="N882" s="58"/>
    </row>
    <row r="883" spans="1:15" ht="18" customHeight="1">
      <c r="A883" s="57">
        <v>26</v>
      </c>
      <c r="B883" s="58" t="s">
        <v>334</v>
      </c>
      <c r="C883" s="58">
        <v>26.335999999999999</v>
      </c>
      <c r="D883" s="58">
        <v>26.350999999999999</v>
      </c>
      <c r="E883" s="58" t="s">
        <v>334</v>
      </c>
      <c r="F883" s="58">
        <v>26.375</v>
      </c>
      <c r="G883" s="58">
        <v>26.373999999999999</v>
      </c>
      <c r="H883" s="58" t="s">
        <v>334</v>
      </c>
      <c r="I883" s="58">
        <v>29.896000000000001</v>
      </c>
      <c r="J883" s="58">
        <v>33.451999999999998</v>
      </c>
      <c r="K883" s="58" t="s">
        <v>334</v>
      </c>
      <c r="L883" s="58">
        <v>34.677999999999997</v>
      </c>
      <c r="M883" s="59" t="s">
        <v>334</v>
      </c>
      <c r="N883" s="58"/>
    </row>
    <row r="884" spans="1:15" ht="18" customHeight="1">
      <c r="A884" s="57">
        <v>27</v>
      </c>
      <c r="B884" s="58">
        <v>26.341000000000001</v>
      </c>
      <c r="C884" s="58">
        <v>26.332000000000001</v>
      </c>
      <c r="D884" s="58" t="s">
        <v>334</v>
      </c>
      <c r="E884" s="58" t="s">
        <v>334</v>
      </c>
      <c r="F884" s="58">
        <v>26.375</v>
      </c>
      <c r="G884" s="58">
        <v>26.373999999999999</v>
      </c>
      <c r="H884" s="58" t="s">
        <v>334</v>
      </c>
      <c r="I884" s="58">
        <v>29.97</v>
      </c>
      <c r="J884" s="58" t="s">
        <v>334</v>
      </c>
      <c r="K884" s="58">
        <v>34.834000000000003</v>
      </c>
      <c r="L884" s="58">
        <v>34.645000000000003</v>
      </c>
      <c r="M884" s="59" t="s">
        <v>334</v>
      </c>
      <c r="N884" s="58"/>
    </row>
    <row r="885" spans="1:15" ht="18" customHeight="1">
      <c r="A885" s="57">
        <v>28</v>
      </c>
      <c r="B885" s="58">
        <v>26.332999999999998</v>
      </c>
      <c r="C885" s="58">
        <v>26.332999999999998</v>
      </c>
      <c r="D885" s="58" t="s">
        <v>334</v>
      </c>
      <c r="E885" s="58">
        <v>26.366</v>
      </c>
      <c r="F885" s="58">
        <v>26.373000000000001</v>
      </c>
      <c r="G885" s="58" t="s">
        <v>334</v>
      </c>
      <c r="H885" s="58">
        <v>28.475000000000001</v>
      </c>
      <c r="I885" s="58">
        <v>30.234000000000002</v>
      </c>
      <c r="J885" s="58" t="s">
        <v>334</v>
      </c>
      <c r="K885" s="58">
        <v>35.292999999999999</v>
      </c>
      <c r="L885" s="58">
        <v>34.655000000000001</v>
      </c>
      <c r="M885" s="59" t="s">
        <v>334</v>
      </c>
      <c r="N885" s="58"/>
    </row>
    <row r="886" spans="1:15" ht="18" customHeight="1">
      <c r="A886" s="57">
        <v>29</v>
      </c>
      <c r="B886" s="58">
        <v>26.335000000000001</v>
      </c>
      <c r="C886" s="58" t="s">
        <v>335</v>
      </c>
      <c r="D886" s="58" t="s">
        <v>334</v>
      </c>
      <c r="E886" s="58">
        <v>26.367999999999999</v>
      </c>
      <c r="F886" s="58">
        <v>26.373000000000001</v>
      </c>
      <c r="G886" s="58" t="s">
        <v>334</v>
      </c>
      <c r="H886" s="58">
        <v>28.478999999999999</v>
      </c>
      <c r="I886" s="58">
        <v>30.164999999999999</v>
      </c>
      <c r="J886" s="58">
        <v>33.448999999999998</v>
      </c>
      <c r="K886" s="58">
        <v>35.319000000000003</v>
      </c>
      <c r="L886" s="58" t="s">
        <v>334</v>
      </c>
      <c r="M886" s="59">
        <v>39.975000000000001</v>
      </c>
      <c r="N886" s="58"/>
    </row>
    <row r="887" spans="1:15" ht="18" customHeight="1">
      <c r="A887" s="57">
        <v>30</v>
      </c>
      <c r="B887" s="58">
        <v>26.347000000000001</v>
      </c>
      <c r="C887" s="58" t="s">
        <v>335</v>
      </c>
      <c r="D887" s="58" t="s">
        <v>334</v>
      </c>
      <c r="E887" s="58">
        <v>26.369</v>
      </c>
      <c r="F887" s="58">
        <v>26.373999999999999</v>
      </c>
      <c r="G887" s="58">
        <v>26.384</v>
      </c>
      <c r="H887" s="58">
        <v>28.486000000000001</v>
      </c>
      <c r="I887" s="58" t="s">
        <v>334</v>
      </c>
      <c r="J887" s="58">
        <v>33.872999999999998</v>
      </c>
      <c r="K887" s="58">
        <v>34.758000000000003</v>
      </c>
      <c r="L887" s="58" t="s">
        <v>334</v>
      </c>
      <c r="M887" s="59" t="s">
        <v>334</v>
      </c>
      <c r="N887" s="58"/>
    </row>
    <row r="888" spans="1:15" ht="18" customHeight="1">
      <c r="A888" s="57">
        <v>31</v>
      </c>
      <c r="B888" s="58">
        <v>26.344000000000001</v>
      </c>
      <c r="C888" s="58" t="s">
        <v>335</v>
      </c>
      <c r="D888" s="58">
        <v>26.367000000000001</v>
      </c>
      <c r="E888" s="58" t="s">
        <v>335</v>
      </c>
      <c r="F888" s="58" t="s">
        <v>334</v>
      </c>
      <c r="G888" s="58" t="s">
        <v>335</v>
      </c>
      <c r="H888" s="58">
        <v>28.968</v>
      </c>
      <c r="I888" s="58" t="s">
        <v>334</v>
      </c>
      <c r="J888" s="58" t="s">
        <v>335</v>
      </c>
      <c r="K888" s="58">
        <v>34.938000000000002</v>
      </c>
      <c r="L888" s="58" t="s">
        <v>335</v>
      </c>
      <c r="M888" s="59" t="s">
        <v>334</v>
      </c>
      <c r="N888" s="58"/>
    </row>
    <row r="889" spans="1:15" ht="18" customHeight="1" thickBot="1">
      <c r="A889" s="76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8"/>
      <c r="N889" s="58"/>
    </row>
    <row r="890" spans="1:15" ht="18" customHeight="1">
      <c r="A890" s="618">
        <v>1996</v>
      </c>
      <c r="B890" s="619"/>
      <c r="C890" s="619"/>
      <c r="D890" s="619"/>
      <c r="E890" s="619"/>
      <c r="F890" s="619"/>
      <c r="G890" s="619"/>
      <c r="H890" s="619"/>
      <c r="I890" s="619"/>
      <c r="J890" s="619"/>
      <c r="K890" s="619"/>
      <c r="L890" s="619"/>
      <c r="M890" s="620"/>
      <c r="N890" s="52"/>
    </row>
    <row r="891" spans="1:15" ht="18" customHeight="1" thickBot="1">
      <c r="A891" s="63" t="s">
        <v>322</v>
      </c>
      <c r="B891" s="64" t="s">
        <v>323</v>
      </c>
      <c r="C891" s="64" t="s">
        <v>324</v>
      </c>
      <c r="D891" s="64" t="s">
        <v>325</v>
      </c>
      <c r="E891" s="64" t="s">
        <v>326</v>
      </c>
      <c r="F891" s="64" t="s">
        <v>236</v>
      </c>
      <c r="G891" s="64" t="s">
        <v>327</v>
      </c>
      <c r="H891" s="64" t="s">
        <v>328</v>
      </c>
      <c r="I891" s="64" t="s">
        <v>329</v>
      </c>
      <c r="J891" s="64" t="s">
        <v>330</v>
      </c>
      <c r="K891" s="64" t="s">
        <v>331</v>
      </c>
      <c r="L891" s="64" t="s">
        <v>332</v>
      </c>
      <c r="M891" s="65" t="s">
        <v>333</v>
      </c>
      <c r="N891" s="52"/>
    </row>
    <row r="892" spans="1:15" ht="18" customHeight="1">
      <c r="A892" s="54">
        <v>1</v>
      </c>
      <c r="B892" s="55" t="s">
        <v>334</v>
      </c>
      <c r="C892" s="55">
        <v>26.181999999999999</v>
      </c>
      <c r="D892" s="55">
        <v>26.172999999999998</v>
      </c>
      <c r="E892" s="55">
        <v>26.206</v>
      </c>
      <c r="F892" s="55" t="s">
        <v>334</v>
      </c>
      <c r="G892" s="55" t="s">
        <v>334</v>
      </c>
      <c r="H892" s="55">
        <v>26.193999999999999</v>
      </c>
      <c r="I892" s="55">
        <v>26.227</v>
      </c>
      <c r="J892" s="55" t="s">
        <v>334</v>
      </c>
      <c r="K892" s="55">
        <v>26.241</v>
      </c>
      <c r="L892" s="70" t="s">
        <v>334</v>
      </c>
      <c r="M892" s="71" t="s">
        <v>334</v>
      </c>
      <c r="N892" s="83">
        <v>1996</v>
      </c>
      <c r="O892" s="47">
        <f>AVERAGE(B892:M922)</f>
        <v>26.215116935483874</v>
      </c>
    </row>
    <row r="893" spans="1:15" ht="18" customHeight="1">
      <c r="A893" s="57">
        <v>2</v>
      </c>
      <c r="B893" s="58">
        <v>26.228000000000002</v>
      </c>
      <c r="C893" s="58">
        <v>26.178000000000001</v>
      </c>
      <c r="D893" s="58" t="s">
        <v>334</v>
      </c>
      <c r="E893" s="58">
        <v>26.196000000000002</v>
      </c>
      <c r="F893" s="58">
        <v>26.172999999999998</v>
      </c>
      <c r="G893" s="58" t="s">
        <v>334</v>
      </c>
      <c r="H893" s="58">
        <v>26.196999999999999</v>
      </c>
      <c r="I893" s="58">
        <v>26.202000000000002</v>
      </c>
      <c r="J893" s="58">
        <v>26.210999999999999</v>
      </c>
      <c r="K893" s="58">
        <v>26.239000000000001</v>
      </c>
      <c r="L893" s="72" t="s">
        <v>334</v>
      </c>
      <c r="M893" s="73">
        <v>26.285</v>
      </c>
      <c r="N893" s="58"/>
    </row>
    <row r="894" spans="1:15" ht="18" customHeight="1">
      <c r="A894" s="57">
        <v>3</v>
      </c>
      <c r="B894" s="58">
        <v>26.225999999999999</v>
      </c>
      <c r="C894" s="58" t="s">
        <v>334</v>
      </c>
      <c r="D894" s="58" t="s">
        <v>334</v>
      </c>
      <c r="E894" s="58">
        <v>26.193000000000001</v>
      </c>
      <c r="F894" s="58">
        <v>26.17</v>
      </c>
      <c r="G894" s="58">
        <v>26.202000000000002</v>
      </c>
      <c r="H894" s="58">
        <v>26.196999999999999</v>
      </c>
      <c r="I894" s="58" t="s">
        <v>334</v>
      </c>
      <c r="J894" s="58">
        <v>26.245999999999999</v>
      </c>
      <c r="K894" s="58">
        <v>26.245000000000001</v>
      </c>
      <c r="L894" s="72" t="s">
        <v>334</v>
      </c>
      <c r="M894" s="73">
        <v>26.286000000000001</v>
      </c>
      <c r="N894" s="58"/>
    </row>
    <row r="895" spans="1:15" ht="18" customHeight="1">
      <c r="A895" s="57">
        <v>4</v>
      </c>
      <c r="B895" s="58">
        <v>26.222000000000001</v>
      </c>
      <c r="C895" s="58" t="s">
        <v>334</v>
      </c>
      <c r="D895" s="58">
        <v>26.175000000000001</v>
      </c>
      <c r="E895" s="58" t="s">
        <v>334</v>
      </c>
      <c r="F895" s="58" t="s">
        <v>334</v>
      </c>
      <c r="G895" s="58">
        <v>26.192</v>
      </c>
      <c r="H895" s="58" t="s">
        <v>334</v>
      </c>
      <c r="I895" s="58" t="s">
        <v>334</v>
      </c>
      <c r="J895" s="58">
        <v>26.25</v>
      </c>
      <c r="K895" s="58">
        <v>26.257000000000001</v>
      </c>
      <c r="L895" s="58">
        <v>26.282</v>
      </c>
      <c r="M895" s="59">
        <v>26.292000000000002</v>
      </c>
      <c r="N895" s="58"/>
    </row>
    <row r="896" spans="1:15" ht="18" customHeight="1">
      <c r="A896" s="57">
        <v>5</v>
      </c>
      <c r="B896" s="58">
        <v>26.224</v>
      </c>
      <c r="C896" s="58">
        <v>26.167999999999999</v>
      </c>
      <c r="D896" s="58">
        <v>26.178000000000001</v>
      </c>
      <c r="E896" s="58" t="s">
        <v>334</v>
      </c>
      <c r="F896" s="58" t="s">
        <v>334</v>
      </c>
      <c r="G896" s="58">
        <v>26.190999999999999</v>
      </c>
      <c r="H896" s="58">
        <v>26.196999999999999</v>
      </c>
      <c r="I896" s="58">
        <v>26.206</v>
      </c>
      <c r="J896" s="58">
        <v>26.234000000000002</v>
      </c>
      <c r="K896" s="58" t="s">
        <v>334</v>
      </c>
      <c r="L896" s="58">
        <v>26.283000000000001</v>
      </c>
      <c r="M896" s="59">
        <v>26.295000000000002</v>
      </c>
      <c r="N896" s="58"/>
    </row>
    <row r="897" spans="1:14" ht="18" customHeight="1">
      <c r="A897" s="57">
        <v>6</v>
      </c>
      <c r="B897" s="58" t="s">
        <v>334</v>
      </c>
      <c r="C897" s="58">
        <v>26.166</v>
      </c>
      <c r="D897" s="58">
        <v>26.177</v>
      </c>
      <c r="E897" s="58" t="s">
        <v>334</v>
      </c>
      <c r="F897" s="58" t="s">
        <v>334</v>
      </c>
      <c r="G897" s="58">
        <v>26.189</v>
      </c>
      <c r="H897" s="58" t="s">
        <v>334</v>
      </c>
      <c r="I897" s="58">
        <v>26.2</v>
      </c>
      <c r="J897" s="58">
        <v>26.22</v>
      </c>
      <c r="K897" s="58" t="s">
        <v>334</v>
      </c>
      <c r="L897" s="58">
        <v>26.263999999999999</v>
      </c>
      <c r="M897" s="59">
        <v>26.295999999999999</v>
      </c>
      <c r="N897" s="58"/>
    </row>
    <row r="898" spans="1:14" ht="18" customHeight="1">
      <c r="A898" s="57">
        <v>7</v>
      </c>
      <c r="B898" s="58" t="s">
        <v>334</v>
      </c>
      <c r="C898" s="58">
        <v>26.155000000000001</v>
      </c>
      <c r="D898" s="58">
        <v>26.175999999999998</v>
      </c>
      <c r="E898" s="58" t="s">
        <v>334</v>
      </c>
      <c r="F898" s="58">
        <v>26.164999999999999</v>
      </c>
      <c r="G898" s="58">
        <v>26.187999999999999</v>
      </c>
      <c r="H898" s="58" t="s">
        <v>334</v>
      </c>
      <c r="I898" s="58">
        <v>26.196999999999999</v>
      </c>
      <c r="J898" s="58" t="s">
        <v>334</v>
      </c>
      <c r="K898" s="58">
        <v>26.263999999999999</v>
      </c>
      <c r="L898" s="58">
        <v>26.242999999999999</v>
      </c>
      <c r="M898" s="59" t="s">
        <v>334</v>
      </c>
      <c r="N898" s="58"/>
    </row>
    <row r="899" spans="1:14" ht="18" customHeight="1">
      <c r="A899" s="57">
        <v>8</v>
      </c>
      <c r="B899" s="58">
        <v>26.236000000000001</v>
      </c>
      <c r="C899" s="58">
        <v>26.120999999999999</v>
      </c>
      <c r="D899" s="58">
        <v>26.178999999999998</v>
      </c>
      <c r="E899" s="58">
        <v>26.2</v>
      </c>
      <c r="F899" s="58">
        <v>26.164000000000001</v>
      </c>
      <c r="G899" s="58" t="s">
        <v>334</v>
      </c>
      <c r="H899" s="58">
        <v>26.195</v>
      </c>
      <c r="I899" s="58">
        <v>26.196000000000002</v>
      </c>
      <c r="J899" s="58" t="s">
        <v>334</v>
      </c>
      <c r="K899" s="58">
        <v>26.265999999999998</v>
      </c>
      <c r="L899" s="58">
        <v>26.242999999999999</v>
      </c>
      <c r="M899" s="59" t="s">
        <v>334</v>
      </c>
      <c r="N899" s="58"/>
    </row>
    <row r="900" spans="1:14" ht="18" customHeight="1">
      <c r="A900" s="57">
        <v>9</v>
      </c>
      <c r="B900" s="58">
        <v>26.245000000000001</v>
      </c>
      <c r="C900" s="58">
        <v>26.116</v>
      </c>
      <c r="D900" s="58" t="s">
        <v>334</v>
      </c>
      <c r="E900" s="58" t="s">
        <v>334</v>
      </c>
      <c r="F900" s="58">
        <v>26.163</v>
      </c>
      <c r="G900" s="58" t="s">
        <v>334</v>
      </c>
      <c r="H900" s="58">
        <v>26.202000000000002</v>
      </c>
      <c r="I900" s="58">
        <v>26.195</v>
      </c>
      <c r="J900" s="58">
        <v>26.218</v>
      </c>
      <c r="K900" s="58">
        <v>26.268000000000001</v>
      </c>
      <c r="L900" s="58" t="s">
        <v>334</v>
      </c>
      <c r="M900" s="59">
        <v>26.295999999999999</v>
      </c>
      <c r="N900" s="58"/>
    </row>
    <row r="901" spans="1:14" ht="18" customHeight="1">
      <c r="A901" s="57">
        <v>10</v>
      </c>
      <c r="B901" s="58">
        <v>26.231000000000002</v>
      </c>
      <c r="C901" s="58" t="s">
        <v>334</v>
      </c>
      <c r="D901" s="58" t="s">
        <v>334</v>
      </c>
      <c r="E901" s="58">
        <v>26.192</v>
      </c>
      <c r="F901" s="58">
        <v>26.161999999999999</v>
      </c>
      <c r="G901" s="58">
        <v>26.187999999999999</v>
      </c>
      <c r="H901" s="58">
        <v>26.202000000000002</v>
      </c>
      <c r="I901" s="58" t="s">
        <v>334</v>
      </c>
      <c r="J901" s="58">
        <v>26.231999999999999</v>
      </c>
      <c r="K901" s="58">
        <v>26.268000000000001</v>
      </c>
      <c r="L901" s="58" t="s">
        <v>334</v>
      </c>
      <c r="M901" s="59">
        <v>26.297999999999998</v>
      </c>
      <c r="N901" s="58"/>
    </row>
    <row r="902" spans="1:14" ht="18" customHeight="1">
      <c r="A902" s="57">
        <v>11</v>
      </c>
      <c r="B902" s="58">
        <v>26.224</v>
      </c>
      <c r="C902" s="58" t="s">
        <v>334</v>
      </c>
      <c r="D902" s="58">
        <v>26.192</v>
      </c>
      <c r="E902" s="58">
        <v>26.202000000000002</v>
      </c>
      <c r="F902" s="58" t="s">
        <v>334</v>
      </c>
      <c r="G902" s="58">
        <v>26.189</v>
      </c>
      <c r="H902" s="58">
        <v>26.202000000000002</v>
      </c>
      <c r="I902" s="58" t="s">
        <v>334</v>
      </c>
      <c r="J902" s="58">
        <v>26.228999999999999</v>
      </c>
      <c r="K902" s="58">
        <v>26.265000000000001</v>
      </c>
      <c r="L902" s="58">
        <v>26.254999999999999</v>
      </c>
      <c r="M902" s="59">
        <v>26.292999999999999</v>
      </c>
      <c r="N902" s="58"/>
    </row>
    <row r="903" spans="1:14" ht="18" customHeight="1">
      <c r="A903" s="57">
        <v>12</v>
      </c>
      <c r="B903" s="58">
        <v>26.222999999999999</v>
      </c>
      <c r="C903" s="58">
        <v>26.135999999999999</v>
      </c>
      <c r="D903" s="58">
        <v>26.215</v>
      </c>
      <c r="E903" s="58">
        <v>26.204999999999998</v>
      </c>
      <c r="F903" s="58" t="s">
        <v>334</v>
      </c>
      <c r="G903" s="58" t="s">
        <v>334</v>
      </c>
      <c r="H903" s="58">
        <v>26.202000000000002</v>
      </c>
      <c r="I903" s="58">
        <v>26.195</v>
      </c>
      <c r="J903" s="58">
        <v>26.227</v>
      </c>
      <c r="K903" s="58" t="s">
        <v>334</v>
      </c>
      <c r="L903" s="58">
        <v>26.271999999999998</v>
      </c>
      <c r="M903" s="59">
        <v>26.282</v>
      </c>
      <c r="N903" s="58"/>
    </row>
    <row r="904" spans="1:14" ht="18" customHeight="1">
      <c r="A904" s="57">
        <v>13</v>
      </c>
      <c r="B904" s="58" t="s">
        <v>334</v>
      </c>
      <c r="C904" s="58">
        <v>26.140999999999998</v>
      </c>
      <c r="D904" s="58">
        <v>26.22</v>
      </c>
      <c r="E904" s="58" t="s">
        <v>334</v>
      </c>
      <c r="F904" s="58">
        <v>26.164000000000001</v>
      </c>
      <c r="G904" s="58">
        <v>26.196000000000002</v>
      </c>
      <c r="H904" s="58" t="s">
        <v>334</v>
      </c>
      <c r="I904" s="58">
        <v>26.192</v>
      </c>
      <c r="J904" s="58">
        <v>26.222000000000001</v>
      </c>
      <c r="K904" s="58" t="s">
        <v>334</v>
      </c>
      <c r="L904" s="58">
        <v>26.276</v>
      </c>
      <c r="M904" s="59">
        <v>26.288</v>
      </c>
      <c r="N904" s="58"/>
    </row>
    <row r="905" spans="1:14" ht="18" customHeight="1">
      <c r="A905" s="57">
        <v>14</v>
      </c>
      <c r="B905" s="58" t="s">
        <v>334</v>
      </c>
      <c r="C905" s="58">
        <v>26.16</v>
      </c>
      <c r="D905" s="58">
        <v>26.218</v>
      </c>
      <c r="E905" s="58" t="s">
        <v>334</v>
      </c>
      <c r="F905" s="58">
        <v>26.173999999999999</v>
      </c>
      <c r="G905" s="58">
        <v>26.2</v>
      </c>
      <c r="H905" s="58" t="s">
        <v>334</v>
      </c>
      <c r="I905" s="58">
        <v>26.193999999999999</v>
      </c>
      <c r="J905" s="58" t="s">
        <v>334</v>
      </c>
      <c r="K905" s="58">
        <v>26.276</v>
      </c>
      <c r="L905" s="58">
        <v>26.280999999999999</v>
      </c>
      <c r="M905" s="59" t="s">
        <v>334</v>
      </c>
      <c r="N905" s="58"/>
    </row>
    <row r="906" spans="1:14" ht="18" customHeight="1">
      <c r="A906" s="57">
        <v>15</v>
      </c>
      <c r="B906" s="58">
        <v>26.24</v>
      </c>
      <c r="C906" s="58">
        <v>26.216000000000001</v>
      </c>
      <c r="D906" s="58">
        <v>26.198</v>
      </c>
      <c r="E906" s="58">
        <v>26.204000000000001</v>
      </c>
      <c r="F906" s="58">
        <v>26.172999999999998</v>
      </c>
      <c r="G906" s="58" t="s">
        <v>334</v>
      </c>
      <c r="H906" s="58">
        <v>26.196999999999999</v>
      </c>
      <c r="I906" s="58">
        <v>26.193999999999999</v>
      </c>
      <c r="J906" s="58" t="s">
        <v>334</v>
      </c>
      <c r="K906" s="58">
        <v>26.277999999999999</v>
      </c>
      <c r="L906" s="58">
        <v>26.277000000000001</v>
      </c>
      <c r="M906" s="59" t="s">
        <v>334</v>
      </c>
      <c r="N906" s="58"/>
    </row>
    <row r="907" spans="1:14" ht="18" customHeight="1">
      <c r="A907" s="57">
        <v>16</v>
      </c>
      <c r="B907" s="58">
        <v>26.222000000000001</v>
      </c>
      <c r="C907" s="58">
        <v>26.148</v>
      </c>
      <c r="D907" s="58" t="s">
        <v>334</v>
      </c>
      <c r="E907" s="58">
        <v>26.195</v>
      </c>
      <c r="F907" s="58">
        <v>26.172999999999998</v>
      </c>
      <c r="G907" s="58" t="s">
        <v>334</v>
      </c>
      <c r="H907" s="58">
        <v>26.199000000000002</v>
      </c>
      <c r="I907" s="58">
        <v>26.193000000000001</v>
      </c>
      <c r="J907" s="58">
        <v>26.231000000000002</v>
      </c>
      <c r="K907" s="58">
        <v>26.279</v>
      </c>
      <c r="L907" s="58" t="s">
        <v>334</v>
      </c>
      <c r="M907" s="59">
        <v>26.295000000000002</v>
      </c>
      <c r="N907" s="58"/>
    </row>
    <row r="908" spans="1:14" ht="18" customHeight="1">
      <c r="A908" s="57">
        <v>17</v>
      </c>
      <c r="B908" s="58">
        <v>26.219000000000001</v>
      </c>
      <c r="C908" s="58" t="s">
        <v>334</v>
      </c>
      <c r="D908" s="58" t="s">
        <v>334</v>
      </c>
      <c r="E908" s="58">
        <v>26.190999999999999</v>
      </c>
      <c r="F908" s="58">
        <v>26.172999999999998</v>
      </c>
      <c r="G908" s="58">
        <v>26.195</v>
      </c>
      <c r="H908" s="58">
        <v>26.198</v>
      </c>
      <c r="I908" s="58" t="s">
        <v>334</v>
      </c>
      <c r="J908" s="58">
        <v>26.238</v>
      </c>
      <c r="K908" s="58">
        <v>26.266999999999999</v>
      </c>
      <c r="L908" s="58" t="s">
        <v>334</v>
      </c>
      <c r="M908" s="59">
        <v>26.289000000000001</v>
      </c>
      <c r="N908" s="58"/>
    </row>
    <row r="909" spans="1:14" ht="18" customHeight="1">
      <c r="A909" s="57">
        <v>18</v>
      </c>
      <c r="B909" s="58">
        <v>26.219000000000001</v>
      </c>
      <c r="C909" s="58" t="s">
        <v>334</v>
      </c>
      <c r="D909" s="58">
        <v>26.204000000000001</v>
      </c>
      <c r="E909" s="58">
        <v>26.178999999999998</v>
      </c>
      <c r="F909" s="58" t="s">
        <v>334</v>
      </c>
      <c r="G909" s="58">
        <v>26.193999999999999</v>
      </c>
      <c r="H909" s="58">
        <v>26.196000000000002</v>
      </c>
      <c r="I909" s="58" t="s">
        <v>334</v>
      </c>
      <c r="J909" s="58">
        <v>26.244</v>
      </c>
      <c r="K909" s="58">
        <v>26.265000000000001</v>
      </c>
      <c r="L909" s="58">
        <v>26.271999999999998</v>
      </c>
      <c r="M909" s="59">
        <v>26.286999999999999</v>
      </c>
      <c r="N909" s="58"/>
    </row>
    <row r="910" spans="1:14" ht="18" customHeight="1">
      <c r="A910" s="57">
        <v>19</v>
      </c>
      <c r="B910" s="58">
        <v>26.202000000000002</v>
      </c>
      <c r="C910" s="58">
        <v>26.140999999999998</v>
      </c>
      <c r="D910" s="58">
        <v>26.186</v>
      </c>
      <c r="E910" s="58">
        <v>26.183</v>
      </c>
      <c r="F910" s="58" t="s">
        <v>334</v>
      </c>
      <c r="G910" s="58">
        <v>26.192</v>
      </c>
      <c r="H910" s="58">
        <v>26.193999999999999</v>
      </c>
      <c r="I910" s="58">
        <v>26.196000000000002</v>
      </c>
      <c r="J910" s="58">
        <v>26.231999999999999</v>
      </c>
      <c r="K910" s="58" t="s">
        <v>334</v>
      </c>
      <c r="L910" s="58">
        <v>26.26</v>
      </c>
      <c r="M910" s="59">
        <v>26.288</v>
      </c>
      <c r="N910" s="58"/>
    </row>
    <row r="911" spans="1:14" ht="18" customHeight="1">
      <c r="A911" s="57">
        <v>20</v>
      </c>
      <c r="B911" s="58" t="s">
        <v>334</v>
      </c>
      <c r="C911" s="58">
        <v>26.149000000000001</v>
      </c>
      <c r="D911" s="58">
        <v>26.187999999999999</v>
      </c>
      <c r="E911" s="58" t="s">
        <v>334</v>
      </c>
      <c r="F911" s="58">
        <v>26.170999999999999</v>
      </c>
      <c r="G911" s="58">
        <v>26.193999999999999</v>
      </c>
      <c r="H911" s="58" t="s">
        <v>334</v>
      </c>
      <c r="I911" s="58">
        <v>26.193999999999999</v>
      </c>
      <c r="J911" s="58">
        <v>26.234999999999999</v>
      </c>
      <c r="K911" s="58" t="s">
        <v>334</v>
      </c>
      <c r="L911" s="58">
        <v>26.254999999999999</v>
      </c>
      <c r="M911" s="59">
        <v>26.288</v>
      </c>
      <c r="N911" s="58"/>
    </row>
    <row r="912" spans="1:14" ht="18" customHeight="1">
      <c r="A912" s="57">
        <v>21</v>
      </c>
      <c r="B912" s="58" t="s">
        <v>334</v>
      </c>
      <c r="C912" s="58">
        <v>26.143999999999998</v>
      </c>
      <c r="D912" s="58">
        <v>26.190999999999999</v>
      </c>
      <c r="E912" s="58" t="s">
        <v>334</v>
      </c>
      <c r="F912" s="58">
        <v>26.172999999999998</v>
      </c>
      <c r="G912" s="58">
        <v>26.196000000000002</v>
      </c>
      <c r="H912" s="58" t="s">
        <v>334</v>
      </c>
      <c r="I912" s="58">
        <v>26.19</v>
      </c>
      <c r="J912" s="58" t="s">
        <v>334</v>
      </c>
      <c r="K912" s="58">
        <v>26.274999999999999</v>
      </c>
      <c r="L912" s="58">
        <v>26.242000000000001</v>
      </c>
      <c r="M912" s="59" t="s">
        <v>334</v>
      </c>
      <c r="N912" s="58"/>
    </row>
    <row r="913" spans="1:15" ht="18" customHeight="1">
      <c r="A913" s="57">
        <v>22</v>
      </c>
      <c r="B913" s="58">
        <v>26.202999999999999</v>
      </c>
      <c r="C913" s="58">
        <v>26.140999999999998</v>
      </c>
      <c r="D913" s="58">
        <v>26.193999999999999</v>
      </c>
      <c r="E913" s="58">
        <v>26.184999999999999</v>
      </c>
      <c r="F913" s="58">
        <v>26.172999999999998</v>
      </c>
      <c r="G913" s="58" t="s">
        <v>334</v>
      </c>
      <c r="H913" s="58">
        <v>26.202999999999999</v>
      </c>
      <c r="I913" s="58">
        <v>26.193999999999999</v>
      </c>
      <c r="J913" s="58" t="s">
        <v>334</v>
      </c>
      <c r="K913" s="58">
        <v>26.274000000000001</v>
      </c>
      <c r="L913" s="58" t="s">
        <v>334</v>
      </c>
      <c r="M913" s="59" t="s">
        <v>334</v>
      </c>
      <c r="N913" s="58"/>
    </row>
    <row r="914" spans="1:15" ht="18" customHeight="1">
      <c r="A914" s="57">
        <v>23</v>
      </c>
      <c r="B914" s="58">
        <v>26.187999999999999</v>
      </c>
      <c r="C914" s="58">
        <v>26.151</v>
      </c>
      <c r="D914" s="58" t="s">
        <v>334</v>
      </c>
      <c r="E914" s="58">
        <v>26.184000000000001</v>
      </c>
      <c r="F914" s="58">
        <v>26.17</v>
      </c>
      <c r="G914" s="58" t="s">
        <v>334</v>
      </c>
      <c r="H914" s="58">
        <v>26.202000000000002</v>
      </c>
      <c r="I914" s="58">
        <v>26.209</v>
      </c>
      <c r="J914" s="58">
        <v>26.239000000000001</v>
      </c>
      <c r="K914" s="58">
        <v>26.273</v>
      </c>
      <c r="L914" s="58" t="s">
        <v>334</v>
      </c>
      <c r="M914" s="59">
        <v>26.297999999999998</v>
      </c>
      <c r="N914" s="58"/>
    </row>
    <row r="915" spans="1:15" ht="18" customHeight="1">
      <c r="A915" s="57">
        <v>24</v>
      </c>
      <c r="B915" s="58">
        <v>26.184000000000001</v>
      </c>
      <c r="C915" s="58" t="s">
        <v>334</v>
      </c>
      <c r="D915" s="58" t="s">
        <v>334</v>
      </c>
      <c r="E915" s="58">
        <v>26.181999999999999</v>
      </c>
      <c r="F915" s="58">
        <v>26.175000000000001</v>
      </c>
      <c r="G915" s="58">
        <v>26.198</v>
      </c>
      <c r="H915" s="58">
        <v>26.196000000000002</v>
      </c>
      <c r="I915" s="58" t="s">
        <v>334</v>
      </c>
      <c r="J915" s="58">
        <v>26.245999999999999</v>
      </c>
      <c r="K915" s="58">
        <v>26.277000000000001</v>
      </c>
      <c r="L915" s="58" t="s">
        <v>334</v>
      </c>
      <c r="M915" s="59">
        <v>26.314</v>
      </c>
      <c r="N915" s="58"/>
    </row>
    <row r="916" spans="1:15" ht="18" customHeight="1">
      <c r="A916" s="57">
        <v>25</v>
      </c>
      <c r="B916" s="58">
        <v>26.186</v>
      </c>
      <c r="C916" s="58" t="s">
        <v>334</v>
      </c>
      <c r="D916" s="58">
        <v>26.218</v>
      </c>
      <c r="E916" s="58">
        <v>26.181000000000001</v>
      </c>
      <c r="F916" s="58" t="s">
        <v>334</v>
      </c>
      <c r="G916" s="58">
        <v>26.198</v>
      </c>
      <c r="H916" s="58">
        <v>26.192</v>
      </c>
      <c r="I916" s="58" t="s">
        <v>334</v>
      </c>
      <c r="J916" s="58">
        <v>26.244</v>
      </c>
      <c r="K916" s="58">
        <v>26.283000000000001</v>
      </c>
      <c r="L916" s="58" t="s">
        <v>334</v>
      </c>
      <c r="M916" s="59" t="s">
        <v>334</v>
      </c>
      <c r="N916" s="58"/>
    </row>
    <row r="917" spans="1:15" ht="18" customHeight="1">
      <c r="A917" s="57">
        <v>26</v>
      </c>
      <c r="B917" s="58">
        <v>26.187000000000001</v>
      </c>
      <c r="C917" s="58">
        <v>26.161999999999999</v>
      </c>
      <c r="D917" s="58">
        <v>26.224</v>
      </c>
      <c r="E917" s="58">
        <v>26.175000000000001</v>
      </c>
      <c r="F917" s="58" t="s">
        <v>334</v>
      </c>
      <c r="G917" s="58">
        <v>26.192</v>
      </c>
      <c r="H917" s="58">
        <v>26.19</v>
      </c>
      <c r="I917" s="58">
        <v>26.204999999999998</v>
      </c>
      <c r="J917" s="58">
        <v>26.241</v>
      </c>
      <c r="K917" s="58" t="s">
        <v>334</v>
      </c>
      <c r="L917" s="58">
        <v>26.254000000000001</v>
      </c>
      <c r="M917" s="59">
        <v>26.298999999999999</v>
      </c>
      <c r="N917" s="58"/>
    </row>
    <row r="918" spans="1:15" ht="18" customHeight="1">
      <c r="A918" s="57">
        <v>27</v>
      </c>
      <c r="B918" s="58" t="s">
        <v>334</v>
      </c>
      <c r="C918" s="58">
        <v>26.181000000000001</v>
      </c>
      <c r="D918" s="58">
        <v>26.212</v>
      </c>
      <c r="E918" s="58" t="s">
        <v>334</v>
      </c>
      <c r="F918" s="58">
        <v>26.18</v>
      </c>
      <c r="G918" s="58">
        <v>26.196999999999999</v>
      </c>
      <c r="H918" s="58" t="s">
        <v>334</v>
      </c>
      <c r="I918" s="58">
        <v>26.213000000000001</v>
      </c>
      <c r="J918" s="58">
        <v>26.251000000000001</v>
      </c>
      <c r="K918" s="58" t="s">
        <v>334</v>
      </c>
      <c r="L918" s="58">
        <v>26.265999999999998</v>
      </c>
      <c r="M918" s="59">
        <v>26.288</v>
      </c>
      <c r="N918" s="58"/>
    </row>
    <row r="919" spans="1:15" ht="18" customHeight="1">
      <c r="A919" s="57">
        <v>28</v>
      </c>
      <c r="B919" s="58" t="s">
        <v>334</v>
      </c>
      <c r="C919" s="58">
        <v>26.201000000000001</v>
      </c>
      <c r="D919" s="58">
        <v>26.193999999999999</v>
      </c>
      <c r="E919" s="58" t="s">
        <v>334</v>
      </c>
      <c r="F919" s="58">
        <v>26.186</v>
      </c>
      <c r="G919" s="58">
        <v>26.202999999999999</v>
      </c>
      <c r="H919" s="58" t="s">
        <v>334</v>
      </c>
      <c r="I919" s="58">
        <v>26.199000000000002</v>
      </c>
      <c r="J919" s="58" t="s">
        <v>334</v>
      </c>
      <c r="K919" s="58">
        <v>26.282</v>
      </c>
      <c r="L919" s="58">
        <v>26.271999999999998</v>
      </c>
      <c r="M919" s="59" t="s">
        <v>334</v>
      </c>
      <c r="N919" s="58"/>
    </row>
    <row r="920" spans="1:15" ht="18" customHeight="1">
      <c r="A920" s="57">
        <v>29</v>
      </c>
      <c r="B920" s="58">
        <v>26.181000000000001</v>
      </c>
      <c r="C920" s="58">
        <v>26.177</v>
      </c>
      <c r="D920" s="58">
        <v>26.196999999999999</v>
      </c>
      <c r="E920" s="58">
        <v>26.178000000000001</v>
      </c>
      <c r="F920" s="58">
        <v>26.187999999999999</v>
      </c>
      <c r="G920" s="58" t="s">
        <v>334</v>
      </c>
      <c r="H920" s="58">
        <v>26.196999999999999</v>
      </c>
      <c r="I920" s="58">
        <v>26.193999999999999</v>
      </c>
      <c r="J920" s="58" t="s">
        <v>334</v>
      </c>
      <c r="K920" s="58">
        <v>26.283000000000001</v>
      </c>
      <c r="L920" s="58">
        <v>26.286999999999999</v>
      </c>
      <c r="M920" s="59" t="s">
        <v>334</v>
      </c>
      <c r="N920" s="58"/>
    </row>
    <row r="921" spans="1:15" ht="18" customHeight="1">
      <c r="A921" s="57">
        <v>30</v>
      </c>
      <c r="B921" s="58">
        <v>26.181000000000001</v>
      </c>
      <c r="C921" s="58" t="s">
        <v>335</v>
      </c>
      <c r="D921" s="58" t="s">
        <v>334</v>
      </c>
      <c r="E921" s="58">
        <v>26.172999999999998</v>
      </c>
      <c r="F921" s="58">
        <v>26.201000000000001</v>
      </c>
      <c r="G921" s="58" t="s">
        <v>334</v>
      </c>
      <c r="H921" s="58">
        <v>26.21</v>
      </c>
      <c r="I921" s="58">
        <v>26.202000000000002</v>
      </c>
      <c r="J921" s="58">
        <v>26.257000000000001</v>
      </c>
      <c r="K921" s="58">
        <v>26.283999999999999</v>
      </c>
      <c r="L921" s="58" t="s">
        <v>334</v>
      </c>
      <c r="M921" s="59" t="s">
        <v>334</v>
      </c>
      <c r="N921" s="58"/>
    </row>
    <row r="922" spans="1:15" ht="18" customHeight="1">
      <c r="A922" s="57">
        <v>31</v>
      </c>
      <c r="B922" s="58">
        <v>26.184999999999999</v>
      </c>
      <c r="C922" s="58" t="s">
        <v>335</v>
      </c>
      <c r="D922" s="58" t="s">
        <v>334</v>
      </c>
      <c r="E922" s="58" t="s">
        <v>335</v>
      </c>
      <c r="F922" s="58">
        <v>26.222000000000001</v>
      </c>
      <c r="G922" s="58" t="s">
        <v>335</v>
      </c>
      <c r="H922" s="58">
        <v>26.228000000000002</v>
      </c>
      <c r="I922" s="58" t="s">
        <v>334</v>
      </c>
      <c r="J922" s="58" t="s">
        <v>335</v>
      </c>
      <c r="K922" s="58">
        <v>26.285</v>
      </c>
      <c r="L922" s="58" t="s">
        <v>335</v>
      </c>
      <c r="M922" s="59" t="s">
        <v>334</v>
      </c>
      <c r="N922" s="58"/>
    </row>
    <row r="923" spans="1:15" ht="18" customHeight="1" thickBot="1">
      <c r="A923" s="76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8"/>
      <c r="N923" s="58"/>
    </row>
    <row r="924" spans="1:15" ht="18" customHeight="1">
      <c r="A924" s="605">
        <v>1995</v>
      </c>
      <c r="B924" s="606"/>
      <c r="C924" s="606"/>
      <c r="D924" s="606"/>
      <c r="E924" s="606"/>
      <c r="F924" s="606"/>
      <c r="G924" s="606"/>
      <c r="H924" s="606"/>
      <c r="I924" s="606"/>
      <c r="J924" s="606"/>
      <c r="K924" s="606"/>
      <c r="L924" s="606"/>
      <c r="M924" s="607"/>
      <c r="N924" s="52"/>
    </row>
    <row r="925" spans="1:15" ht="18" customHeight="1" thickBot="1">
      <c r="A925" s="51" t="s">
        <v>322</v>
      </c>
      <c r="B925" s="52" t="s">
        <v>323</v>
      </c>
      <c r="C925" s="52" t="s">
        <v>324</v>
      </c>
      <c r="D925" s="52" t="s">
        <v>325</v>
      </c>
      <c r="E925" s="52" t="s">
        <v>326</v>
      </c>
      <c r="F925" s="52" t="s">
        <v>236</v>
      </c>
      <c r="G925" s="52" t="s">
        <v>327</v>
      </c>
      <c r="H925" s="52" t="s">
        <v>328</v>
      </c>
      <c r="I925" s="52" t="s">
        <v>329</v>
      </c>
      <c r="J925" s="52" t="s">
        <v>330</v>
      </c>
      <c r="K925" s="52" t="s">
        <v>331</v>
      </c>
      <c r="L925" s="52" t="s">
        <v>332</v>
      </c>
      <c r="M925" s="53" t="s">
        <v>333</v>
      </c>
      <c r="N925" s="52"/>
    </row>
    <row r="926" spans="1:15" ht="18" customHeight="1">
      <c r="A926" s="54">
        <v>1</v>
      </c>
      <c r="B926" s="55" t="s">
        <v>334</v>
      </c>
      <c r="C926" s="55">
        <v>24.616</v>
      </c>
      <c r="D926" s="55">
        <v>25.771000000000001</v>
      </c>
      <c r="E926" s="55" t="s">
        <v>334</v>
      </c>
      <c r="F926" s="55" t="s">
        <v>334</v>
      </c>
      <c r="G926" s="55">
        <v>25.803999999999998</v>
      </c>
      <c r="H926" s="55" t="s">
        <v>334</v>
      </c>
      <c r="I926" s="55">
        <v>25.728999999999999</v>
      </c>
      <c r="J926" s="55">
        <v>25.943000000000001</v>
      </c>
      <c r="K926" s="55" t="s">
        <v>334</v>
      </c>
      <c r="L926" s="70" t="s">
        <v>334</v>
      </c>
      <c r="M926" s="71">
        <v>26.175999999999998</v>
      </c>
      <c r="N926" s="83">
        <v>1995</v>
      </c>
      <c r="O926" s="47">
        <f>AVERAGE(B926:M956)</f>
        <v>25.708575999999994</v>
      </c>
    </row>
    <row r="927" spans="1:15" ht="18" customHeight="1">
      <c r="A927" s="57">
        <v>2</v>
      </c>
      <c r="B927" s="58">
        <v>24.562999999999999</v>
      </c>
      <c r="C927" s="58">
        <v>24.655000000000001</v>
      </c>
      <c r="D927" s="58">
        <v>25.858000000000001</v>
      </c>
      <c r="E927" s="58" t="s">
        <v>334</v>
      </c>
      <c r="F927" s="58">
        <v>26.016999999999999</v>
      </c>
      <c r="G927" s="58">
        <v>25.834</v>
      </c>
      <c r="H927" s="58" t="s">
        <v>334</v>
      </c>
      <c r="I927" s="58">
        <v>25.672999999999998</v>
      </c>
      <c r="J927" s="58" t="s">
        <v>334</v>
      </c>
      <c r="K927" s="58">
        <v>26.06</v>
      </c>
      <c r="L927" s="72">
        <v>26</v>
      </c>
      <c r="M927" s="73" t="s">
        <v>334</v>
      </c>
      <c r="N927" s="58"/>
    </row>
    <row r="928" spans="1:15" ht="18" customHeight="1">
      <c r="A928" s="57">
        <v>3</v>
      </c>
      <c r="B928" s="58">
        <v>24.853000000000002</v>
      </c>
      <c r="C928" s="58" t="s">
        <v>334</v>
      </c>
      <c r="D928" s="58">
        <v>25.952999999999999</v>
      </c>
      <c r="E928" s="58">
        <v>26.113</v>
      </c>
      <c r="F928" s="58">
        <v>25.87</v>
      </c>
      <c r="G928" s="58" t="s">
        <v>334</v>
      </c>
      <c r="H928" s="58">
        <v>25.574999999999999</v>
      </c>
      <c r="I928" s="58">
        <v>25.634</v>
      </c>
      <c r="J928" s="58" t="s">
        <v>334</v>
      </c>
      <c r="K928" s="58">
        <v>26.06</v>
      </c>
      <c r="L928" s="72" t="s">
        <v>334</v>
      </c>
      <c r="M928" s="73" t="s">
        <v>334</v>
      </c>
      <c r="N928" s="58"/>
    </row>
    <row r="929" spans="1:14" ht="18" customHeight="1">
      <c r="A929" s="57">
        <v>4</v>
      </c>
      <c r="B929" s="58">
        <v>24.696999999999999</v>
      </c>
      <c r="C929" s="58" t="s">
        <v>334</v>
      </c>
      <c r="D929" s="58" t="s">
        <v>334</v>
      </c>
      <c r="E929" s="58">
        <v>26.018999999999998</v>
      </c>
      <c r="F929" s="58">
        <v>25.850999999999999</v>
      </c>
      <c r="G929" s="58" t="s">
        <v>334</v>
      </c>
      <c r="H929" s="58">
        <v>25.574999999999999</v>
      </c>
      <c r="I929" s="58">
        <v>25.599</v>
      </c>
      <c r="J929" s="58">
        <v>25.966000000000001</v>
      </c>
      <c r="K929" s="58">
        <v>25.995999999999999</v>
      </c>
      <c r="L929" s="58" t="s">
        <v>334</v>
      </c>
      <c r="M929" s="59">
        <v>26.173999999999999</v>
      </c>
      <c r="N929" s="58"/>
    </row>
    <row r="930" spans="1:14" ht="18" customHeight="1">
      <c r="A930" s="57">
        <v>5</v>
      </c>
      <c r="B930" s="58">
        <v>24.611000000000001</v>
      </c>
      <c r="C930" s="58" t="s">
        <v>334</v>
      </c>
      <c r="D930" s="58" t="s">
        <v>334</v>
      </c>
      <c r="E930" s="58">
        <v>25.899000000000001</v>
      </c>
      <c r="F930" s="58">
        <v>25.86</v>
      </c>
      <c r="G930" s="58">
        <v>25.88</v>
      </c>
      <c r="H930" s="58">
        <v>25.576000000000001</v>
      </c>
      <c r="I930" s="58" t="s">
        <v>334</v>
      </c>
      <c r="J930" s="58">
        <v>26.018999999999998</v>
      </c>
      <c r="K930" s="58">
        <v>25.956</v>
      </c>
      <c r="L930" s="58" t="s">
        <v>334</v>
      </c>
      <c r="M930" s="59">
        <v>26.175000000000001</v>
      </c>
      <c r="N930" s="58"/>
    </row>
    <row r="931" spans="1:14" ht="18" customHeight="1">
      <c r="A931" s="57">
        <v>6</v>
      </c>
      <c r="B931" s="58">
        <v>24.574999999999999</v>
      </c>
      <c r="C931" s="58">
        <v>24.859000000000002</v>
      </c>
      <c r="D931" s="58">
        <v>25.789000000000001</v>
      </c>
      <c r="E931" s="58">
        <v>25.869</v>
      </c>
      <c r="F931" s="58" t="s">
        <v>334</v>
      </c>
      <c r="G931" s="58">
        <v>25.841000000000001</v>
      </c>
      <c r="H931" s="58">
        <v>25.574999999999999</v>
      </c>
      <c r="I931" s="58" t="s">
        <v>334</v>
      </c>
      <c r="J931" s="58">
        <v>25.992999999999999</v>
      </c>
      <c r="K931" s="58">
        <v>25.925999999999998</v>
      </c>
      <c r="L931" s="58">
        <v>26.042000000000002</v>
      </c>
      <c r="M931" s="59">
        <v>26.181999999999999</v>
      </c>
      <c r="N931" s="58"/>
    </row>
    <row r="932" spans="1:14" ht="18" customHeight="1">
      <c r="A932" s="57">
        <v>7</v>
      </c>
      <c r="B932" s="58" t="s">
        <v>334</v>
      </c>
      <c r="C932" s="58">
        <v>24.81</v>
      </c>
      <c r="D932" s="58">
        <v>25.562999999999999</v>
      </c>
      <c r="E932" s="58">
        <v>25.971</v>
      </c>
      <c r="F932" s="58" t="s">
        <v>334</v>
      </c>
      <c r="G932" s="58">
        <v>25.768000000000001</v>
      </c>
      <c r="H932" s="58">
        <v>25.579000000000001</v>
      </c>
      <c r="I932" s="58">
        <v>25.559000000000001</v>
      </c>
      <c r="J932" s="58">
        <v>25.914999999999999</v>
      </c>
      <c r="K932" s="58" t="s">
        <v>334</v>
      </c>
      <c r="L932" s="58">
        <v>26.126000000000001</v>
      </c>
      <c r="M932" s="59">
        <v>26.18</v>
      </c>
      <c r="N932" s="58"/>
    </row>
    <row r="933" spans="1:14" ht="18" customHeight="1">
      <c r="A933" s="57">
        <v>8</v>
      </c>
      <c r="B933" s="58" t="s">
        <v>334</v>
      </c>
      <c r="C933" s="58">
        <v>24.742999999999999</v>
      </c>
      <c r="D933" s="58">
        <v>25.773</v>
      </c>
      <c r="E933" s="58" t="s">
        <v>334</v>
      </c>
      <c r="F933" s="58" t="s">
        <v>334</v>
      </c>
      <c r="G933" s="58">
        <v>25.728000000000002</v>
      </c>
      <c r="H933" s="58" t="s">
        <v>334</v>
      </c>
      <c r="I933" s="58">
        <v>25.608000000000001</v>
      </c>
      <c r="J933" s="58">
        <v>25.94</v>
      </c>
      <c r="K933" s="58" t="s">
        <v>334</v>
      </c>
      <c r="L933" s="58">
        <v>26.108000000000001</v>
      </c>
      <c r="M933" s="59">
        <v>26.186</v>
      </c>
      <c r="N933" s="58"/>
    </row>
    <row r="934" spans="1:14" ht="18" customHeight="1">
      <c r="A934" s="57">
        <v>9</v>
      </c>
      <c r="B934" s="58">
        <v>24.498000000000001</v>
      </c>
      <c r="C934" s="58">
        <v>24.766999999999999</v>
      </c>
      <c r="D934" s="58">
        <v>25.855</v>
      </c>
      <c r="E934" s="58" t="s">
        <v>334</v>
      </c>
      <c r="F934" s="58">
        <v>25.885000000000002</v>
      </c>
      <c r="G934" s="58">
        <v>25.745000000000001</v>
      </c>
      <c r="H934" s="58" t="s">
        <v>334</v>
      </c>
      <c r="I934" s="58">
        <v>25.58</v>
      </c>
      <c r="J934" s="58" t="s">
        <v>334</v>
      </c>
      <c r="K934" s="58">
        <v>25.891999999999999</v>
      </c>
      <c r="L934" s="58">
        <v>26.126999999999999</v>
      </c>
      <c r="M934" s="59" t="s">
        <v>334</v>
      </c>
      <c r="N934" s="58"/>
    </row>
    <row r="935" spans="1:14" ht="18" customHeight="1">
      <c r="A935" s="57">
        <v>10</v>
      </c>
      <c r="B935" s="58">
        <v>24.495999999999999</v>
      </c>
      <c r="C935" s="58">
        <v>24.774999999999999</v>
      </c>
      <c r="D935" s="58">
        <v>25.870999999999999</v>
      </c>
      <c r="E935" s="58">
        <v>26.068000000000001</v>
      </c>
      <c r="F935" s="58">
        <v>25.87</v>
      </c>
      <c r="G935" s="58" t="s">
        <v>334</v>
      </c>
      <c r="H935" s="58">
        <v>25.567</v>
      </c>
      <c r="I935" s="58">
        <v>25.611999999999998</v>
      </c>
      <c r="J935" s="58" t="s">
        <v>334</v>
      </c>
      <c r="K935" s="58">
        <v>25.943999999999999</v>
      </c>
      <c r="L935" s="58">
        <v>26.135000000000002</v>
      </c>
      <c r="M935" s="59" t="s">
        <v>334</v>
      </c>
      <c r="N935" s="58"/>
    </row>
    <row r="936" spans="1:14" ht="18" customHeight="1">
      <c r="A936" s="57">
        <v>11</v>
      </c>
      <c r="B936" s="58">
        <v>24.469000000000001</v>
      </c>
      <c r="C936" s="58" t="s">
        <v>334</v>
      </c>
      <c r="D936" s="58" t="s">
        <v>334</v>
      </c>
      <c r="E936" s="58">
        <v>26.021999999999998</v>
      </c>
      <c r="F936" s="58">
        <v>25.821999999999999</v>
      </c>
      <c r="G936" s="58" t="s">
        <v>334</v>
      </c>
      <c r="H936" s="58">
        <v>25.56</v>
      </c>
      <c r="I936" s="58">
        <v>25.673999999999999</v>
      </c>
      <c r="J936" s="58">
        <v>25.844000000000001</v>
      </c>
      <c r="K936" s="58">
        <v>25.963000000000001</v>
      </c>
      <c r="L936" s="58" t="s">
        <v>334</v>
      </c>
      <c r="M936" s="59">
        <v>26.201000000000001</v>
      </c>
      <c r="N936" s="58"/>
    </row>
    <row r="937" spans="1:14" ht="18" customHeight="1">
      <c r="A937" s="57">
        <v>12</v>
      </c>
      <c r="B937" s="58">
        <v>24.434000000000001</v>
      </c>
      <c r="C937" s="58" t="s">
        <v>334</v>
      </c>
      <c r="D937" s="58" t="s">
        <v>334</v>
      </c>
      <c r="E937" s="58">
        <v>26.047999999999998</v>
      </c>
      <c r="F937" s="58">
        <v>25.76</v>
      </c>
      <c r="G937" s="58" t="s">
        <v>334</v>
      </c>
      <c r="H937" s="58">
        <v>25.56</v>
      </c>
      <c r="I937" s="58" t="s">
        <v>334</v>
      </c>
      <c r="J937" s="58">
        <v>25.896999999999998</v>
      </c>
      <c r="K937" s="58">
        <v>25.925000000000001</v>
      </c>
      <c r="L937" s="58" t="s">
        <v>334</v>
      </c>
      <c r="M937" s="59">
        <v>26.206</v>
      </c>
      <c r="N937" s="58"/>
    </row>
    <row r="938" spans="1:14" ht="18" customHeight="1">
      <c r="A938" s="57">
        <v>13</v>
      </c>
      <c r="B938" s="58">
        <v>24.434000000000001</v>
      </c>
      <c r="C938" s="58">
        <v>24.811</v>
      </c>
      <c r="D938" s="58">
        <v>25.948</v>
      </c>
      <c r="E938" s="58" t="s">
        <v>334</v>
      </c>
      <c r="F938" s="58" t="s">
        <v>334</v>
      </c>
      <c r="G938" s="58">
        <v>25.716999999999999</v>
      </c>
      <c r="H938" s="58">
        <v>25.556999999999999</v>
      </c>
      <c r="I938" s="58" t="s">
        <v>334</v>
      </c>
      <c r="J938" s="58">
        <v>25.946000000000002</v>
      </c>
      <c r="K938" s="58">
        <v>25.933</v>
      </c>
      <c r="L938" s="58">
        <v>26.097999999999999</v>
      </c>
      <c r="M938" s="59">
        <v>26.212</v>
      </c>
      <c r="N938" s="58"/>
    </row>
    <row r="939" spans="1:14" ht="18" customHeight="1">
      <c r="A939" s="57">
        <v>14</v>
      </c>
      <c r="B939" s="58" t="s">
        <v>334</v>
      </c>
      <c r="C939" s="58">
        <v>24.905999999999999</v>
      </c>
      <c r="D939" s="58">
        <v>25.957000000000001</v>
      </c>
      <c r="E939" s="58" t="s">
        <v>334</v>
      </c>
      <c r="F939" s="58" t="s">
        <v>334</v>
      </c>
      <c r="G939" s="58">
        <v>25.683</v>
      </c>
      <c r="H939" s="58">
        <v>25.524999999999999</v>
      </c>
      <c r="I939" s="58">
        <v>25.768999999999998</v>
      </c>
      <c r="J939" s="58">
        <v>25.934000000000001</v>
      </c>
      <c r="K939" s="58" t="s">
        <v>334</v>
      </c>
      <c r="L939" s="58">
        <v>26.12</v>
      </c>
      <c r="M939" s="59">
        <v>26.233000000000001</v>
      </c>
      <c r="N939" s="58"/>
    </row>
    <row r="940" spans="1:14" ht="18" customHeight="1">
      <c r="A940" s="57">
        <v>15</v>
      </c>
      <c r="B940" s="58" t="s">
        <v>334</v>
      </c>
      <c r="C940" s="58">
        <v>24.986999999999998</v>
      </c>
      <c r="D940" s="58">
        <v>25.952000000000002</v>
      </c>
      <c r="E940" s="58" t="s">
        <v>334</v>
      </c>
      <c r="F940" s="58">
        <v>25.702000000000002</v>
      </c>
      <c r="G940" s="58">
        <v>25.652999999999999</v>
      </c>
      <c r="H940" s="58" t="s">
        <v>334</v>
      </c>
      <c r="I940" s="58">
        <v>25.771999999999998</v>
      </c>
      <c r="J940" s="58">
        <v>25.943000000000001</v>
      </c>
      <c r="K940" s="58" t="s">
        <v>334</v>
      </c>
      <c r="L940" s="58">
        <v>26.201000000000001</v>
      </c>
      <c r="M940" s="59">
        <v>26.228999999999999</v>
      </c>
      <c r="N940" s="58"/>
    </row>
    <row r="941" spans="1:14" ht="18" customHeight="1">
      <c r="A941" s="57">
        <v>16</v>
      </c>
      <c r="B941" s="58">
        <v>24.716000000000001</v>
      </c>
      <c r="C941" s="58">
        <v>24.901</v>
      </c>
      <c r="D941" s="58">
        <v>25.844000000000001</v>
      </c>
      <c r="E941" s="58" t="s">
        <v>334</v>
      </c>
      <c r="F941" s="58">
        <v>25.736999999999998</v>
      </c>
      <c r="G941" s="58">
        <v>25.661999999999999</v>
      </c>
      <c r="H941" s="58" t="s">
        <v>334</v>
      </c>
      <c r="I941" s="58">
        <v>25.695</v>
      </c>
      <c r="J941" s="58" t="s">
        <v>334</v>
      </c>
      <c r="K941" s="58">
        <v>25.939</v>
      </c>
      <c r="L941" s="58">
        <v>26.228999999999999</v>
      </c>
      <c r="M941" s="59" t="s">
        <v>334</v>
      </c>
      <c r="N941" s="58"/>
    </row>
    <row r="942" spans="1:14" ht="18" customHeight="1">
      <c r="A942" s="57">
        <v>17</v>
      </c>
      <c r="B942" s="58">
        <v>24.606999999999999</v>
      </c>
      <c r="C942" s="58">
        <v>25.029</v>
      </c>
      <c r="D942" s="58">
        <v>25.84</v>
      </c>
      <c r="E942" s="58">
        <v>26.065000000000001</v>
      </c>
      <c r="F942" s="58">
        <v>25.774000000000001</v>
      </c>
      <c r="G942" s="58" t="s">
        <v>334</v>
      </c>
      <c r="H942" s="58">
        <v>25.471</v>
      </c>
      <c r="I942" s="58">
        <v>25.643999999999998</v>
      </c>
      <c r="J942" s="58" t="s">
        <v>334</v>
      </c>
      <c r="K942" s="58">
        <v>25.946000000000002</v>
      </c>
      <c r="L942" s="58">
        <v>26.256</v>
      </c>
      <c r="M942" s="59" t="s">
        <v>334</v>
      </c>
      <c r="N942" s="58"/>
    </row>
    <row r="943" spans="1:14" ht="18" customHeight="1">
      <c r="A943" s="57">
        <v>18</v>
      </c>
      <c r="B943" s="58">
        <v>24.562000000000001</v>
      </c>
      <c r="C943" s="58" t="s">
        <v>334</v>
      </c>
      <c r="D943" s="58" t="s">
        <v>334</v>
      </c>
      <c r="E943" s="58">
        <v>26.024999999999999</v>
      </c>
      <c r="F943" s="58">
        <v>25.81</v>
      </c>
      <c r="G943" s="58" t="s">
        <v>334</v>
      </c>
      <c r="H943" s="58">
        <v>25.452999999999999</v>
      </c>
      <c r="I943" s="58">
        <v>25.649000000000001</v>
      </c>
      <c r="J943" s="58">
        <v>25.98</v>
      </c>
      <c r="K943" s="58">
        <v>25.945</v>
      </c>
      <c r="L943" s="58" t="s">
        <v>334</v>
      </c>
      <c r="M943" s="59">
        <v>26.228999999999999</v>
      </c>
      <c r="N943" s="58"/>
    </row>
    <row r="944" spans="1:14" ht="18" customHeight="1">
      <c r="A944" s="57">
        <v>19</v>
      </c>
      <c r="B944" s="58">
        <v>24.585000000000001</v>
      </c>
      <c r="C944" s="58" t="s">
        <v>334</v>
      </c>
      <c r="D944" s="58" t="s">
        <v>334</v>
      </c>
      <c r="E944" s="58">
        <v>26.016999999999999</v>
      </c>
      <c r="F944" s="58">
        <v>25.882999999999999</v>
      </c>
      <c r="G944" s="58">
        <v>25.661999999999999</v>
      </c>
      <c r="H944" s="58">
        <v>25.433</v>
      </c>
      <c r="I944" s="58" t="s">
        <v>334</v>
      </c>
      <c r="J944" s="58">
        <v>25.997</v>
      </c>
      <c r="K944" s="58">
        <v>25.943999999999999</v>
      </c>
      <c r="L944" s="58" t="s">
        <v>334</v>
      </c>
      <c r="M944" s="59">
        <v>26.206</v>
      </c>
      <c r="N944" s="58"/>
    </row>
    <row r="945" spans="1:15" ht="18" customHeight="1">
      <c r="A945" s="57">
        <v>20</v>
      </c>
      <c r="B945" s="58">
        <v>24.664999999999999</v>
      </c>
      <c r="C945" s="58">
        <v>25.145</v>
      </c>
      <c r="D945" s="58">
        <v>25.693999999999999</v>
      </c>
      <c r="E945" s="58">
        <v>25.974</v>
      </c>
      <c r="F945" s="58" t="s">
        <v>334</v>
      </c>
      <c r="G945" s="58">
        <v>25.66</v>
      </c>
      <c r="H945" s="58">
        <v>25.427</v>
      </c>
      <c r="I945" s="58" t="s">
        <v>334</v>
      </c>
      <c r="J945" s="58">
        <v>26.013999999999999</v>
      </c>
      <c r="K945" s="58">
        <v>25.952000000000002</v>
      </c>
      <c r="L945" s="58">
        <v>26.248000000000001</v>
      </c>
      <c r="M945" s="59">
        <v>26.195</v>
      </c>
      <c r="N945" s="58"/>
    </row>
    <row r="946" spans="1:15" ht="18" customHeight="1">
      <c r="A946" s="57">
        <v>21</v>
      </c>
      <c r="B946" s="58" t="s">
        <v>334</v>
      </c>
      <c r="C946" s="58">
        <v>25.114000000000001</v>
      </c>
      <c r="D946" s="58">
        <v>25.739000000000001</v>
      </c>
      <c r="E946" s="58">
        <v>26.039000000000001</v>
      </c>
      <c r="F946" s="58" t="s">
        <v>334</v>
      </c>
      <c r="G946" s="58">
        <v>25.643000000000001</v>
      </c>
      <c r="H946" s="58">
        <v>25.434999999999999</v>
      </c>
      <c r="I946" s="58">
        <v>25.614000000000001</v>
      </c>
      <c r="J946" s="58">
        <v>26.007000000000001</v>
      </c>
      <c r="K946" s="58" t="s">
        <v>334</v>
      </c>
      <c r="L946" s="58">
        <v>26.260999999999999</v>
      </c>
      <c r="M946" s="59">
        <v>26.184999999999999</v>
      </c>
      <c r="N946" s="58"/>
    </row>
    <row r="947" spans="1:15" ht="18" customHeight="1">
      <c r="A947" s="57">
        <v>22</v>
      </c>
      <c r="B947" s="58" t="s">
        <v>334</v>
      </c>
      <c r="C947" s="58">
        <v>25.181000000000001</v>
      </c>
      <c r="D947" s="58">
        <v>25.748999999999999</v>
      </c>
      <c r="E947" s="58" t="s">
        <v>334</v>
      </c>
      <c r="F947" s="58">
        <v>25.866</v>
      </c>
      <c r="G947" s="58">
        <v>25.594999999999999</v>
      </c>
      <c r="H947" s="58" t="s">
        <v>334</v>
      </c>
      <c r="I947" s="58">
        <v>25.648</v>
      </c>
      <c r="J947" s="58">
        <v>26.01</v>
      </c>
      <c r="K947" s="58" t="s">
        <v>334</v>
      </c>
      <c r="L947" s="58">
        <v>26.245999999999999</v>
      </c>
      <c r="M947" s="59">
        <v>26.187999999999999</v>
      </c>
      <c r="N947" s="58"/>
    </row>
    <row r="948" spans="1:15" ht="18" customHeight="1">
      <c r="A948" s="57">
        <v>23</v>
      </c>
      <c r="B948" s="58">
        <v>24.757999999999999</v>
      </c>
      <c r="C948" s="58">
        <v>25.242000000000001</v>
      </c>
      <c r="D948" s="58">
        <v>25.893999999999998</v>
      </c>
      <c r="E948" s="58" t="s">
        <v>334</v>
      </c>
      <c r="F948" s="58">
        <v>25.902999999999999</v>
      </c>
      <c r="G948" s="58">
        <v>25.555</v>
      </c>
      <c r="H948" s="58" t="s">
        <v>334</v>
      </c>
      <c r="I948" s="58">
        <v>25.754999999999999</v>
      </c>
      <c r="J948" s="58" t="s">
        <v>334</v>
      </c>
      <c r="K948" s="58">
        <v>25.952999999999999</v>
      </c>
      <c r="L948" s="58">
        <v>26.19</v>
      </c>
      <c r="M948" s="59" t="s">
        <v>334</v>
      </c>
      <c r="N948" s="58"/>
    </row>
    <row r="949" spans="1:15" ht="18" customHeight="1">
      <c r="A949" s="57">
        <v>24</v>
      </c>
      <c r="B949" s="58">
        <v>24.798999999999999</v>
      </c>
      <c r="C949" s="58">
        <v>25.420999999999999</v>
      </c>
      <c r="D949" s="58">
        <v>25.93</v>
      </c>
      <c r="E949" s="58">
        <v>26.087</v>
      </c>
      <c r="F949" s="58">
        <v>25.916</v>
      </c>
      <c r="G949" s="58" t="s">
        <v>334</v>
      </c>
      <c r="H949" s="58">
        <v>25.448</v>
      </c>
      <c r="I949" s="58">
        <v>25.815000000000001</v>
      </c>
      <c r="J949" s="58" t="s">
        <v>334</v>
      </c>
      <c r="K949" s="58">
        <v>25.998000000000001</v>
      </c>
      <c r="L949" s="58">
        <v>26.190999999999999</v>
      </c>
      <c r="M949" s="59" t="s">
        <v>334</v>
      </c>
      <c r="N949" s="58"/>
    </row>
    <row r="950" spans="1:15" ht="18" customHeight="1">
      <c r="A950" s="57">
        <v>25</v>
      </c>
      <c r="B950" s="58">
        <v>24.77</v>
      </c>
      <c r="C950" s="58" t="s">
        <v>334</v>
      </c>
      <c r="D950" s="58" t="s">
        <v>334</v>
      </c>
      <c r="E950" s="58">
        <v>26.027000000000001</v>
      </c>
      <c r="F950" s="58">
        <v>25.911000000000001</v>
      </c>
      <c r="G950" s="58" t="s">
        <v>334</v>
      </c>
      <c r="H950" s="58">
        <v>25.434999999999999</v>
      </c>
      <c r="I950" s="58">
        <v>25.771000000000001</v>
      </c>
      <c r="J950" s="58">
        <v>26.010999999999999</v>
      </c>
      <c r="K950" s="58">
        <v>25.972999999999999</v>
      </c>
      <c r="L950" s="58" t="s">
        <v>334</v>
      </c>
      <c r="M950" s="59" t="s">
        <v>334</v>
      </c>
      <c r="N950" s="58"/>
    </row>
    <row r="951" spans="1:15" ht="18" customHeight="1">
      <c r="A951" s="57">
        <v>26</v>
      </c>
      <c r="B951" s="58">
        <v>24.713999999999999</v>
      </c>
      <c r="C951" s="58" t="s">
        <v>334</v>
      </c>
      <c r="D951" s="58" t="s">
        <v>334</v>
      </c>
      <c r="E951" s="58">
        <v>25.908999999999999</v>
      </c>
      <c r="F951" s="58">
        <v>25.893999999999998</v>
      </c>
      <c r="G951" s="58">
        <v>25.532</v>
      </c>
      <c r="H951" s="58">
        <v>25.454999999999998</v>
      </c>
      <c r="I951" s="58" t="s">
        <v>334</v>
      </c>
      <c r="J951" s="58">
        <v>25.960999999999999</v>
      </c>
      <c r="K951" s="58">
        <v>25.966000000000001</v>
      </c>
      <c r="L951" s="58" t="s">
        <v>334</v>
      </c>
      <c r="M951" s="59">
        <v>26.24</v>
      </c>
      <c r="N951" s="58"/>
    </row>
    <row r="952" spans="1:15" ht="18" customHeight="1">
      <c r="A952" s="57">
        <v>27</v>
      </c>
      <c r="B952" s="58">
        <v>24.686</v>
      </c>
      <c r="C952" s="58">
        <v>25.841000000000001</v>
      </c>
      <c r="D952" s="58">
        <v>25.966999999999999</v>
      </c>
      <c r="E952" s="58">
        <v>25.966000000000001</v>
      </c>
      <c r="F952" s="58" t="s">
        <v>334</v>
      </c>
      <c r="G952" s="58">
        <v>25.51</v>
      </c>
      <c r="H952" s="58">
        <v>25.488</v>
      </c>
      <c r="I952" s="58" t="s">
        <v>334</v>
      </c>
      <c r="J952" s="58">
        <v>25.95</v>
      </c>
      <c r="K952" s="58">
        <v>25.977</v>
      </c>
      <c r="L952" s="58">
        <v>26.209</v>
      </c>
      <c r="M952" s="59">
        <v>26.254999999999999</v>
      </c>
      <c r="N952" s="58"/>
    </row>
    <row r="953" spans="1:15" ht="18" customHeight="1">
      <c r="A953" s="57">
        <v>28</v>
      </c>
      <c r="B953" s="58" t="s">
        <v>334</v>
      </c>
      <c r="C953" s="58">
        <v>25.731999999999999</v>
      </c>
      <c r="D953" s="58">
        <v>25.984000000000002</v>
      </c>
      <c r="E953" s="58">
        <v>26.021000000000001</v>
      </c>
      <c r="F953" s="58" t="s">
        <v>334</v>
      </c>
      <c r="G953" s="58">
        <v>25.51</v>
      </c>
      <c r="H953" s="58">
        <v>25.515999999999998</v>
      </c>
      <c r="I953" s="58">
        <v>25.826000000000001</v>
      </c>
      <c r="J953" s="58">
        <v>26.018999999999998</v>
      </c>
      <c r="K953" s="58" t="s">
        <v>334</v>
      </c>
      <c r="L953" s="58">
        <v>26.204000000000001</v>
      </c>
      <c r="M953" s="59">
        <v>26.253</v>
      </c>
      <c r="N953" s="58"/>
    </row>
    <row r="954" spans="1:15" ht="18" customHeight="1">
      <c r="A954" s="57">
        <v>29</v>
      </c>
      <c r="B954" s="58" t="s">
        <v>334</v>
      </c>
      <c r="C954" s="58" t="s">
        <v>335</v>
      </c>
      <c r="D954" s="58">
        <v>25.946000000000002</v>
      </c>
      <c r="E954" s="58" t="s">
        <v>334</v>
      </c>
      <c r="F954" s="58">
        <v>25.873000000000001</v>
      </c>
      <c r="G954" s="58">
        <v>25.602</v>
      </c>
      <c r="H954" s="58" t="s">
        <v>334</v>
      </c>
      <c r="I954" s="58">
        <v>25.934000000000001</v>
      </c>
      <c r="J954" s="58">
        <v>26.065000000000001</v>
      </c>
      <c r="K954" s="58" t="s">
        <v>334</v>
      </c>
      <c r="L954" s="58">
        <v>26.183</v>
      </c>
      <c r="M954" s="59">
        <v>26.213999999999999</v>
      </c>
      <c r="N954" s="58"/>
    </row>
    <row r="955" spans="1:15" ht="18" customHeight="1">
      <c r="A955" s="57">
        <v>30</v>
      </c>
      <c r="B955" s="58">
        <v>24.625</v>
      </c>
      <c r="C955" s="58" t="s">
        <v>335</v>
      </c>
      <c r="D955" s="58">
        <v>25.891999999999999</v>
      </c>
      <c r="E955" s="58" t="s">
        <v>334</v>
      </c>
      <c r="F955" s="58">
        <v>25.834</v>
      </c>
      <c r="G955" s="58">
        <v>25.574999999999999</v>
      </c>
      <c r="H955" s="58" t="s">
        <v>334</v>
      </c>
      <c r="I955" s="58">
        <v>25.884</v>
      </c>
      <c r="J955" s="58" t="s">
        <v>334</v>
      </c>
      <c r="K955" s="58">
        <v>25.998000000000001</v>
      </c>
      <c r="L955" s="58" t="s">
        <v>334</v>
      </c>
      <c r="M955" s="59" t="s">
        <v>334</v>
      </c>
      <c r="N955" s="58"/>
    </row>
    <row r="956" spans="1:15" ht="18" customHeight="1">
      <c r="A956" s="57">
        <v>31</v>
      </c>
      <c r="B956" s="58">
        <v>24.573</v>
      </c>
      <c r="C956" s="58" t="s">
        <v>335</v>
      </c>
      <c r="D956" s="58">
        <v>25.986999999999998</v>
      </c>
      <c r="E956" s="58" t="s">
        <v>335</v>
      </c>
      <c r="F956" s="58">
        <v>25.797000000000001</v>
      </c>
      <c r="G956" s="58" t="s">
        <v>335</v>
      </c>
      <c r="H956" s="58">
        <v>25.585000000000001</v>
      </c>
      <c r="I956" s="58">
        <v>25.905999999999999</v>
      </c>
      <c r="J956" s="58" t="s">
        <v>335</v>
      </c>
      <c r="K956" s="58">
        <v>25.992000000000001</v>
      </c>
      <c r="L956" s="58" t="s">
        <v>335</v>
      </c>
      <c r="M956" s="59" t="s">
        <v>334</v>
      </c>
      <c r="N956" s="58"/>
    </row>
    <row r="957" spans="1:15" ht="18" customHeight="1" thickBot="1">
      <c r="A957" s="76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8"/>
      <c r="N957" s="58"/>
    </row>
    <row r="958" spans="1:15" ht="18" customHeight="1">
      <c r="A958" s="618">
        <v>1994</v>
      </c>
      <c r="B958" s="619"/>
      <c r="C958" s="619"/>
      <c r="D958" s="619"/>
      <c r="E958" s="619"/>
      <c r="F958" s="619"/>
      <c r="G958" s="619"/>
      <c r="H958" s="619"/>
      <c r="I958" s="619"/>
      <c r="J958" s="619"/>
      <c r="K958" s="619"/>
      <c r="L958" s="619"/>
      <c r="M958" s="620"/>
      <c r="N958" s="52"/>
    </row>
    <row r="959" spans="1:15" ht="18" customHeight="1" thickBot="1">
      <c r="A959" s="63" t="s">
        <v>322</v>
      </c>
      <c r="B959" s="64" t="s">
        <v>323</v>
      </c>
      <c r="C959" s="64" t="s">
        <v>324</v>
      </c>
      <c r="D959" s="64" t="s">
        <v>325</v>
      </c>
      <c r="E959" s="64" t="s">
        <v>326</v>
      </c>
      <c r="F959" s="64" t="s">
        <v>236</v>
      </c>
      <c r="G959" s="64" t="s">
        <v>327</v>
      </c>
      <c r="H959" s="64" t="s">
        <v>328</v>
      </c>
      <c r="I959" s="64" t="s">
        <v>329</v>
      </c>
      <c r="J959" s="64" t="s">
        <v>330</v>
      </c>
      <c r="K959" s="64" t="s">
        <v>331</v>
      </c>
      <c r="L959" s="64" t="s">
        <v>332</v>
      </c>
      <c r="M959" s="65" t="s">
        <v>333</v>
      </c>
      <c r="N959" s="52"/>
    </row>
    <row r="960" spans="1:15" ht="18" customHeight="1">
      <c r="A960" s="54">
        <v>1</v>
      </c>
      <c r="B960" s="55" t="s">
        <v>334</v>
      </c>
      <c r="C960" s="55">
        <v>27.651</v>
      </c>
      <c r="D960" s="55">
        <v>27.701000000000001</v>
      </c>
      <c r="E960" s="55" t="s">
        <v>334</v>
      </c>
      <c r="F960" s="55" t="s">
        <v>334</v>
      </c>
      <c r="G960" s="55">
        <v>26.890999999999998</v>
      </c>
      <c r="H960" s="55">
        <v>26.902000000000001</v>
      </c>
      <c r="I960" s="55">
        <v>26.744</v>
      </c>
      <c r="J960" s="55">
        <v>26.391999999999999</v>
      </c>
      <c r="K960" s="55" t="s">
        <v>334</v>
      </c>
      <c r="L960" s="70" t="s">
        <v>334</v>
      </c>
      <c r="M960" s="71">
        <v>23.978000000000002</v>
      </c>
      <c r="N960" s="83">
        <v>1994</v>
      </c>
      <c r="O960" s="47">
        <f>AVERAGE(B960:M990)</f>
        <v>26.417394422310732</v>
      </c>
    </row>
    <row r="961" spans="1:14" ht="18" customHeight="1">
      <c r="A961" s="57">
        <v>2</v>
      </c>
      <c r="B961" s="58" t="s">
        <v>334</v>
      </c>
      <c r="C961" s="58">
        <v>27.614000000000001</v>
      </c>
      <c r="D961" s="58">
        <v>27.701000000000001</v>
      </c>
      <c r="E961" s="58" t="s">
        <v>334</v>
      </c>
      <c r="F961" s="58">
        <v>27.055</v>
      </c>
      <c r="G961" s="58">
        <v>26.948</v>
      </c>
      <c r="H961" s="58" t="s">
        <v>334</v>
      </c>
      <c r="I961" s="58">
        <v>26.513000000000002</v>
      </c>
      <c r="J961" s="58">
        <v>26.297000000000001</v>
      </c>
      <c r="K961" s="58" t="s">
        <v>334</v>
      </c>
      <c r="L961" s="72">
        <v>24.942</v>
      </c>
      <c r="M961" s="73">
        <v>24.193999999999999</v>
      </c>
      <c r="N961" s="58"/>
    </row>
    <row r="962" spans="1:14" ht="18" customHeight="1">
      <c r="A962" s="57">
        <v>3</v>
      </c>
      <c r="B962" s="58">
        <v>27.74</v>
      </c>
      <c r="C962" s="58">
        <v>27.614000000000001</v>
      </c>
      <c r="D962" s="58">
        <v>27.661999999999999</v>
      </c>
      <c r="E962" s="58" t="s">
        <v>334</v>
      </c>
      <c r="F962" s="58">
        <v>27.100999999999999</v>
      </c>
      <c r="G962" s="58">
        <v>26.978999999999999</v>
      </c>
      <c r="H962" s="58" t="s">
        <v>334</v>
      </c>
      <c r="I962" s="58">
        <v>26.265000000000001</v>
      </c>
      <c r="J962" s="58" t="s">
        <v>334</v>
      </c>
      <c r="K962" s="58">
        <v>26.201000000000001</v>
      </c>
      <c r="L962" s="72">
        <v>24.963000000000001</v>
      </c>
      <c r="M962" s="73" t="s">
        <v>334</v>
      </c>
      <c r="N962" s="58"/>
    </row>
    <row r="963" spans="1:14" ht="18" customHeight="1">
      <c r="A963" s="57">
        <v>4</v>
      </c>
      <c r="B963" s="58">
        <v>27.675000000000001</v>
      </c>
      <c r="C963" s="58">
        <v>27.574000000000002</v>
      </c>
      <c r="D963" s="58">
        <v>27.614000000000001</v>
      </c>
      <c r="E963" s="58">
        <v>27.565000000000001</v>
      </c>
      <c r="F963" s="58">
        <v>27.161000000000001</v>
      </c>
      <c r="G963" s="58" t="s">
        <v>334</v>
      </c>
      <c r="H963" s="58">
        <v>26.91</v>
      </c>
      <c r="I963" s="58">
        <v>26.271000000000001</v>
      </c>
      <c r="J963" s="58" t="s">
        <v>334</v>
      </c>
      <c r="K963" s="58">
        <v>25.908999999999999</v>
      </c>
      <c r="L963" s="58">
        <v>24.937999999999999</v>
      </c>
      <c r="M963" s="59" t="s">
        <v>334</v>
      </c>
      <c r="N963" s="58"/>
    </row>
    <row r="964" spans="1:14" ht="18" customHeight="1">
      <c r="A964" s="57">
        <v>5</v>
      </c>
      <c r="B964" s="58">
        <v>27.710999999999999</v>
      </c>
      <c r="C964" s="58" t="s">
        <v>334</v>
      </c>
      <c r="D964" s="58" t="s">
        <v>334</v>
      </c>
      <c r="E964" s="58">
        <v>27.565000000000001</v>
      </c>
      <c r="F964" s="58">
        <v>27.231999999999999</v>
      </c>
      <c r="G964" s="58" t="s">
        <v>334</v>
      </c>
      <c r="H964" s="58">
        <v>26.91</v>
      </c>
      <c r="I964" s="58">
        <v>26.251000000000001</v>
      </c>
      <c r="J964" s="58">
        <v>26.262</v>
      </c>
      <c r="K964" s="58">
        <v>25.638000000000002</v>
      </c>
      <c r="L964" s="58" t="s">
        <v>334</v>
      </c>
      <c r="M964" s="59">
        <v>24.056000000000001</v>
      </c>
      <c r="N964" s="58"/>
    </row>
    <row r="965" spans="1:14" ht="18" customHeight="1">
      <c r="A965" s="57">
        <v>6</v>
      </c>
      <c r="B965" s="58">
        <v>27.645</v>
      </c>
      <c r="C965" s="58" t="s">
        <v>334</v>
      </c>
      <c r="D965" s="58" t="s">
        <v>334</v>
      </c>
      <c r="E965" s="58">
        <v>27.56</v>
      </c>
      <c r="F965" s="58">
        <v>27.154</v>
      </c>
      <c r="G965" s="58">
        <v>27.152999999999999</v>
      </c>
      <c r="H965" s="58">
        <v>26.902000000000001</v>
      </c>
      <c r="I965" s="58" t="s">
        <v>334</v>
      </c>
      <c r="J965" s="58">
        <v>26.25</v>
      </c>
      <c r="K965" s="58">
        <v>25.603999999999999</v>
      </c>
      <c r="L965" s="58" t="s">
        <v>334</v>
      </c>
      <c r="M965" s="59">
        <v>24.079000000000001</v>
      </c>
      <c r="N965" s="58"/>
    </row>
    <row r="966" spans="1:14" ht="18" customHeight="1">
      <c r="A966" s="57">
        <v>7</v>
      </c>
      <c r="B966" s="58">
        <v>27.597999999999999</v>
      </c>
      <c r="C966" s="58">
        <v>27.614999999999998</v>
      </c>
      <c r="D966" s="58">
        <v>27.579000000000001</v>
      </c>
      <c r="E966" s="58">
        <v>27.56</v>
      </c>
      <c r="F966" s="58" t="s">
        <v>334</v>
      </c>
      <c r="G966" s="58">
        <v>27.218</v>
      </c>
      <c r="H966" s="58">
        <v>26.827000000000002</v>
      </c>
      <c r="I966" s="58" t="s">
        <v>334</v>
      </c>
      <c r="J966" s="58">
        <v>26.221</v>
      </c>
      <c r="K966" s="58">
        <v>25.55</v>
      </c>
      <c r="L966" s="58">
        <v>24.652000000000001</v>
      </c>
      <c r="M966" s="59">
        <v>24.146000000000001</v>
      </c>
      <c r="N966" s="58"/>
    </row>
    <row r="967" spans="1:14" ht="18" customHeight="1">
      <c r="A967" s="57">
        <v>8</v>
      </c>
      <c r="B967" s="58" t="s">
        <v>334</v>
      </c>
      <c r="C967" s="58">
        <v>27.585999999999999</v>
      </c>
      <c r="D967" s="58">
        <v>27.584</v>
      </c>
      <c r="E967" s="58">
        <v>27.56</v>
      </c>
      <c r="F967" s="58" t="s">
        <v>334</v>
      </c>
      <c r="G967" s="58">
        <v>27.234999999999999</v>
      </c>
      <c r="H967" s="58">
        <v>26.733000000000001</v>
      </c>
      <c r="I967" s="58">
        <v>26.4</v>
      </c>
      <c r="J967" s="58">
        <v>26.215</v>
      </c>
      <c r="K967" s="58" t="s">
        <v>334</v>
      </c>
      <c r="L967" s="58">
        <v>24.364000000000001</v>
      </c>
      <c r="M967" s="59">
        <v>24.065999999999999</v>
      </c>
      <c r="N967" s="58"/>
    </row>
    <row r="968" spans="1:14" ht="18" customHeight="1">
      <c r="A968" s="57">
        <v>9</v>
      </c>
      <c r="B968" s="58" t="s">
        <v>334</v>
      </c>
      <c r="C968" s="58">
        <v>27.564</v>
      </c>
      <c r="D968" s="58">
        <v>27.584</v>
      </c>
      <c r="E968" s="58" t="s">
        <v>334</v>
      </c>
      <c r="F968" s="58" t="s">
        <v>334</v>
      </c>
      <c r="G968" s="58">
        <v>27.175999999999998</v>
      </c>
      <c r="H968" s="58" t="s">
        <v>334</v>
      </c>
      <c r="I968" s="58">
        <v>26.17</v>
      </c>
      <c r="J968" s="58">
        <v>26.227</v>
      </c>
      <c r="K968" s="58" t="s">
        <v>334</v>
      </c>
      <c r="L968" s="58">
        <v>23.774999999999999</v>
      </c>
      <c r="M968" s="59">
        <v>24.010999999999999</v>
      </c>
      <c r="N968" s="58"/>
    </row>
    <row r="969" spans="1:14" ht="18" customHeight="1">
      <c r="A969" s="57">
        <v>10</v>
      </c>
      <c r="B969" s="58">
        <v>27.597999999999999</v>
      </c>
      <c r="C969" s="58">
        <v>27.57</v>
      </c>
      <c r="D969" s="58">
        <v>27.574999999999999</v>
      </c>
      <c r="E969" s="58" t="s">
        <v>334</v>
      </c>
      <c r="F969" s="58">
        <v>27.152999999999999</v>
      </c>
      <c r="G969" s="58">
        <v>26.992000000000001</v>
      </c>
      <c r="H969" s="58" t="s">
        <v>334</v>
      </c>
      <c r="I969" s="58">
        <v>26.146999999999998</v>
      </c>
      <c r="J969" s="58" t="s">
        <v>334</v>
      </c>
      <c r="K969" s="58">
        <v>25.565999999999999</v>
      </c>
      <c r="L969" s="58">
        <v>23.786000000000001</v>
      </c>
      <c r="M969" s="59" t="s">
        <v>334</v>
      </c>
      <c r="N969" s="58"/>
    </row>
    <row r="970" spans="1:14" ht="18" customHeight="1">
      <c r="A970" s="57">
        <v>11</v>
      </c>
      <c r="B970" s="58">
        <v>27.61</v>
      </c>
      <c r="C970" s="58">
        <v>27.57</v>
      </c>
      <c r="D970" s="58">
        <v>27.565999999999999</v>
      </c>
      <c r="E970" s="58">
        <v>27.56</v>
      </c>
      <c r="F970" s="58">
        <v>27.088999999999999</v>
      </c>
      <c r="G970" s="58" t="s">
        <v>334</v>
      </c>
      <c r="H970" s="58">
        <v>26.463999999999999</v>
      </c>
      <c r="I970" s="58">
        <v>26.109000000000002</v>
      </c>
      <c r="J970" s="58" t="s">
        <v>334</v>
      </c>
      <c r="K970" s="58">
        <v>25.559000000000001</v>
      </c>
      <c r="L970" s="58">
        <v>24.393000000000001</v>
      </c>
      <c r="M970" s="59" t="s">
        <v>334</v>
      </c>
      <c r="N970" s="58"/>
    </row>
    <row r="971" spans="1:14" ht="18" customHeight="1">
      <c r="A971" s="57">
        <v>12</v>
      </c>
      <c r="B971" s="58">
        <v>27.655999999999999</v>
      </c>
      <c r="C971" s="58" t="s">
        <v>334</v>
      </c>
      <c r="D971" s="58" t="s">
        <v>334</v>
      </c>
      <c r="E971" s="58">
        <v>27.56</v>
      </c>
      <c r="F971" s="58">
        <v>27.093</v>
      </c>
      <c r="G971" s="58" t="s">
        <v>334</v>
      </c>
      <c r="H971" s="58">
        <v>26.303999999999998</v>
      </c>
      <c r="I971" s="58">
        <v>26.120999999999999</v>
      </c>
      <c r="J971" s="58">
        <v>26.210999999999999</v>
      </c>
      <c r="K971" s="58">
        <v>25.497</v>
      </c>
      <c r="L971" s="58" t="s">
        <v>334</v>
      </c>
      <c r="M971" s="59">
        <v>24.113</v>
      </c>
      <c r="N971" s="58"/>
    </row>
    <row r="972" spans="1:14" ht="18" customHeight="1">
      <c r="A972" s="57">
        <v>13</v>
      </c>
      <c r="B972" s="58">
        <v>27.710999999999999</v>
      </c>
      <c r="C972" s="58" t="s">
        <v>334</v>
      </c>
      <c r="D972" s="58" t="s">
        <v>334</v>
      </c>
      <c r="E972" s="58">
        <v>27.550999999999998</v>
      </c>
      <c r="F972" s="58">
        <v>27.111000000000001</v>
      </c>
      <c r="G972" s="58">
        <v>26.885000000000002</v>
      </c>
      <c r="H972" s="58">
        <v>26.178999999999998</v>
      </c>
      <c r="I972" s="58" t="s">
        <v>334</v>
      </c>
      <c r="J972" s="58">
        <v>26.117999999999999</v>
      </c>
      <c r="K972" s="58">
        <v>25.539000000000001</v>
      </c>
      <c r="L972" s="58" t="s">
        <v>334</v>
      </c>
      <c r="M972" s="59">
        <v>24.155000000000001</v>
      </c>
      <c r="N972" s="58"/>
    </row>
    <row r="973" spans="1:14" ht="18" customHeight="1">
      <c r="A973" s="57">
        <v>14</v>
      </c>
      <c r="B973" s="58">
        <v>27.765999999999998</v>
      </c>
      <c r="C973" s="58">
        <v>27.57</v>
      </c>
      <c r="D973" s="58">
        <v>27.559000000000001</v>
      </c>
      <c r="E973" s="58">
        <v>27.55</v>
      </c>
      <c r="F973" s="58" t="s">
        <v>334</v>
      </c>
      <c r="G973" s="58">
        <v>26.916</v>
      </c>
      <c r="H973" s="58">
        <v>26.196999999999999</v>
      </c>
      <c r="I973" s="58" t="s">
        <v>334</v>
      </c>
      <c r="J973" s="58">
        <v>25.814</v>
      </c>
      <c r="K973" s="58">
        <v>25.495000000000001</v>
      </c>
      <c r="L973" s="58">
        <v>24.036000000000001</v>
      </c>
      <c r="M973" s="59">
        <v>24.152000000000001</v>
      </c>
      <c r="N973" s="58"/>
    </row>
    <row r="974" spans="1:14" ht="18" customHeight="1">
      <c r="A974" s="57">
        <v>15</v>
      </c>
      <c r="B974" s="58" t="s">
        <v>334</v>
      </c>
      <c r="C974" s="58">
        <v>27.645</v>
      </c>
      <c r="D974" s="58">
        <v>27.55</v>
      </c>
      <c r="E974" s="58">
        <v>27.55</v>
      </c>
      <c r="F974" s="58" t="s">
        <v>334</v>
      </c>
      <c r="G974" s="58">
        <v>26.919</v>
      </c>
      <c r="H974" s="58">
        <v>26.353999999999999</v>
      </c>
      <c r="I974" s="58">
        <v>26.193000000000001</v>
      </c>
      <c r="J974" s="58">
        <v>25.773</v>
      </c>
      <c r="K974" s="58" t="s">
        <v>334</v>
      </c>
      <c r="L974" s="58">
        <v>24.297999999999998</v>
      </c>
      <c r="M974" s="59">
        <v>24.125</v>
      </c>
      <c r="N974" s="58"/>
    </row>
    <row r="975" spans="1:14" ht="18" customHeight="1">
      <c r="A975" s="57">
        <v>16</v>
      </c>
      <c r="B975" s="58" t="s">
        <v>334</v>
      </c>
      <c r="C975" s="58">
        <v>27.713000000000001</v>
      </c>
      <c r="D975" s="58">
        <v>27.562000000000001</v>
      </c>
      <c r="E975" s="58" t="s">
        <v>334</v>
      </c>
      <c r="F975" s="58">
        <v>27.094999999999999</v>
      </c>
      <c r="G975" s="58">
        <v>26.946000000000002</v>
      </c>
      <c r="H975" s="58" t="s">
        <v>334</v>
      </c>
      <c r="I975" s="58">
        <v>26.210999999999999</v>
      </c>
      <c r="J975" s="58">
        <v>25.71</v>
      </c>
      <c r="K975" s="58" t="s">
        <v>334</v>
      </c>
      <c r="L975" s="58">
        <v>24.491</v>
      </c>
      <c r="M975" s="59">
        <v>24.111000000000001</v>
      </c>
      <c r="N975" s="58"/>
    </row>
    <row r="976" spans="1:14" ht="18" customHeight="1">
      <c r="A976" s="57">
        <v>17</v>
      </c>
      <c r="B976" s="58">
        <v>27.798999999999999</v>
      </c>
      <c r="C976" s="58">
        <v>27.75</v>
      </c>
      <c r="D976" s="58">
        <v>27.565000000000001</v>
      </c>
      <c r="E976" s="58" t="s">
        <v>334</v>
      </c>
      <c r="F976" s="58">
        <v>27.081</v>
      </c>
      <c r="G976" s="58">
        <v>26.937999999999999</v>
      </c>
      <c r="H976" s="58" t="s">
        <v>334</v>
      </c>
      <c r="I976" s="58">
        <v>26.148</v>
      </c>
      <c r="J976" s="58" t="s">
        <v>334</v>
      </c>
      <c r="K976" s="58">
        <v>25.486000000000001</v>
      </c>
      <c r="L976" s="58">
        <v>24.306000000000001</v>
      </c>
      <c r="M976" s="59" t="s">
        <v>334</v>
      </c>
      <c r="N976" s="58"/>
    </row>
    <row r="977" spans="1:14" ht="18" customHeight="1">
      <c r="A977" s="57">
        <v>18</v>
      </c>
      <c r="B977" s="58">
        <v>27.806999999999999</v>
      </c>
      <c r="C977" s="58">
        <v>27.75</v>
      </c>
      <c r="D977" s="58">
        <v>27.567</v>
      </c>
      <c r="E977" s="58">
        <v>27.535</v>
      </c>
      <c r="F977" s="58">
        <v>27.056000000000001</v>
      </c>
      <c r="G977" s="58" t="s">
        <v>334</v>
      </c>
      <c r="H977" s="58">
        <v>26.385000000000002</v>
      </c>
      <c r="I977" s="58">
        <v>26.131</v>
      </c>
      <c r="J977" s="58" t="s">
        <v>334</v>
      </c>
      <c r="K977" s="58">
        <v>25.43</v>
      </c>
      <c r="L977" s="58">
        <v>24.331</v>
      </c>
      <c r="M977" s="59" t="s">
        <v>334</v>
      </c>
      <c r="N977" s="58"/>
    </row>
    <row r="978" spans="1:14" ht="18" customHeight="1">
      <c r="A978" s="57">
        <v>19</v>
      </c>
      <c r="B978" s="58">
        <v>27.806999999999999</v>
      </c>
      <c r="C978" s="58" t="s">
        <v>334</v>
      </c>
      <c r="D978" s="58" t="s">
        <v>334</v>
      </c>
      <c r="E978" s="58">
        <v>27.535</v>
      </c>
      <c r="F978" s="58">
        <v>27.05</v>
      </c>
      <c r="G978" s="58" t="s">
        <v>334</v>
      </c>
      <c r="H978" s="58">
        <v>26.343</v>
      </c>
      <c r="I978" s="58">
        <v>26.099</v>
      </c>
      <c r="J978" s="58">
        <v>25.533999999999999</v>
      </c>
      <c r="K978" s="58">
        <v>25.192</v>
      </c>
      <c r="L978" s="58" t="s">
        <v>334</v>
      </c>
      <c r="M978" s="59">
        <v>24.109000000000002</v>
      </c>
      <c r="N978" s="58"/>
    </row>
    <row r="979" spans="1:14" ht="18" customHeight="1">
      <c r="A979" s="57">
        <v>20</v>
      </c>
      <c r="B979" s="58">
        <v>27.846</v>
      </c>
      <c r="C979" s="58" t="s">
        <v>334</v>
      </c>
      <c r="D979" s="58" t="s">
        <v>334</v>
      </c>
      <c r="E979" s="58">
        <v>27.535</v>
      </c>
      <c r="F979" s="58">
        <v>27.064</v>
      </c>
      <c r="G979" s="58">
        <v>26.925000000000001</v>
      </c>
      <c r="H979" s="58">
        <v>26.254999999999999</v>
      </c>
      <c r="I979" s="58" t="s">
        <v>334</v>
      </c>
      <c r="J979" s="58">
        <v>25.582999999999998</v>
      </c>
      <c r="K979" s="58">
        <v>25.19</v>
      </c>
      <c r="L979" s="58" t="s">
        <v>334</v>
      </c>
      <c r="M979" s="59">
        <v>24.117000000000001</v>
      </c>
      <c r="N979" s="58"/>
    </row>
    <row r="980" spans="1:14" ht="18" customHeight="1">
      <c r="A980" s="57">
        <v>21</v>
      </c>
      <c r="B980" s="58">
        <v>27.821000000000002</v>
      </c>
      <c r="C980" s="58">
        <v>27.667999999999999</v>
      </c>
      <c r="D980" s="58">
        <v>27.568000000000001</v>
      </c>
      <c r="E980" s="58">
        <v>27.535</v>
      </c>
      <c r="F980" s="58" t="s">
        <v>334</v>
      </c>
      <c r="G980" s="58">
        <v>26.907</v>
      </c>
      <c r="H980" s="58">
        <v>26.295999999999999</v>
      </c>
      <c r="I980" s="58" t="s">
        <v>334</v>
      </c>
      <c r="J980" s="58">
        <v>25.574000000000002</v>
      </c>
      <c r="K980" s="58">
        <v>25.114000000000001</v>
      </c>
      <c r="L980" s="58">
        <v>24.423999999999999</v>
      </c>
      <c r="M980" s="59">
        <v>24.17</v>
      </c>
      <c r="N980" s="58"/>
    </row>
    <row r="981" spans="1:14" ht="18" customHeight="1">
      <c r="A981" s="57">
        <v>22</v>
      </c>
      <c r="B981" s="58" t="s">
        <v>334</v>
      </c>
      <c r="C981" s="58">
        <v>27.67</v>
      </c>
      <c r="D981" s="58">
        <v>27.568000000000001</v>
      </c>
      <c r="E981" s="58">
        <v>27.535</v>
      </c>
      <c r="F981" s="58" t="s">
        <v>334</v>
      </c>
      <c r="G981" s="58">
        <v>26.908999999999999</v>
      </c>
      <c r="H981" s="58">
        <v>26.361000000000001</v>
      </c>
      <c r="I981" s="58">
        <v>26.157</v>
      </c>
      <c r="J981" s="58">
        <v>25.538</v>
      </c>
      <c r="K981" s="58" t="s">
        <v>334</v>
      </c>
      <c r="L981" s="58">
        <v>24.303999999999998</v>
      </c>
      <c r="M981" s="59">
        <v>24.186</v>
      </c>
      <c r="N981" s="58"/>
    </row>
    <row r="982" spans="1:14" ht="18" customHeight="1">
      <c r="A982" s="57">
        <v>23</v>
      </c>
      <c r="B982" s="58" t="s">
        <v>334</v>
      </c>
      <c r="C982" s="58">
        <v>27.716999999999999</v>
      </c>
      <c r="D982" s="58">
        <v>27.579000000000001</v>
      </c>
      <c r="E982" s="58" t="s">
        <v>334</v>
      </c>
      <c r="F982" s="58">
        <v>27.058</v>
      </c>
      <c r="G982" s="58">
        <v>26.91</v>
      </c>
      <c r="H982" s="58" t="s">
        <v>334</v>
      </c>
      <c r="I982" s="58">
        <v>26.31</v>
      </c>
      <c r="J982" s="58">
        <v>25.559000000000001</v>
      </c>
      <c r="K982" s="58" t="s">
        <v>334</v>
      </c>
      <c r="L982" s="58">
        <v>24.067</v>
      </c>
      <c r="M982" s="59">
        <v>24.170999999999999</v>
      </c>
      <c r="N982" s="58"/>
    </row>
    <row r="983" spans="1:14" ht="18" customHeight="1">
      <c r="A983" s="57">
        <v>24</v>
      </c>
      <c r="B983" s="58">
        <v>27.837</v>
      </c>
      <c r="C983" s="58">
        <v>27.736999999999998</v>
      </c>
      <c r="D983" s="58">
        <v>27.57</v>
      </c>
      <c r="E983" s="58" t="s">
        <v>334</v>
      </c>
      <c r="F983" s="58">
        <v>27.024000000000001</v>
      </c>
      <c r="G983" s="58" t="s">
        <v>334</v>
      </c>
      <c r="H983" s="58" t="s">
        <v>334</v>
      </c>
      <c r="I983" s="58">
        <v>26.504999999999999</v>
      </c>
      <c r="J983" s="58" t="s">
        <v>334</v>
      </c>
      <c r="K983" s="58">
        <v>25.135000000000002</v>
      </c>
      <c r="L983" s="58">
        <v>23.846</v>
      </c>
      <c r="M983" s="59" t="s">
        <v>334</v>
      </c>
      <c r="N983" s="58"/>
    </row>
    <row r="984" spans="1:14" ht="18" customHeight="1">
      <c r="A984" s="57">
        <v>25</v>
      </c>
      <c r="B984" s="58">
        <v>27.79</v>
      </c>
      <c r="C984" s="58" t="s">
        <v>334</v>
      </c>
      <c r="D984" s="58">
        <v>27.57</v>
      </c>
      <c r="E984" s="58">
        <v>27.535</v>
      </c>
      <c r="F984" s="58">
        <v>26.984999999999999</v>
      </c>
      <c r="G984" s="58" t="s">
        <v>334</v>
      </c>
      <c r="H984" s="58">
        <v>26.308</v>
      </c>
      <c r="I984" s="58">
        <v>26.529</v>
      </c>
      <c r="J984" s="58" t="s">
        <v>334</v>
      </c>
      <c r="K984" s="58">
        <v>24.981000000000002</v>
      </c>
      <c r="L984" s="58">
        <v>23.745000000000001</v>
      </c>
      <c r="M984" s="59" t="s">
        <v>334</v>
      </c>
      <c r="N984" s="58"/>
    </row>
    <row r="985" spans="1:14" ht="18" customHeight="1">
      <c r="A985" s="57">
        <v>26</v>
      </c>
      <c r="B985" s="58">
        <v>27.7</v>
      </c>
      <c r="C985" s="58" t="s">
        <v>334</v>
      </c>
      <c r="D985" s="58" t="s">
        <v>334</v>
      </c>
      <c r="E985" s="58">
        <v>27.535</v>
      </c>
      <c r="F985" s="58">
        <v>26.937999999999999</v>
      </c>
      <c r="G985" s="58" t="s">
        <v>334</v>
      </c>
      <c r="H985" s="58">
        <v>26.33</v>
      </c>
      <c r="I985" s="58">
        <v>26.538</v>
      </c>
      <c r="J985" s="58">
        <v>25.61</v>
      </c>
      <c r="K985" s="58">
        <v>24.951000000000001</v>
      </c>
      <c r="L985" s="58" t="s">
        <v>334</v>
      </c>
      <c r="M985" s="59">
        <v>24.199000000000002</v>
      </c>
      <c r="N985" s="58"/>
    </row>
    <row r="986" spans="1:14" ht="18" customHeight="1">
      <c r="A986" s="57">
        <v>27</v>
      </c>
      <c r="B986" s="58">
        <v>27.722000000000001</v>
      </c>
      <c r="C986" s="58" t="s">
        <v>334</v>
      </c>
      <c r="D986" s="58" t="s">
        <v>334</v>
      </c>
      <c r="E986" s="58">
        <v>27.535</v>
      </c>
      <c r="F986" s="58">
        <v>26.914000000000001</v>
      </c>
      <c r="G986" s="58">
        <v>26.91</v>
      </c>
      <c r="H986" s="58">
        <v>26.300999999999998</v>
      </c>
      <c r="I986" s="58" t="s">
        <v>334</v>
      </c>
      <c r="J986" s="58">
        <v>25.709</v>
      </c>
      <c r="K986" s="58">
        <v>24.923999999999999</v>
      </c>
      <c r="L986" s="58" t="s">
        <v>334</v>
      </c>
      <c r="M986" s="59">
        <v>24.196000000000002</v>
      </c>
      <c r="N986" s="58"/>
    </row>
    <row r="987" spans="1:14" ht="18" customHeight="1">
      <c r="A987" s="57">
        <v>28</v>
      </c>
      <c r="B987" s="58">
        <v>27.7</v>
      </c>
      <c r="C987" s="58">
        <v>27.701000000000001</v>
      </c>
      <c r="D987" s="58">
        <v>27.565000000000001</v>
      </c>
      <c r="E987" s="58">
        <v>27.457000000000001</v>
      </c>
      <c r="F987" s="58" t="s">
        <v>334</v>
      </c>
      <c r="G987" s="58">
        <v>26.91</v>
      </c>
      <c r="H987" s="58">
        <v>26.186</v>
      </c>
      <c r="I987" s="58" t="s">
        <v>334</v>
      </c>
      <c r="J987" s="58">
        <v>25.65</v>
      </c>
      <c r="K987" s="58">
        <v>24.928000000000001</v>
      </c>
      <c r="L987" s="58">
        <v>23.756</v>
      </c>
      <c r="M987" s="59">
        <v>24.292999999999999</v>
      </c>
      <c r="N987" s="58"/>
    </row>
    <row r="988" spans="1:14" ht="18" customHeight="1">
      <c r="A988" s="57">
        <v>29</v>
      </c>
      <c r="B988" s="58" t="s">
        <v>334</v>
      </c>
      <c r="C988" s="58" t="s">
        <v>335</v>
      </c>
      <c r="D988" s="58">
        <v>27.565000000000001</v>
      </c>
      <c r="E988" s="58">
        <v>27.277000000000001</v>
      </c>
      <c r="F988" s="58" t="s">
        <v>334</v>
      </c>
      <c r="G988" s="58">
        <v>26.91</v>
      </c>
      <c r="H988" s="58">
        <v>26.228999999999999</v>
      </c>
      <c r="I988" s="58">
        <v>26.465</v>
      </c>
      <c r="J988" s="58">
        <v>25.800999999999998</v>
      </c>
      <c r="K988" s="58" t="s">
        <v>334</v>
      </c>
      <c r="L988" s="58">
        <v>23.879000000000001</v>
      </c>
      <c r="M988" s="59">
        <v>24.417999999999999</v>
      </c>
      <c r="N988" s="58"/>
    </row>
    <row r="989" spans="1:14" ht="18" customHeight="1">
      <c r="A989" s="57">
        <v>30</v>
      </c>
      <c r="B989" s="58" t="s">
        <v>334</v>
      </c>
      <c r="C989" s="58" t="s">
        <v>335</v>
      </c>
      <c r="D989" s="58">
        <v>27.565000000000001</v>
      </c>
      <c r="E989" s="58" t="s">
        <v>334</v>
      </c>
      <c r="F989" s="58">
        <v>26.824999999999999</v>
      </c>
      <c r="G989" s="58">
        <v>26.91</v>
      </c>
      <c r="H989" s="58" t="s">
        <v>334</v>
      </c>
      <c r="I989" s="58">
        <v>26.443000000000001</v>
      </c>
      <c r="J989" s="58">
        <v>26</v>
      </c>
      <c r="K989" s="58" t="s">
        <v>334</v>
      </c>
      <c r="L989" s="58" t="s">
        <v>334</v>
      </c>
      <c r="M989" s="59" t="s">
        <v>334</v>
      </c>
      <c r="N989" s="58"/>
    </row>
    <row r="990" spans="1:14" ht="18" customHeight="1">
      <c r="A990" s="57">
        <v>31</v>
      </c>
      <c r="B990" s="58">
        <v>27.675999999999998</v>
      </c>
      <c r="C990" s="58" t="s">
        <v>335</v>
      </c>
      <c r="D990" s="58" t="s">
        <v>334</v>
      </c>
      <c r="E990" s="58" t="s">
        <v>335</v>
      </c>
      <c r="F990" s="58">
        <v>26.873999999999999</v>
      </c>
      <c r="G990" s="58" t="s">
        <v>335</v>
      </c>
      <c r="H990" s="58" t="s">
        <v>334</v>
      </c>
      <c r="I990" s="58">
        <v>26.484000000000002</v>
      </c>
      <c r="J990" s="58" t="s">
        <v>335</v>
      </c>
      <c r="K990" s="58" t="s">
        <v>334</v>
      </c>
      <c r="L990" s="58" t="s">
        <v>335</v>
      </c>
      <c r="M990" s="59" t="s">
        <v>334</v>
      </c>
      <c r="N990" s="58"/>
    </row>
    <row r="991" spans="1:14" ht="18" customHeight="1" thickBot="1">
      <c r="A991" s="76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8"/>
      <c r="N991" s="58"/>
    </row>
    <row r="992" spans="1:14" ht="18" customHeight="1">
      <c r="A992" s="605">
        <v>1993</v>
      </c>
      <c r="B992" s="606"/>
      <c r="C992" s="606"/>
      <c r="D992" s="606"/>
      <c r="E992" s="606"/>
      <c r="F992" s="606"/>
      <c r="G992" s="606"/>
      <c r="H992" s="606"/>
      <c r="I992" s="606"/>
      <c r="J992" s="606"/>
      <c r="K992" s="606"/>
      <c r="L992" s="606"/>
      <c r="M992" s="607"/>
      <c r="N992" s="52"/>
    </row>
    <row r="993" spans="1:15" ht="18" customHeight="1" thickBot="1">
      <c r="A993" s="51" t="s">
        <v>322</v>
      </c>
      <c r="B993" s="52" t="s">
        <v>323</v>
      </c>
      <c r="C993" s="52" t="s">
        <v>324</v>
      </c>
      <c r="D993" s="52" t="s">
        <v>325</v>
      </c>
      <c r="E993" s="52" t="s">
        <v>326</v>
      </c>
      <c r="F993" s="52" t="s">
        <v>236</v>
      </c>
      <c r="G993" s="52" t="s">
        <v>327</v>
      </c>
      <c r="H993" s="52" t="s">
        <v>328</v>
      </c>
      <c r="I993" s="52" t="s">
        <v>329</v>
      </c>
      <c r="J993" s="52" t="s">
        <v>330</v>
      </c>
      <c r="K993" s="52" t="s">
        <v>331</v>
      </c>
      <c r="L993" s="52" t="s">
        <v>332</v>
      </c>
      <c r="M993" s="53" t="s">
        <v>333</v>
      </c>
      <c r="N993" s="52"/>
    </row>
    <row r="994" spans="1:15" ht="18" customHeight="1">
      <c r="A994" s="54">
        <v>1</v>
      </c>
      <c r="B994" s="55" t="s">
        <v>334</v>
      </c>
      <c r="C994" s="55">
        <v>25.337</v>
      </c>
      <c r="D994" s="55">
        <v>25.283000000000001</v>
      </c>
      <c r="E994" s="55">
        <v>25.827000000000002</v>
      </c>
      <c r="F994" s="55" t="s">
        <v>334</v>
      </c>
      <c r="G994" s="55">
        <v>27.126999999999999</v>
      </c>
      <c r="H994" s="55">
        <v>27.289000000000001</v>
      </c>
      <c r="I994" s="55" t="s">
        <v>334</v>
      </c>
      <c r="J994" s="55">
        <v>28.048999999999999</v>
      </c>
      <c r="K994" s="55">
        <v>29.359000000000002</v>
      </c>
      <c r="L994" s="70" t="s">
        <v>334</v>
      </c>
      <c r="M994" s="71">
        <v>27.983000000000001</v>
      </c>
      <c r="N994" s="83">
        <v>1993</v>
      </c>
      <c r="O994" s="47">
        <f>AVERAGE(B994:M1024)</f>
        <v>27.127759999999984</v>
      </c>
    </row>
    <row r="995" spans="1:15" ht="18" customHeight="1">
      <c r="A995" s="57">
        <v>2</v>
      </c>
      <c r="B995" s="58" t="s">
        <v>334</v>
      </c>
      <c r="C995" s="58">
        <v>25.323</v>
      </c>
      <c r="D995" s="58">
        <v>25.277999999999999</v>
      </c>
      <c r="E995" s="58">
        <v>25.771999999999998</v>
      </c>
      <c r="F995" s="58" t="s">
        <v>334</v>
      </c>
      <c r="G995" s="58">
        <v>27.152999999999999</v>
      </c>
      <c r="H995" s="58">
        <v>27.353999999999999</v>
      </c>
      <c r="I995" s="58">
        <v>27.716000000000001</v>
      </c>
      <c r="J995" s="58">
        <v>28.097000000000001</v>
      </c>
      <c r="K995" s="58" t="s">
        <v>334</v>
      </c>
      <c r="L995" s="72" t="s">
        <v>334</v>
      </c>
      <c r="M995" s="73">
        <v>27.728999999999999</v>
      </c>
      <c r="N995" s="58"/>
    </row>
    <row r="996" spans="1:15" ht="18" customHeight="1">
      <c r="A996" s="57">
        <v>3</v>
      </c>
      <c r="B996" s="58" t="s">
        <v>334</v>
      </c>
      <c r="C996" s="58">
        <v>25.332000000000001</v>
      </c>
      <c r="D996" s="58">
        <v>25.276</v>
      </c>
      <c r="E996" s="58" t="s">
        <v>334</v>
      </c>
      <c r="F996" s="58">
        <v>26.687000000000001</v>
      </c>
      <c r="G996" s="58">
        <v>27.248999999999999</v>
      </c>
      <c r="H996" s="58" t="s">
        <v>334</v>
      </c>
      <c r="I996" s="58">
        <v>27.718</v>
      </c>
      <c r="J996" s="58">
        <v>28.076000000000001</v>
      </c>
      <c r="K996" s="58" t="s">
        <v>334</v>
      </c>
      <c r="L996" s="72">
        <v>28.911000000000001</v>
      </c>
      <c r="M996" s="73">
        <v>27.759</v>
      </c>
      <c r="N996" s="58"/>
    </row>
    <row r="997" spans="1:15" ht="18" customHeight="1">
      <c r="A997" s="57">
        <v>4</v>
      </c>
      <c r="B997" s="58">
        <v>25.294</v>
      </c>
      <c r="C997" s="58">
        <v>25.341000000000001</v>
      </c>
      <c r="D997" s="58">
        <v>25.263999999999999</v>
      </c>
      <c r="E997" s="58" t="s">
        <v>334</v>
      </c>
      <c r="F997" s="58">
        <v>26.988</v>
      </c>
      <c r="G997" s="58">
        <v>27.254000000000001</v>
      </c>
      <c r="H997" s="58" t="s">
        <v>334</v>
      </c>
      <c r="I997" s="58">
        <v>27.882000000000001</v>
      </c>
      <c r="J997" s="58" t="s">
        <v>334</v>
      </c>
      <c r="K997" s="58">
        <v>29.23</v>
      </c>
      <c r="L997" s="58">
        <v>28.678999999999998</v>
      </c>
      <c r="M997" s="59" t="s">
        <v>334</v>
      </c>
      <c r="N997" s="58"/>
    </row>
    <row r="998" spans="1:15" ht="18" customHeight="1">
      <c r="A998" s="57">
        <v>5</v>
      </c>
      <c r="B998" s="58">
        <v>25.344999999999999</v>
      </c>
      <c r="C998" s="58">
        <v>25.34</v>
      </c>
      <c r="D998" s="58">
        <v>25.28</v>
      </c>
      <c r="E998" s="58">
        <v>25.817</v>
      </c>
      <c r="F998" s="58">
        <v>27.062000000000001</v>
      </c>
      <c r="G998" s="58" t="s">
        <v>334</v>
      </c>
      <c r="H998" s="58">
        <v>27.34</v>
      </c>
      <c r="I998" s="58">
        <v>27.893999999999998</v>
      </c>
      <c r="J998" s="58" t="s">
        <v>334</v>
      </c>
      <c r="K998" s="58">
        <v>28.66</v>
      </c>
      <c r="L998" s="58">
        <v>28.492000000000001</v>
      </c>
      <c r="M998" s="59" t="s">
        <v>334</v>
      </c>
      <c r="N998" s="58"/>
    </row>
    <row r="999" spans="1:15" ht="18" customHeight="1">
      <c r="A999" s="57">
        <v>6</v>
      </c>
      <c r="B999" s="58">
        <v>25.315999999999999</v>
      </c>
      <c r="C999" s="58" t="s">
        <v>334</v>
      </c>
      <c r="D999" s="58" t="s">
        <v>334</v>
      </c>
      <c r="E999" s="58">
        <v>25.811</v>
      </c>
      <c r="F999" s="58">
        <v>27.116</v>
      </c>
      <c r="G999" s="58" t="s">
        <v>334</v>
      </c>
      <c r="H999" s="58">
        <v>27.349</v>
      </c>
      <c r="I999" s="58">
        <v>27.995999999999999</v>
      </c>
      <c r="J999" s="58">
        <v>27.954999999999998</v>
      </c>
      <c r="K999" s="58">
        <v>28.853000000000002</v>
      </c>
      <c r="L999" s="58" t="s">
        <v>334</v>
      </c>
      <c r="M999" s="59" t="s">
        <v>334</v>
      </c>
      <c r="N999" s="58"/>
    </row>
    <row r="1000" spans="1:15" ht="18" customHeight="1">
      <c r="A1000" s="57">
        <v>7</v>
      </c>
      <c r="B1000" s="58">
        <v>25.242999999999999</v>
      </c>
      <c r="C1000" s="58" t="s">
        <v>334</v>
      </c>
      <c r="D1000" s="58" t="s">
        <v>334</v>
      </c>
      <c r="E1000" s="58">
        <v>25.907</v>
      </c>
      <c r="F1000" s="58">
        <v>27.077999999999999</v>
      </c>
      <c r="G1000" s="58">
        <v>27.225000000000001</v>
      </c>
      <c r="H1000" s="58">
        <v>27.416</v>
      </c>
      <c r="I1000" s="58" t="s">
        <v>334</v>
      </c>
      <c r="J1000" s="58">
        <v>27.998000000000001</v>
      </c>
      <c r="K1000" s="58">
        <v>29.001999999999999</v>
      </c>
      <c r="L1000" s="58" t="s">
        <v>334</v>
      </c>
      <c r="M1000" s="59">
        <v>27.6</v>
      </c>
      <c r="N1000" s="58"/>
    </row>
    <row r="1001" spans="1:15" ht="18" customHeight="1">
      <c r="A1001" s="57">
        <v>8</v>
      </c>
      <c r="B1001" s="58">
        <v>25.27</v>
      </c>
      <c r="C1001" s="58">
        <v>25.306000000000001</v>
      </c>
      <c r="D1001" s="58">
        <v>25.28</v>
      </c>
      <c r="E1001" s="58" t="s">
        <v>334</v>
      </c>
      <c r="F1001" s="58" t="s">
        <v>334</v>
      </c>
      <c r="G1001" s="58">
        <v>27.169</v>
      </c>
      <c r="H1001" s="58">
        <v>27.456</v>
      </c>
      <c r="I1001" s="58" t="s">
        <v>334</v>
      </c>
      <c r="J1001" s="58">
        <v>27.995999999999999</v>
      </c>
      <c r="K1001" s="58">
        <v>28.934000000000001</v>
      </c>
      <c r="L1001" s="58">
        <v>28.204000000000001</v>
      </c>
      <c r="M1001" s="59">
        <v>27.643000000000001</v>
      </c>
      <c r="N1001" s="58"/>
    </row>
    <row r="1002" spans="1:15" ht="18" customHeight="1">
      <c r="A1002" s="57">
        <v>9</v>
      </c>
      <c r="B1002" s="58" t="s">
        <v>334</v>
      </c>
      <c r="C1002" s="58">
        <v>25.271999999999998</v>
      </c>
      <c r="D1002" s="58">
        <v>25.28</v>
      </c>
      <c r="E1002" s="58" t="s">
        <v>334</v>
      </c>
      <c r="F1002" s="58" t="s">
        <v>334</v>
      </c>
      <c r="G1002" s="58">
        <v>27.184000000000001</v>
      </c>
      <c r="H1002" s="58">
        <v>27.516999999999999</v>
      </c>
      <c r="I1002" s="58">
        <v>27.963999999999999</v>
      </c>
      <c r="J1002" s="58">
        <v>28.009</v>
      </c>
      <c r="K1002" s="58" t="s">
        <v>334</v>
      </c>
      <c r="L1002" s="58">
        <v>28.158000000000001</v>
      </c>
      <c r="M1002" s="59">
        <v>27.67</v>
      </c>
      <c r="N1002" s="58"/>
    </row>
    <row r="1003" spans="1:15" ht="18" customHeight="1">
      <c r="A1003" s="57">
        <v>10</v>
      </c>
      <c r="B1003" s="58" t="s">
        <v>334</v>
      </c>
      <c r="C1003" s="58">
        <v>25.265999999999998</v>
      </c>
      <c r="D1003" s="58">
        <v>25.341999999999999</v>
      </c>
      <c r="E1003" s="58" t="s">
        <v>334</v>
      </c>
      <c r="F1003" s="58">
        <v>26.818999999999999</v>
      </c>
      <c r="G1003" s="58">
        <v>27.152999999999999</v>
      </c>
      <c r="H1003" s="58" t="s">
        <v>334</v>
      </c>
      <c r="I1003" s="58">
        <v>28.068000000000001</v>
      </c>
      <c r="J1003" s="58">
        <v>27.99</v>
      </c>
      <c r="K1003" s="58" t="s">
        <v>334</v>
      </c>
      <c r="L1003" s="58">
        <v>28.292999999999999</v>
      </c>
      <c r="M1003" s="59">
        <v>27.841999999999999</v>
      </c>
      <c r="N1003" s="58"/>
    </row>
    <row r="1004" spans="1:15" ht="18" customHeight="1">
      <c r="A1004" s="57">
        <v>11</v>
      </c>
      <c r="B1004" s="58">
        <v>25.231999999999999</v>
      </c>
      <c r="C1004" s="58">
        <v>25.251000000000001</v>
      </c>
      <c r="D1004" s="58">
        <v>25.34</v>
      </c>
      <c r="E1004" s="58" t="s">
        <v>334</v>
      </c>
      <c r="F1004" s="58">
        <v>26.914999999999999</v>
      </c>
      <c r="G1004" s="58">
        <v>27.108000000000001</v>
      </c>
      <c r="H1004" s="58" t="s">
        <v>334</v>
      </c>
      <c r="I1004" s="58">
        <v>27.969000000000001</v>
      </c>
      <c r="J1004" s="58" t="s">
        <v>334</v>
      </c>
      <c r="K1004" s="58">
        <v>28.783000000000001</v>
      </c>
      <c r="L1004" s="58">
        <v>28.318999999999999</v>
      </c>
      <c r="M1004" s="59" t="s">
        <v>334</v>
      </c>
      <c r="N1004" s="58"/>
    </row>
    <row r="1005" spans="1:15" ht="18" customHeight="1">
      <c r="A1005" s="57">
        <v>12</v>
      </c>
      <c r="B1005" s="58">
        <v>25.234999999999999</v>
      </c>
      <c r="C1005" s="58">
        <v>25.303999999999998</v>
      </c>
      <c r="D1005" s="58">
        <v>25.335999999999999</v>
      </c>
      <c r="E1005" s="58">
        <v>26.007999999999999</v>
      </c>
      <c r="F1005" s="58">
        <v>27.091000000000001</v>
      </c>
      <c r="G1005" s="58" t="s">
        <v>334</v>
      </c>
      <c r="H1005" s="58">
        <v>27.484999999999999</v>
      </c>
      <c r="I1005" s="58">
        <v>27.824000000000002</v>
      </c>
      <c r="J1005" s="58" t="s">
        <v>334</v>
      </c>
      <c r="K1005" s="58">
        <v>28.949000000000002</v>
      </c>
      <c r="L1005" s="58">
        <v>28.329000000000001</v>
      </c>
      <c r="M1005" s="59" t="s">
        <v>334</v>
      </c>
      <c r="N1005" s="58"/>
    </row>
    <row r="1006" spans="1:15" ht="18" customHeight="1">
      <c r="A1006" s="57">
        <v>13</v>
      </c>
      <c r="B1006" s="58">
        <v>25.225000000000001</v>
      </c>
      <c r="C1006" s="58" t="s">
        <v>334</v>
      </c>
      <c r="D1006" s="58" t="s">
        <v>334</v>
      </c>
      <c r="E1006" s="58">
        <v>26.053999999999998</v>
      </c>
      <c r="F1006" s="58">
        <v>27.181000000000001</v>
      </c>
      <c r="G1006" s="58" t="s">
        <v>334</v>
      </c>
      <c r="H1006" s="58">
        <v>27.484999999999999</v>
      </c>
      <c r="I1006" s="58">
        <v>27.896000000000001</v>
      </c>
      <c r="J1006" s="58">
        <v>28.116</v>
      </c>
      <c r="K1006" s="58">
        <v>28.99</v>
      </c>
      <c r="L1006" s="58" t="s">
        <v>334</v>
      </c>
      <c r="M1006" s="59">
        <v>28.081</v>
      </c>
      <c r="N1006" s="58"/>
    </row>
    <row r="1007" spans="1:15" ht="18" customHeight="1">
      <c r="A1007" s="57">
        <v>14</v>
      </c>
      <c r="B1007" s="58">
        <v>25.213999999999999</v>
      </c>
      <c r="C1007" s="58" t="s">
        <v>334</v>
      </c>
      <c r="D1007" s="58" t="s">
        <v>334</v>
      </c>
      <c r="E1007" s="58">
        <v>26.155999999999999</v>
      </c>
      <c r="F1007" s="58">
        <v>27.067</v>
      </c>
      <c r="G1007" s="58">
        <v>27.029</v>
      </c>
      <c r="H1007" s="58">
        <v>27.492000000000001</v>
      </c>
      <c r="I1007" s="58" t="s">
        <v>334</v>
      </c>
      <c r="J1007" s="58">
        <v>28.094999999999999</v>
      </c>
      <c r="K1007" s="58">
        <v>29.178000000000001</v>
      </c>
      <c r="L1007" s="58" t="s">
        <v>334</v>
      </c>
      <c r="M1007" s="59">
        <v>27.971</v>
      </c>
      <c r="N1007" s="58"/>
    </row>
    <row r="1008" spans="1:15" ht="18" customHeight="1">
      <c r="A1008" s="57">
        <v>15</v>
      </c>
      <c r="B1008" s="58">
        <v>25.238</v>
      </c>
      <c r="C1008" s="58">
        <v>25.35</v>
      </c>
      <c r="D1008" s="58">
        <v>25.324999999999999</v>
      </c>
      <c r="E1008" s="58">
        <v>26.140999999999998</v>
      </c>
      <c r="F1008" s="58" t="s">
        <v>334</v>
      </c>
      <c r="G1008" s="58">
        <v>27.027000000000001</v>
      </c>
      <c r="H1008" s="58">
        <v>27.5</v>
      </c>
      <c r="I1008" s="58" t="s">
        <v>334</v>
      </c>
      <c r="J1008" s="58">
        <v>28.146000000000001</v>
      </c>
      <c r="K1008" s="58">
        <v>29.210999999999999</v>
      </c>
      <c r="L1008" s="58">
        <v>28.388999999999999</v>
      </c>
      <c r="M1008" s="59">
        <v>28.1</v>
      </c>
      <c r="N1008" s="58"/>
    </row>
    <row r="1009" spans="1:14" ht="18" customHeight="1">
      <c r="A1009" s="57">
        <v>16</v>
      </c>
      <c r="B1009" s="58" t="s">
        <v>334</v>
      </c>
      <c r="C1009" s="58">
        <v>25.344000000000001</v>
      </c>
      <c r="D1009" s="58">
        <v>25.327999999999999</v>
      </c>
      <c r="E1009" s="58">
        <v>26.114000000000001</v>
      </c>
      <c r="F1009" s="58" t="s">
        <v>334</v>
      </c>
      <c r="G1009" s="58">
        <v>27.294</v>
      </c>
      <c r="H1009" s="58">
        <v>27.529</v>
      </c>
      <c r="I1009" s="58">
        <v>27.925000000000001</v>
      </c>
      <c r="J1009" s="58">
        <v>28.222999999999999</v>
      </c>
      <c r="K1009" s="58" t="s">
        <v>334</v>
      </c>
      <c r="L1009" s="58">
        <v>28.56</v>
      </c>
      <c r="M1009" s="59">
        <v>28.106000000000002</v>
      </c>
      <c r="N1009" s="58"/>
    </row>
    <row r="1010" spans="1:14" ht="18" customHeight="1">
      <c r="A1010" s="57">
        <v>17</v>
      </c>
      <c r="B1010" s="58" t="s">
        <v>334</v>
      </c>
      <c r="C1010" s="58">
        <v>25.338999999999999</v>
      </c>
      <c r="D1010" s="58">
        <v>25.334</v>
      </c>
      <c r="E1010" s="58" t="s">
        <v>334</v>
      </c>
      <c r="F1010" s="58">
        <v>26.978999999999999</v>
      </c>
      <c r="G1010" s="58">
        <v>27.341000000000001</v>
      </c>
      <c r="H1010" s="58" t="s">
        <v>334</v>
      </c>
      <c r="I1010" s="58">
        <v>27.891999999999999</v>
      </c>
      <c r="J1010" s="58">
        <v>28.216999999999999</v>
      </c>
      <c r="K1010" s="58" t="s">
        <v>334</v>
      </c>
      <c r="L1010" s="58">
        <v>28.786999999999999</v>
      </c>
      <c r="M1010" s="59">
        <v>28.001999999999999</v>
      </c>
      <c r="N1010" s="58"/>
    </row>
    <row r="1011" spans="1:14" ht="18" customHeight="1">
      <c r="A1011" s="57">
        <v>18</v>
      </c>
      <c r="B1011" s="58">
        <v>25.187999999999999</v>
      </c>
      <c r="C1011" s="58">
        <v>25.33</v>
      </c>
      <c r="D1011" s="58">
        <v>25.378</v>
      </c>
      <c r="E1011" s="58" t="s">
        <v>334</v>
      </c>
      <c r="F1011" s="58">
        <v>26.954000000000001</v>
      </c>
      <c r="G1011" s="58">
        <v>27.344999999999999</v>
      </c>
      <c r="H1011" s="58" t="s">
        <v>334</v>
      </c>
      <c r="I1011" s="58">
        <v>27.952000000000002</v>
      </c>
      <c r="J1011" s="58" t="s">
        <v>334</v>
      </c>
      <c r="K1011" s="58">
        <v>29.228999999999999</v>
      </c>
      <c r="L1011" s="58">
        <v>28.763000000000002</v>
      </c>
      <c r="M1011" s="59" t="s">
        <v>334</v>
      </c>
      <c r="N1011" s="58"/>
    </row>
    <row r="1012" spans="1:14" ht="18" customHeight="1">
      <c r="A1012" s="57">
        <v>19</v>
      </c>
      <c r="B1012" s="58">
        <v>25.216000000000001</v>
      </c>
      <c r="C1012" s="58">
        <v>25.326000000000001</v>
      </c>
      <c r="D1012" s="58">
        <v>25.422999999999998</v>
      </c>
      <c r="E1012" s="58">
        <v>26.059000000000001</v>
      </c>
      <c r="F1012" s="58">
        <v>27.126000000000001</v>
      </c>
      <c r="G1012" s="58" t="s">
        <v>334</v>
      </c>
      <c r="H1012" s="58">
        <v>27.65</v>
      </c>
      <c r="I1012" s="58">
        <v>28.071999999999999</v>
      </c>
      <c r="J1012" s="58" t="s">
        <v>334</v>
      </c>
      <c r="K1012" s="58">
        <v>29.294</v>
      </c>
      <c r="L1012" s="58">
        <v>28.754000000000001</v>
      </c>
      <c r="M1012" s="59" t="s">
        <v>334</v>
      </c>
      <c r="N1012" s="58"/>
    </row>
    <row r="1013" spans="1:14" ht="18" customHeight="1">
      <c r="A1013" s="57">
        <v>20</v>
      </c>
      <c r="B1013" s="58">
        <v>25.221</v>
      </c>
      <c r="C1013" s="58" t="s">
        <v>334</v>
      </c>
      <c r="D1013" s="58" t="s">
        <v>334</v>
      </c>
      <c r="E1013" s="58">
        <v>26.05</v>
      </c>
      <c r="F1013" s="58">
        <v>27.009</v>
      </c>
      <c r="G1013" s="58" t="s">
        <v>334</v>
      </c>
      <c r="H1013" s="58">
        <v>27.754000000000001</v>
      </c>
      <c r="I1013" s="58">
        <v>27.97</v>
      </c>
      <c r="J1013" s="58">
        <v>28.212</v>
      </c>
      <c r="K1013" s="58">
        <v>29.361000000000001</v>
      </c>
      <c r="L1013" s="58" t="s">
        <v>334</v>
      </c>
      <c r="M1013" s="59">
        <v>27.920999999999999</v>
      </c>
      <c r="N1013" s="58"/>
    </row>
    <row r="1014" spans="1:14" ht="18" customHeight="1">
      <c r="A1014" s="57">
        <v>21</v>
      </c>
      <c r="B1014" s="58">
        <v>25.242999999999999</v>
      </c>
      <c r="C1014" s="58" t="s">
        <v>334</v>
      </c>
      <c r="D1014" s="58" t="s">
        <v>334</v>
      </c>
      <c r="E1014" s="58">
        <v>26.04</v>
      </c>
      <c r="F1014" s="58">
        <v>26.920999999999999</v>
      </c>
      <c r="G1014" s="58">
        <v>27.289000000000001</v>
      </c>
      <c r="H1014" s="58">
        <v>27.861999999999998</v>
      </c>
      <c r="I1014" s="58" t="s">
        <v>334</v>
      </c>
      <c r="J1014" s="58">
        <v>28.164000000000001</v>
      </c>
      <c r="K1014" s="58">
        <v>29.47</v>
      </c>
      <c r="L1014" s="58" t="s">
        <v>334</v>
      </c>
      <c r="M1014" s="59">
        <v>27.684999999999999</v>
      </c>
      <c r="N1014" s="58"/>
    </row>
    <row r="1015" spans="1:14" ht="18" customHeight="1">
      <c r="A1015" s="57">
        <v>22</v>
      </c>
      <c r="B1015" s="58">
        <v>25.265999999999998</v>
      </c>
      <c r="C1015" s="58">
        <v>25.32</v>
      </c>
      <c r="D1015" s="58">
        <v>25.440999999999999</v>
      </c>
      <c r="E1015" s="58">
        <v>26.071000000000002</v>
      </c>
      <c r="F1015" s="58" t="s">
        <v>334</v>
      </c>
      <c r="G1015" s="58">
        <v>27.247</v>
      </c>
      <c r="H1015" s="58">
        <v>27.869</v>
      </c>
      <c r="I1015" s="58" t="s">
        <v>334</v>
      </c>
      <c r="J1015" s="58">
        <v>28.074000000000002</v>
      </c>
      <c r="K1015" s="58">
        <v>29.431999999999999</v>
      </c>
      <c r="L1015" s="58">
        <v>28.747</v>
      </c>
      <c r="M1015" s="59">
        <v>27.556000000000001</v>
      </c>
      <c r="N1015" s="58"/>
    </row>
    <row r="1016" spans="1:14" ht="18" customHeight="1">
      <c r="A1016" s="57">
        <v>23</v>
      </c>
      <c r="B1016" s="58" t="s">
        <v>334</v>
      </c>
      <c r="C1016" s="58">
        <v>25.28</v>
      </c>
      <c r="D1016" s="58">
        <v>25.440999999999999</v>
      </c>
      <c r="E1016" s="58">
        <v>26.15</v>
      </c>
      <c r="F1016" s="58" t="s">
        <v>334</v>
      </c>
      <c r="G1016" s="58">
        <v>27.207000000000001</v>
      </c>
      <c r="H1016" s="58">
        <v>27.709</v>
      </c>
      <c r="I1016" s="58">
        <v>27.998000000000001</v>
      </c>
      <c r="J1016" s="58">
        <v>28.103000000000002</v>
      </c>
      <c r="K1016" s="58" t="s">
        <v>334</v>
      </c>
      <c r="L1016" s="58">
        <v>28.748000000000001</v>
      </c>
      <c r="M1016" s="59">
        <v>27.597000000000001</v>
      </c>
      <c r="N1016" s="58"/>
    </row>
    <row r="1017" spans="1:14" ht="18" customHeight="1">
      <c r="A1017" s="57">
        <v>24</v>
      </c>
      <c r="B1017" s="58" t="s">
        <v>334</v>
      </c>
      <c r="C1017" s="58">
        <v>25.28</v>
      </c>
      <c r="D1017" s="58">
        <v>25.448</v>
      </c>
      <c r="E1017" s="58" t="s">
        <v>334</v>
      </c>
      <c r="F1017" s="58">
        <v>26.905999999999999</v>
      </c>
      <c r="G1017" s="58" t="s">
        <v>334</v>
      </c>
      <c r="H1017" s="58" t="s">
        <v>334</v>
      </c>
      <c r="I1017" s="58">
        <v>27.992999999999999</v>
      </c>
      <c r="J1017" s="58">
        <v>28.19</v>
      </c>
      <c r="K1017" s="58" t="s">
        <v>334</v>
      </c>
      <c r="L1017" s="58">
        <v>28.617000000000001</v>
      </c>
      <c r="M1017" s="59">
        <v>27.681000000000001</v>
      </c>
      <c r="N1017" s="58"/>
    </row>
    <row r="1018" spans="1:14" ht="18" customHeight="1">
      <c r="A1018" s="57">
        <v>25</v>
      </c>
      <c r="B1018" s="58">
        <v>25.308</v>
      </c>
      <c r="C1018" s="58" t="s">
        <v>334</v>
      </c>
      <c r="D1018" s="58">
        <v>25.45</v>
      </c>
      <c r="E1018" s="58" t="s">
        <v>334</v>
      </c>
      <c r="F1018" s="58">
        <v>26.939</v>
      </c>
      <c r="G1018" s="58">
        <v>27.196000000000002</v>
      </c>
      <c r="H1018" s="58" t="s">
        <v>334</v>
      </c>
      <c r="I1018" s="58">
        <v>28.018000000000001</v>
      </c>
      <c r="J1018" s="58" t="s">
        <v>334</v>
      </c>
      <c r="K1018" s="58">
        <v>29.402000000000001</v>
      </c>
      <c r="L1018" s="58">
        <v>28.283999999999999</v>
      </c>
      <c r="M1018" s="59" t="s">
        <v>334</v>
      </c>
      <c r="N1018" s="58"/>
    </row>
    <row r="1019" spans="1:14" ht="18" customHeight="1">
      <c r="A1019" s="57">
        <v>26</v>
      </c>
      <c r="B1019" s="58">
        <v>25.420999999999999</v>
      </c>
      <c r="C1019" s="58">
        <v>25.28</v>
      </c>
      <c r="D1019" s="58">
        <v>25.448</v>
      </c>
      <c r="E1019" s="58">
        <v>26.231999999999999</v>
      </c>
      <c r="F1019" s="58">
        <v>27.006</v>
      </c>
      <c r="G1019" s="58" t="s">
        <v>334</v>
      </c>
      <c r="H1019" s="58">
        <v>27.666</v>
      </c>
      <c r="I1019" s="58">
        <v>28.02</v>
      </c>
      <c r="J1019" s="58" t="s">
        <v>334</v>
      </c>
      <c r="K1019" s="58">
        <v>29.407</v>
      </c>
      <c r="L1019" s="58">
        <v>28.221</v>
      </c>
      <c r="M1019" s="59" t="s">
        <v>334</v>
      </c>
      <c r="N1019" s="58"/>
    </row>
    <row r="1020" spans="1:14" ht="18" customHeight="1">
      <c r="A1020" s="57">
        <v>27</v>
      </c>
      <c r="B1020" s="58">
        <v>25.393999999999998</v>
      </c>
      <c r="C1020" s="58" t="s">
        <v>334</v>
      </c>
      <c r="D1020" s="58" t="s">
        <v>334</v>
      </c>
      <c r="E1020" s="58">
        <v>26.263000000000002</v>
      </c>
      <c r="F1020" s="58">
        <v>27.114000000000001</v>
      </c>
      <c r="G1020" s="58" t="s">
        <v>334</v>
      </c>
      <c r="H1020" s="58">
        <v>27.666</v>
      </c>
      <c r="I1020" s="58">
        <v>28.029</v>
      </c>
      <c r="J1020" s="58">
        <v>28.001000000000001</v>
      </c>
      <c r="K1020" s="58">
        <v>29.427</v>
      </c>
      <c r="L1020" s="58" t="s">
        <v>334</v>
      </c>
      <c r="M1020" s="59">
        <v>27.681000000000001</v>
      </c>
      <c r="N1020" s="58"/>
    </row>
    <row r="1021" spans="1:14" ht="18" customHeight="1">
      <c r="A1021" s="57">
        <v>28</v>
      </c>
      <c r="B1021" s="58">
        <v>25.384</v>
      </c>
      <c r="C1021" s="58" t="s">
        <v>334</v>
      </c>
      <c r="D1021" s="58" t="s">
        <v>334</v>
      </c>
      <c r="E1021" s="58">
        <v>26.314</v>
      </c>
      <c r="F1021" s="58">
        <v>27.082999999999998</v>
      </c>
      <c r="G1021" s="58">
        <v>27.2</v>
      </c>
      <c r="H1021" s="58">
        <v>27.748000000000001</v>
      </c>
      <c r="I1021" s="58" t="s">
        <v>334</v>
      </c>
      <c r="J1021" s="58">
        <v>28.443999999999999</v>
      </c>
      <c r="K1021" s="58">
        <v>29.358000000000001</v>
      </c>
      <c r="L1021" s="58" t="s">
        <v>334</v>
      </c>
      <c r="M1021" s="59">
        <v>27.571999999999999</v>
      </c>
      <c r="N1021" s="58"/>
    </row>
    <row r="1022" spans="1:14" ht="18" customHeight="1">
      <c r="A1022" s="57">
        <v>29</v>
      </c>
      <c r="B1022" s="58">
        <v>25.347999999999999</v>
      </c>
      <c r="C1022" s="58" t="s">
        <v>335</v>
      </c>
      <c r="D1022" s="58">
        <v>25.45</v>
      </c>
      <c r="E1022" s="58">
        <v>26.388999999999999</v>
      </c>
      <c r="F1022" s="58" t="s">
        <v>334</v>
      </c>
      <c r="G1022" s="58">
        <v>27.263999999999999</v>
      </c>
      <c r="H1022" s="58">
        <v>27.681999999999999</v>
      </c>
      <c r="I1022" s="58" t="s">
        <v>334</v>
      </c>
      <c r="J1022" s="58">
        <v>29.173999999999999</v>
      </c>
      <c r="K1022" s="58">
        <v>28.831</v>
      </c>
      <c r="L1022" s="58">
        <v>27.957999999999998</v>
      </c>
      <c r="M1022" s="59">
        <v>27.699000000000002</v>
      </c>
      <c r="N1022" s="58"/>
    </row>
    <row r="1023" spans="1:14" ht="18" customHeight="1">
      <c r="A1023" s="57">
        <v>30</v>
      </c>
      <c r="B1023" s="58" t="s">
        <v>334</v>
      </c>
      <c r="C1023" s="58" t="s">
        <v>335</v>
      </c>
      <c r="D1023" s="58">
        <v>25.471</v>
      </c>
      <c r="E1023" s="58">
        <v>26.385000000000002</v>
      </c>
      <c r="F1023" s="58" t="s">
        <v>334</v>
      </c>
      <c r="G1023" s="58">
        <v>27.271999999999998</v>
      </c>
      <c r="H1023" s="58">
        <v>27.695</v>
      </c>
      <c r="I1023" s="58">
        <v>28.036000000000001</v>
      </c>
      <c r="J1023" s="58">
        <v>29.812999999999999</v>
      </c>
      <c r="K1023" s="58" t="s">
        <v>334</v>
      </c>
      <c r="L1023" s="58" t="s">
        <v>334</v>
      </c>
      <c r="M1023" s="59" t="s">
        <v>334</v>
      </c>
      <c r="N1023" s="58"/>
    </row>
    <row r="1024" spans="1:14" ht="18" customHeight="1">
      <c r="A1024" s="57">
        <v>31</v>
      </c>
      <c r="B1024" s="58" t="s">
        <v>334</v>
      </c>
      <c r="C1024" s="58" t="s">
        <v>335</v>
      </c>
      <c r="D1024" s="58">
        <v>25.513000000000002</v>
      </c>
      <c r="E1024" s="58" t="s">
        <v>335</v>
      </c>
      <c r="F1024" s="58">
        <v>27.094000000000001</v>
      </c>
      <c r="G1024" s="58" t="s">
        <v>335</v>
      </c>
      <c r="H1024" s="58" t="s">
        <v>334</v>
      </c>
      <c r="I1024" s="58">
        <v>28.042999999999999</v>
      </c>
      <c r="J1024" s="58" t="s">
        <v>335</v>
      </c>
      <c r="K1024" s="58" t="s">
        <v>334</v>
      </c>
      <c r="L1024" s="58" t="s">
        <v>335</v>
      </c>
      <c r="M1024" s="59" t="s">
        <v>334</v>
      </c>
      <c r="N1024" s="58"/>
    </row>
    <row r="1025" spans="1:15" ht="18" customHeight="1" thickBot="1">
      <c r="A1025" s="76"/>
      <c r="B1025" s="77"/>
      <c r="C1025" s="77"/>
      <c r="D1025" s="77"/>
      <c r="E1025" s="77"/>
      <c r="F1025" s="77"/>
      <c r="G1025" s="77"/>
      <c r="H1025" s="77"/>
      <c r="I1025" s="77"/>
      <c r="J1025" s="77"/>
      <c r="K1025" s="77"/>
      <c r="L1025" s="77"/>
      <c r="M1025" s="78"/>
      <c r="N1025" s="58"/>
    </row>
    <row r="1026" spans="1:15" ht="18" customHeight="1">
      <c r="A1026" s="618">
        <v>1992</v>
      </c>
      <c r="B1026" s="619"/>
      <c r="C1026" s="619"/>
      <c r="D1026" s="619"/>
      <c r="E1026" s="619"/>
      <c r="F1026" s="619"/>
      <c r="G1026" s="619"/>
      <c r="H1026" s="619"/>
      <c r="I1026" s="619"/>
      <c r="J1026" s="619"/>
      <c r="K1026" s="619"/>
      <c r="L1026" s="619"/>
      <c r="M1026" s="620"/>
      <c r="N1026" s="52"/>
    </row>
    <row r="1027" spans="1:15" ht="18" customHeight="1" thickBot="1">
      <c r="A1027" s="63" t="s">
        <v>322</v>
      </c>
      <c r="B1027" s="64" t="s">
        <v>323</v>
      </c>
      <c r="C1027" s="64" t="s">
        <v>324</v>
      </c>
      <c r="D1027" s="64" t="s">
        <v>325</v>
      </c>
      <c r="E1027" s="64" t="s">
        <v>326</v>
      </c>
      <c r="F1027" s="64" t="s">
        <v>236</v>
      </c>
      <c r="G1027" s="64" t="s">
        <v>327</v>
      </c>
      <c r="H1027" s="64" t="s">
        <v>328</v>
      </c>
      <c r="I1027" s="64" t="s">
        <v>329</v>
      </c>
      <c r="J1027" s="64" t="s">
        <v>330</v>
      </c>
      <c r="K1027" s="64" t="s">
        <v>331</v>
      </c>
      <c r="L1027" s="64" t="s">
        <v>332</v>
      </c>
      <c r="M1027" s="65" t="s">
        <v>333</v>
      </c>
      <c r="N1027" s="52"/>
    </row>
    <row r="1028" spans="1:15" ht="18" customHeight="1">
      <c r="A1028" s="54">
        <v>1</v>
      </c>
      <c r="B1028" s="55" t="s">
        <v>334</v>
      </c>
      <c r="C1028" s="55" t="s">
        <v>334</v>
      </c>
      <c r="D1028" s="55" t="s">
        <v>334</v>
      </c>
      <c r="E1028" s="55">
        <v>25.552</v>
      </c>
      <c r="F1028" s="55" t="s">
        <v>334</v>
      </c>
      <c r="G1028" s="55">
        <v>26.25</v>
      </c>
      <c r="H1028" s="55">
        <v>25.545000000000002</v>
      </c>
      <c r="I1028" s="55" t="s">
        <v>334</v>
      </c>
      <c r="J1028" s="55">
        <v>23.212</v>
      </c>
      <c r="K1028" s="55">
        <v>25.065000000000001</v>
      </c>
      <c r="L1028" s="70" t="s">
        <v>334</v>
      </c>
      <c r="M1028" s="71">
        <v>25.489000000000001</v>
      </c>
      <c r="N1028" s="83">
        <v>1992</v>
      </c>
      <c r="O1028" s="47">
        <f>AVERAGE(B1028:M1058)</f>
        <v>25.500310204081629</v>
      </c>
    </row>
    <row r="1029" spans="1:15" ht="18" customHeight="1">
      <c r="A1029" s="57">
        <v>2</v>
      </c>
      <c r="B1029" s="58">
        <v>26.65</v>
      </c>
      <c r="C1029" s="58" t="s">
        <v>334</v>
      </c>
      <c r="D1029" s="58">
        <v>26.1</v>
      </c>
      <c r="E1029" s="58">
        <v>25.526</v>
      </c>
      <c r="F1029" s="58" t="s">
        <v>334</v>
      </c>
      <c r="G1029" s="58">
        <v>26.321999999999999</v>
      </c>
      <c r="H1029" s="58">
        <v>25.565999999999999</v>
      </c>
      <c r="I1029" s="58" t="s">
        <v>334</v>
      </c>
      <c r="J1029" s="58">
        <v>23.234000000000002</v>
      </c>
      <c r="K1029" s="58">
        <v>25.035</v>
      </c>
      <c r="L1029" s="72" t="s">
        <v>334</v>
      </c>
      <c r="M1029" s="73">
        <v>25.466999999999999</v>
      </c>
      <c r="N1029" s="58"/>
    </row>
    <row r="1030" spans="1:15" ht="18" customHeight="1">
      <c r="A1030" s="57">
        <v>3</v>
      </c>
      <c r="B1030" s="58">
        <v>26.626000000000001</v>
      </c>
      <c r="C1030" s="58">
        <v>26.363</v>
      </c>
      <c r="D1030" s="58">
        <v>25.98</v>
      </c>
      <c r="E1030" s="58">
        <v>25.219000000000001</v>
      </c>
      <c r="F1030" s="58" t="s">
        <v>334</v>
      </c>
      <c r="G1030" s="58">
        <v>26.35</v>
      </c>
      <c r="H1030" s="58">
        <v>25.581</v>
      </c>
      <c r="I1030" s="58">
        <v>24.898</v>
      </c>
      <c r="J1030" s="58">
        <v>23.555</v>
      </c>
      <c r="K1030" s="58" t="s">
        <v>334</v>
      </c>
      <c r="L1030" s="72">
        <v>24.631</v>
      </c>
      <c r="M1030" s="73">
        <v>25.45</v>
      </c>
      <c r="N1030" s="58"/>
    </row>
    <row r="1031" spans="1:15" ht="18" customHeight="1">
      <c r="A1031" s="57">
        <v>4</v>
      </c>
      <c r="B1031" s="58" t="s">
        <v>334</v>
      </c>
      <c r="C1031" s="58">
        <v>26.303000000000001</v>
      </c>
      <c r="D1031" s="58">
        <v>26.05</v>
      </c>
      <c r="E1031" s="58" t="s">
        <v>334</v>
      </c>
      <c r="F1031" s="58">
        <v>25.74</v>
      </c>
      <c r="G1031" s="58">
        <v>26.35</v>
      </c>
      <c r="H1031" s="58" t="s">
        <v>334</v>
      </c>
      <c r="I1031" s="58">
        <v>24.890999999999998</v>
      </c>
      <c r="J1031" s="58">
        <v>23.736999999999998</v>
      </c>
      <c r="K1031" s="58" t="s">
        <v>334</v>
      </c>
      <c r="L1031" s="58">
        <v>24.573</v>
      </c>
      <c r="M1031" s="59" t="s">
        <v>334</v>
      </c>
      <c r="N1031" s="58"/>
    </row>
    <row r="1032" spans="1:15" ht="18" customHeight="1">
      <c r="A1032" s="57">
        <v>5</v>
      </c>
      <c r="B1032" s="58" t="s">
        <v>334</v>
      </c>
      <c r="C1032" s="58">
        <v>26.448</v>
      </c>
      <c r="D1032" s="58">
        <v>26.029</v>
      </c>
      <c r="E1032" s="58" t="s">
        <v>334</v>
      </c>
      <c r="F1032" s="58">
        <v>26.119</v>
      </c>
      <c r="G1032" s="58">
        <v>26.35</v>
      </c>
      <c r="H1032" s="58" t="s">
        <v>334</v>
      </c>
      <c r="I1032" s="58">
        <v>24.91</v>
      </c>
      <c r="J1032" s="58" t="s">
        <v>334</v>
      </c>
      <c r="K1032" s="58">
        <v>25.021999999999998</v>
      </c>
      <c r="L1032" s="58">
        <v>24.603999999999999</v>
      </c>
      <c r="M1032" s="59" t="s">
        <v>334</v>
      </c>
      <c r="N1032" s="58"/>
    </row>
    <row r="1033" spans="1:15" ht="18" customHeight="1">
      <c r="A1033" s="57">
        <v>6</v>
      </c>
      <c r="B1033" s="58">
        <v>26.65</v>
      </c>
      <c r="C1033" s="58">
        <v>26.183</v>
      </c>
      <c r="D1033" s="58">
        <v>26.05</v>
      </c>
      <c r="E1033" s="58">
        <v>25.75</v>
      </c>
      <c r="F1033" s="58">
        <v>26.402999999999999</v>
      </c>
      <c r="G1033" s="58" t="s">
        <v>334</v>
      </c>
      <c r="H1033" s="58">
        <v>25.599</v>
      </c>
      <c r="I1033" s="58">
        <v>24.93</v>
      </c>
      <c r="J1033" s="58" t="s">
        <v>334</v>
      </c>
      <c r="K1033" s="58">
        <v>25.001999999999999</v>
      </c>
      <c r="L1033" s="58">
        <v>24.626999999999999</v>
      </c>
      <c r="M1033" s="59" t="s">
        <v>334</v>
      </c>
      <c r="N1033" s="58"/>
    </row>
    <row r="1034" spans="1:15" ht="18" customHeight="1">
      <c r="A1034" s="57">
        <v>7</v>
      </c>
      <c r="B1034" s="58">
        <v>26.65</v>
      </c>
      <c r="C1034" s="58">
        <v>26.178999999999998</v>
      </c>
      <c r="D1034" s="58" t="s">
        <v>334</v>
      </c>
      <c r="E1034" s="58">
        <v>25.7</v>
      </c>
      <c r="F1034" s="58">
        <v>26.183</v>
      </c>
      <c r="G1034" s="58" t="s">
        <v>334</v>
      </c>
      <c r="H1034" s="58" t="s">
        <v>334</v>
      </c>
      <c r="I1034" s="58">
        <v>24.97</v>
      </c>
      <c r="J1034" s="58">
        <v>24.04</v>
      </c>
      <c r="K1034" s="58">
        <v>25.013999999999999</v>
      </c>
      <c r="L1034" s="58" t="s">
        <v>334</v>
      </c>
      <c r="M1034" s="59">
        <v>25.481999999999999</v>
      </c>
      <c r="N1034" s="58"/>
    </row>
    <row r="1035" spans="1:15" ht="18" customHeight="1">
      <c r="A1035" s="57">
        <v>8</v>
      </c>
      <c r="B1035" s="58">
        <v>26.5</v>
      </c>
      <c r="C1035" s="58" t="s">
        <v>334</v>
      </c>
      <c r="D1035" s="58" t="s">
        <v>334</v>
      </c>
      <c r="E1035" s="58">
        <v>25.7</v>
      </c>
      <c r="F1035" s="58">
        <v>26.401</v>
      </c>
      <c r="G1035" s="58">
        <v>26.523</v>
      </c>
      <c r="H1035" s="58">
        <v>25.53</v>
      </c>
      <c r="I1035" s="58" t="s">
        <v>334</v>
      </c>
      <c r="J1035" s="58">
        <v>24.454000000000001</v>
      </c>
      <c r="K1035" s="58">
        <v>24.902000000000001</v>
      </c>
      <c r="L1035" s="58" t="s">
        <v>334</v>
      </c>
      <c r="M1035" s="59">
        <v>25.507000000000001</v>
      </c>
      <c r="N1035" s="58"/>
    </row>
    <row r="1036" spans="1:15" ht="18" customHeight="1">
      <c r="A1036" s="57">
        <v>9</v>
      </c>
      <c r="B1036" s="58">
        <v>26.5</v>
      </c>
      <c r="C1036" s="58" t="s">
        <v>334</v>
      </c>
      <c r="D1036" s="58">
        <v>26.05</v>
      </c>
      <c r="E1036" s="58" t="s">
        <v>334</v>
      </c>
      <c r="F1036" s="58" t="s">
        <v>334</v>
      </c>
      <c r="G1036" s="58">
        <v>26.533000000000001</v>
      </c>
      <c r="H1036" s="58">
        <v>25.373999999999999</v>
      </c>
      <c r="I1036" s="58" t="s">
        <v>334</v>
      </c>
      <c r="J1036" s="58">
        <v>24.776</v>
      </c>
      <c r="K1036" s="58">
        <v>24.928000000000001</v>
      </c>
      <c r="L1036" s="58">
        <v>24.571000000000002</v>
      </c>
      <c r="M1036" s="59">
        <v>25.471</v>
      </c>
      <c r="N1036" s="58"/>
    </row>
    <row r="1037" spans="1:15" ht="18" customHeight="1">
      <c r="A1037" s="57">
        <v>10</v>
      </c>
      <c r="B1037" s="58">
        <v>26.5</v>
      </c>
      <c r="C1037" s="58">
        <v>26.158999999999999</v>
      </c>
      <c r="D1037" s="58">
        <v>25.841000000000001</v>
      </c>
      <c r="E1037" s="58">
        <v>25.7</v>
      </c>
      <c r="F1037" s="58" t="s">
        <v>334</v>
      </c>
      <c r="G1037" s="58">
        <v>26.527000000000001</v>
      </c>
      <c r="H1037" s="58">
        <v>25.343</v>
      </c>
      <c r="I1037" s="58">
        <v>24.99</v>
      </c>
      <c r="J1037" s="58">
        <v>24.881</v>
      </c>
      <c r="K1037" s="58" t="s">
        <v>334</v>
      </c>
      <c r="L1037" s="58">
        <v>24.631</v>
      </c>
      <c r="M1037" s="59">
        <v>25.434000000000001</v>
      </c>
      <c r="N1037" s="58"/>
    </row>
    <row r="1038" spans="1:15" ht="18" customHeight="1">
      <c r="A1038" s="57">
        <v>11</v>
      </c>
      <c r="B1038" s="58" t="s">
        <v>334</v>
      </c>
      <c r="C1038" s="58">
        <v>26.06</v>
      </c>
      <c r="D1038" s="58">
        <v>25.923999999999999</v>
      </c>
      <c r="E1038" s="58" t="s">
        <v>334</v>
      </c>
      <c r="F1038" s="58" t="s">
        <v>334</v>
      </c>
      <c r="G1038" s="58">
        <v>26.5</v>
      </c>
      <c r="H1038" s="58" t="s">
        <v>334</v>
      </c>
      <c r="I1038" s="58">
        <v>25.033000000000001</v>
      </c>
      <c r="J1038" s="58">
        <v>24.919</v>
      </c>
      <c r="K1038" s="58" t="s">
        <v>334</v>
      </c>
      <c r="L1038" s="58">
        <v>24.632000000000001</v>
      </c>
      <c r="M1038" s="59">
        <v>25.451000000000001</v>
      </c>
      <c r="N1038" s="58"/>
    </row>
    <row r="1039" spans="1:15" ht="18" customHeight="1">
      <c r="A1039" s="57">
        <v>12</v>
      </c>
      <c r="B1039" s="58" t="s">
        <v>334</v>
      </c>
      <c r="C1039" s="58">
        <v>26.15</v>
      </c>
      <c r="D1039" s="58">
        <v>25.9</v>
      </c>
      <c r="E1039" s="58" t="s">
        <v>334</v>
      </c>
      <c r="F1039" s="58" t="s">
        <v>334</v>
      </c>
      <c r="G1039" s="58" t="s">
        <v>334</v>
      </c>
      <c r="H1039" s="58" t="s">
        <v>334</v>
      </c>
      <c r="I1039" s="58">
        <v>25.149000000000001</v>
      </c>
      <c r="J1039" s="58" t="s">
        <v>334</v>
      </c>
      <c r="K1039" s="58">
        <v>24.885000000000002</v>
      </c>
      <c r="L1039" s="58">
        <v>24.646999999999998</v>
      </c>
      <c r="M1039" s="59" t="s">
        <v>334</v>
      </c>
      <c r="N1039" s="58"/>
    </row>
    <row r="1040" spans="1:15" ht="18" customHeight="1">
      <c r="A1040" s="57">
        <v>13</v>
      </c>
      <c r="B1040" s="58">
        <v>26.4</v>
      </c>
      <c r="C1040" s="58">
        <v>26.146000000000001</v>
      </c>
      <c r="D1040" s="58">
        <v>25.742999999999999</v>
      </c>
      <c r="E1040" s="58">
        <v>25.382000000000001</v>
      </c>
      <c r="F1040" s="58">
        <v>26.1</v>
      </c>
      <c r="G1040" s="58" t="s">
        <v>334</v>
      </c>
      <c r="H1040" s="58">
        <v>25.216999999999999</v>
      </c>
      <c r="I1040" s="58">
        <v>25.327999999999999</v>
      </c>
      <c r="J1040" s="58" t="s">
        <v>334</v>
      </c>
      <c r="K1040" s="58">
        <v>24.797999999999998</v>
      </c>
      <c r="L1040" s="58">
        <v>24.632999999999999</v>
      </c>
      <c r="M1040" s="59" t="s">
        <v>334</v>
      </c>
      <c r="N1040" s="58"/>
    </row>
    <row r="1041" spans="1:14" ht="18" customHeight="1">
      <c r="A1041" s="57">
        <v>14</v>
      </c>
      <c r="B1041" s="58">
        <v>26.591999999999999</v>
      </c>
      <c r="C1041" s="58">
        <v>26.15</v>
      </c>
      <c r="D1041" s="58" t="s">
        <v>334</v>
      </c>
      <c r="E1041" s="58">
        <v>25.6</v>
      </c>
      <c r="F1041" s="58">
        <v>26.524999999999999</v>
      </c>
      <c r="G1041" s="58" t="s">
        <v>334</v>
      </c>
      <c r="H1041" s="58">
        <v>25.155000000000001</v>
      </c>
      <c r="I1041" s="58">
        <v>25.335999999999999</v>
      </c>
      <c r="J1041" s="58">
        <v>25.460999999999999</v>
      </c>
      <c r="K1041" s="58">
        <v>24.747</v>
      </c>
      <c r="L1041" s="58" t="s">
        <v>334</v>
      </c>
      <c r="M1041" s="59">
        <v>25.411000000000001</v>
      </c>
      <c r="N1041" s="58"/>
    </row>
    <row r="1042" spans="1:14" ht="18" customHeight="1">
      <c r="A1042" s="57">
        <v>15</v>
      </c>
      <c r="B1042" s="58">
        <v>26.582999999999998</v>
      </c>
      <c r="C1042" s="58" t="s">
        <v>334</v>
      </c>
      <c r="D1042" s="58" t="s">
        <v>334</v>
      </c>
      <c r="E1042" s="58">
        <v>25.591000000000001</v>
      </c>
      <c r="F1042" s="58">
        <v>26.382999999999999</v>
      </c>
      <c r="G1042" s="58">
        <v>26.256</v>
      </c>
      <c r="H1042" s="58">
        <v>25.145</v>
      </c>
      <c r="I1042" s="58" t="s">
        <v>334</v>
      </c>
      <c r="J1042" s="58">
        <v>25.202000000000002</v>
      </c>
      <c r="K1042" s="58">
        <v>24.829000000000001</v>
      </c>
      <c r="L1042" s="58" t="s">
        <v>334</v>
      </c>
      <c r="M1042" s="59">
        <v>25.382999999999999</v>
      </c>
      <c r="N1042" s="58"/>
    </row>
    <row r="1043" spans="1:14" ht="18" customHeight="1">
      <c r="A1043" s="57">
        <v>16</v>
      </c>
      <c r="B1043" s="58">
        <v>26.6</v>
      </c>
      <c r="C1043" s="58" t="s">
        <v>334</v>
      </c>
      <c r="D1043" s="58">
        <v>25.815999999999999</v>
      </c>
      <c r="E1043" s="58" t="s">
        <v>334</v>
      </c>
      <c r="F1043" s="58" t="s">
        <v>334</v>
      </c>
      <c r="G1043" s="58">
        <v>26.05</v>
      </c>
      <c r="H1043" s="58">
        <v>25.132000000000001</v>
      </c>
      <c r="I1043" s="58" t="s">
        <v>334</v>
      </c>
      <c r="J1043" s="58">
        <v>25.152000000000001</v>
      </c>
      <c r="K1043" s="58">
        <v>24.744</v>
      </c>
      <c r="L1043" s="58">
        <v>24.626999999999999</v>
      </c>
      <c r="M1043" s="59">
        <v>25.42</v>
      </c>
      <c r="N1043" s="58"/>
    </row>
    <row r="1044" spans="1:14" ht="18" customHeight="1">
      <c r="A1044" s="57">
        <v>17</v>
      </c>
      <c r="B1044" s="58">
        <v>26.6</v>
      </c>
      <c r="C1044" s="58">
        <v>26.15</v>
      </c>
      <c r="D1044" s="58">
        <v>25.771000000000001</v>
      </c>
      <c r="E1044" s="58" t="s">
        <v>334</v>
      </c>
      <c r="F1044" s="58" t="s">
        <v>334</v>
      </c>
      <c r="G1044" s="58">
        <v>25.768000000000001</v>
      </c>
      <c r="H1044" s="58">
        <v>25.148</v>
      </c>
      <c r="I1044" s="58">
        <v>25.116</v>
      </c>
      <c r="J1044" s="58">
        <v>25.146999999999998</v>
      </c>
      <c r="K1044" s="58" t="s">
        <v>334</v>
      </c>
      <c r="L1044" s="58">
        <v>24.629000000000001</v>
      </c>
      <c r="M1044" s="59">
        <v>25.43</v>
      </c>
      <c r="N1044" s="58"/>
    </row>
    <row r="1045" spans="1:14" ht="18" customHeight="1">
      <c r="A1045" s="57">
        <v>18</v>
      </c>
      <c r="B1045" s="58" t="s">
        <v>334</v>
      </c>
      <c r="C1045" s="58">
        <v>26.15</v>
      </c>
      <c r="D1045" s="58">
        <v>25.699000000000002</v>
      </c>
      <c r="E1045" s="58" t="s">
        <v>334</v>
      </c>
      <c r="F1045" s="58">
        <v>26.038</v>
      </c>
      <c r="G1045" s="58">
        <v>25.617999999999999</v>
      </c>
      <c r="H1045" s="58" t="s">
        <v>334</v>
      </c>
      <c r="I1045" s="58">
        <v>24.916</v>
      </c>
      <c r="J1045" s="58">
        <v>25.146999999999998</v>
      </c>
      <c r="K1045" s="58" t="s">
        <v>334</v>
      </c>
      <c r="L1045" s="58">
        <v>24.640999999999998</v>
      </c>
      <c r="M1045" s="59">
        <v>25.422000000000001</v>
      </c>
      <c r="N1045" s="58"/>
    </row>
    <row r="1046" spans="1:14" ht="18" customHeight="1">
      <c r="A1046" s="57">
        <v>19</v>
      </c>
      <c r="B1046" s="58" t="s">
        <v>334</v>
      </c>
      <c r="C1046" s="58">
        <v>26.15</v>
      </c>
      <c r="D1046" s="58">
        <v>25.818000000000001</v>
      </c>
      <c r="E1046" s="58" t="s">
        <v>334</v>
      </c>
      <c r="F1046" s="58">
        <v>26.058</v>
      </c>
      <c r="G1046" s="58">
        <v>25.739000000000001</v>
      </c>
      <c r="H1046" s="58" t="s">
        <v>334</v>
      </c>
      <c r="I1046" s="58">
        <v>24.675999999999998</v>
      </c>
      <c r="J1046" s="58" t="s">
        <v>334</v>
      </c>
      <c r="K1046" s="58">
        <v>24.623999999999999</v>
      </c>
      <c r="L1046" s="58">
        <v>24.867000000000001</v>
      </c>
      <c r="M1046" s="59" t="s">
        <v>334</v>
      </c>
      <c r="N1046" s="58"/>
    </row>
    <row r="1047" spans="1:14" ht="18" customHeight="1">
      <c r="A1047" s="57">
        <v>20</v>
      </c>
      <c r="B1047" s="58">
        <v>26.6</v>
      </c>
      <c r="C1047" s="58">
        <v>26.120999999999999</v>
      </c>
      <c r="D1047" s="58">
        <v>25.719000000000001</v>
      </c>
      <c r="E1047" s="58">
        <v>25.591000000000001</v>
      </c>
      <c r="F1047" s="58">
        <v>26.158999999999999</v>
      </c>
      <c r="G1047" s="58" t="s">
        <v>334</v>
      </c>
      <c r="H1047" s="58">
        <v>25.148</v>
      </c>
      <c r="I1047" s="58">
        <v>24.54</v>
      </c>
      <c r="J1047" s="58" t="s">
        <v>334</v>
      </c>
      <c r="K1047" s="58">
        <v>24.619</v>
      </c>
      <c r="L1047" s="58">
        <v>25.568000000000001</v>
      </c>
      <c r="M1047" s="59" t="s">
        <v>334</v>
      </c>
      <c r="N1047" s="58"/>
    </row>
    <row r="1048" spans="1:14" ht="18" customHeight="1">
      <c r="A1048" s="57">
        <v>21</v>
      </c>
      <c r="B1048" s="58">
        <v>26.6</v>
      </c>
      <c r="C1048" s="58">
        <v>26.120999999999999</v>
      </c>
      <c r="D1048" s="58" t="s">
        <v>334</v>
      </c>
      <c r="E1048" s="58">
        <v>25.6</v>
      </c>
      <c r="F1048" s="58">
        <v>26</v>
      </c>
      <c r="G1048" s="58" t="s">
        <v>334</v>
      </c>
      <c r="H1048" s="58">
        <v>25.207000000000001</v>
      </c>
      <c r="I1048" s="58">
        <v>24.641999999999999</v>
      </c>
      <c r="J1048" s="58">
        <v>25.14</v>
      </c>
      <c r="K1048" s="58">
        <v>24.638999999999999</v>
      </c>
      <c r="L1048" s="58" t="s">
        <v>334</v>
      </c>
      <c r="M1048" s="59">
        <v>25.37</v>
      </c>
      <c r="N1048" s="58"/>
    </row>
    <row r="1049" spans="1:14" ht="18" customHeight="1">
      <c r="A1049" s="57">
        <v>22</v>
      </c>
      <c r="B1049" s="58">
        <v>26.42</v>
      </c>
      <c r="C1049" s="58" t="s">
        <v>334</v>
      </c>
      <c r="D1049" s="58" t="s">
        <v>334</v>
      </c>
      <c r="E1049" s="58">
        <v>25.65</v>
      </c>
      <c r="F1049" s="58">
        <v>26.216000000000001</v>
      </c>
      <c r="G1049" s="58">
        <v>25.9</v>
      </c>
      <c r="H1049" s="58">
        <v>25.193000000000001</v>
      </c>
      <c r="I1049" s="58" t="s">
        <v>334</v>
      </c>
      <c r="J1049" s="58">
        <v>25.143000000000001</v>
      </c>
      <c r="K1049" s="58">
        <v>24.587</v>
      </c>
      <c r="L1049" s="58" t="s">
        <v>334</v>
      </c>
      <c r="M1049" s="59">
        <v>25.367999999999999</v>
      </c>
      <c r="N1049" s="58"/>
    </row>
    <row r="1050" spans="1:14" ht="18" customHeight="1">
      <c r="A1050" s="57">
        <v>23</v>
      </c>
      <c r="B1050" s="58">
        <v>26.361999999999998</v>
      </c>
      <c r="C1050" s="58" t="s">
        <v>334</v>
      </c>
      <c r="D1050" s="58">
        <v>25.637</v>
      </c>
      <c r="E1050" s="58">
        <v>25.7</v>
      </c>
      <c r="F1050" s="58" t="s">
        <v>334</v>
      </c>
      <c r="G1050" s="58">
        <v>26.114000000000001</v>
      </c>
      <c r="H1050" s="58">
        <v>25.193000000000001</v>
      </c>
      <c r="I1050" s="58" t="s">
        <v>334</v>
      </c>
      <c r="J1050" s="58">
        <v>25.126000000000001</v>
      </c>
      <c r="K1050" s="58">
        <v>24.626000000000001</v>
      </c>
      <c r="L1050" s="58">
        <v>25.916</v>
      </c>
      <c r="M1050" s="59">
        <v>24.837</v>
      </c>
      <c r="N1050" s="58"/>
    </row>
    <row r="1051" spans="1:14" ht="18" customHeight="1">
      <c r="A1051" s="57">
        <v>24</v>
      </c>
      <c r="B1051" s="58">
        <v>26.55</v>
      </c>
      <c r="C1051" s="58">
        <v>26.100999999999999</v>
      </c>
      <c r="D1051" s="58">
        <v>25.701000000000001</v>
      </c>
      <c r="E1051" s="58">
        <v>25.824999999999999</v>
      </c>
      <c r="F1051" s="58" t="s">
        <v>334</v>
      </c>
      <c r="G1051" s="58" t="s">
        <v>334</v>
      </c>
      <c r="H1051" s="58">
        <v>25.186</v>
      </c>
      <c r="I1051" s="58">
        <v>24.565000000000001</v>
      </c>
      <c r="J1051" s="58">
        <v>25.148</v>
      </c>
      <c r="K1051" s="58" t="s">
        <v>334</v>
      </c>
      <c r="L1051" s="58">
        <v>25.710999999999999</v>
      </c>
      <c r="M1051" s="59">
        <v>24.736000000000001</v>
      </c>
      <c r="N1051" s="58"/>
    </row>
    <row r="1052" spans="1:14" ht="18" customHeight="1">
      <c r="A1052" s="57">
        <v>25</v>
      </c>
      <c r="B1052" s="58" t="s">
        <v>334</v>
      </c>
      <c r="C1052" s="58">
        <v>26.1</v>
      </c>
      <c r="D1052" s="58">
        <v>25.75</v>
      </c>
      <c r="E1052" s="58" t="s">
        <v>334</v>
      </c>
      <c r="F1052" s="58">
        <v>26</v>
      </c>
      <c r="G1052" s="58">
        <v>25.887</v>
      </c>
      <c r="H1052" s="58" t="s">
        <v>334</v>
      </c>
      <c r="I1052" s="58">
        <v>24.401</v>
      </c>
      <c r="J1052" s="58">
        <v>25.143000000000001</v>
      </c>
      <c r="K1052" s="58" t="s">
        <v>334</v>
      </c>
      <c r="L1052" s="58">
        <v>25.393000000000001</v>
      </c>
      <c r="M1052" s="59" t="s">
        <v>334</v>
      </c>
      <c r="N1052" s="58"/>
    </row>
    <row r="1053" spans="1:14" ht="18" customHeight="1">
      <c r="A1053" s="57">
        <v>26</v>
      </c>
      <c r="B1053" s="58" t="s">
        <v>334</v>
      </c>
      <c r="C1053" s="58">
        <v>26.071999999999999</v>
      </c>
      <c r="D1053" s="58">
        <v>25.503</v>
      </c>
      <c r="E1053" s="58" t="s">
        <v>334</v>
      </c>
      <c r="F1053" s="58">
        <v>26.117000000000001</v>
      </c>
      <c r="G1053" s="58">
        <v>25.669</v>
      </c>
      <c r="H1053" s="58" t="s">
        <v>334</v>
      </c>
      <c r="I1053" s="58">
        <v>24.2</v>
      </c>
      <c r="J1053" s="58" t="s">
        <v>334</v>
      </c>
      <c r="K1053" s="58">
        <v>24.65</v>
      </c>
      <c r="L1053" s="58">
        <v>25.391999999999999</v>
      </c>
      <c r="M1053" s="59" t="s">
        <v>334</v>
      </c>
      <c r="N1053" s="58"/>
    </row>
    <row r="1054" spans="1:14" ht="18" customHeight="1">
      <c r="A1054" s="57">
        <v>27</v>
      </c>
      <c r="B1054" s="58">
        <v>26.55</v>
      </c>
      <c r="C1054" s="58">
        <v>26.009</v>
      </c>
      <c r="D1054" s="58">
        <v>25.8</v>
      </c>
      <c r="E1054" s="58">
        <v>25.824999999999999</v>
      </c>
      <c r="F1054" s="58">
        <v>26</v>
      </c>
      <c r="G1054" s="58" t="s">
        <v>334</v>
      </c>
      <c r="H1054" s="58">
        <v>25.140999999999998</v>
      </c>
      <c r="I1054" s="58">
        <v>23.934000000000001</v>
      </c>
      <c r="J1054" s="58" t="s">
        <v>334</v>
      </c>
      <c r="K1054" s="58">
        <v>24.65</v>
      </c>
      <c r="L1054" s="58">
        <v>25.492000000000001</v>
      </c>
      <c r="M1054" s="59" t="s">
        <v>334</v>
      </c>
      <c r="N1054" s="58"/>
    </row>
    <row r="1055" spans="1:14" ht="18" customHeight="1">
      <c r="A1055" s="57">
        <v>28</v>
      </c>
      <c r="B1055" s="58">
        <v>26.507999999999999</v>
      </c>
      <c r="C1055" s="58">
        <v>26.045000000000002</v>
      </c>
      <c r="D1055" s="58" t="s">
        <v>334</v>
      </c>
      <c r="E1055" s="58">
        <v>26.068000000000001</v>
      </c>
      <c r="F1055" s="58">
        <v>26</v>
      </c>
      <c r="G1055" s="58" t="s">
        <v>334</v>
      </c>
      <c r="H1055" s="58">
        <v>25.15</v>
      </c>
      <c r="I1055" s="58">
        <v>23.332999999999998</v>
      </c>
      <c r="J1055" s="58">
        <v>25.134</v>
      </c>
      <c r="K1055" s="58">
        <v>24.632999999999999</v>
      </c>
      <c r="L1055" s="58" t="s">
        <v>334</v>
      </c>
      <c r="M1055" s="59">
        <v>24.896000000000001</v>
      </c>
      <c r="N1055" s="58"/>
    </row>
    <row r="1056" spans="1:14" ht="18" customHeight="1">
      <c r="A1056" s="57">
        <v>29</v>
      </c>
      <c r="B1056" s="58">
        <v>26.486999999999998</v>
      </c>
      <c r="C1056" s="58" t="s">
        <v>334</v>
      </c>
      <c r="D1056" s="58" t="s">
        <v>334</v>
      </c>
      <c r="E1056" s="58">
        <v>25.893000000000001</v>
      </c>
      <c r="F1056" s="58">
        <v>26.25</v>
      </c>
      <c r="G1056" s="58">
        <v>25.584</v>
      </c>
      <c r="H1056" s="58">
        <v>25.15</v>
      </c>
      <c r="I1056" s="58" t="s">
        <v>334</v>
      </c>
      <c r="J1056" s="58">
        <v>25.100999999999999</v>
      </c>
      <c r="K1056" s="58">
        <v>24.632000000000001</v>
      </c>
      <c r="L1056" s="58" t="s">
        <v>334</v>
      </c>
      <c r="M1056" s="59">
        <v>25.096</v>
      </c>
      <c r="N1056" s="58"/>
    </row>
    <row r="1057" spans="1:15" ht="18" customHeight="1">
      <c r="A1057" s="57">
        <v>30</v>
      </c>
      <c r="B1057" s="58">
        <v>26.527000000000001</v>
      </c>
      <c r="C1057" s="58" t="s">
        <v>335</v>
      </c>
      <c r="D1057" s="58">
        <v>25.56</v>
      </c>
      <c r="E1057" s="58">
        <v>25.803999999999998</v>
      </c>
      <c r="F1057" s="58" t="s">
        <v>334</v>
      </c>
      <c r="G1057" s="58" t="s">
        <v>334</v>
      </c>
      <c r="H1057" s="58">
        <v>25.143000000000001</v>
      </c>
      <c r="I1057" s="58" t="s">
        <v>334</v>
      </c>
      <c r="J1057" s="58">
        <v>25.12</v>
      </c>
      <c r="K1057" s="58">
        <v>24.635999999999999</v>
      </c>
      <c r="L1057" s="58" t="s">
        <v>334</v>
      </c>
      <c r="M1057" s="59" t="s">
        <v>334</v>
      </c>
      <c r="N1057" s="58"/>
    </row>
    <row r="1058" spans="1:15" ht="18" customHeight="1">
      <c r="A1058" s="57">
        <v>31</v>
      </c>
      <c r="B1058" s="58">
        <v>26.527000000000001</v>
      </c>
      <c r="C1058" s="58" t="s">
        <v>335</v>
      </c>
      <c r="D1058" s="58">
        <v>25.382999999999999</v>
      </c>
      <c r="E1058" s="58" t="s">
        <v>335</v>
      </c>
      <c r="F1058" s="58" t="s">
        <v>334</v>
      </c>
      <c r="G1058" s="58" t="s">
        <v>335</v>
      </c>
      <c r="H1058" s="58">
        <v>24.91</v>
      </c>
      <c r="I1058" s="58">
        <v>23.294</v>
      </c>
      <c r="J1058" s="58" t="s">
        <v>335</v>
      </c>
      <c r="K1058" s="58" t="s">
        <v>334</v>
      </c>
      <c r="L1058" s="58" t="s">
        <v>335</v>
      </c>
      <c r="M1058" s="59" t="s">
        <v>334</v>
      </c>
      <c r="N1058" s="58"/>
    </row>
    <row r="1059" spans="1:15" ht="18" customHeight="1" thickBot="1">
      <c r="A1059" s="76"/>
      <c r="B1059" s="77"/>
      <c r="C1059" s="77"/>
      <c r="D1059" s="77"/>
      <c r="E1059" s="77"/>
      <c r="F1059" s="77"/>
      <c r="G1059" s="77"/>
      <c r="H1059" s="77"/>
      <c r="I1059" s="77"/>
      <c r="J1059" s="77"/>
      <c r="K1059" s="77"/>
      <c r="L1059" s="77"/>
      <c r="M1059" s="78"/>
      <c r="N1059" s="58"/>
    </row>
    <row r="1060" spans="1:15" ht="18" customHeight="1">
      <c r="A1060" s="605">
        <v>1991</v>
      </c>
      <c r="B1060" s="606"/>
      <c r="C1060" s="606"/>
      <c r="D1060" s="606"/>
      <c r="E1060" s="606"/>
      <c r="F1060" s="606"/>
      <c r="G1060" s="606"/>
      <c r="H1060" s="606"/>
      <c r="I1060" s="606"/>
      <c r="J1060" s="606"/>
      <c r="K1060" s="606"/>
      <c r="L1060" s="606"/>
      <c r="M1060" s="607"/>
      <c r="N1060" s="52"/>
    </row>
    <row r="1061" spans="1:15" ht="18" customHeight="1" thickBot="1">
      <c r="A1061" s="51" t="s">
        <v>322</v>
      </c>
      <c r="B1061" s="52" t="s">
        <v>323</v>
      </c>
      <c r="C1061" s="52" t="s">
        <v>324</v>
      </c>
      <c r="D1061" s="52" t="s">
        <v>325</v>
      </c>
      <c r="E1061" s="52" t="s">
        <v>326</v>
      </c>
      <c r="F1061" s="52" t="s">
        <v>236</v>
      </c>
      <c r="G1061" s="52" t="s">
        <v>327</v>
      </c>
      <c r="H1061" s="52" t="s">
        <v>328</v>
      </c>
      <c r="I1061" s="52" t="s">
        <v>329</v>
      </c>
      <c r="J1061" s="52" t="s">
        <v>330</v>
      </c>
      <c r="K1061" s="52" t="s">
        <v>331</v>
      </c>
      <c r="L1061" s="52" t="s">
        <v>332</v>
      </c>
      <c r="M1061" s="53" t="s">
        <v>333</v>
      </c>
      <c r="N1061" s="52"/>
    </row>
    <row r="1062" spans="1:15" ht="18" customHeight="1">
      <c r="A1062" s="54">
        <v>1</v>
      </c>
      <c r="B1062" s="55" t="s">
        <v>334</v>
      </c>
      <c r="C1062" s="55">
        <v>28</v>
      </c>
      <c r="D1062" s="55">
        <v>28</v>
      </c>
      <c r="E1062" s="55">
        <v>28</v>
      </c>
      <c r="F1062" s="55" t="s">
        <v>334</v>
      </c>
      <c r="G1062" s="55" t="s">
        <v>334</v>
      </c>
      <c r="H1062" s="55">
        <v>27.75</v>
      </c>
      <c r="I1062" s="55">
        <v>27.62</v>
      </c>
      <c r="J1062" s="55" t="s">
        <v>334</v>
      </c>
      <c r="K1062" s="55">
        <v>26.917999999999999</v>
      </c>
      <c r="L1062" s="70" t="s">
        <v>334</v>
      </c>
      <c r="M1062" s="71" t="s">
        <v>334</v>
      </c>
      <c r="N1062" s="83">
        <v>1991</v>
      </c>
      <c r="O1062" s="47">
        <f>AVERAGE(B1062:M1092)</f>
        <v>27.477048192771072</v>
      </c>
    </row>
    <row r="1063" spans="1:15" ht="18" customHeight="1">
      <c r="A1063" s="57">
        <v>2</v>
      </c>
      <c r="B1063" s="58">
        <v>28</v>
      </c>
      <c r="C1063" s="58" t="s">
        <v>334</v>
      </c>
      <c r="D1063" s="58" t="s">
        <v>334</v>
      </c>
      <c r="E1063" s="58">
        <v>28</v>
      </c>
      <c r="F1063" s="58">
        <v>27.838999999999999</v>
      </c>
      <c r="G1063" s="58" t="s">
        <v>334</v>
      </c>
      <c r="H1063" s="58">
        <v>27.73</v>
      </c>
      <c r="I1063" s="58">
        <v>27.582999999999998</v>
      </c>
      <c r="J1063" s="58">
        <v>27</v>
      </c>
      <c r="K1063" s="58">
        <v>27</v>
      </c>
      <c r="L1063" s="72" t="s">
        <v>334</v>
      </c>
      <c r="M1063" s="73">
        <v>26.579000000000001</v>
      </c>
      <c r="N1063" s="58"/>
    </row>
    <row r="1064" spans="1:15" ht="18" customHeight="1">
      <c r="A1064" s="57">
        <v>3</v>
      </c>
      <c r="B1064" s="58">
        <v>28</v>
      </c>
      <c r="C1064" s="58" t="s">
        <v>334</v>
      </c>
      <c r="D1064" s="58" t="s">
        <v>334</v>
      </c>
      <c r="E1064" s="58">
        <v>28</v>
      </c>
      <c r="F1064" s="58">
        <v>27.835999999999999</v>
      </c>
      <c r="G1064" s="58">
        <v>27.805</v>
      </c>
      <c r="H1064" s="58">
        <v>27.73</v>
      </c>
      <c r="I1064" s="58" t="s">
        <v>334</v>
      </c>
      <c r="J1064" s="58">
        <v>27</v>
      </c>
      <c r="K1064" s="58">
        <v>27</v>
      </c>
      <c r="L1064" s="72" t="s">
        <v>334</v>
      </c>
      <c r="M1064" s="73">
        <v>26.69</v>
      </c>
      <c r="N1064" s="58"/>
    </row>
    <row r="1065" spans="1:15" ht="18" customHeight="1">
      <c r="A1065" s="57">
        <v>4</v>
      </c>
      <c r="B1065" s="58">
        <v>28</v>
      </c>
      <c r="C1065" s="58">
        <v>28</v>
      </c>
      <c r="D1065" s="58">
        <v>28</v>
      </c>
      <c r="E1065" s="58">
        <v>28</v>
      </c>
      <c r="F1065" s="58" t="s">
        <v>334</v>
      </c>
      <c r="G1065" s="58">
        <v>27.803999999999998</v>
      </c>
      <c r="H1065" s="58">
        <v>27.663</v>
      </c>
      <c r="I1065" s="58" t="s">
        <v>334</v>
      </c>
      <c r="J1065" s="58">
        <v>26.995000000000001</v>
      </c>
      <c r="K1065" s="58">
        <v>27</v>
      </c>
      <c r="L1065" s="58">
        <v>26.919</v>
      </c>
      <c r="M1065" s="59">
        <v>26.69</v>
      </c>
      <c r="N1065" s="58"/>
    </row>
    <row r="1066" spans="1:15" ht="18" customHeight="1">
      <c r="A1066" s="57">
        <v>5</v>
      </c>
      <c r="B1066" s="58" t="s">
        <v>334</v>
      </c>
      <c r="C1066" s="58">
        <v>28</v>
      </c>
      <c r="D1066" s="58">
        <v>28</v>
      </c>
      <c r="E1066" s="58">
        <v>28</v>
      </c>
      <c r="F1066" s="58" t="s">
        <v>334</v>
      </c>
      <c r="G1066" s="58">
        <v>27.803000000000001</v>
      </c>
      <c r="H1066" s="58">
        <v>27.663</v>
      </c>
      <c r="I1066" s="58">
        <v>27.58</v>
      </c>
      <c r="J1066" s="58">
        <v>27</v>
      </c>
      <c r="K1066" s="58" t="s">
        <v>334</v>
      </c>
      <c r="L1066" s="58">
        <v>26.919</v>
      </c>
      <c r="M1066" s="59">
        <v>26.692</v>
      </c>
      <c r="N1066" s="58"/>
    </row>
    <row r="1067" spans="1:15" ht="18" customHeight="1">
      <c r="A1067" s="57">
        <v>6</v>
      </c>
      <c r="B1067" s="58" t="s">
        <v>334</v>
      </c>
      <c r="C1067" s="58">
        <v>28</v>
      </c>
      <c r="D1067" s="58">
        <v>28</v>
      </c>
      <c r="E1067" s="58" t="s">
        <v>334</v>
      </c>
      <c r="F1067" s="58">
        <v>27.832999999999998</v>
      </c>
      <c r="G1067" s="58">
        <v>27.802</v>
      </c>
      <c r="H1067" s="58" t="s">
        <v>334</v>
      </c>
      <c r="I1067" s="58">
        <v>27.524999999999999</v>
      </c>
      <c r="J1067" s="58">
        <v>27</v>
      </c>
      <c r="K1067" s="58" t="s">
        <v>334</v>
      </c>
      <c r="L1067" s="58">
        <v>26.919</v>
      </c>
      <c r="M1067" s="59">
        <v>26.7</v>
      </c>
      <c r="N1067" s="58"/>
    </row>
    <row r="1068" spans="1:15" ht="18" customHeight="1">
      <c r="A1068" s="57">
        <v>7</v>
      </c>
      <c r="B1068" s="58">
        <v>28</v>
      </c>
      <c r="C1068" s="58">
        <v>28</v>
      </c>
      <c r="D1068" s="58">
        <v>28</v>
      </c>
      <c r="E1068" s="58" t="s">
        <v>334</v>
      </c>
      <c r="F1068" s="58">
        <v>27.829000000000001</v>
      </c>
      <c r="G1068" s="58">
        <v>27.800999999999998</v>
      </c>
      <c r="H1068" s="58" t="s">
        <v>334</v>
      </c>
      <c r="I1068" s="58">
        <v>27.484999999999999</v>
      </c>
      <c r="J1068" s="58" t="s">
        <v>334</v>
      </c>
      <c r="K1068" s="58">
        <v>26.998999999999999</v>
      </c>
      <c r="L1068" s="58">
        <v>26.919</v>
      </c>
      <c r="M1068" s="59" t="s">
        <v>334</v>
      </c>
      <c r="N1068" s="58"/>
    </row>
    <row r="1069" spans="1:15" ht="18" customHeight="1">
      <c r="A1069" s="57">
        <v>8</v>
      </c>
      <c r="B1069" s="58">
        <v>28</v>
      </c>
      <c r="C1069" s="58">
        <v>28</v>
      </c>
      <c r="D1069" s="58">
        <v>28</v>
      </c>
      <c r="E1069" s="58">
        <v>27.98</v>
      </c>
      <c r="F1069" s="58">
        <v>27.826000000000001</v>
      </c>
      <c r="G1069" s="58" t="s">
        <v>334</v>
      </c>
      <c r="H1069" s="58">
        <v>27.585999999999999</v>
      </c>
      <c r="I1069" s="58">
        <v>27.4</v>
      </c>
      <c r="J1069" s="58" t="s">
        <v>334</v>
      </c>
      <c r="K1069" s="58">
        <v>27</v>
      </c>
      <c r="L1069" s="58">
        <v>26.7</v>
      </c>
      <c r="M1069" s="59" t="s">
        <v>334</v>
      </c>
      <c r="N1069" s="58"/>
    </row>
    <row r="1070" spans="1:15" ht="18" customHeight="1">
      <c r="A1070" s="57">
        <v>9</v>
      </c>
      <c r="B1070" s="58">
        <v>28</v>
      </c>
      <c r="C1070" s="58" t="s">
        <v>334</v>
      </c>
      <c r="D1070" s="58" t="s">
        <v>334</v>
      </c>
      <c r="E1070" s="58" t="s">
        <v>334</v>
      </c>
      <c r="F1070" s="58">
        <v>27.824000000000002</v>
      </c>
      <c r="G1070" s="58" t="s">
        <v>334</v>
      </c>
      <c r="H1070" s="58">
        <v>27.585999999999999</v>
      </c>
      <c r="I1070" s="58">
        <v>27.4</v>
      </c>
      <c r="J1070" s="58">
        <v>27</v>
      </c>
      <c r="K1070" s="58">
        <v>26.981999999999999</v>
      </c>
      <c r="L1070" s="58" t="s">
        <v>334</v>
      </c>
      <c r="M1070" s="59">
        <v>26.7</v>
      </c>
      <c r="N1070" s="58"/>
    </row>
    <row r="1071" spans="1:15" ht="18" customHeight="1">
      <c r="A1071" s="57">
        <v>10</v>
      </c>
      <c r="B1071" s="58">
        <v>28</v>
      </c>
      <c r="C1071" s="58" t="s">
        <v>334</v>
      </c>
      <c r="D1071" s="58" t="s">
        <v>334</v>
      </c>
      <c r="E1071" s="58">
        <v>27.97</v>
      </c>
      <c r="F1071" s="58">
        <v>27.821999999999999</v>
      </c>
      <c r="G1071" s="58">
        <v>27.800999999999998</v>
      </c>
      <c r="H1071" s="58">
        <v>27.585999999999999</v>
      </c>
      <c r="I1071" s="58" t="s">
        <v>334</v>
      </c>
      <c r="J1071" s="58">
        <v>27</v>
      </c>
      <c r="K1071" s="58">
        <v>26.994</v>
      </c>
      <c r="L1071" s="58" t="s">
        <v>334</v>
      </c>
      <c r="M1071" s="59">
        <v>26.7</v>
      </c>
      <c r="N1071" s="58"/>
    </row>
    <row r="1072" spans="1:15" ht="18" customHeight="1">
      <c r="A1072" s="57">
        <v>11</v>
      </c>
      <c r="B1072" s="58">
        <v>28</v>
      </c>
      <c r="C1072" s="58">
        <v>28</v>
      </c>
      <c r="D1072" s="58">
        <v>28</v>
      </c>
      <c r="E1072" s="58">
        <v>27.96</v>
      </c>
      <c r="F1072" s="58" t="s">
        <v>334</v>
      </c>
      <c r="G1072" s="58">
        <v>27.8</v>
      </c>
      <c r="H1072" s="58">
        <v>27.585999999999999</v>
      </c>
      <c r="I1072" s="58" t="s">
        <v>334</v>
      </c>
      <c r="J1072" s="58">
        <v>27</v>
      </c>
      <c r="K1072" s="58">
        <v>26.998000000000001</v>
      </c>
      <c r="L1072" s="58">
        <v>26.7</v>
      </c>
      <c r="M1072" s="59">
        <v>26.657</v>
      </c>
      <c r="N1072" s="58"/>
    </row>
    <row r="1073" spans="1:14" ht="18" customHeight="1">
      <c r="A1073" s="57">
        <v>12</v>
      </c>
      <c r="B1073" s="58" t="s">
        <v>334</v>
      </c>
      <c r="C1073" s="58">
        <v>28</v>
      </c>
      <c r="D1073" s="58">
        <v>28</v>
      </c>
      <c r="E1073" s="58">
        <v>27.96</v>
      </c>
      <c r="F1073" s="58" t="s">
        <v>334</v>
      </c>
      <c r="G1073" s="58" t="s">
        <v>334</v>
      </c>
      <c r="H1073" s="58">
        <v>27.585999999999999</v>
      </c>
      <c r="I1073" s="58">
        <v>27.4</v>
      </c>
      <c r="J1073" s="58">
        <v>27</v>
      </c>
      <c r="K1073" s="58" t="s">
        <v>334</v>
      </c>
      <c r="L1073" s="58">
        <v>26.7</v>
      </c>
      <c r="M1073" s="59">
        <v>26.65</v>
      </c>
      <c r="N1073" s="58"/>
    </row>
    <row r="1074" spans="1:14" ht="18" customHeight="1">
      <c r="A1074" s="57">
        <v>13</v>
      </c>
      <c r="B1074" s="58" t="s">
        <v>334</v>
      </c>
      <c r="C1074" s="58">
        <v>28</v>
      </c>
      <c r="D1074" s="58">
        <v>28</v>
      </c>
      <c r="E1074" s="58" t="s">
        <v>334</v>
      </c>
      <c r="F1074" s="58">
        <v>27.821999999999999</v>
      </c>
      <c r="G1074" s="58">
        <v>27.798999999999999</v>
      </c>
      <c r="H1074" s="58" t="s">
        <v>334</v>
      </c>
      <c r="I1074" s="58">
        <v>27.4</v>
      </c>
      <c r="J1074" s="58">
        <v>26.966999999999999</v>
      </c>
      <c r="K1074" s="58" t="s">
        <v>334</v>
      </c>
      <c r="L1074" s="58">
        <v>26.696000000000002</v>
      </c>
      <c r="M1074" s="59">
        <v>26.65</v>
      </c>
      <c r="N1074" s="58"/>
    </row>
    <row r="1075" spans="1:14" ht="18" customHeight="1">
      <c r="A1075" s="57">
        <v>14</v>
      </c>
      <c r="B1075" s="58">
        <v>28</v>
      </c>
      <c r="C1075" s="58">
        <v>28</v>
      </c>
      <c r="D1075" s="58">
        <v>28</v>
      </c>
      <c r="E1075" s="58" t="s">
        <v>334</v>
      </c>
      <c r="F1075" s="58">
        <v>27.821999999999999</v>
      </c>
      <c r="G1075" s="58">
        <v>27.797999999999998</v>
      </c>
      <c r="H1075" s="58" t="s">
        <v>334</v>
      </c>
      <c r="I1075" s="58">
        <v>27</v>
      </c>
      <c r="J1075" s="58" t="s">
        <v>334</v>
      </c>
      <c r="K1075" s="58">
        <v>26.984999999999999</v>
      </c>
      <c r="L1075" s="58">
        <v>26.692</v>
      </c>
      <c r="M1075" s="59" t="s">
        <v>334</v>
      </c>
      <c r="N1075" s="58"/>
    </row>
    <row r="1076" spans="1:14" ht="18" customHeight="1">
      <c r="A1076" s="57">
        <v>15</v>
      </c>
      <c r="B1076" s="58">
        <v>28</v>
      </c>
      <c r="C1076" s="58">
        <v>28</v>
      </c>
      <c r="D1076" s="58">
        <v>28</v>
      </c>
      <c r="E1076" s="58">
        <v>27.96</v>
      </c>
      <c r="F1076" s="58">
        <v>27.82</v>
      </c>
      <c r="G1076" s="58" t="s">
        <v>334</v>
      </c>
      <c r="H1076" s="58">
        <v>27.585999999999999</v>
      </c>
      <c r="I1076" s="58">
        <v>26.983000000000001</v>
      </c>
      <c r="J1076" s="58" t="s">
        <v>334</v>
      </c>
      <c r="K1076" s="58">
        <v>27</v>
      </c>
      <c r="L1076" s="58">
        <v>26.7</v>
      </c>
      <c r="M1076" s="59" t="s">
        <v>334</v>
      </c>
      <c r="N1076" s="58"/>
    </row>
    <row r="1077" spans="1:14" ht="18" customHeight="1">
      <c r="A1077" s="57">
        <v>16</v>
      </c>
      <c r="B1077" s="58">
        <v>28</v>
      </c>
      <c r="C1077" s="58" t="s">
        <v>334</v>
      </c>
      <c r="D1077" s="58" t="s">
        <v>334</v>
      </c>
      <c r="E1077" s="58">
        <v>27.95</v>
      </c>
      <c r="F1077" s="58">
        <v>27.818000000000001</v>
      </c>
      <c r="G1077" s="58" t="s">
        <v>334</v>
      </c>
      <c r="H1077" s="58">
        <v>27.585999999999999</v>
      </c>
      <c r="I1077" s="58">
        <v>27</v>
      </c>
      <c r="J1077" s="58">
        <v>26.96</v>
      </c>
      <c r="K1077" s="58">
        <v>27</v>
      </c>
      <c r="L1077" s="58" t="s">
        <v>334</v>
      </c>
      <c r="M1077" s="59">
        <v>26.649000000000001</v>
      </c>
      <c r="N1077" s="58"/>
    </row>
    <row r="1078" spans="1:14" ht="18" customHeight="1">
      <c r="A1078" s="57">
        <v>17</v>
      </c>
      <c r="B1078" s="58">
        <v>28</v>
      </c>
      <c r="C1078" s="58" t="s">
        <v>334</v>
      </c>
      <c r="D1078" s="58" t="s">
        <v>334</v>
      </c>
      <c r="E1078" s="58">
        <v>27.925000000000001</v>
      </c>
      <c r="F1078" s="58">
        <v>27.815999999999999</v>
      </c>
      <c r="G1078" s="58">
        <v>27.797999999999998</v>
      </c>
      <c r="H1078" s="58">
        <v>27.585999999999999</v>
      </c>
      <c r="I1078" s="58" t="s">
        <v>334</v>
      </c>
      <c r="J1078" s="58">
        <v>27</v>
      </c>
      <c r="K1078" s="58">
        <v>27</v>
      </c>
      <c r="L1078" s="58" t="s">
        <v>334</v>
      </c>
      <c r="M1078" s="59">
        <v>26.655999999999999</v>
      </c>
      <c r="N1078" s="58"/>
    </row>
    <row r="1079" spans="1:14" ht="18" customHeight="1">
      <c r="A1079" s="57">
        <v>18</v>
      </c>
      <c r="B1079" s="58">
        <v>28</v>
      </c>
      <c r="C1079" s="58">
        <v>28</v>
      </c>
      <c r="D1079" s="58">
        <v>28</v>
      </c>
      <c r="E1079" s="58">
        <v>27.895</v>
      </c>
      <c r="F1079" s="58" t="s">
        <v>334</v>
      </c>
      <c r="G1079" s="58">
        <v>27.797000000000001</v>
      </c>
      <c r="H1079" s="58">
        <v>27.585999999999999</v>
      </c>
      <c r="I1079" s="58" t="s">
        <v>334</v>
      </c>
      <c r="J1079" s="58">
        <v>27</v>
      </c>
      <c r="K1079" s="58">
        <v>27</v>
      </c>
      <c r="L1079" s="58">
        <v>26.619</v>
      </c>
      <c r="M1079" s="59">
        <v>26.7</v>
      </c>
      <c r="N1079" s="58"/>
    </row>
    <row r="1080" spans="1:14" ht="18" customHeight="1">
      <c r="A1080" s="57">
        <v>19</v>
      </c>
      <c r="B1080" s="58" t="s">
        <v>334</v>
      </c>
      <c r="C1080" s="58">
        <v>28</v>
      </c>
      <c r="D1080" s="58">
        <v>28</v>
      </c>
      <c r="E1080" s="58">
        <v>27.879000000000001</v>
      </c>
      <c r="F1080" s="58" t="s">
        <v>334</v>
      </c>
      <c r="G1080" s="58">
        <v>27.795999999999999</v>
      </c>
      <c r="H1080" s="58">
        <v>27.585999999999999</v>
      </c>
      <c r="I1080" s="58">
        <v>27</v>
      </c>
      <c r="J1080" s="58">
        <v>27</v>
      </c>
      <c r="K1080" s="58" t="s">
        <v>334</v>
      </c>
      <c r="L1080" s="58">
        <v>26.7</v>
      </c>
      <c r="M1080" s="59">
        <v>26.69</v>
      </c>
      <c r="N1080" s="58"/>
    </row>
    <row r="1081" spans="1:14" ht="18" customHeight="1">
      <c r="A1081" s="57">
        <v>20</v>
      </c>
      <c r="B1081" s="58" t="s">
        <v>334</v>
      </c>
      <c r="C1081" s="58">
        <v>28</v>
      </c>
      <c r="D1081" s="58">
        <v>28</v>
      </c>
      <c r="E1081" s="58" t="s">
        <v>334</v>
      </c>
      <c r="F1081" s="58">
        <v>27.815000000000001</v>
      </c>
      <c r="G1081" s="58">
        <v>27.795000000000002</v>
      </c>
      <c r="H1081" s="58" t="s">
        <v>334</v>
      </c>
      <c r="I1081" s="58">
        <v>27</v>
      </c>
      <c r="J1081" s="58">
        <v>26.96</v>
      </c>
      <c r="K1081" s="58" t="s">
        <v>334</v>
      </c>
      <c r="L1081" s="58">
        <v>26.687000000000001</v>
      </c>
      <c r="M1081" s="59">
        <v>26.648</v>
      </c>
      <c r="N1081" s="58"/>
    </row>
    <row r="1082" spans="1:14" ht="18" customHeight="1">
      <c r="A1082" s="57">
        <v>21</v>
      </c>
      <c r="B1082" s="58">
        <v>28</v>
      </c>
      <c r="C1082" s="58">
        <v>28</v>
      </c>
      <c r="D1082" s="58">
        <v>28</v>
      </c>
      <c r="E1082" s="58" t="s">
        <v>334</v>
      </c>
      <c r="F1082" s="58">
        <v>27.814</v>
      </c>
      <c r="G1082" s="58">
        <v>27.795000000000002</v>
      </c>
      <c r="H1082" s="58" t="s">
        <v>334</v>
      </c>
      <c r="I1082" s="58">
        <v>27.001999999999999</v>
      </c>
      <c r="J1082" s="58" t="s">
        <v>334</v>
      </c>
      <c r="K1082" s="58">
        <v>27</v>
      </c>
      <c r="L1082" s="58">
        <v>26.7</v>
      </c>
      <c r="M1082" s="59" t="s">
        <v>334</v>
      </c>
      <c r="N1082" s="58"/>
    </row>
    <row r="1083" spans="1:14" ht="18" customHeight="1">
      <c r="A1083" s="57">
        <v>22</v>
      </c>
      <c r="B1083" s="58">
        <v>28</v>
      </c>
      <c r="C1083" s="58">
        <v>28</v>
      </c>
      <c r="D1083" s="58">
        <v>28</v>
      </c>
      <c r="E1083" s="58">
        <v>27.864999999999998</v>
      </c>
      <c r="F1083" s="58">
        <v>27.812999999999999</v>
      </c>
      <c r="G1083" s="58" t="s">
        <v>334</v>
      </c>
      <c r="H1083" s="58" t="s">
        <v>334</v>
      </c>
      <c r="I1083" s="58">
        <v>27.007999999999999</v>
      </c>
      <c r="J1083" s="58" t="s">
        <v>334</v>
      </c>
      <c r="K1083" s="58">
        <v>27</v>
      </c>
      <c r="L1083" s="58">
        <v>26.7</v>
      </c>
      <c r="M1083" s="59" t="s">
        <v>334</v>
      </c>
      <c r="N1083" s="58"/>
    </row>
    <row r="1084" spans="1:14" ht="18" customHeight="1">
      <c r="A1084" s="57">
        <v>23</v>
      </c>
      <c r="B1084" s="58">
        <v>28</v>
      </c>
      <c r="C1084" s="58" t="s">
        <v>334</v>
      </c>
      <c r="D1084" s="58" t="s">
        <v>334</v>
      </c>
      <c r="E1084" s="58">
        <v>27.86</v>
      </c>
      <c r="F1084" s="58">
        <v>27.811</v>
      </c>
      <c r="G1084" s="58" t="s">
        <v>334</v>
      </c>
      <c r="H1084" s="58">
        <v>27.585999999999999</v>
      </c>
      <c r="I1084" s="58">
        <v>27.007000000000001</v>
      </c>
      <c r="J1084" s="58">
        <v>27</v>
      </c>
      <c r="K1084" s="58">
        <v>27</v>
      </c>
      <c r="L1084" s="58" t="s">
        <v>334</v>
      </c>
      <c r="M1084" s="59">
        <v>26.7</v>
      </c>
      <c r="N1084" s="58"/>
    </row>
    <row r="1085" spans="1:14" ht="18" customHeight="1">
      <c r="A1085" s="57">
        <v>24</v>
      </c>
      <c r="B1085" s="58">
        <v>28</v>
      </c>
      <c r="C1085" s="58" t="s">
        <v>334</v>
      </c>
      <c r="D1085" s="58" t="s">
        <v>334</v>
      </c>
      <c r="E1085" s="58">
        <v>27.856999999999999</v>
      </c>
      <c r="F1085" s="58">
        <v>27.81</v>
      </c>
      <c r="G1085" s="58" t="s">
        <v>334</v>
      </c>
      <c r="H1085" s="58">
        <v>27.585999999999999</v>
      </c>
      <c r="I1085" s="58" t="s">
        <v>334</v>
      </c>
      <c r="J1085" s="58">
        <v>26.884</v>
      </c>
      <c r="K1085" s="58">
        <v>27</v>
      </c>
      <c r="L1085" s="58" t="s">
        <v>334</v>
      </c>
      <c r="M1085" s="59">
        <v>26.646000000000001</v>
      </c>
      <c r="N1085" s="58"/>
    </row>
    <row r="1086" spans="1:14" ht="18" customHeight="1">
      <c r="A1086" s="57">
        <v>25</v>
      </c>
      <c r="B1086" s="58">
        <v>28</v>
      </c>
      <c r="C1086" s="58">
        <v>28</v>
      </c>
      <c r="D1086" s="58">
        <v>28</v>
      </c>
      <c r="E1086" s="58">
        <v>27.852</v>
      </c>
      <c r="F1086" s="58" t="s">
        <v>334</v>
      </c>
      <c r="G1086" s="58">
        <v>27.795000000000002</v>
      </c>
      <c r="H1086" s="58">
        <v>27.585999999999999</v>
      </c>
      <c r="I1086" s="58" t="s">
        <v>334</v>
      </c>
      <c r="J1086" s="58">
        <v>26.995000000000001</v>
      </c>
      <c r="K1086" s="58">
        <v>27</v>
      </c>
      <c r="L1086" s="58">
        <v>26.675000000000001</v>
      </c>
      <c r="M1086" s="59" t="s">
        <v>334</v>
      </c>
      <c r="N1086" s="58"/>
    </row>
    <row r="1087" spans="1:14" ht="18" customHeight="1">
      <c r="A1087" s="57">
        <v>26</v>
      </c>
      <c r="B1087" s="58" t="s">
        <v>334</v>
      </c>
      <c r="C1087" s="58">
        <v>28</v>
      </c>
      <c r="D1087" s="58">
        <v>28</v>
      </c>
      <c r="E1087" s="58">
        <v>27.849</v>
      </c>
      <c r="F1087" s="58" t="s">
        <v>334</v>
      </c>
      <c r="G1087" s="58">
        <v>27.79</v>
      </c>
      <c r="H1087" s="58">
        <v>27.585999999999999</v>
      </c>
      <c r="I1087" s="58">
        <v>27</v>
      </c>
      <c r="J1087" s="58">
        <v>27</v>
      </c>
      <c r="K1087" s="58" t="s">
        <v>334</v>
      </c>
      <c r="L1087" s="58">
        <v>26.7</v>
      </c>
      <c r="M1087" s="59">
        <v>26.65</v>
      </c>
      <c r="N1087" s="58"/>
    </row>
    <row r="1088" spans="1:14" ht="18" customHeight="1">
      <c r="A1088" s="57">
        <v>27</v>
      </c>
      <c r="B1088" s="58" t="s">
        <v>334</v>
      </c>
      <c r="C1088" s="58">
        <v>28</v>
      </c>
      <c r="D1088" s="58">
        <v>28</v>
      </c>
      <c r="E1088" s="58" t="s">
        <v>334</v>
      </c>
      <c r="F1088" s="58">
        <v>27.809000000000001</v>
      </c>
      <c r="G1088" s="58">
        <v>27.79</v>
      </c>
      <c r="H1088" s="58" t="s">
        <v>334</v>
      </c>
      <c r="I1088" s="58">
        <v>27</v>
      </c>
      <c r="J1088" s="58">
        <v>26.890999999999998</v>
      </c>
      <c r="K1088" s="58" t="s">
        <v>334</v>
      </c>
      <c r="L1088" s="58">
        <v>26.692</v>
      </c>
      <c r="M1088" s="59">
        <v>26.65</v>
      </c>
      <c r="N1088" s="58"/>
    </row>
    <row r="1089" spans="1:15" ht="18" customHeight="1">
      <c r="A1089" s="57">
        <v>28</v>
      </c>
      <c r="B1089" s="58">
        <v>28</v>
      </c>
      <c r="C1089" s="58">
        <v>28</v>
      </c>
      <c r="D1089" s="58" t="s">
        <v>334</v>
      </c>
      <c r="E1089" s="58" t="s">
        <v>334</v>
      </c>
      <c r="F1089" s="58">
        <v>27.809000000000001</v>
      </c>
      <c r="G1089" s="58">
        <v>27.75</v>
      </c>
      <c r="H1089" s="58" t="s">
        <v>334</v>
      </c>
      <c r="I1089" s="58">
        <v>26.995999999999999</v>
      </c>
      <c r="J1089" s="58" t="s">
        <v>334</v>
      </c>
      <c r="K1089" s="58">
        <v>27</v>
      </c>
      <c r="L1089" s="58">
        <v>26.695</v>
      </c>
      <c r="M1089" s="59" t="s">
        <v>334</v>
      </c>
      <c r="N1089" s="58"/>
    </row>
    <row r="1090" spans="1:15" ht="18" customHeight="1">
      <c r="A1090" s="57">
        <v>29</v>
      </c>
      <c r="B1090" s="58">
        <v>28</v>
      </c>
      <c r="C1090" s="58" t="s">
        <v>335</v>
      </c>
      <c r="D1090" s="58" t="s">
        <v>334</v>
      </c>
      <c r="E1090" s="58">
        <v>27.844999999999999</v>
      </c>
      <c r="F1090" s="58">
        <v>27.808</v>
      </c>
      <c r="G1090" s="58" t="s">
        <v>334</v>
      </c>
      <c r="H1090" s="58">
        <v>27.585999999999999</v>
      </c>
      <c r="I1090" s="58">
        <v>27</v>
      </c>
      <c r="J1090" s="58" t="s">
        <v>334</v>
      </c>
      <c r="K1090" s="58">
        <v>27</v>
      </c>
      <c r="L1090" s="58">
        <v>26.7</v>
      </c>
      <c r="M1090" s="59" t="s">
        <v>334</v>
      </c>
      <c r="N1090" s="58"/>
    </row>
    <row r="1091" spans="1:15" ht="18" customHeight="1">
      <c r="A1091" s="57">
        <v>30</v>
      </c>
      <c r="B1091" s="58">
        <v>28</v>
      </c>
      <c r="C1091" s="58" t="s">
        <v>335</v>
      </c>
      <c r="D1091" s="58" t="s">
        <v>334</v>
      </c>
      <c r="E1091" s="58">
        <v>27.841999999999999</v>
      </c>
      <c r="F1091" s="58">
        <v>27.806999999999999</v>
      </c>
      <c r="G1091" s="58" t="s">
        <v>334</v>
      </c>
      <c r="H1091" s="58">
        <v>27.585999999999999</v>
      </c>
      <c r="I1091" s="58">
        <v>27</v>
      </c>
      <c r="J1091" s="58">
        <v>27</v>
      </c>
      <c r="K1091" s="58">
        <v>27</v>
      </c>
      <c r="L1091" s="58" t="s">
        <v>334</v>
      </c>
      <c r="M1091" s="59" t="s">
        <v>334</v>
      </c>
      <c r="N1091" s="58"/>
    </row>
    <row r="1092" spans="1:15" ht="18" customHeight="1">
      <c r="A1092" s="57">
        <v>31</v>
      </c>
      <c r="B1092" s="58">
        <v>28</v>
      </c>
      <c r="C1092" s="58" t="s">
        <v>335</v>
      </c>
      <c r="D1092" s="58" t="s">
        <v>334</v>
      </c>
      <c r="E1092" s="58" t="s">
        <v>335</v>
      </c>
      <c r="F1092" s="58">
        <v>27.806000000000001</v>
      </c>
      <c r="G1092" s="58" t="s">
        <v>335</v>
      </c>
      <c r="H1092" s="58">
        <v>27.75</v>
      </c>
      <c r="I1092" s="58" t="s">
        <v>334</v>
      </c>
      <c r="J1092" s="58" t="s">
        <v>335</v>
      </c>
      <c r="K1092" s="58">
        <v>27</v>
      </c>
      <c r="L1092" s="58" t="s">
        <v>335</v>
      </c>
      <c r="M1092" s="59" t="s">
        <v>334</v>
      </c>
      <c r="N1092" s="58"/>
    </row>
    <row r="1093" spans="1:15" ht="18" customHeight="1" thickBot="1">
      <c r="A1093" s="76"/>
      <c r="B1093" s="77"/>
      <c r="C1093" s="77"/>
      <c r="D1093" s="77"/>
      <c r="E1093" s="77"/>
      <c r="F1093" s="77"/>
      <c r="G1093" s="77"/>
      <c r="H1093" s="77"/>
      <c r="I1093" s="77"/>
      <c r="J1093" s="77"/>
      <c r="K1093" s="77"/>
      <c r="L1093" s="77"/>
      <c r="M1093" s="78"/>
      <c r="N1093" s="58"/>
    </row>
    <row r="1094" spans="1:15" ht="18" customHeight="1">
      <c r="A1094" s="618">
        <v>1990</v>
      </c>
      <c r="B1094" s="619"/>
      <c r="C1094" s="619"/>
      <c r="D1094" s="619"/>
      <c r="E1094" s="619"/>
      <c r="F1094" s="619"/>
      <c r="G1094" s="619"/>
      <c r="H1094" s="619"/>
      <c r="I1094" s="619"/>
      <c r="J1094" s="619"/>
      <c r="K1094" s="619"/>
      <c r="L1094" s="619"/>
      <c r="M1094" s="620"/>
      <c r="N1094" s="52"/>
    </row>
    <row r="1095" spans="1:15" ht="18" customHeight="1" thickBot="1">
      <c r="A1095" s="63" t="s">
        <v>322</v>
      </c>
      <c r="B1095" s="64" t="s">
        <v>323</v>
      </c>
      <c r="C1095" s="64" t="s">
        <v>324</v>
      </c>
      <c r="D1095" s="64" t="s">
        <v>325</v>
      </c>
      <c r="E1095" s="64" t="s">
        <v>326</v>
      </c>
      <c r="F1095" s="64" t="s">
        <v>236</v>
      </c>
      <c r="G1095" s="64" t="s">
        <v>327</v>
      </c>
      <c r="H1095" s="64" t="s">
        <v>328</v>
      </c>
      <c r="I1095" s="64" t="s">
        <v>329</v>
      </c>
      <c r="J1095" s="64" t="s">
        <v>330</v>
      </c>
      <c r="K1095" s="64" t="s">
        <v>331</v>
      </c>
      <c r="L1095" s="64" t="s">
        <v>332</v>
      </c>
      <c r="M1095" s="65" t="s">
        <v>333</v>
      </c>
      <c r="N1095" s="52"/>
    </row>
    <row r="1096" spans="1:15" ht="18" customHeight="1">
      <c r="A1096" s="54">
        <v>1</v>
      </c>
      <c r="B1096" s="55" t="s">
        <v>334</v>
      </c>
      <c r="C1096" s="55">
        <v>22.568000000000001</v>
      </c>
      <c r="D1096" s="55">
        <v>22.762</v>
      </c>
      <c r="E1096" s="55" t="s">
        <v>334</v>
      </c>
      <c r="F1096" s="55" t="s">
        <v>334</v>
      </c>
      <c r="G1096" s="55">
        <v>22.977</v>
      </c>
      <c r="H1096" s="55" t="s">
        <v>334</v>
      </c>
      <c r="I1096" s="55">
        <v>23.86</v>
      </c>
      <c r="J1096" s="55" t="s">
        <v>334</v>
      </c>
      <c r="K1096" s="55">
        <v>25.75</v>
      </c>
      <c r="L1096" s="70" t="s">
        <v>334</v>
      </c>
      <c r="M1096" s="71" t="s">
        <v>334</v>
      </c>
      <c r="N1096" s="83">
        <v>1990</v>
      </c>
      <c r="O1096" s="47">
        <f>AVERAGE(B1096:M1126)</f>
        <v>24.267863999999989</v>
      </c>
    </row>
    <row r="1097" spans="1:15" ht="18" customHeight="1">
      <c r="A1097" s="57">
        <v>2</v>
      </c>
      <c r="B1097" s="58">
        <v>22.428000000000001</v>
      </c>
      <c r="C1097" s="58">
        <v>22.57</v>
      </c>
      <c r="D1097" s="58">
        <v>22.7</v>
      </c>
      <c r="E1097" s="58">
        <v>22.747</v>
      </c>
      <c r="F1097" s="58">
        <v>22.83</v>
      </c>
      <c r="G1097" s="58" t="s">
        <v>334</v>
      </c>
      <c r="H1097" s="58">
        <v>23.35</v>
      </c>
      <c r="I1097" s="58">
        <v>23.86</v>
      </c>
      <c r="J1097" s="58" t="s">
        <v>334</v>
      </c>
      <c r="K1097" s="58">
        <v>25.75</v>
      </c>
      <c r="L1097" s="72">
        <v>28</v>
      </c>
      <c r="M1097" s="73" t="s">
        <v>334</v>
      </c>
      <c r="N1097" s="58"/>
    </row>
    <row r="1098" spans="1:15" ht="18" customHeight="1">
      <c r="A1098" s="57">
        <v>3</v>
      </c>
      <c r="B1098" s="58">
        <v>22.42</v>
      </c>
      <c r="C1098" s="58" t="s">
        <v>334</v>
      </c>
      <c r="D1098" s="58" t="s">
        <v>334</v>
      </c>
      <c r="E1098" s="58">
        <v>22.745000000000001</v>
      </c>
      <c r="F1098" s="58">
        <v>22.844999999999999</v>
      </c>
      <c r="G1098" s="58" t="s">
        <v>334</v>
      </c>
      <c r="H1098" s="58">
        <v>23.35</v>
      </c>
      <c r="I1098" s="58">
        <v>24.27</v>
      </c>
      <c r="J1098" s="58">
        <v>25</v>
      </c>
      <c r="K1098" s="58">
        <v>25.75</v>
      </c>
      <c r="L1098" s="72" t="s">
        <v>334</v>
      </c>
      <c r="M1098" s="73">
        <v>28</v>
      </c>
      <c r="N1098" s="58"/>
    </row>
    <row r="1099" spans="1:15" ht="18" customHeight="1">
      <c r="A1099" s="57">
        <v>4</v>
      </c>
      <c r="B1099" s="58">
        <v>22.41</v>
      </c>
      <c r="C1099" s="58" t="s">
        <v>334</v>
      </c>
      <c r="D1099" s="58" t="s">
        <v>334</v>
      </c>
      <c r="E1099" s="58">
        <v>22.742999999999999</v>
      </c>
      <c r="F1099" s="58">
        <v>22.846</v>
      </c>
      <c r="G1099" s="58">
        <v>23.024000000000001</v>
      </c>
      <c r="H1099" s="58">
        <v>23.35</v>
      </c>
      <c r="I1099" s="58" t="s">
        <v>334</v>
      </c>
      <c r="J1099" s="58">
        <v>25</v>
      </c>
      <c r="K1099" s="58">
        <v>25.75</v>
      </c>
      <c r="L1099" s="58" t="s">
        <v>334</v>
      </c>
      <c r="M1099" s="59">
        <v>28</v>
      </c>
      <c r="N1099" s="58"/>
    </row>
    <row r="1100" spans="1:15" ht="18" customHeight="1">
      <c r="A1100" s="57">
        <v>5</v>
      </c>
      <c r="B1100" s="58">
        <v>22.41</v>
      </c>
      <c r="C1100" s="58">
        <v>22.57</v>
      </c>
      <c r="D1100" s="58">
        <v>22.7</v>
      </c>
      <c r="E1100" s="58">
        <v>22.74</v>
      </c>
      <c r="F1100" s="58" t="s">
        <v>334</v>
      </c>
      <c r="G1100" s="58">
        <v>23.024000000000001</v>
      </c>
      <c r="H1100" s="58">
        <v>23.44</v>
      </c>
      <c r="I1100" s="58" t="s">
        <v>334</v>
      </c>
      <c r="J1100" s="58">
        <v>25</v>
      </c>
      <c r="K1100" s="58">
        <v>25.75</v>
      </c>
      <c r="L1100" s="58">
        <v>28</v>
      </c>
      <c r="M1100" s="59">
        <v>28</v>
      </c>
      <c r="N1100" s="58"/>
    </row>
    <row r="1101" spans="1:15" ht="18" customHeight="1">
      <c r="A1101" s="57">
        <v>6</v>
      </c>
      <c r="B1101" s="58" t="s">
        <v>334</v>
      </c>
      <c r="C1101" s="58">
        <v>22.57</v>
      </c>
      <c r="D1101" s="58">
        <v>22.7</v>
      </c>
      <c r="E1101" s="58">
        <v>22.736000000000001</v>
      </c>
      <c r="F1101" s="58" t="s">
        <v>334</v>
      </c>
      <c r="G1101" s="58">
        <v>23.024000000000001</v>
      </c>
      <c r="H1101" s="58">
        <v>23.44</v>
      </c>
      <c r="I1101" s="58">
        <v>24.05</v>
      </c>
      <c r="J1101" s="58">
        <v>25</v>
      </c>
      <c r="K1101" s="58" t="s">
        <v>334</v>
      </c>
      <c r="L1101" s="58">
        <v>28</v>
      </c>
      <c r="M1101" s="59">
        <v>28</v>
      </c>
      <c r="N1101" s="58"/>
    </row>
    <row r="1102" spans="1:15" ht="18" customHeight="1">
      <c r="A1102" s="57">
        <v>7</v>
      </c>
      <c r="B1102" s="58" t="s">
        <v>334</v>
      </c>
      <c r="C1102" s="58">
        <v>22.6</v>
      </c>
      <c r="D1102" s="58">
        <v>22.85</v>
      </c>
      <c r="E1102" s="58" t="s">
        <v>334</v>
      </c>
      <c r="F1102" s="58">
        <v>22.846</v>
      </c>
      <c r="G1102" s="58">
        <v>23.07</v>
      </c>
      <c r="H1102" s="58" t="s">
        <v>334</v>
      </c>
      <c r="I1102" s="58">
        <v>24.05</v>
      </c>
      <c r="J1102" s="58">
        <v>25</v>
      </c>
      <c r="K1102" s="58" t="s">
        <v>334</v>
      </c>
      <c r="L1102" s="58">
        <v>28</v>
      </c>
      <c r="M1102" s="59">
        <v>28</v>
      </c>
      <c r="N1102" s="58"/>
    </row>
    <row r="1103" spans="1:15" ht="18" customHeight="1">
      <c r="A1103" s="57">
        <v>8</v>
      </c>
      <c r="B1103" s="58">
        <v>22.45</v>
      </c>
      <c r="C1103" s="58">
        <v>22.6</v>
      </c>
      <c r="D1103" s="58">
        <v>22.742999999999999</v>
      </c>
      <c r="E1103" s="58" t="s">
        <v>334</v>
      </c>
      <c r="F1103" s="58">
        <v>22.856000000000002</v>
      </c>
      <c r="G1103" s="58">
        <v>23.07</v>
      </c>
      <c r="H1103" s="58" t="s">
        <v>334</v>
      </c>
      <c r="I1103" s="58">
        <v>24.05</v>
      </c>
      <c r="J1103" s="58" t="s">
        <v>334</v>
      </c>
      <c r="K1103" s="58">
        <v>25.75</v>
      </c>
      <c r="L1103" s="58">
        <v>28</v>
      </c>
      <c r="M1103" s="59" t="s">
        <v>334</v>
      </c>
      <c r="N1103" s="58"/>
    </row>
    <row r="1104" spans="1:15" ht="18" customHeight="1">
      <c r="A1104" s="57">
        <v>9</v>
      </c>
      <c r="B1104" s="58">
        <v>22.45</v>
      </c>
      <c r="C1104" s="58">
        <v>22.6</v>
      </c>
      <c r="D1104" s="58">
        <v>22.721</v>
      </c>
      <c r="E1104" s="58" t="s">
        <v>334</v>
      </c>
      <c r="F1104" s="58">
        <v>22.86</v>
      </c>
      <c r="G1104" s="58" t="s">
        <v>334</v>
      </c>
      <c r="H1104" s="58">
        <v>23.44</v>
      </c>
      <c r="I1104" s="58">
        <v>24.05</v>
      </c>
      <c r="J1104" s="58" t="s">
        <v>334</v>
      </c>
      <c r="K1104" s="58">
        <v>25.75</v>
      </c>
      <c r="L1104" s="58">
        <v>28</v>
      </c>
      <c r="M1104" s="59" t="s">
        <v>334</v>
      </c>
      <c r="N1104" s="58"/>
    </row>
    <row r="1105" spans="1:14" ht="18" customHeight="1">
      <c r="A1105" s="57">
        <v>10</v>
      </c>
      <c r="B1105" s="58">
        <v>22.5</v>
      </c>
      <c r="C1105" s="58" t="s">
        <v>334</v>
      </c>
      <c r="D1105" s="58" t="s">
        <v>334</v>
      </c>
      <c r="E1105" s="58">
        <v>22.74</v>
      </c>
      <c r="F1105" s="58">
        <v>22.86</v>
      </c>
      <c r="G1105" s="58" t="s">
        <v>334</v>
      </c>
      <c r="H1105" s="58">
        <v>23.44</v>
      </c>
      <c r="I1105" s="58">
        <v>24.1</v>
      </c>
      <c r="J1105" s="58">
        <v>25</v>
      </c>
      <c r="K1105" s="58">
        <v>25.75</v>
      </c>
      <c r="L1105" s="58" t="s">
        <v>334</v>
      </c>
      <c r="M1105" s="59">
        <v>28</v>
      </c>
      <c r="N1105" s="58"/>
    </row>
    <row r="1106" spans="1:14" ht="18" customHeight="1">
      <c r="A1106" s="57">
        <v>11</v>
      </c>
      <c r="B1106" s="58">
        <v>22.484999999999999</v>
      </c>
      <c r="C1106" s="58" t="s">
        <v>334</v>
      </c>
      <c r="D1106" s="58" t="s">
        <v>334</v>
      </c>
      <c r="E1106" s="58">
        <v>22.74</v>
      </c>
      <c r="F1106" s="58">
        <v>22.86</v>
      </c>
      <c r="G1106" s="58">
        <v>23.07</v>
      </c>
      <c r="H1106" s="58">
        <v>23.54</v>
      </c>
      <c r="I1106" s="58" t="s">
        <v>334</v>
      </c>
      <c r="J1106" s="58">
        <v>25</v>
      </c>
      <c r="K1106" s="58">
        <v>25.75</v>
      </c>
      <c r="L1106" s="58" t="s">
        <v>334</v>
      </c>
      <c r="M1106" s="59">
        <v>28</v>
      </c>
      <c r="N1106" s="58"/>
    </row>
    <row r="1107" spans="1:14" ht="18" customHeight="1">
      <c r="A1107" s="57">
        <v>12</v>
      </c>
      <c r="B1107" s="58">
        <v>22.45</v>
      </c>
      <c r="C1107" s="58">
        <v>22.6</v>
      </c>
      <c r="D1107" s="58">
        <v>22.72</v>
      </c>
      <c r="E1107" s="58" t="s">
        <v>334</v>
      </c>
      <c r="F1107" s="58" t="s">
        <v>334</v>
      </c>
      <c r="G1107" s="58" t="s">
        <v>334</v>
      </c>
      <c r="H1107" s="58">
        <v>23.5</v>
      </c>
      <c r="I1107" s="58" t="s">
        <v>334</v>
      </c>
      <c r="J1107" s="58">
        <v>25</v>
      </c>
      <c r="K1107" s="58">
        <v>25.75</v>
      </c>
      <c r="L1107" s="58">
        <v>28</v>
      </c>
      <c r="M1107" s="59">
        <v>28</v>
      </c>
      <c r="N1107" s="58"/>
    </row>
    <row r="1108" spans="1:14" ht="18" customHeight="1">
      <c r="A1108" s="57">
        <v>13</v>
      </c>
      <c r="B1108" s="58" t="s">
        <v>334</v>
      </c>
      <c r="C1108" s="58">
        <v>22.6</v>
      </c>
      <c r="D1108" s="58">
        <v>22.72</v>
      </c>
      <c r="E1108" s="58" t="s">
        <v>334</v>
      </c>
      <c r="F1108" s="58" t="s">
        <v>334</v>
      </c>
      <c r="G1108" s="58">
        <v>23.07</v>
      </c>
      <c r="H1108" s="58">
        <v>23.5</v>
      </c>
      <c r="I1108" s="58">
        <v>24.2</v>
      </c>
      <c r="J1108" s="58">
        <v>25</v>
      </c>
      <c r="K1108" s="58" t="s">
        <v>334</v>
      </c>
      <c r="L1108" s="58">
        <v>28</v>
      </c>
      <c r="M1108" s="59">
        <v>28</v>
      </c>
      <c r="N1108" s="58"/>
    </row>
    <row r="1109" spans="1:14" ht="18" customHeight="1">
      <c r="A1109" s="57">
        <v>14</v>
      </c>
      <c r="B1109" s="58" t="s">
        <v>334</v>
      </c>
      <c r="C1109" s="58">
        <v>22.6</v>
      </c>
      <c r="D1109" s="58">
        <v>22.78</v>
      </c>
      <c r="E1109" s="58" t="s">
        <v>334</v>
      </c>
      <c r="F1109" s="58">
        <v>22.873000000000001</v>
      </c>
      <c r="G1109" s="58">
        <v>23.088000000000001</v>
      </c>
      <c r="H1109" s="58" t="s">
        <v>334</v>
      </c>
      <c r="I1109" s="58">
        <v>24.2</v>
      </c>
      <c r="J1109" s="58">
        <v>25</v>
      </c>
      <c r="K1109" s="58" t="s">
        <v>334</v>
      </c>
      <c r="L1109" s="58">
        <v>28</v>
      </c>
      <c r="M1109" s="59">
        <v>28</v>
      </c>
      <c r="N1109" s="58"/>
    </row>
    <row r="1110" spans="1:14" ht="18" customHeight="1">
      <c r="A1110" s="57">
        <v>15</v>
      </c>
      <c r="B1110" s="58">
        <v>22.45</v>
      </c>
      <c r="C1110" s="58">
        <v>22.6</v>
      </c>
      <c r="D1110" s="58">
        <v>22.795000000000002</v>
      </c>
      <c r="E1110" s="58" t="s">
        <v>334</v>
      </c>
      <c r="F1110" s="58">
        <v>22.873000000000001</v>
      </c>
      <c r="G1110" s="58">
        <v>23.088000000000001</v>
      </c>
      <c r="H1110" s="58" t="s">
        <v>334</v>
      </c>
      <c r="I1110" s="58">
        <v>24.2</v>
      </c>
      <c r="J1110" s="58" t="s">
        <v>334</v>
      </c>
      <c r="K1110" s="58">
        <v>25.75</v>
      </c>
      <c r="L1110" s="58">
        <v>28</v>
      </c>
      <c r="M1110" s="59" t="s">
        <v>334</v>
      </c>
      <c r="N1110" s="58"/>
    </row>
    <row r="1111" spans="1:14" ht="18" customHeight="1">
      <c r="A1111" s="57">
        <v>16</v>
      </c>
      <c r="B1111" s="58">
        <v>22.45</v>
      </c>
      <c r="C1111" s="58">
        <v>22.6</v>
      </c>
      <c r="D1111" s="58">
        <v>22.774999999999999</v>
      </c>
      <c r="E1111" s="58">
        <v>22.74</v>
      </c>
      <c r="F1111" s="58">
        <v>22.882999999999999</v>
      </c>
      <c r="G1111" s="58" t="s">
        <v>334</v>
      </c>
      <c r="H1111" s="58">
        <v>23.67</v>
      </c>
      <c r="I1111" s="58">
        <v>24.3</v>
      </c>
      <c r="J1111" s="58" t="s">
        <v>334</v>
      </c>
      <c r="K1111" s="58">
        <v>25.75</v>
      </c>
      <c r="L1111" s="58">
        <v>28</v>
      </c>
      <c r="M1111" s="59" t="s">
        <v>334</v>
      </c>
      <c r="N1111" s="58"/>
    </row>
    <row r="1112" spans="1:14" ht="18" customHeight="1">
      <c r="A1112" s="57">
        <v>17</v>
      </c>
      <c r="B1112" s="58">
        <v>22.45</v>
      </c>
      <c r="C1112" s="58" t="s">
        <v>334</v>
      </c>
      <c r="D1112" s="58" t="s">
        <v>334</v>
      </c>
      <c r="E1112" s="58">
        <v>22.74</v>
      </c>
      <c r="F1112" s="58">
        <v>22.92</v>
      </c>
      <c r="G1112" s="58" t="s">
        <v>334</v>
      </c>
      <c r="H1112" s="58">
        <v>23.67</v>
      </c>
      <c r="I1112" s="58">
        <v>24.4</v>
      </c>
      <c r="J1112" s="58">
        <v>25</v>
      </c>
      <c r="K1112" s="58">
        <v>25.75</v>
      </c>
      <c r="L1112" s="58" t="s">
        <v>334</v>
      </c>
      <c r="M1112" s="59">
        <v>28</v>
      </c>
      <c r="N1112" s="58"/>
    </row>
    <row r="1113" spans="1:14" ht="18" customHeight="1">
      <c r="A1113" s="57">
        <v>18</v>
      </c>
      <c r="B1113" s="58">
        <v>22.46</v>
      </c>
      <c r="C1113" s="58" t="s">
        <v>334</v>
      </c>
      <c r="D1113" s="58" t="s">
        <v>334</v>
      </c>
      <c r="E1113" s="58">
        <v>22.74</v>
      </c>
      <c r="F1113" s="58">
        <v>22.91</v>
      </c>
      <c r="G1113" s="58">
        <v>23.088000000000001</v>
      </c>
      <c r="H1113" s="58">
        <v>23.576000000000001</v>
      </c>
      <c r="I1113" s="58" t="s">
        <v>334</v>
      </c>
      <c r="J1113" s="58">
        <v>26</v>
      </c>
      <c r="K1113" s="58">
        <v>25.75</v>
      </c>
      <c r="L1113" s="58" t="s">
        <v>334</v>
      </c>
      <c r="M1113" s="59">
        <v>28</v>
      </c>
      <c r="N1113" s="58"/>
    </row>
    <row r="1114" spans="1:14" ht="18" customHeight="1">
      <c r="A1114" s="57">
        <v>19</v>
      </c>
      <c r="B1114" s="58">
        <v>22.46</v>
      </c>
      <c r="C1114" s="58">
        <v>22.6</v>
      </c>
      <c r="D1114" s="58">
        <v>22.8</v>
      </c>
      <c r="E1114" s="58">
        <v>22.76</v>
      </c>
      <c r="F1114" s="58" t="s">
        <v>334</v>
      </c>
      <c r="G1114" s="58">
        <v>23.088000000000001</v>
      </c>
      <c r="H1114" s="58">
        <v>23.576000000000001</v>
      </c>
      <c r="I1114" s="58" t="s">
        <v>334</v>
      </c>
      <c r="J1114" s="58">
        <v>25.75</v>
      </c>
      <c r="K1114" s="58">
        <v>25.75</v>
      </c>
      <c r="L1114" s="58">
        <v>28</v>
      </c>
      <c r="M1114" s="59">
        <v>28</v>
      </c>
      <c r="N1114" s="58"/>
    </row>
    <row r="1115" spans="1:14" ht="18" customHeight="1">
      <c r="A1115" s="57">
        <v>20</v>
      </c>
      <c r="B1115" s="58" t="s">
        <v>334</v>
      </c>
      <c r="C1115" s="58">
        <v>22.65</v>
      </c>
      <c r="D1115" s="58">
        <v>22.79</v>
      </c>
      <c r="E1115" s="58">
        <v>22.76</v>
      </c>
      <c r="F1115" s="58" t="s">
        <v>334</v>
      </c>
      <c r="G1115" s="58">
        <v>23.088000000000001</v>
      </c>
      <c r="H1115" s="58">
        <v>23.576000000000001</v>
      </c>
      <c r="I1115" s="58">
        <v>24.5</v>
      </c>
      <c r="J1115" s="58">
        <v>25.75</v>
      </c>
      <c r="K1115" s="58" t="s">
        <v>334</v>
      </c>
      <c r="L1115" s="58">
        <v>28</v>
      </c>
      <c r="M1115" s="59">
        <v>28</v>
      </c>
      <c r="N1115" s="58"/>
    </row>
    <row r="1116" spans="1:14" ht="18" customHeight="1">
      <c r="A1116" s="57">
        <v>21</v>
      </c>
      <c r="B1116" s="58" t="s">
        <v>334</v>
      </c>
      <c r="C1116" s="58">
        <v>22.7</v>
      </c>
      <c r="D1116" s="58">
        <v>22.789000000000001</v>
      </c>
      <c r="E1116" s="58" t="s">
        <v>334</v>
      </c>
      <c r="F1116" s="58">
        <v>22.91</v>
      </c>
      <c r="G1116" s="58">
        <v>23.132999999999999</v>
      </c>
      <c r="H1116" s="58" t="s">
        <v>334</v>
      </c>
      <c r="I1116" s="58">
        <v>24.6</v>
      </c>
      <c r="J1116" s="58">
        <v>25.75</v>
      </c>
      <c r="K1116" s="58" t="s">
        <v>334</v>
      </c>
      <c r="L1116" s="58">
        <v>28</v>
      </c>
      <c r="M1116" s="59">
        <v>28</v>
      </c>
      <c r="N1116" s="58"/>
    </row>
    <row r="1117" spans="1:14" ht="18" customHeight="1">
      <c r="A1117" s="57">
        <v>22</v>
      </c>
      <c r="B1117" s="58">
        <v>22.46</v>
      </c>
      <c r="C1117" s="58">
        <v>22.65</v>
      </c>
      <c r="D1117" s="58">
        <v>22.783999999999999</v>
      </c>
      <c r="E1117" s="58" t="s">
        <v>334</v>
      </c>
      <c r="F1117" s="58">
        <v>22.91</v>
      </c>
      <c r="G1117" s="58">
        <v>23.132999999999999</v>
      </c>
      <c r="H1117" s="58" t="s">
        <v>334</v>
      </c>
      <c r="I1117" s="58">
        <v>24.6</v>
      </c>
      <c r="J1117" s="58" t="s">
        <v>334</v>
      </c>
      <c r="K1117" s="58">
        <v>25.75</v>
      </c>
      <c r="L1117" s="58">
        <v>28</v>
      </c>
      <c r="M1117" s="59" t="s">
        <v>334</v>
      </c>
      <c r="N1117" s="58"/>
    </row>
    <row r="1118" spans="1:14" ht="18" customHeight="1">
      <c r="A1118" s="57">
        <v>23</v>
      </c>
      <c r="B1118" s="58">
        <v>22.48</v>
      </c>
      <c r="C1118" s="58">
        <v>22.63</v>
      </c>
      <c r="D1118" s="58">
        <v>22.774999999999999</v>
      </c>
      <c r="E1118" s="58">
        <v>22.76</v>
      </c>
      <c r="F1118" s="58">
        <v>22.94</v>
      </c>
      <c r="G1118" s="58" t="s">
        <v>334</v>
      </c>
      <c r="H1118" s="58">
        <v>23.576000000000001</v>
      </c>
      <c r="I1118" s="58">
        <v>25</v>
      </c>
      <c r="J1118" s="58" t="s">
        <v>334</v>
      </c>
      <c r="K1118" s="58">
        <v>25.75</v>
      </c>
      <c r="L1118" s="58">
        <v>28</v>
      </c>
      <c r="M1118" s="59" t="s">
        <v>334</v>
      </c>
      <c r="N1118" s="58"/>
    </row>
    <row r="1119" spans="1:14" ht="18" customHeight="1">
      <c r="A1119" s="57">
        <v>24</v>
      </c>
      <c r="B1119" s="58">
        <v>22.48</v>
      </c>
      <c r="C1119" s="58" t="s">
        <v>334</v>
      </c>
      <c r="D1119" s="58" t="s">
        <v>334</v>
      </c>
      <c r="E1119" s="58">
        <v>22.76</v>
      </c>
      <c r="F1119" s="58">
        <v>22.943999999999999</v>
      </c>
      <c r="G1119" s="58" t="s">
        <v>334</v>
      </c>
      <c r="H1119" s="58">
        <v>23.576000000000001</v>
      </c>
      <c r="I1119" s="58">
        <v>25</v>
      </c>
      <c r="J1119" s="58">
        <v>25.788</v>
      </c>
      <c r="K1119" s="58">
        <v>25.75</v>
      </c>
      <c r="L1119" s="58" t="s">
        <v>334</v>
      </c>
      <c r="M1119" s="59" t="s">
        <v>334</v>
      </c>
      <c r="N1119" s="58"/>
    </row>
    <row r="1120" spans="1:14" ht="18" customHeight="1">
      <c r="A1120" s="57">
        <v>25</v>
      </c>
      <c r="B1120" s="58">
        <v>22.48</v>
      </c>
      <c r="C1120" s="58" t="s">
        <v>334</v>
      </c>
      <c r="D1120" s="58" t="s">
        <v>334</v>
      </c>
      <c r="E1120" s="58">
        <v>22.83</v>
      </c>
      <c r="F1120" s="58">
        <v>22.966000000000001</v>
      </c>
      <c r="G1120" s="58">
        <v>23.132999999999999</v>
      </c>
      <c r="H1120" s="58">
        <v>23.7</v>
      </c>
      <c r="I1120" s="58" t="s">
        <v>334</v>
      </c>
      <c r="J1120" s="58">
        <v>25.75</v>
      </c>
      <c r="K1120" s="58">
        <v>25.75</v>
      </c>
      <c r="L1120" s="58" t="s">
        <v>334</v>
      </c>
      <c r="M1120" s="59" t="s">
        <v>334</v>
      </c>
      <c r="N1120" s="58"/>
    </row>
    <row r="1121" spans="1:15" ht="18" customHeight="1">
      <c r="A1121" s="57">
        <v>26</v>
      </c>
      <c r="B1121" s="58">
        <v>22.5</v>
      </c>
      <c r="C1121" s="58">
        <v>22.63</v>
      </c>
      <c r="D1121" s="58">
        <v>22.771999999999998</v>
      </c>
      <c r="E1121" s="58">
        <v>22.805</v>
      </c>
      <c r="F1121" s="58" t="s">
        <v>334</v>
      </c>
      <c r="G1121" s="58">
        <v>23.132999999999999</v>
      </c>
      <c r="H1121" s="58">
        <v>23.7</v>
      </c>
      <c r="I1121" s="58" t="s">
        <v>334</v>
      </c>
      <c r="J1121" s="58">
        <v>25.75</v>
      </c>
      <c r="K1121" s="58">
        <v>25.75</v>
      </c>
      <c r="L1121" s="58">
        <v>28</v>
      </c>
      <c r="M1121" s="59">
        <v>28</v>
      </c>
      <c r="N1121" s="58"/>
    </row>
    <row r="1122" spans="1:15" ht="18" customHeight="1">
      <c r="A1122" s="57">
        <v>27</v>
      </c>
      <c r="B1122" s="58" t="s">
        <v>334</v>
      </c>
      <c r="C1122" s="58">
        <v>22.79</v>
      </c>
      <c r="D1122" s="58">
        <v>22.765000000000001</v>
      </c>
      <c r="E1122" s="58">
        <v>22.805</v>
      </c>
      <c r="F1122" s="58" t="s">
        <v>334</v>
      </c>
      <c r="G1122" s="58">
        <v>23.21</v>
      </c>
      <c r="H1122" s="58">
        <v>23.7</v>
      </c>
      <c r="I1122" s="58">
        <v>25</v>
      </c>
      <c r="J1122" s="58">
        <v>25.75</v>
      </c>
      <c r="K1122" s="58" t="s">
        <v>334</v>
      </c>
      <c r="L1122" s="58">
        <v>28</v>
      </c>
      <c r="M1122" s="59">
        <v>28</v>
      </c>
      <c r="N1122" s="58"/>
    </row>
    <row r="1123" spans="1:15" ht="18" customHeight="1">
      <c r="A1123" s="57">
        <v>28</v>
      </c>
      <c r="B1123" s="58" t="s">
        <v>334</v>
      </c>
      <c r="C1123" s="58">
        <v>22.760999999999999</v>
      </c>
      <c r="D1123" s="58">
        <v>22.76</v>
      </c>
      <c r="E1123" s="58" t="s">
        <v>334</v>
      </c>
      <c r="F1123" s="58">
        <v>22.977</v>
      </c>
      <c r="G1123" s="58">
        <v>23.27</v>
      </c>
      <c r="H1123" s="58" t="s">
        <v>334</v>
      </c>
      <c r="I1123" s="58">
        <v>25</v>
      </c>
      <c r="J1123" s="58">
        <v>25.75</v>
      </c>
      <c r="K1123" s="58" t="s">
        <v>334</v>
      </c>
      <c r="L1123" s="58">
        <v>28</v>
      </c>
      <c r="M1123" s="59">
        <v>28</v>
      </c>
      <c r="N1123" s="58"/>
    </row>
    <row r="1124" spans="1:15" ht="18" customHeight="1">
      <c r="A1124" s="57">
        <v>29</v>
      </c>
      <c r="B1124" s="58">
        <v>22.5</v>
      </c>
      <c r="C1124" s="58" t="s">
        <v>335</v>
      </c>
      <c r="D1124" s="58">
        <v>22.754999999999999</v>
      </c>
      <c r="E1124" s="58" t="s">
        <v>334</v>
      </c>
      <c r="F1124" s="58">
        <v>22.977</v>
      </c>
      <c r="G1124" s="58">
        <v>23.27</v>
      </c>
      <c r="H1124" s="58" t="s">
        <v>334</v>
      </c>
      <c r="I1124" s="58">
        <v>25</v>
      </c>
      <c r="J1124" s="58" t="s">
        <v>334</v>
      </c>
      <c r="K1124" s="58">
        <v>25.75</v>
      </c>
      <c r="L1124" s="58">
        <v>28</v>
      </c>
      <c r="M1124" s="59" t="s">
        <v>334</v>
      </c>
      <c r="N1124" s="58"/>
    </row>
    <row r="1125" spans="1:15" ht="18" customHeight="1">
      <c r="A1125" s="57">
        <v>30</v>
      </c>
      <c r="B1125" s="58">
        <v>22.5</v>
      </c>
      <c r="C1125" s="58" t="s">
        <v>335</v>
      </c>
      <c r="D1125" s="58">
        <v>22.75</v>
      </c>
      <c r="E1125" s="58">
        <v>22.805</v>
      </c>
      <c r="F1125" s="58">
        <v>22.977</v>
      </c>
      <c r="G1125" s="58" t="s">
        <v>334</v>
      </c>
      <c r="H1125" s="58">
        <v>23.86</v>
      </c>
      <c r="I1125" s="58">
        <v>25</v>
      </c>
      <c r="J1125" s="58" t="s">
        <v>334</v>
      </c>
      <c r="K1125" s="58">
        <v>25.75</v>
      </c>
      <c r="L1125" s="58" t="s">
        <v>334</v>
      </c>
      <c r="M1125" s="59" t="s">
        <v>334</v>
      </c>
      <c r="N1125" s="58"/>
    </row>
    <row r="1126" spans="1:15" ht="18" customHeight="1">
      <c r="A1126" s="57">
        <v>31</v>
      </c>
      <c r="B1126" s="58">
        <v>22.542999999999999</v>
      </c>
      <c r="C1126" s="58" t="s">
        <v>335</v>
      </c>
      <c r="D1126" s="58" t="s">
        <v>334</v>
      </c>
      <c r="E1126" s="58" t="s">
        <v>335</v>
      </c>
      <c r="F1126" s="58">
        <v>22.977</v>
      </c>
      <c r="G1126" s="58" t="s">
        <v>335</v>
      </c>
      <c r="H1126" s="58">
        <v>23.86</v>
      </c>
      <c r="I1126" s="58">
        <v>25</v>
      </c>
      <c r="J1126" s="58" t="s">
        <v>335</v>
      </c>
      <c r="K1126" s="58">
        <v>25.75</v>
      </c>
      <c r="L1126" s="58" t="s">
        <v>335</v>
      </c>
      <c r="M1126" s="59" t="s">
        <v>334</v>
      </c>
      <c r="N1126" s="58"/>
    </row>
    <row r="1127" spans="1:15" ht="18" customHeight="1" thickBot="1">
      <c r="A1127" s="76"/>
      <c r="B1127" s="77"/>
      <c r="C1127" s="77"/>
      <c r="D1127" s="77"/>
      <c r="E1127" s="77"/>
      <c r="F1127" s="77"/>
      <c r="G1127" s="77"/>
      <c r="H1127" s="77"/>
      <c r="I1127" s="77"/>
      <c r="J1127" s="77"/>
      <c r="K1127" s="77"/>
      <c r="L1127" s="77"/>
      <c r="M1127" s="78"/>
      <c r="N1127" s="58"/>
    </row>
    <row r="1128" spans="1:15" ht="18" customHeight="1">
      <c r="A1128" s="605">
        <v>1989</v>
      </c>
      <c r="B1128" s="606"/>
      <c r="C1128" s="606"/>
      <c r="D1128" s="606"/>
      <c r="E1128" s="606"/>
      <c r="F1128" s="606"/>
      <c r="G1128" s="606"/>
      <c r="H1128" s="606"/>
      <c r="I1128" s="606"/>
      <c r="J1128" s="606"/>
      <c r="K1128" s="606"/>
      <c r="L1128" s="606"/>
      <c r="M1128" s="607"/>
      <c r="N1128" s="52"/>
    </row>
    <row r="1129" spans="1:15" ht="18" customHeight="1" thickBot="1">
      <c r="A1129" s="51" t="s">
        <v>322</v>
      </c>
      <c r="B1129" s="52" t="s">
        <v>323</v>
      </c>
      <c r="C1129" s="52" t="s">
        <v>324</v>
      </c>
      <c r="D1129" s="52" t="s">
        <v>325</v>
      </c>
      <c r="E1129" s="52" t="s">
        <v>326</v>
      </c>
      <c r="F1129" s="52" t="s">
        <v>236</v>
      </c>
      <c r="G1129" s="52" t="s">
        <v>327</v>
      </c>
      <c r="H1129" s="52" t="s">
        <v>328</v>
      </c>
      <c r="I1129" s="52" t="s">
        <v>329</v>
      </c>
      <c r="J1129" s="52" t="s">
        <v>330</v>
      </c>
      <c r="K1129" s="52" t="s">
        <v>331</v>
      </c>
      <c r="L1129" s="52" t="s">
        <v>332</v>
      </c>
      <c r="M1129" s="53" t="s">
        <v>333</v>
      </c>
      <c r="N1129" s="52"/>
    </row>
    <row r="1130" spans="1:15" ht="18" customHeight="1">
      <c r="A1130" s="54">
        <v>1</v>
      </c>
      <c r="B1130" s="55" t="s">
        <v>334</v>
      </c>
      <c r="C1130" s="55">
        <v>21.35</v>
      </c>
      <c r="D1130" s="55">
        <v>21.35</v>
      </c>
      <c r="E1130" s="55" t="s">
        <v>334</v>
      </c>
      <c r="F1130" s="55" t="s">
        <v>334</v>
      </c>
      <c r="G1130" s="55">
        <v>21.608000000000001</v>
      </c>
      <c r="H1130" s="55" t="s">
        <v>334</v>
      </c>
      <c r="I1130" s="55">
        <v>21.88</v>
      </c>
      <c r="J1130" s="55">
        <v>21.88</v>
      </c>
      <c r="K1130" s="55" t="s">
        <v>334</v>
      </c>
      <c r="L1130" s="70" t="s">
        <v>334</v>
      </c>
      <c r="M1130" s="71" t="s">
        <v>334</v>
      </c>
      <c r="N1130" s="83">
        <v>1989</v>
      </c>
      <c r="O1130" s="47">
        <f>AVERAGE(B1130:M1160)</f>
        <v>21.732329317269091</v>
      </c>
    </row>
    <row r="1131" spans="1:15" ht="18" customHeight="1">
      <c r="A1131" s="57">
        <v>2</v>
      </c>
      <c r="B1131" s="58">
        <v>21.335000000000001</v>
      </c>
      <c r="C1131" s="58">
        <v>21.35</v>
      </c>
      <c r="D1131" s="58">
        <v>21.35</v>
      </c>
      <c r="E1131" s="58" t="s">
        <v>334</v>
      </c>
      <c r="F1131" s="58">
        <v>21.564</v>
      </c>
      <c r="G1131" s="58">
        <v>21.608000000000001</v>
      </c>
      <c r="H1131" s="58" t="s">
        <v>334</v>
      </c>
      <c r="I1131" s="58">
        <v>21.88</v>
      </c>
      <c r="J1131" s="58" t="s">
        <v>334</v>
      </c>
      <c r="K1131" s="58">
        <v>21.943000000000001</v>
      </c>
      <c r="L1131" s="72">
        <v>22.1</v>
      </c>
      <c r="M1131" s="73" t="s">
        <v>334</v>
      </c>
      <c r="N1131" s="58"/>
    </row>
    <row r="1132" spans="1:15" ht="18" customHeight="1">
      <c r="A1132" s="57">
        <v>3</v>
      </c>
      <c r="B1132" s="58">
        <v>21.335000000000001</v>
      </c>
      <c r="C1132" s="58">
        <v>21.35</v>
      </c>
      <c r="D1132" s="58">
        <v>21.347999999999999</v>
      </c>
      <c r="E1132" s="58">
        <v>21.33</v>
      </c>
      <c r="F1132" s="58">
        <v>21.564</v>
      </c>
      <c r="G1132" s="58" t="s">
        <v>334</v>
      </c>
      <c r="H1132" s="58">
        <v>21.85</v>
      </c>
      <c r="I1132" s="58">
        <v>21.88</v>
      </c>
      <c r="J1132" s="58" t="s">
        <v>334</v>
      </c>
      <c r="K1132" s="58">
        <v>21.940999999999999</v>
      </c>
      <c r="L1132" s="72">
        <v>22.056999999999999</v>
      </c>
      <c r="M1132" s="73" t="s">
        <v>334</v>
      </c>
      <c r="N1132" s="58"/>
    </row>
    <row r="1133" spans="1:15" ht="18" customHeight="1">
      <c r="A1133" s="57">
        <v>4</v>
      </c>
      <c r="B1133" s="58">
        <v>21.334</v>
      </c>
      <c r="C1133" s="58" t="s">
        <v>334</v>
      </c>
      <c r="D1133" s="58" t="s">
        <v>334</v>
      </c>
      <c r="E1133" s="58">
        <v>21.329000000000001</v>
      </c>
      <c r="F1133" s="58">
        <v>21.629000000000001</v>
      </c>
      <c r="G1133" s="58" t="s">
        <v>334</v>
      </c>
      <c r="H1133" s="58">
        <v>21.867000000000001</v>
      </c>
      <c r="I1133" s="58">
        <v>21.88</v>
      </c>
      <c r="J1133" s="58">
        <v>21.97</v>
      </c>
      <c r="K1133" s="58">
        <v>21.93</v>
      </c>
      <c r="L1133" s="58" t="s">
        <v>334</v>
      </c>
      <c r="M1133" s="59">
        <v>22.234000000000002</v>
      </c>
      <c r="N1133" s="58"/>
    </row>
    <row r="1134" spans="1:15" ht="18" customHeight="1">
      <c r="A1134" s="57">
        <v>5</v>
      </c>
      <c r="B1134" s="58">
        <v>21.335000000000001</v>
      </c>
      <c r="C1134" s="58" t="s">
        <v>334</v>
      </c>
      <c r="D1134" s="58" t="s">
        <v>334</v>
      </c>
      <c r="E1134" s="58">
        <v>21.327999999999999</v>
      </c>
      <c r="F1134" s="58">
        <v>21.591999999999999</v>
      </c>
      <c r="G1134" s="58">
        <v>21.608000000000001</v>
      </c>
      <c r="H1134" s="58">
        <v>21.893000000000001</v>
      </c>
      <c r="I1134" s="58" t="s">
        <v>334</v>
      </c>
      <c r="J1134" s="58">
        <v>21.97</v>
      </c>
      <c r="K1134" s="58">
        <v>21.887</v>
      </c>
      <c r="L1134" s="58" t="s">
        <v>334</v>
      </c>
      <c r="M1134" s="59">
        <v>22.234000000000002</v>
      </c>
      <c r="N1134" s="58"/>
    </row>
    <row r="1135" spans="1:15" ht="18" customHeight="1">
      <c r="A1135" s="57">
        <v>6</v>
      </c>
      <c r="B1135" s="58">
        <v>21.335000000000001</v>
      </c>
      <c r="C1135" s="58">
        <v>21.35</v>
      </c>
      <c r="D1135" s="58">
        <v>21.347000000000001</v>
      </c>
      <c r="E1135" s="58">
        <v>21.327999999999999</v>
      </c>
      <c r="F1135" s="58" t="s">
        <v>334</v>
      </c>
      <c r="G1135" s="58">
        <v>21.608000000000001</v>
      </c>
      <c r="H1135" s="58">
        <v>21.875</v>
      </c>
      <c r="I1135" s="58" t="s">
        <v>334</v>
      </c>
      <c r="J1135" s="58">
        <v>21.97</v>
      </c>
      <c r="K1135" s="58">
        <v>21.878</v>
      </c>
      <c r="L1135" s="58">
        <v>22.05</v>
      </c>
      <c r="M1135" s="59">
        <v>22.234000000000002</v>
      </c>
      <c r="N1135" s="58"/>
    </row>
    <row r="1136" spans="1:15" ht="18" customHeight="1">
      <c r="A1136" s="57">
        <v>7</v>
      </c>
      <c r="B1136" s="58" t="s">
        <v>334</v>
      </c>
      <c r="C1136" s="58">
        <v>21.35</v>
      </c>
      <c r="D1136" s="58">
        <v>21.344000000000001</v>
      </c>
      <c r="E1136" s="58">
        <v>21.327999999999999</v>
      </c>
      <c r="F1136" s="58" t="s">
        <v>334</v>
      </c>
      <c r="G1136" s="58">
        <v>21.63</v>
      </c>
      <c r="H1136" s="58">
        <v>21.87</v>
      </c>
      <c r="I1136" s="58">
        <v>21.88</v>
      </c>
      <c r="J1136" s="58">
        <v>21.99</v>
      </c>
      <c r="K1136" s="58" t="s">
        <v>334</v>
      </c>
      <c r="L1136" s="58">
        <v>22.015999999999998</v>
      </c>
      <c r="M1136" s="59">
        <v>22.25</v>
      </c>
      <c r="N1136" s="58"/>
    </row>
    <row r="1137" spans="1:14" ht="18" customHeight="1">
      <c r="A1137" s="57">
        <v>8</v>
      </c>
      <c r="B1137" s="58" t="s">
        <v>334</v>
      </c>
      <c r="C1137" s="58">
        <v>21.35</v>
      </c>
      <c r="D1137" s="58">
        <v>21.338999999999999</v>
      </c>
      <c r="E1137" s="58" t="s">
        <v>334</v>
      </c>
      <c r="F1137" s="58">
        <v>21.57</v>
      </c>
      <c r="G1137" s="58">
        <v>21.638999999999999</v>
      </c>
      <c r="H1137" s="58" t="s">
        <v>334</v>
      </c>
      <c r="I1137" s="58">
        <v>21.88</v>
      </c>
      <c r="J1137" s="58">
        <v>22.001999999999999</v>
      </c>
      <c r="K1137" s="58" t="s">
        <v>334</v>
      </c>
      <c r="L1137" s="58">
        <v>22.015999999999998</v>
      </c>
      <c r="M1137" s="59">
        <v>22.28</v>
      </c>
      <c r="N1137" s="58"/>
    </row>
    <row r="1138" spans="1:14" ht="18" customHeight="1">
      <c r="A1138" s="57">
        <v>9</v>
      </c>
      <c r="B1138" s="58">
        <v>21.343</v>
      </c>
      <c r="C1138" s="58">
        <v>21.35</v>
      </c>
      <c r="D1138" s="58">
        <v>21.338999999999999</v>
      </c>
      <c r="E1138" s="58" t="s">
        <v>334</v>
      </c>
      <c r="F1138" s="58">
        <v>21.57</v>
      </c>
      <c r="G1138" s="58">
        <v>21.638999999999999</v>
      </c>
      <c r="H1138" s="58" t="s">
        <v>334</v>
      </c>
      <c r="I1138" s="58">
        <v>21.88</v>
      </c>
      <c r="J1138" s="58" t="s">
        <v>334</v>
      </c>
      <c r="K1138" s="58">
        <v>21.87</v>
      </c>
      <c r="L1138" s="58">
        <v>22.021000000000001</v>
      </c>
      <c r="M1138" s="59" t="s">
        <v>334</v>
      </c>
      <c r="N1138" s="58"/>
    </row>
    <row r="1139" spans="1:14" ht="18" customHeight="1">
      <c r="A1139" s="57">
        <v>10</v>
      </c>
      <c r="B1139" s="58">
        <v>21.34</v>
      </c>
      <c r="C1139" s="58">
        <v>21.35</v>
      </c>
      <c r="D1139" s="58">
        <v>21.338000000000001</v>
      </c>
      <c r="E1139" s="58">
        <v>21.327999999999999</v>
      </c>
      <c r="F1139" s="58">
        <v>21.57</v>
      </c>
      <c r="G1139" s="58" t="s">
        <v>334</v>
      </c>
      <c r="H1139" s="58">
        <v>21.87</v>
      </c>
      <c r="I1139" s="58">
        <v>21.88</v>
      </c>
      <c r="J1139" s="58" t="s">
        <v>334</v>
      </c>
      <c r="K1139" s="58">
        <v>21.88</v>
      </c>
      <c r="L1139" s="58">
        <v>22.05</v>
      </c>
      <c r="M1139" s="59" t="s">
        <v>334</v>
      </c>
      <c r="N1139" s="58"/>
    </row>
    <row r="1140" spans="1:14" ht="18" customHeight="1">
      <c r="A1140" s="57">
        <v>11</v>
      </c>
      <c r="B1140" s="58">
        <v>21.34</v>
      </c>
      <c r="C1140" s="58" t="s">
        <v>334</v>
      </c>
      <c r="D1140" s="58" t="s">
        <v>334</v>
      </c>
      <c r="E1140" s="58">
        <v>21.332000000000001</v>
      </c>
      <c r="F1140" s="58">
        <v>21.57</v>
      </c>
      <c r="G1140" s="58" t="s">
        <v>334</v>
      </c>
      <c r="H1140" s="58">
        <v>21.878</v>
      </c>
      <c r="I1140" s="58">
        <v>21.88</v>
      </c>
      <c r="J1140" s="58">
        <v>22.010999999999999</v>
      </c>
      <c r="K1140" s="58" t="s">
        <v>334</v>
      </c>
      <c r="L1140" s="58" t="s">
        <v>334</v>
      </c>
      <c r="M1140" s="59">
        <v>22.28</v>
      </c>
      <c r="N1140" s="58"/>
    </row>
    <row r="1141" spans="1:14" ht="18" customHeight="1">
      <c r="A1141" s="57">
        <v>12</v>
      </c>
      <c r="B1141" s="58">
        <v>21.343</v>
      </c>
      <c r="C1141" s="58" t="s">
        <v>334</v>
      </c>
      <c r="D1141" s="58" t="s">
        <v>334</v>
      </c>
      <c r="E1141" s="58">
        <v>21.332000000000001</v>
      </c>
      <c r="F1141" s="58">
        <v>21.57</v>
      </c>
      <c r="G1141" s="58" t="s">
        <v>334</v>
      </c>
      <c r="H1141" s="58">
        <v>21.890999999999998</v>
      </c>
      <c r="I1141" s="58" t="s">
        <v>334</v>
      </c>
      <c r="J1141" s="58">
        <v>22.021999999999998</v>
      </c>
      <c r="K1141" s="58">
        <v>21.873000000000001</v>
      </c>
      <c r="L1141" s="58" t="s">
        <v>334</v>
      </c>
      <c r="M1141" s="59">
        <v>22.32</v>
      </c>
      <c r="N1141" s="58"/>
    </row>
    <row r="1142" spans="1:14" ht="18" customHeight="1">
      <c r="A1142" s="57">
        <v>13</v>
      </c>
      <c r="B1142" s="58">
        <v>21.343</v>
      </c>
      <c r="C1142" s="58">
        <v>21.37</v>
      </c>
      <c r="D1142" s="58">
        <v>21.338000000000001</v>
      </c>
      <c r="E1142" s="58">
        <v>21.332000000000001</v>
      </c>
      <c r="F1142" s="58" t="s">
        <v>334</v>
      </c>
      <c r="G1142" s="58">
        <v>21.638999999999999</v>
      </c>
      <c r="H1142" s="58">
        <v>21.882000000000001</v>
      </c>
      <c r="I1142" s="58" t="s">
        <v>334</v>
      </c>
      <c r="J1142" s="58">
        <v>21.994</v>
      </c>
      <c r="K1142" s="58">
        <v>21.891999999999999</v>
      </c>
      <c r="L1142" s="58">
        <v>22.06</v>
      </c>
      <c r="M1142" s="59">
        <v>22.32</v>
      </c>
      <c r="N1142" s="58"/>
    </row>
    <row r="1143" spans="1:14" ht="18" customHeight="1">
      <c r="A1143" s="57">
        <v>14</v>
      </c>
      <c r="B1143" s="58" t="s">
        <v>334</v>
      </c>
      <c r="C1143" s="58">
        <v>21.39</v>
      </c>
      <c r="D1143" s="58">
        <v>21.338000000000001</v>
      </c>
      <c r="E1143" s="58">
        <v>21.332000000000001</v>
      </c>
      <c r="F1143" s="58" t="s">
        <v>334</v>
      </c>
      <c r="G1143" s="58">
        <v>21.7</v>
      </c>
      <c r="H1143" s="58">
        <v>21.893999999999998</v>
      </c>
      <c r="I1143" s="58">
        <v>21.88</v>
      </c>
      <c r="J1143" s="58">
        <v>21.984999999999999</v>
      </c>
      <c r="K1143" s="58" t="s">
        <v>334</v>
      </c>
      <c r="L1143" s="58">
        <v>22.06</v>
      </c>
      <c r="M1143" s="59">
        <v>22.32</v>
      </c>
      <c r="N1143" s="58"/>
    </row>
    <row r="1144" spans="1:14" ht="18" customHeight="1">
      <c r="A1144" s="57">
        <v>15</v>
      </c>
      <c r="B1144" s="58" t="s">
        <v>334</v>
      </c>
      <c r="C1144" s="58">
        <v>21.376000000000001</v>
      </c>
      <c r="D1144" s="58">
        <v>21.337</v>
      </c>
      <c r="E1144" s="58" t="s">
        <v>334</v>
      </c>
      <c r="F1144" s="58">
        <v>21.57</v>
      </c>
      <c r="G1144" s="58">
        <v>21.68</v>
      </c>
      <c r="H1144" s="58" t="s">
        <v>334</v>
      </c>
      <c r="I1144" s="58">
        <v>21.88</v>
      </c>
      <c r="J1144" s="58">
        <v>21.981999999999999</v>
      </c>
      <c r="K1144" s="58" t="s">
        <v>334</v>
      </c>
      <c r="L1144" s="58">
        <v>22.06</v>
      </c>
      <c r="M1144" s="59">
        <v>22.32</v>
      </c>
      <c r="N1144" s="58"/>
    </row>
    <row r="1145" spans="1:14" ht="18" customHeight="1">
      <c r="A1145" s="57">
        <v>16</v>
      </c>
      <c r="B1145" s="58">
        <v>21.343</v>
      </c>
      <c r="C1145" s="58">
        <v>21.367000000000001</v>
      </c>
      <c r="D1145" s="58">
        <v>21.337</v>
      </c>
      <c r="E1145" s="58" t="s">
        <v>334</v>
      </c>
      <c r="F1145" s="58">
        <v>21.57</v>
      </c>
      <c r="G1145" s="58">
        <v>21.7</v>
      </c>
      <c r="H1145" s="58" t="s">
        <v>334</v>
      </c>
      <c r="I1145" s="58">
        <v>21.88</v>
      </c>
      <c r="J1145" s="58" t="s">
        <v>334</v>
      </c>
      <c r="K1145" s="58">
        <v>21.891999999999999</v>
      </c>
      <c r="L1145" s="58">
        <v>22.1</v>
      </c>
      <c r="M1145" s="59" t="s">
        <v>334</v>
      </c>
      <c r="N1145" s="58"/>
    </row>
    <row r="1146" spans="1:14" ht="18" customHeight="1">
      <c r="A1146" s="57">
        <v>17</v>
      </c>
      <c r="B1146" s="58">
        <v>21.343</v>
      </c>
      <c r="C1146" s="58">
        <v>21.364000000000001</v>
      </c>
      <c r="D1146" s="58">
        <v>21.337</v>
      </c>
      <c r="E1146" s="58">
        <v>21.376999999999999</v>
      </c>
      <c r="F1146" s="58">
        <v>21.57</v>
      </c>
      <c r="G1146" s="58" t="s">
        <v>334</v>
      </c>
      <c r="H1146" s="58">
        <v>21.893999999999998</v>
      </c>
      <c r="I1146" s="58">
        <v>21.88</v>
      </c>
      <c r="J1146" s="58" t="s">
        <v>334</v>
      </c>
      <c r="K1146" s="58">
        <v>21.891999999999999</v>
      </c>
      <c r="L1146" s="58">
        <v>22.1</v>
      </c>
      <c r="M1146" s="59" t="s">
        <v>334</v>
      </c>
      <c r="N1146" s="58"/>
    </row>
    <row r="1147" spans="1:14" ht="18" customHeight="1">
      <c r="A1147" s="57">
        <v>18</v>
      </c>
      <c r="B1147" s="58">
        <v>21.343</v>
      </c>
      <c r="C1147" s="58" t="s">
        <v>334</v>
      </c>
      <c r="D1147" s="58" t="s">
        <v>334</v>
      </c>
      <c r="E1147" s="58">
        <v>21.4</v>
      </c>
      <c r="F1147" s="58">
        <v>21.57</v>
      </c>
      <c r="G1147" s="58" t="s">
        <v>334</v>
      </c>
      <c r="H1147" s="58">
        <v>21.86</v>
      </c>
      <c r="I1147" s="58">
        <v>21.88</v>
      </c>
      <c r="J1147" s="58">
        <v>21.98</v>
      </c>
      <c r="K1147" s="58">
        <v>21.96</v>
      </c>
      <c r="L1147" s="58" t="s">
        <v>334</v>
      </c>
      <c r="M1147" s="59">
        <v>22.32</v>
      </c>
      <c r="N1147" s="58"/>
    </row>
    <row r="1148" spans="1:14" ht="18" customHeight="1">
      <c r="A1148" s="57">
        <v>19</v>
      </c>
      <c r="B1148" s="58">
        <v>21.344999999999999</v>
      </c>
      <c r="C1148" s="58" t="s">
        <v>334</v>
      </c>
      <c r="D1148" s="58" t="s">
        <v>334</v>
      </c>
      <c r="E1148" s="58">
        <v>21.45</v>
      </c>
      <c r="F1148" s="58">
        <v>21.58</v>
      </c>
      <c r="G1148" s="58">
        <v>21.695</v>
      </c>
      <c r="H1148" s="58">
        <v>21.97</v>
      </c>
      <c r="I1148" s="58" t="s">
        <v>334</v>
      </c>
      <c r="J1148" s="58">
        <v>21.972999999999999</v>
      </c>
      <c r="K1148" s="58">
        <v>22.004000000000001</v>
      </c>
      <c r="L1148" s="58" t="s">
        <v>334</v>
      </c>
      <c r="M1148" s="59">
        <v>22.32</v>
      </c>
      <c r="N1148" s="58"/>
    </row>
    <row r="1149" spans="1:14" ht="18" customHeight="1">
      <c r="A1149" s="57">
        <v>20</v>
      </c>
      <c r="B1149" s="58">
        <v>21.344999999999999</v>
      </c>
      <c r="C1149" s="58">
        <v>21.359000000000002</v>
      </c>
      <c r="D1149" s="58">
        <v>21.335999999999999</v>
      </c>
      <c r="E1149" s="58">
        <v>21.45</v>
      </c>
      <c r="F1149" s="58" t="s">
        <v>334</v>
      </c>
      <c r="G1149" s="58">
        <v>21.693000000000001</v>
      </c>
      <c r="H1149" s="58">
        <v>21.87</v>
      </c>
      <c r="I1149" s="58" t="s">
        <v>334</v>
      </c>
      <c r="J1149" s="58">
        <v>21.962</v>
      </c>
      <c r="K1149" s="58">
        <v>22.035</v>
      </c>
      <c r="L1149" s="58">
        <v>22.135999999999999</v>
      </c>
      <c r="M1149" s="59">
        <v>22.32</v>
      </c>
      <c r="N1149" s="58"/>
    </row>
    <row r="1150" spans="1:14" ht="18" customHeight="1">
      <c r="A1150" s="57">
        <v>21</v>
      </c>
      <c r="B1150" s="58" t="s">
        <v>334</v>
      </c>
      <c r="C1150" s="58">
        <v>21.359000000000002</v>
      </c>
      <c r="D1150" s="58">
        <v>21.335000000000001</v>
      </c>
      <c r="E1150" s="58">
        <v>21.52</v>
      </c>
      <c r="F1150" s="58" t="s">
        <v>334</v>
      </c>
      <c r="G1150" s="58">
        <v>21.693000000000001</v>
      </c>
      <c r="H1150" s="58">
        <v>21.87</v>
      </c>
      <c r="I1150" s="58">
        <v>21.88</v>
      </c>
      <c r="J1150" s="58">
        <v>21.959</v>
      </c>
      <c r="K1150" s="58" t="s">
        <v>334</v>
      </c>
      <c r="L1150" s="58">
        <v>22.135999999999999</v>
      </c>
      <c r="M1150" s="59">
        <v>22.401</v>
      </c>
      <c r="N1150" s="58"/>
    </row>
    <row r="1151" spans="1:14" ht="18" customHeight="1">
      <c r="A1151" s="57">
        <v>22</v>
      </c>
      <c r="B1151" s="58" t="s">
        <v>334</v>
      </c>
      <c r="C1151" s="58">
        <v>21.356999999999999</v>
      </c>
      <c r="D1151" s="58">
        <v>21.335000000000001</v>
      </c>
      <c r="E1151" s="58" t="s">
        <v>334</v>
      </c>
      <c r="F1151" s="58">
        <v>21.58</v>
      </c>
      <c r="G1151" s="58">
        <v>21.69</v>
      </c>
      <c r="H1151" s="58" t="s">
        <v>334</v>
      </c>
      <c r="I1151" s="58">
        <v>21.88</v>
      </c>
      <c r="J1151" s="58">
        <v>21.954000000000001</v>
      </c>
      <c r="K1151" s="58" t="s">
        <v>334</v>
      </c>
      <c r="L1151" s="58" t="s">
        <v>334</v>
      </c>
      <c r="M1151" s="59">
        <v>22.401</v>
      </c>
      <c r="N1151" s="58"/>
    </row>
    <row r="1152" spans="1:14" ht="18" customHeight="1">
      <c r="A1152" s="57">
        <v>23</v>
      </c>
      <c r="B1152" s="58">
        <v>21.344999999999999</v>
      </c>
      <c r="C1152" s="58">
        <v>21.355</v>
      </c>
      <c r="D1152" s="58" t="s">
        <v>334</v>
      </c>
      <c r="E1152" s="58" t="s">
        <v>334</v>
      </c>
      <c r="F1152" s="58">
        <v>21.58</v>
      </c>
      <c r="G1152" s="58">
        <v>21.69</v>
      </c>
      <c r="H1152" s="58" t="s">
        <v>334</v>
      </c>
      <c r="I1152" s="58">
        <v>21.88</v>
      </c>
      <c r="J1152" s="58" t="s">
        <v>334</v>
      </c>
      <c r="K1152" s="58">
        <v>21.99</v>
      </c>
      <c r="L1152" s="58">
        <v>22.15</v>
      </c>
      <c r="M1152" s="59" t="s">
        <v>334</v>
      </c>
      <c r="N1152" s="58"/>
    </row>
    <row r="1153" spans="1:15" ht="18" customHeight="1">
      <c r="A1153" s="57">
        <v>24</v>
      </c>
      <c r="B1153" s="58">
        <v>21.344999999999999</v>
      </c>
      <c r="C1153" s="58">
        <v>21.352</v>
      </c>
      <c r="D1153" s="58" t="s">
        <v>334</v>
      </c>
      <c r="E1153" s="58">
        <v>21.52</v>
      </c>
      <c r="F1153" s="58">
        <v>21.58</v>
      </c>
      <c r="G1153" s="58" t="s">
        <v>334</v>
      </c>
      <c r="H1153" s="58">
        <v>21.87</v>
      </c>
      <c r="I1153" s="58">
        <v>21.88</v>
      </c>
      <c r="J1153" s="58" t="s">
        <v>334</v>
      </c>
      <c r="K1153" s="58">
        <v>21.99</v>
      </c>
      <c r="L1153" s="58">
        <v>22.155000000000001</v>
      </c>
      <c r="M1153" s="59" t="s">
        <v>334</v>
      </c>
      <c r="N1153" s="58"/>
    </row>
    <row r="1154" spans="1:15" ht="18" customHeight="1">
      <c r="A1154" s="57">
        <v>25</v>
      </c>
      <c r="B1154" s="58">
        <v>21.344999999999999</v>
      </c>
      <c r="C1154" s="58" t="s">
        <v>334</v>
      </c>
      <c r="D1154" s="58" t="s">
        <v>334</v>
      </c>
      <c r="E1154" s="58">
        <v>21.564</v>
      </c>
      <c r="F1154" s="58">
        <v>21.58</v>
      </c>
      <c r="G1154" s="58" t="s">
        <v>334</v>
      </c>
      <c r="H1154" s="58">
        <v>21.87</v>
      </c>
      <c r="I1154" s="58">
        <v>21.88</v>
      </c>
      <c r="J1154" s="58">
        <v>21.952000000000002</v>
      </c>
      <c r="K1154" s="58">
        <v>21.99</v>
      </c>
      <c r="L1154" s="58" t="s">
        <v>334</v>
      </c>
      <c r="M1154" s="59" t="s">
        <v>334</v>
      </c>
      <c r="N1154" s="58"/>
    </row>
    <row r="1155" spans="1:15" ht="18" customHeight="1">
      <c r="A1155" s="57">
        <v>26</v>
      </c>
      <c r="B1155" s="58">
        <v>21.344999999999999</v>
      </c>
      <c r="C1155" s="58" t="s">
        <v>334</v>
      </c>
      <c r="D1155" s="58" t="s">
        <v>334</v>
      </c>
      <c r="E1155" s="58">
        <v>21.564</v>
      </c>
      <c r="F1155" s="58">
        <v>21.58</v>
      </c>
      <c r="G1155" s="58">
        <v>21.713000000000001</v>
      </c>
      <c r="H1155" s="58">
        <v>21.948</v>
      </c>
      <c r="I1155" s="58" t="s">
        <v>334</v>
      </c>
      <c r="J1155" s="58">
        <v>21.952000000000002</v>
      </c>
      <c r="K1155" s="58">
        <v>21.99</v>
      </c>
      <c r="L1155" s="58" t="s">
        <v>334</v>
      </c>
      <c r="M1155" s="59">
        <v>22.445</v>
      </c>
      <c r="N1155" s="58"/>
    </row>
    <row r="1156" spans="1:15" ht="18" customHeight="1">
      <c r="A1156" s="57">
        <v>27</v>
      </c>
      <c r="B1156" s="58">
        <v>21.344999999999999</v>
      </c>
      <c r="C1156" s="58">
        <v>21.35</v>
      </c>
      <c r="D1156" s="58">
        <v>21.335000000000001</v>
      </c>
      <c r="E1156" s="58">
        <v>21.564</v>
      </c>
      <c r="F1156" s="58" t="s">
        <v>334</v>
      </c>
      <c r="G1156" s="58">
        <v>21.727</v>
      </c>
      <c r="H1156" s="58">
        <v>21.934999999999999</v>
      </c>
      <c r="I1156" s="58" t="s">
        <v>334</v>
      </c>
      <c r="J1156" s="58">
        <v>21.951000000000001</v>
      </c>
      <c r="K1156" s="58">
        <v>22.1</v>
      </c>
      <c r="L1156" s="58">
        <v>22.18</v>
      </c>
      <c r="M1156" s="59">
        <v>22.478999999999999</v>
      </c>
      <c r="N1156" s="58"/>
    </row>
    <row r="1157" spans="1:15" ht="18" customHeight="1">
      <c r="A1157" s="57">
        <v>28</v>
      </c>
      <c r="B1157" s="58" t="s">
        <v>334</v>
      </c>
      <c r="C1157" s="58">
        <v>21.35</v>
      </c>
      <c r="D1157" s="58" t="s">
        <v>334</v>
      </c>
      <c r="E1157" s="58">
        <v>21.564</v>
      </c>
      <c r="F1157" s="58" t="s">
        <v>334</v>
      </c>
      <c r="G1157" s="58">
        <v>21.742999999999999</v>
      </c>
      <c r="H1157" s="58">
        <v>21.88</v>
      </c>
      <c r="I1157" s="58">
        <v>21.88</v>
      </c>
      <c r="J1157" s="58">
        <v>21.948</v>
      </c>
      <c r="K1157" s="58" t="s">
        <v>334</v>
      </c>
      <c r="L1157" s="58">
        <v>22.2</v>
      </c>
      <c r="M1157" s="59">
        <v>22.45</v>
      </c>
      <c r="N1157" s="58"/>
    </row>
    <row r="1158" spans="1:15" ht="18" customHeight="1">
      <c r="A1158" s="57">
        <v>29</v>
      </c>
      <c r="B1158" s="58" t="s">
        <v>334</v>
      </c>
      <c r="C1158" s="58" t="s">
        <v>335</v>
      </c>
      <c r="D1158" s="58">
        <v>21.332000000000001</v>
      </c>
      <c r="E1158" s="58" t="s">
        <v>334</v>
      </c>
      <c r="F1158" s="58">
        <v>21.58</v>
      </c>
      <c r="G1158" s="58">
        <v>21.77</v>
      </c>
      <c r="H1158" s="58" t="s">
        <v>334</v>
      </c>
      <c r="I1158" s="58">
        <v>21.88</v>
      </c>
      <c r="J1158" s="58">
        <v>21.945</v>
      </c>
      <c r="K1158" s="58" t="s">
        <v>334</v>
      </c>
      <c r="L1158" s="58">
        <v>22.234000000000002</v>
      </c>
      <c r="M1158" s="59">
        <v>22.44</v>
      </c>
      <c r="N1158" s="58"/>
    </row>
    <row r="1159" spans="1:15" ht="18" customHeight="1">
      <c r="A1159" s="57">
        <v>30</v>
      </c>
      <c r="B1159" s="58">
        <v>21.35</v>
      </c>
      <c r="C1159" s="58" t="s">
        <v>335</v>
      </c>
      <c r="D1159" s="58">
        <v>21.33</v>
      </c>
      <c r="E1159" s="58" t="s">
        <v>334</v>
      </c>
      <c r="F1159" s="58">
        <v>21.605</v>
      </c>
      <c r="G1159" s="58">
        <v>21.806999999999999</v>
      </c>
      <c r="H1159" s="58" t="s">
        <v>334</v>
      </c>
      <c r="I1159" s="58">
        <v>21.88</v>
      </c>
      <c r="J1159" s="58" t="s">
        <v>334</v>
      </c>
      <c r="K1159" s="58">
        <v>22.1</v>
      </c>
      <c r="L1159" s="58" t="s">
        <v>334</v>
      </c>
      <c r="M1159" s="59" t="s">
        <v>334</v>
      </c>
      <c r="N1159" s="58"/>
    </row>
    <row r="1160" spans="1:15" ht="18" customHeight="1">
      <c r="A1160" s="57">
        <v>31</v>
      </c>
      <c r="B1160" s="58">
        <v>21.35</v>
      </c>
      <c r="C1160" s="58" t="s">
        <v>335</v>
      </c>
      <c r="D1160" s="58">
        <v>21.33</v>
      </c>
      <c r="E1160" s="58" t="s">
        <v>335</v>
      </c>
      <c r="F1160" s="58">
        <v>21.608000000000001</v>
      </c>
      <c r="G1160" s="58" t="s">
        <v>335</v>
      </c>
      <c r="H1160" s="58">
        <v>21.88</v>
      </c>
      <c r="I1160" s="58">
        <v>21.88</v>
      </c>
      <c r="J1160" s="58" t="s">
        <v>335</v>
      </c>
      <c r="K1160" s="58">
        <v>22.1</v>
      </c>
      <c r="L1160" s="58" t="s">
        <v>335</v>
      </c>
      <c r="M1160" s="59" t="s">
        <v>334</v>
      </c>
      <c r="N1160" s="58"/>
    </row>
    <row r="1161" spans="1:15" ht="18" customHeight="1" thickBot="1">
      <c r="A1161" s="76"/>
      <c r="B1161" s="77"/>
      <c r="C1161" s="77"/>
      <c r="D1161" s="77"/>
      <c r="E1161" s="77"/>
      <c r="F1161" s="77"/>
      <c r="G1161" s="77"/>
      <c r="H1161" s="77"/>
      <c r="I1161" s="77"/>
      <c r="J1161" s="77"/>
      <c r="K1161" s="77"/>
      <c r="L1161" s="77"/>
      <c r="M1161" s="78"/>
      <c r="N1161" s="58"/>
    </row>
    <row r="1162" spans="1:15" ht="18" customHeight="1">
      <c r="A1162" s="618">
        <v>1988</v>
      </c>
      <c r="B1162" s="619"/>
      <c r="C1162" s="619"/>
      <c r="D1162" s="619"/>
      <c r="E1162" s="619"/>
      <c r="F1162" s="619"/>
      <c r="G1162" s="619"/>
      <c r="H1162" s="619"/>
      <c r="I1162" s="619"/>
      <c r="J1162" s="619"/>
      <c r="K1162" s="619"/>
      <c r="L1162" s="619"/>
      <c r="M1162" s="620"/>
      <c r="N1162" s="52"/>
    </row>
    <row r="1163" spans="1:15" ht="18" customHeight="1" thickBot="1">
      <c r="A1163" s="63" t="s">
        <v>322</v>
      </c>
      <c r="B1163" s="64" t="s">
        <v>323</v>
      </c>
      <c r="C1163" s="64" t="s">
        <v>324</v>
      </c>
      <c r="D1163" s="64" t="s">
        <v>325</v>
      </c>
      <c r="E1163" s="64" t="s">
        <v>326</v>
      </c>
      <c r="F1163" s="64" t="s">
        <v>236</v>
      </c>
      <c r="G1163" s="64" t="s">
        <v>327</v>
      </c>
      <c r="H1163" s="64" t="s">
        <v>328</v>
      </c>
      <c r="I1163" s="64" t="s">
        <v>329</v>
      </c>
      <c r="J1163" s="64" t="s">
        <v>330</v>
      </c>
      <c r="K1163" s="64" t="s">
        <v>331</v>
      </c>
      <c r="L1163" s="64" t="s">
        <v>332</v>
      </c>
      <c r="M1163" s="65" t="s">
        <v>333</v>
      </c>
      <c r="N1163" s="52"/>
    </row>
    <row r="1164" spans="1:15" ht="18" customHeight="1">
      <c r="A1164" s="54">
        <v>1</v>
      </c>
      <c r="B1164" s="55" t="s">
        <v>334</v>
      </c>
      <c r="C1164" s="55">
        <v>20.869</v>
      </c>
      <c r="D1164" s="55">
        <v>21.01</v>
      </c>
      <c r="E1164" s="55" t="s">
        <v>334</v>
      </c>
      <c r="F1164" s="55" t="s">
        <v>334</v>
      </c>
      <c r="G1164" s="55">
        <v>20.895</v>
      </c>
      <c r="H1164" s="55">
        <v>21.016999999999999</v>
      </c>
      <c r="I1164" s="55">
        <v>21.05</v>
      </c>
      <c r="J1164" s="55">
        <v>21.114000000000001</v>
      </c>
      <c r="K1164" s="55" t="s">
        <v>334</v>
      </c>
      <c r="L1164" s="70" t="s">
        <v>334</v>
      </c>
      <c r="M1164" s="71">
        <v>21.38</v>
      </c>
      <c r="N1164" s="83">
        <v>1988</v>
      </c>
      <c r="O1164" s="47">
        <f>AVERAGE(B1164:M1194)</f>
        <v>21.09343426294819</v>
      </c>
    </row>
    <row r="1165" spans="1:15" ht="18" customHeight="1">
      <c r="A1165" s="57">
        <v>2</v>
      </c>
      <c r="B1165" s="58" t="s">
        <v>334</v>
      </c>
      <c r="C1165" s="58">
        <v>20.869</v>
      </c>
      <c r="D1165" s="58">
        <v>21.01</v>
      </c>
      <c r="E1165" s="58" t="s">
        <v>334</v>
      </c>
      <c r="F1165" s="58">
        <v>21.01</v>
      </c>
      <c r="G1165" s="58">
        <v>20.895</v>
      </c>
      <c r="H1165" s="58" t="s">
        <v>334</v>
      </c>
      <c r="I1165" s="58">
        <v>21.050999999999998</v>
      </c>
      <c r="J1165" s="58">
        <v>21.148</v>
      </c>
      <c r="K1165" s="58" t="s">
        <v>334</v>
      </c>
      <c r="L1165" s="72">
        <v>21.393000000000001</v>
      </c>
      <c r="M1165" s="73">
        <v>21.38</v>
      </c>
      <c r="N1165" s="58"/>
    </row>
    <row r="1166" spans="1:15" ht="18" customHeight="1">
      <c r="A1166" s="57">
        <v>3</v>
      </c>
      <c r="B1166" s="58" t="s">
        <v>334</v>
      </c>
      <c r="C1166" s="58">
        <v>20.867000000000001</v>
      </c>
      <c r="D1166" s="58">
        <v>21.024999999999999</v>
      </c>
      <c r="E1166" s="58" t="s">
        <v>334</v>
      </c>
      <c r="F1166" s="58">
        <v>21.01</v>
      </c>
      <c r="G1166" s="58">
        <v>20.896000000000001</v>
      </c>
      <c r="H1166" s="58" t="s">
        <v>334</v>
      </c>
      <c r="I1166" s="58">
        <v>21.045999999999999</v>
      </c>
      <c r="J1166" s="58" t="s">
        <v>334</v>
      </c>
      <c r="K1166" s="58">
        <v>21.338000000000001</v>
      </c>
      <c r="L1166" s="72">
        <v>21.39</v>
      </c>
      <c r="M1166" s="73" t="s">
        <v>334</v>
      </c>
      <c r="N1166" s="58"/>
    </row>
    <row r="1167" spans="1:15" ht="18" customHeight="1">
      <c r="A1167" s="57">
        <v>4</v>
      </c>
      <c r="B1167" s="58">
        <v>20.795999999999999</v>
      </c>
      <c r="C1167" s="58">
        <v>20.861000000000001</v>
      </c>
      <c r="D1167" s="58">
        <v>21.024999999999999</v>
      </c>
      <c r="E1167" s="58">
        <v>21.015999999999998</v>
      </c>
      <c r="F1167" s="58">
        <v>21.01</v>
      </c>
      <c r="G1167" s="58" t="s">
        <v>334</v>
      </c>
      <c r="H1167" s="58">
        <v>20.997</v>
      </c>
      <c r="I1167" s="58">
        <v>21.045999999999999</v>
      </c>
      <c r="J1167" s="58" t="s">
        <v>334</v>
      </c>
      <c r="K1167" s="58">
        <v>21.335000000000001</v>
      </c>
      <c r="L1167" s="58">
        <v>21.378</v>
      </c>
      <c r="M1167" s="59" t="s">
        <v>334</v>
      </c>
      <c r="N1167" s="58"/>
    </row>
    <row r="1168" spans="1:15" ht="18" customHeight="1">
      <c r="A1168" s="57">
        <v>5</v>
      </c>
      <c r="B1168" s="58">
        <v>20.795999999999999</v>
      </c>
      <c r="C1168" s="58">
        <v>20.846</v>
      </c>
      <c r="D1168" s="58" t="s">
        <v>334</v>
      </c>
      <c r="E1168" s="58">
        <v>21.012</v>
      </c>
      <c r="F1168" s="58">
        <v>20.995000000000001</v>
      </c>
      <c r="G1168" s="58" t="s">
        <v>334</v>
      </c>
      <c r="H1168" s="58">
        <v>20.997</v>
      </c>
      <c r="I1168" s="58">
        <v>21.045999999999999</v>
      </c>
      <c r="J1168" s="58">
        <v>21.148</v>
      </c>
      <c r="K1168" s="58">
        <v>21.321000000000002</v>
      </c>
      <c r="L1168" s="58" t="s">
        <v>334</v>
      </c>
      <c r="M1168" s="59">
        <v>21.38</v>
      </c>
      <c r="N1168" s="58"/>
    </row>
    <row r="1169" spans="1:14" ht="18" customHeight="1">
      <c r="A1169" s="57">
        <v>6</v>
      </c>
      <c r="B1169" s="58">
        <v>20.798999999999999</v>
      </c>
      <c r="C1169" s="58" t="s">
        <v>334</v>
      </c>
      <c r="D1169" s="58" t="s">
        <v>334</v>
      </c>
      <c r="E1169" s="58">
        <v>21.012</v>
      </c>
      <c r="F1169" s="58">
        <v>20.978999999999999</v>
      </c>
      <c r="G1169" s="58">
        <v>20.896000000000001</v>
      </c>
      <c r="H1169" s="58">
        <v>20.995999999999999</v>
      </c>
      <c r="I1169" s="58" t="s">
        <v>334</v>
      </c>
      <c r="J1169" s="58">
        <v>21.148</v>
      </c>
      <c r="K1169" s="58">
        <v>21.309000000000001</v>
      </c>
      <c r="L1169" s="58" t="s">
        <v>334</v>
      </c>
      <c r="M1169" s="59">
        <v>21.379000000000001</v>
      </c>
      <c r="N1169" s="58"/>
    </row>
    <row r="1170" spans="1:14" ht="18" customHeight="1">
      <c r="A1170" s="57">
        <v>7</v>
      </c>
      <c r="B1170" s="58">
        <v>20.798999999999999</v>
      </c>
      <c r="C1170" s="58" t="s">
        <v>334</v>
      </c>
      <c r="D1170" s="58">
        <v>21.024999999999999</v>
      </c>
      <c r="E1170" s="58">
        <v>21.007999999999999</v>
      </c>
      <c r="F1170" s="58" t="s">
        <v>334</v>
      </c>
      <c r="G1170" s="58">
        <v>20.896000000000001</v>
      </c>
      <c r="H1170" s="58">
        <v>21.01</v>
      </c>
      <c r="I1170" s="58" t="s">
        <v>334</v>
      </c>
      <c r="J1170" s="58">
        <v>21.193000000000001</v>
      </c>
      <c r="K1170" s="58">
        <v>21.324999999999999</v>
      </c>
      <c r="L1170" s="58">
        <v>21.375</v>
      </c>
      <c r="M1170" s="59">
        <v>21.373999999999999</v>
      </c>
      <c r="N1170" s="58"/>
    </row>
    <row r="1171" spans="1:14" ht="18" customHeight="1">
      <c r="A1171" s="57">
        <v>8</v>
      </c>
      <c r="B1171" s="58">
        <v>20.806999999999999</v>
      </c>
      <c r="C1171" s="58">
        <v>20.846</v>
      </c>
      <c r="D1171" s="58">
        <v>21.024999999999999</v>
      </c>
      <c r="E1171" s="58">
        <v>21.003</v>
      </c>
      <c r="F1171" s="58" t="s">
        <v>334</v>
      </c>
      <c r="G1171" s="58">
        <v>20.905999999999999</v>
      </c>
      <c r="H1171" s="58">
        <v>21.024000000000001</v>
      </c>
      <c r="I1171" s="58">
        <v>21.045999999999999</v>
      </c>
      <c r="J1171" s="58">
        <v>21.23</v>
      </c>
      <c r="K1171" s="58" t="s">
        <v>334</v>
      </c>
      <c r="L1171" s="58">
        <v>21.375</v>
      </c>
      <c r="M1171" s="59">
        <v>21.370999999999999</v>
      </c>
      <c r="N1171" s="58"/>
    </row>
    <row r="1172" spans="1:14" ht="18" customHeight="1">
      <c r="A1172" s="57">
        <v>9</v>
      </c>
      <c r="B1172" s="58" t="s">
        <v>334</v>
      </c>
      <c r="C1172" s="58">
        <v>20.846</v>
      </c>
      <c r="D1172" s="58">
        <v>21.04</v>
      </c>
      <c r="E1172" s="58" t="s">
        <v>334</v>
      </c>
      <c r="F1172" s="58">
        <v>20.978999999999999</v>
      </c>
      <c r="G1172" s="58">
        <v>20.91</v>
      </c>
      <c r="H1172" s="58" t="s">
        <v>334</v>
      </c>
      <c r="I1172" s="58">
        <v>21.045999999999999</v>
      </c>
      <c r="J1172" s="58">
        <v>21.23</v>
      </c>
      <c r="K1172" s="58" t="s">
        <v>334</v>
      </c>
      <c r="L1172" s="58">
        <v>21.375</v>
      </c>
      <c r="M1172" s="59">
        <v>21.367999999999999</v>
      </c>
      <c r="N1172" s="58"/>
    </row>
    <row r="1173" spans="1:14" ht="18" customHeight="1">
      <c r="A1173" s="57">
        <v>10</v>
      </c>
      <c r="B1173" s="58" t="s">
        <v>334</v>
      </c>
      <c r="C1173" s="58">
        <v>20.844000000000001</v>
      </c>
      <c r="D1173" s="58">
        <v>21.04</v>
      </c>
      <c r="E1173" s="58" t="s">
        <v>334</v>
      </c>
      <c r="F1173" s="58">
        <v>20.972999999999999</v>
      </c>
      <c r="G1173" s="58">
        <v>20.91</v>
      </c>
      <c r="H1173" s="58" t="s">
        <v>334</v>
      </c>
      <c r="I1173" s="58">
        <v>21.042000000000002</v>
      </c>
      <c r="J1173" s="58" t="s">
        <v>334</v>
      </c>
      <c r="K1173" s="58">
        <v>21.34</v>
      </c>
      <c r="L1173" s="58">
        <v>21.375</v>
      </c>
      <c r="M1173" s="59" t="s">
        <v>334</v>
      </c>
      <c r="N1173" s="58"/>
    </row>
    <row r="1174" spans="1:14" ht="18" customHeight="1">
      <c r="A1174" s="57">
        <v>11</v>
      </c>
      <c r="B1174" s="58">
        <v>20.818000000000001</v>
      </c>
      <c r="C1174" s="58">
        <v>20.844000000000001</v>
      </c>
      <c r="D1174" s="58">
        <v>21.04</v>
      </c>
      <c r="E1174" s="58">
        <v>21</v>
      </c>
      <c r="F1174" s="58">
        <v>20.97</v>
      </c>
      <c r="G1174" s="58" t="s">
        <v>334</v>
      </c>
      <c r="H1174" s="58">
        <v>20.991</v>
      </c>
      <c r="I1174" s="58">
        <v>21.042000000000002</v>
      </c>
      <c r="J1174" s="58" t="s">
        <v>334</v>
      </c>
      <c r="K1174" s="58">
        <v>21.34</v>
      </c>
      <c r="L1174" s="58">
        <v>21.375</v>
      </c>
      <c r="M1174" s="59" t="s">
        <v>334</v>
      </c>
      <c r="N1174" s="58"/>
    </row>
    <row r="1175" spans="1:14" ht="18" customHeight="1">
      <c r="A1175" s="57">
        <v>12</v>
      </c>
      <c r="B1175" s="58">
        <v>20.83</v>
      </c>
      <c r="C1175" s="58">
        <v>20.844000000000001</v>
      </c>
      <c r="D1175" s="58" t="s">
        <v>334</v>
      </c>
      <c r="E1175" s="58">
        <v>21</v>
      </c>
      <c r="F1175" s="58">
        <v>20.96</v>
      </c>
      <c r="G1175" s="58" t="s">
        <v>334</v>
      </c>
      <c r="H1175" s="58">
        <v>21.010999999999999</v>
      </c>
      <c r="I1175" s="58">
        <v>21.042000000000002</v>
      </c>
      <c r="J1175" s="58">
        <v>21.23</v>
      </c>
      <c r="K1175" s="58">
        <v>21.356999999999999</v>
      </c>
      <c r="L1175" s="58" t="s">
        <v>334</v>
      </c>
      <c r="M1175" s="59">
        <v>21.366</v>
      </c>
      <c r="N1175" s="58"/>
    </row>
    <row r="1176" spans="1:14" ht="18" customHeight="1">
      <c r="A1176" s="57">
        <v>13</v>
      </c>
      <c r="B1176" s="58">
        <v>20.849</v>
      </c>
      <c r="C1176" s="58" t="s">
        <v>334</v>
      </c>
      <c r="D1176" s="58" t="s">
        <v>334</v>
      </c>
      <c r="E1176" s="58">
        <v>21.012</v>
      </c>
      <c r="F1176" s="58">
        <v>20.96</v>
      </c>
      <c r="G1176" s="58">
        <v>20.91</v>
      </c>
      <c r="H1176" s="58">
        <v>21.026</v>
      </c>
      <c r="I1176" s="58" t="s">
        <v>334</v>
      </c>
      <c r="J1176" s="58">
        <v>21.23</v>
      </c>
      <c r="K1176" s="58">
        <v>21.359000000000002</v>
      </c>
      <c r="L1176" s="58" t="s">
        <v>334</v>
      </c>
      <c r="M1176" s="59">
        <v>21.364999999999998</v>
      </c>
      <c r="N1176" s="58"/>
    </row>
    <row r="1177" spans="1:14" ht="18" customHeight="1">
      <c r="A1177" s="57">
        <v>14</v>
      </c>
      <c r="B1177" s="58">
        <v>20.861000000000001</v>
      </c>
      <c r="C1177" s="58" t="s">
        <v>334</v>
      </c>
      <c r="D1177" s="58">
        <v>21.05</v>
      </c>
      <c r="E1177" s="58">
        <v>21.015000000000001</v>
      </c>
      <c r="F1177" s="58" t="s">
        <v>334</v>
      </c>
      <c r="G1177" s="58">
        <v>20.931000000000001</v>
      </c>
      <c r="H1177" s="58">
        <v>21.026</v>
      </c>
      <c r="I1177" s="58" t="s">
        <v>334</v>
      </c>
      <c r="J1177" s="58">
        <v>21.33</v>
      </c>
      <c r="K1177" s="58">
        <v>21.38</v>
      </c>
      <c r="L1177" s="58">
        <v>21.375</v>
      </c>
      <c r="M1177" s="59">
        <v>21.359000000000002</v>
      </c>
      <c r="N1177" s="58"/>
    </row>
    <row r="1178" spans="1:14" ht="18" customHeight="1">
      <c r="A1178" s="57">
        <v>15</v>
      </c>
      <c r="B1178" s="58">
        <v>20.852</v>
      </c>
      <c r="C1178" s="58">
        <v>20.844000000000001</v>
      </c>
      <c r="D1178" s="58">
        <v>21.05</v>
      </c>
      <c r="E1178" s="58">
        <v>21.015000000000001</v>
      </c>
      <c r="F1178" s="58" t="s">
        <v>334</v>
      </c>
      <c r="G1178" s="58">
        <v>20.943000000000001</v>
      </c>
      <c r="H1178" s="58">
        <v>21.035</v>
      </c>
      <c r="I1178" s="58">
        <v>21.053000000000001</v>
      </c>
      <c r="J1178" s="58">
        <v>21.292999999999999</v>
      </c>
      <c r="K1178" s="58" t="s">
        <v>334</v>
      </c>
      <c r="L1178" s="58">
        <v>21.375</v>
      </c>
      <c r="M1178" s="59">
        <v>21.353000000000002</v>
      </c>
      <c r="N1178" s="58"/>
    </row>
    <row r="1179" spans="1:14" ht="18" customHeight="1">
      <c r="A1179" s="57">
        <v>16</v>
      </c>
      <c r="B1179" s="58" t="s">
        <v>334</v>
      </c>
      <c r="C1179" s="58">
        <v>20.844000000000001</v>
      </c>
      <c r="D1179" s="58">
        <v>21.05</v>
      </c>
      <c r="E1179" s="58" t="s">
        <v>334</v>
      </c>
      <c r="F1179" s="58">
        <v>20.946999999999999</v>
      </c>
      <c r="G1179" s="58">
        <v>20.952999999999999</v>
      </c>
      <c r="H1179" s="58" t="s">
        <v>334</v>
      </c>
      <c r="I1179" s="58">
        <v>21.055</v>
      </c>
      <c r="J1179" s="58">
        <v>21.245000000000001</v>
      </c>
      <c r="K1179" s="58" t="s">
        <v>334</v>
      </c>
      <c r="L1179" s="58">
        <v>21.375</v>
      </c>
      <c r="M1179" s="59">
        <v>21.35</v>
      </c>
      <c r="N1179" s="58"/>
    </row>
    <row r="1180" spans="1:14" ht="18" customHeight="1">
      <c r="A1180" s="57">
        <v>17</v>
      </c>
      <c r="B1180" s="58" t="s">
        <v>334</v>
      </c>
      <c r="C1180" s="58">
        <v>20.844000000000001</v>
      </c>
      <c r="D1180" s="58">
        <v>21.05</v>
      </c>
      <c r="E1180" s="58" t="s">
        <v>334</v>
      </c>
      <c r="F1180" s="58">
        <v>20.97</v>
      </c>
      <c r="G1180" s="58">
        <v>20.952999999999999</v>
      </c>
      <c r="H1180" s="58" t="s">
        <v>334</v>
      </c>
      <c r="I1180" s="58">
        <v>21.06</v>
      </c>
      <c r="J1180" s="58" t="s">
        <v>334</v>
      </c>
      <c r="K1180" s="58">
        <v>21.35</v>
      </c>
      <c r="L1180" s="58">
        <v>21.375</v>
      </c>
      <c r="M1180" s="59" t="s">
        <v>334</v>
      </c>
      <c r="N1180" s="58"/>
    </row>
    <row r="1181" spans="1:14" ht="18" customHeight="1">
      <c r="A1181" s="57">
        <v>18</v>
      </c>
      <c r="B1181" s="58" t="s">
        <v>334</v>
      </c>
      <c r="C1181" s="58">
        <v>20.911000000000001</v>
      </c>
      <c r="D1181" s="58">
        <v>21.026</v>
      </c>
      <c r="E1181" s="58">
        <v>21.015000000000001</v>
      </c>
      <c r="F1181" s="58">
        <v>20.94</v>
      </c>
      <c r="G1181" s="58" t="s">
        <v>334</v>
      </c>
      <c r="H1181" s="58">
        <v>21.04</v>
      </c>
      <c r="I1181" s="58">
        <v>21.06</v>
      </c>
      <c r="J1181" s="58" t="s">
        <v>334</v>
      </c>
      <c r="K1181" s="58">
        <v>21.36</v>
      </c>
      <c r="L1181" s="58">
        <v>21.375</v>
      </c>
      <c r="M1181" s="59" t="s">
        <v>334</v>
      </c>
      <c r="N1181" s="58"/>
    </row>
    <row r="1182" spans="1:14" ht="18" customHeight="1">
      <c r="A1182" s="57">
        <v>19</v>
      </c>
      <c r="B1182" s="58">
        <v>20.88</v>
      </c>
      <c r="C1182" s="58">
        <v>21.01</v>
      </c>
      <c r="D1182" s="58" t="s">
        <v>334</v>
      </c>
      <c r="E1182" s="58">
        <v>21.015000000000001</v>
      </c>
      <c r="F1182" s="58">
        <v>20.934999999999999</v>
      </c>
      <c r="G1182" s="58" t="s">
        <v>334</v>
      </c>
      <c r="H1182" s="58">
        <v>21.038</v>
      </c>
      <c r="I1182" s="58">
        <v>21.06</v>
      </c>
      <c r="J1182" s="58">
        <v>21.257000000000001</v>
      </c>
      <c r="K1182" s="58">
        <v>21.390999999999998</v>
      </c>
      <c r="L1182" s="58" t="s">
        <v>334</v>
      </c>
      <c r="M1182" s="59">
        <v>21.346</v>
      </c>
      <c r="N1182" s="58"/>
    </row>
    <row r="1183" spans="1:14" ht="18" customHeight="1">
      <c r="A1183" s="57">
        <v>20</v>
      </c>
      <c r="B1183" s="58">
        <v>20.879000000000001</v>
      </c>
      <c r="C1183" s="58" t="s">
        <v>334</v>
      </c>
      <c r="D1183" s="58" t="s">
        <v>334</v>
      </c>
      <c r="E1183" s="58">
        <v>21.058</v>
      </c>
      <c r="F1183" s="58">
        <v>20.934999999999999</v>
      </c>
      <c r="G1183" s="58">
        <v>20.952999999999999</v>
      </c>
      <c r="H1183" s="58">
        <v>21.038</v>
      </c>
      <c r="I1183" s="58" t="s">
        <v>334</v>
      </c>
      <c r="J1183" s="58">
        <v>21.3</v>
      </c>
      <c r="K1183" s="58">
        <v>21.395</v>
      </c>
      <c r="L1183" s="58" t="s">
        <v>334</v>
      </c>
      <c r="M1183" s="59">
        <v>21.343</v>
      </c>
      <c r="N1183" s="58"/>
    </row>
    <row r="1184" spans="1:14" ht="18" customHeight="1">
      <c r="A1184" s="57">
        <v>21</v>
      </c>
      <c r="B1184" s="58">
        <v>20.873999999999999</v>
      </c>
      <c r="C1184" s="58" t="s">
        <v>334</v>
      </c>
      <c r="D1184" s="58">
        <v>21.024000000000001</v>
      </c>
      <c r="E1184" s="58">
        <v>21.073</v>
      </c>
      <c r="F1184" s="58" t="s">
        <v>334</v>
      </c>
      <c r="G1184" s="58">
        <v>20.972000000000001</v>
      </c>
      <c r="H1184" s="58">
        <v>21.038</v>
      </c>
      <c r="I1184" s="58" t="s">
        <v>334</v>
      </c>
      <c r="J1184" s="58">
        <v>21.25</v>
      </c>
      <c r="K1184" s="58">
        <v>21.414999999999999</v>
      </c>
      <c r="L1184" s="58">
        <v>21.375</v>
      </c>
      <c r="M1184" s="59">
        <v>21.34</v>
      </c>
      <c r="N1184" s="58"/>
    </row>
    <row r="1185" spans="1:15" ht="18" customHeight="1">
      <c r="A1185" s="57">
        <v>22</v>
      </c>
      <c r="B1185" s="58">
        <v>20.876999999999999</v>
      </c>
      <c r="C1185" s="58">
        <v>21.01</v>
      </c>
      <c r="D1185" s="58">
        <v>21.021000000000001</v>
      </c>
      <c r="E1185" s="58">
        <v>21.073</v>
      </c>
      <c r="F1185" s="58" t="s">
        <v>334</v>
      </c>
      <c r="G1185" s="58">
        <v>20.983000000000001</v>
      </c>
      <c r="H1185" s="58">
        <v>21.027999999999999</v>
      </c>
      <c r="I1185" s="58">
        <v>21.07</v>
      </c>
      <c r="J1185" s="58">
        <v>21.254999999999999</v>
      </c>
      <c r="K1185" s="58" t="s">
        <v>334</v>
      </c>
      <c r="L1185" s="58">
        <v>21.375</v>
      </c>
      <c r="M1185" s="59">
        <v>21.338000000000001</v>
      </c>
      <c r="N1185" s="58"/>
    </row>
    <row r="1186" spans="1:15" ht="18" customHeight="1">
      <c r="A1186" s="57">
        <v>23</v>
      </c>
      <c r="B1186" s="58" t="s">
        <v>334</v>
      </c>
      <c r="C1186" s="58">
        <v>21.04</v>
      </c>
      <c r="D1186" s="58">
        <v>21.018999999999998</v>
      </c>
      <c r="E1186" s="58" t="s">
        <v>334</v>
      </c>
      <c r="F1186" s="58">
        <v>20.931999999999999</v>
      </c>
      <c r="G1186" s="58">
        <v>20.994</v>
      </c>
      <c r="H1186" s="58" t="s">
        <v>334</v>
      </c>
      <c r="I1186" s="58">
        <v>21.07</v>
      </c>
      <c r="J1186" s="58">
        <v>21.305</v>
      </c>
      <c r="K1186" s="58" t="s">
        <v>334</v>
      </c>
      <c r="L1186" s="58">
        <v>21.375</v>
      </c>
      <c r="M1186" s="59">
        <v>21.338000000000001</v>
      </c>
      <c r="N1186" s="58"/>
    </row>
    <row r="1187" spans="1:15" ht="18" customHeight="1">
      <c r="A1187" s="57">
        <v>24</v>
      </c>
      <c r="B1187" s="58" t="s">
        <v>334</v>
      </c>
      <c r="C1187" s="58">
        <v>21</v>
      </c>
      <c r="D1187" s="58">
        <v>21.015999999999998</v>
      </c>
      <c r="E1187" s="58" t="s">
        <v>334</v>
      </c>
      <c r="F1187" s="58">
        <v>20.931999999999999</v>
      </c>
      <c r="G1187" s="58">
        <v>20.981999999999999</v>
      </c>
      <c r="H1187" s="58" t="s">
        <v>334</v>
      </c>
      <c r="I1187" s="58">
        <v>21.079000000000001</v>
      </c>
      <c r="J1187" s="58" t="s">
        <v>334</v>
      </c>
      <c r="K1187" s="58">
        <v>21.39</v>
      </c>
      <c r="L1187" s="58">
        <v>21.375</v>
      </c>
      <c r="M1187" s="59" t="s">
        <v>334</v>
      </c>
      <c r="N1187" s="58"/>
    </row>
    <row r="1188" spans="1:15" ht="18" customHeight="1">
      <c r="A1188" s="57">
        <v>25</v>
      </c>
      <c r="B1188" s="58">
        <v>20.875</v>
      </c>
      <c r="C1188" s="58" t="s">
        <v>334</v>
      </c>
      <c r="D1188" s="58">
        <v>21.015999999999998</v>
      </c>
      <c r="E1188" s="58">
        <v>21.073</v>
      </c>
      <c r="F1188" s="58">
        <v>20.927</v>
      </c>
      <c r="G1188" s="58" t="s">
        <v>334</v>
      </c>
      <c r="H1188" s="58">
        <v>21.033999999999999</v>
      </c>
      <c r="I1188" s="58">
        <v>21.079000000000001</v>
      </c>
      <c r="J1188" s="58" t="s">
        <v>334</v>
      </c>
      <c r="K1188" s="58" t="s">
        <v>334</v>
      </c>
      <c r="L1188" s="58">
        <v>21.375</v>
      </c>
      <c r="M1188" s="59" t="s">
        <v>334</v>
      </c>
      <c r="N1188" s="58"/>
    </row>
    <row r="1189" spans="1:15" ht="18" customHeight="1">
      <c r="A1189" s="57">
        <v>26</v>
      </c>
      <c r="B1189" s="58">
        <v>20.873999999999999</v>
      </c>
      <c r="C1189" s="58">
        <v>21.01</v>
      </c>
      <c r="D1189" s="58" t="s">
        <v>334</v>
      </c>
      <c r="E1189" s="58">
        <v>21.073</v>
      </c>
      <c r="F1189" s="58">
        <v>20.922000000000001</v>
      </c>
      <c r="G1189" s="58" t="s">
        <v>334</v>
      </c>
      <c r="H1189" s="58">
        <v>21.033999999999999</v>
      </c>
      <c r="I1189" s="58">
        <v>21.079000000000001</v>
      </c>
      <c r="J1189" s="58">
        <v>21.305</v>
      </c>
      <c r="K1189" s="58">
        <v>21.384</v>
      </c>
      <c r="L1189" s="58" t="s">
        <v>334</v>
      </c>
      <c r="M1189" s="59">
        <v>21.338000000000001</v>
      </c>
      <c r="N1189" s="58"/>
    </row>
    <row r="1190" spans="1:15" ht="18" customHeight="1">
      <c r="A1190" s="57">
        <v>27</v>
      </c>
      <c r="B1190" s="58">
        <v>20.872</v>
      </c>
      <c r="C1190" s="58" t="s">
        <v>334</v>
      </c>
      <c r="D1190" s="58" t="s">
        <v>334</v>
      </c>
      <c r="E1190" s="58">
        <v>21.073</v>
      </c>
      <c r="F1190" s="58">
        <v>20.914999999999999</v>
      </c>
      <c r="G1190" s="58">
        <v>21</v>
      </c>
      <c r="H1190" s="58">
        <v>21.05</v>
      </c>
      <c r="I1190" s="58" t="s">
        <v>334</v>
      </c>
      <c r="J1190" s="58">
        <v>21.305</v>
      </c>
      <c r="K1190" s="58">
        <v>21.39</v>
      </c>
      <c r="L1190" s="58" t="s">
        <v>334</v>
      </c>
      <c r="M1190" s="59">
        <v>21.338000000000001</v>
      </c>
      <c r="N1190" s="58"/>
    </row>
    <row r="1191" spans="1:15" ht="18" customHeight="1">
      <c r="A1191" s="57">
        <v>28</v>
      </c>
      <c r="B1191" s="58">
        <v>20.869</v>
      </c>
      <c r="C1191" s="58" t="s">
        <v>334</v>
      </c>
      <c r="D1191" s="58">
        <v>21.015999999999998</v>
      </c>
      <c r="E1191" s="58">
        <v>21.027000000000001</v>
      </c>
      <c r="F1191" s="58" t="s">
        <v>334</v>
      </c>
      <c r="G1191" s="58">
        <v>21.01</v>
      </c>
      <c r="H1191" s="58">
        <v>21.05</v>
      </c>
      <c r="I1191" s="58" t="s">
        <v>334</v>
      </c>
      <c r="J1191" s="58">
        <v>21.324999999999999</v>
      </c>
      <c r="K1191" s="58">
        <v>21.391999999999999</v>
      </c>
      <c r="L1191" s="58">
        <v>21.376000000000001</v>
      </c>
      <c r="M1191" s="59">
        <v>21.335000000000001</v>
      </c>
      <c r="N1191" s="58"/>
    </row>
    <row r="1192" spans="1:15" ht="18" customHeight="1">
      <c r="A1192" s="57">
        <v>29</v>
      </c>
      <c r="B1192" s="58">
        <v>20.87</v>
      </c>
      <c r="C1192" s="58">
        <v>21.01</v>
      </c>
      <c r="D1192" s="58">
        <v>21.015999999999998</v>
      </c>
      <c r="E1192" s="58">
        <v>21.018000000000001</v>
      </c>
      <c r="F1192" s="58" t="s">
        <v>334</v>
      </c>
      <c r="G1192" s="58">
        <v>21.021999999999998</v>
      </c>
      <c r="H1192" s="58">
        <v>21.038</v>
      </c>
      <c r="I1192" s="58">
        <v>21.079000000000001</v>
      </c>
      <c r="J1192" s="58">
        <v>21.29</v>
      </c>
      <c r="K1192" s="58" t="s">
        <v>334</v>
      </c>
      <c r="L1192" s="58">
        <v>21.379000000000001</v>
      </c>
      <c r="M1192" s="59">
        <v>21.335000000000001</v>
      </c>
      <c r="N1192" s="58"/>
    </row>
    <row r="1193" spans="1:15" ht="18" customHeight="1">
      <c r="A1193" s="57">
        <v>30</v>
      </c>
      <c r="B1193" s="58" t="s">
        <v>334</v>
      </c>
      <c r="C1193" s="58" t="s">
        <v>335</v>
      </c>
      <c r="D1193" s="58">
        <v>21.015999999999998</v>
      </c>
      <c r="E1193" s="58" t="s">
        <v>334</v>
      </c>
      <c r="F1193" s="58">
        <v>20.905000000000001</v>
      </c>
      <c r="G1193" s="58">
        <v>21.062000000000001</v>
      </c>
      <c r="H1193" s="58" t="s">
        <v>334</v>
      </c>
      <c r="I1193" s="58">
        <v>21.079000000000001</v>
      </c>
      <c r="J1193" s="58">
        <v>21.335999999999999</v>
      </c>
      <c r="K1193" s="58" t="s">
        <v>334</v>
      </c>
      <c r="L1193" s="58" t="s">
        <v>334</v>
      </c>
      <c r="M1193" s="59" t="s">
        <v>334</v>
      </c>
      <c r="N1193" s="58"/>
    </row>
    <row r="1194" spans="1:15" ht="18" customHeight="1">
      <c r="A1194" s="57">
        <v>31</v>
      </c>
      <c r="B1194" s="58" t="s">
        <v>334</v>
      </c>
      <c r="C1194" s="58" t="s">
        <v>335</v>
      </c>
      <c r="D1194" s="58" t="s">
        <v>334</v>
      </c>
      <c r="E1194" s="58" t="s">
        <v>335</v>
      </c>
      <c r="F1194" s="58">
        <v>20.905000000000001</v>
      </c>
      <c r="G1194" s="58" t="s">
        <v>335</v>
      </c>
      <c r="H1194" s="58" t="s">
        <v>334</v>
      </c>
      <c r="I1194" s="58">
        <v>21.079000000000001</v>
      </c>
      <c r="J1194" s="58" t="s">
        <v>335</v>
      </c>
      <c r="K1194" s="58" t="s">
        <v>334</v>
      </c>
      <c r="L1194" s="58" t="s">
        <v>335</v>
      </c>
      <c r="M1194" s="59" t="s">
        <v>334</v>
      </c>
      <c r="N1194" s="58"/>
    </row>
    <row r="1195" spans="1:15" ht="18" customHeight="1" thickBot="1">
      <c r="A1195" s="76"/>
      <c r="B1195" s="77"/>
      <c r="C1195" s="77"/>
      <c r="D1195" s="77"/>
      <c r="E1195" s="77"/>
      <c r="F1195" s="77"/>
      <c r="G1195" s="77"/>
      <c r="H1195" s="77"/>
      <c r="I1195" s="77"/>
      <c r="J1195" s="77"/>
      <c r="K1195" s="77"/>
      <c r="L1195" s="77"/>
      <c r="M1195" s="78"/>
      <c r="N1195" s="58"/>
    </row>
    <row r="1196" spans="1:15" ht="18" customHeight="1">
      <c r="A1196" s="605">
        <v>1987</v>
      </c>
      <c r="B1196" s="606"/>
      <c r="C1196" s="606"/>
      <c r="D1196" s="606"/>
      <c r="E1196" s="606"/>
      <c r="F1196" s="606"/>
      <c r="G1196" s="606"/>
      <c r="H1196" s="606"/>
      <c r="I1196" s="606"/>
      <c r="J1196" s="606"/>
      <c r="K1196" s="606"/>
      <c r="L1196" s="606"/>
      <c r="M1196" s="607"/>
      <c r="N1196" s="52"/>
    </row>
    <row r="1197" spans="1:15" ht="18" customHeight="1" thickBot="1">
      <c r="A1197" s="51" t="s">
        <v>322</v>
      </c>
      <c r="B1197" s="52" t="s">
        <v>323</v>
      </c>
      <c r="C1197" s="52" t="s">
        <v>324</v>
      </c>
      <c r="D1197" s="52" t="s">
        <v>325</v>
      </c>
      <c r="E1197" s="52" t="s">
        <v>326</v>
      </c>
      <c r="F1197" s="52" t="s">
        <v>236</v>
      </c>
      <c r="G1197" s="52" t="s">
        <v>327</v>
      </c>
      <c r="H1197" s="52" t="s">
        <v>328</v>
      </c>
      <c r="I1197" s="52" t="s">
        <v>329</v>
      </c>
      <c r="J1197" s="52" t="s">
        <v>330</v>
      </c>
      <c r="K1197" s="52" t="s">
        <v>331</v>
      </c>
      <c r="L1197" s="52" t="s">
        <v>332</v>
      </c>
      <c r="M1197" s="53" t="s">
        <v>333</v>
      </c>
      <c r="N1197" s="52"/>
    </row>
    <row r="1198" spans="1:15" ht="18" customHeight="1">
      <c r="A1198" s="54">
        <v>1</v>
      </c>
      <c r="B1198" s="55">
        <v>20.53</v>
      </c>
      <c r="C1198" s="55" t="s">
        <v>334</v>
      </c>
      <c r="D1198" s="55" t="s">
        <v>334</v>
      </c>
      <c r="E1198" s="55">
        <v>20.527999999999999</v>
      </c>
      <c r="F1198" s="55" t="s">
        <v>334</v>
      </c>
      <c r="G1198" s="55">
        <v>20.466000000000001</v>
      </c>
      <c r="H1198" s="55">
        <v>20.456</v>
      </c>
      <c r="I1198" s="55" t="s">
        <v>334</v>
      </c>
      <c r="J1198" s="55">
        <v>20.452999999999999</v>
      </c>
      <c r="K1198" s="55">
        <v>20.611000000000001</v>
      </c>
      <c r="L1198" s="70" t="s">
        <v>334</v>
      </c>
      <c r="M1198" s="71">
        <v>20.893999999999998</v>
      </c>
      <c r="N1198" s="83">
        <v>1987</v>
      </c>
      <c r="O1198" s="47">
        <f>AVERAGE(B1198:M1228)</f>
        <v>20.568150806451644</v>
      </c>
    </row>
    <row r="1199" spans="1:15" ht="18" customHeight="1">
      <c r="A1199" s="57">
        <v>2</v>
      </c>
      <c r="B1199" s="58">
        <v>20.523</v>
      </c>
      <c r="C1199" s="58" t="s">
        <v>334</v>
      </c>
      <c r="D1199" s="58">
        <v>20.521000000000001</v>
      </c>
      <c r="E1199" s="58">
        <v>20.52</v>
      </c>
      <c r="F1199" s="58" t="s">
        <v>334</v>
      </c>
      <c r="G1199" s="58">
        <v>20.466000000000001</v>
      </c>
      <c r="H1199" s="58">
        <v>20.456</v>
      </c>
      <c r="I1199" s="58" t="s">
        <v>334</v>
      </c>
      <c r="J1199" s="58">
        <v>20.498999999999999</v>
      </c>
      <c r="K1199" s="58">
        <v>20.61</v>
      </c>
      <c r="L1199" s="72">
        <v>20.725000000000001</v>
      </c>
      <c r="M1199" s="73">
        <v>20.869</v>
      </c>
      <c r="N1199" s="58"/>
    </row>
    <row r="1200" spans="1:15" ht="18" customHeight="1">
      <c r="A1200" s="57">
        <v>3</v>
      </c>
      <c r="B1200" s="58" t="s">
        <v>334</v>
      </c>
      <c r="C1200" s="58">
        <v>20.881399999999999</v>
      </c>
      <c r="D1200" s="58">
        <v>20.527999999999999</v>
      </c>
      <c r="E1200" s="58">
        <v>20.51</v>
      </c>
      <c r="F1200" s="58" t="s">
        <v>334</v>
      </c>
      <c r="G1200" s="58">
        <v>20.466000000000001</v>
      </c>
      <c r="H1200" s="58">
        <v>20.456</v>
      </c>
      <c r="I1200" s="58">
        <v>20.440000000000001</v>
      </c>
      <c r="J1200" s="58">
        <v>20.54</v>
      </c>
      <c r="K1200" s="58" t="s">
        <v>334</v>
      </c>
      <c r="L1200" s="72">
        <v>20.725000000000001</v>
      </c>
      <c r="M1200" s="73">
        <v>20.844999999999999</v>
      </c>
      <c r="N1200" s="58"/>
    </row>
    <row r="1201" spans="1:14" ht="18" customHeight="1">
      <c r="A1201" s="57">
        <v>4</v>
      </c>
      <c r="B1201" s="58" t="s">
        <v>334</v>
      </c>
      <c r="C1201" s="58">
        <v>20.498000000000001</v>
      </c>
      <c r="D1201" s="58">
        <v>20.533999999999999</v>
      </c>
      <c r="E1201" s="58" t="s">
        <v>334</v>
      </c>
      <c r="F1201" s="58">
        <v>20.48</v>
      </c>
      <c r="G1201" s="58">
        <v>20.462</v>
      </c>
      <c r="H1201" s="58" t="s">
        <v>334</v>
      </c>
      <c r="I1201" s="58">
        <v>20.440000000000001</v>
      </c>
      <c r="J1201" s="58">
        <v>20.579000000000001</v>
      </c>
      <c r="K1201" s="58" t="s">
        <v>334</v>
      </c>
      <c r="L1201" s="58">
        <v>20.768999999999998</v>
      </c>
      <c r="M1201" s="59">
        <v>20.84</v>
      </c>
      <c r="N1201" s="58"/>
    </row>
    <row r="1202" spans="1:14" ht="18" customHeight="1">
      <c r="A1202" s="57">
        <v>5</v>
      </c>
      <c r="B1202" s="58">
        <v>20.5</v>
      </c>
      <c r="C1202" s="58">
        <v>20.498000000000001</v>
      </c>
      <c r="D1202" s="58">
        <v>20.547000000000001</v>
      </c>
      <c r="E1202" s="58" t="s">
        <v>334</v>
      </c>
      <c r="F1202" s="58">
        <v>20.48</v>
      </c>
      <c r="G1202" s="58">
        <v>20.46</v>
      </c>
      <c r="H1202" s="58" t="s">
        <v>334</v>
      </c>
      <c r="I1202" s="58">
        <v>20.440000000000001</v>
      </c>
      <c r="J1202" s="58" t="s">
        <v>334</v>
      </c>
      <c r="K1202" s="58">
        <v>20.61</v>
      </c>
      <c r="L1202" s="58">
        <v>20.768999999999998</v>
      </c>
      <c r="M1202" s="59" t="s">
        <v>334</v>
      </c>
      <c r="N1202" s="58"/>
    </row>
    <row r="1203" spans="1:14" ht="18" customHeight="1">
      <c r="A1203" s="57">
        <v>6</v>
      </c>
      <c r="B1203" s="58">
        <v>20.498999999999999</v>
      </c>
      <c r="C1203" s="58">
        <v>20.52</v>
      </c>
      <c r="D1203" s="58">
        <v>20.553999999999998</v>
      </c>
      <c r="E1203" s="58">
        <v>20.5</v>
      </c>
      <c r="F1203" s="58">
        <v>20.48</v>
      </c>
      <c r="G1203" s="58" t="s">
        <v>334</v>
      </c>
      <c r="H1203" s="58">
        <v>20.456</v>
      </c>
      <c r="I1203" s="58">
        <v>20.440000000000001</v>
      </c>
      <c r="J1203" s="58" t="s">
        <v>334</v>
      </c>
      <c r="K1203" s="58">
        <v>20.61</v>
      </c>
      <c r="L1203" s="58">
        <v>20.765000000000001</v>
      </c>
      <c r="M1203" s="59" t="s">
        <v>334</v>
      </c>
      <c r="N1203" s="58"/>
    </row>
    <row r="1204" spans="1:14" ht="18" customHeight="1">
      <c r="A1204" s="57">
        <v>7</v>
      </c>
      <c r="B1204" s="58">
        <v>20.494</v>
      </c>
      <c r="C1204" s="58" t="s">
        <v>334</v>
      </c>
      <c r="D1204" s="58" t="s">
        <v>334</v>
      </c>
      <c r="E1204" s="58">
        <v>20.5</v>
      </c>
      <c r="F1204" s="58" t="s">
        <v>334</v>
      </c>
      <c r="G1204" s="58" t="s">
        <v>334</v>
      </c>
      <c r="H1204" s="58">
        <v>20.456</v>
      </c>
      <c r="I1204" s="58">
        <v>20.440000000000001</v>
      </c>
      <c r="J1204" s="58">
        <v>20.6</v>
      </c>
      <c r="K1204" s="58">
        <v>20.61</v>
      </c>
      <c r="L1204" s="58" t="s">
        <v>334</v>
      </c>
      <c r="M1204" s="59">
        <v>20.84</v>
      </c>
      <c r="N1204" s="58"/>
    </row>
    <row r="1205" spans="1:14" ht="18" customHeight="1">
      <c r="A1205" s="57">
        <v>8</v>
      </c>
      <c r="B1205" s="58">
        <v>20.49</v>
      </c>
      <c r="C1205" s="58" t="s">
        <v>334</v>
      </c>
      <c r="D1205" s="58" t="s">
        <v>334</v>
      </c>
      <c r="E1205" s="58">
        <v>20.5</v>
      </c>
      <c r="F1205" s="58">
        <v>20.48</v>
      </c>
      <c r="G1205" s="58">
        <v>20.456</v>
      </c>
      <c r="H1205" s="58">
        <v>20.456</v>
      </c>
      <c r="I1205" s="58" t="s">
        <v>334</v>
      </c>
      <c r="J1205" s="58">
        <v>20.6</v>
      </c>
      <c r="K1205" s="58">
        <v>20.696999999999999</v>
      </c>
      <c r="L1205" s="58" t="s">
        <v>334</v>
      </c>
      <c r="M1205" s="59">
        <v>20.821000000000002</v>
      </c>
      <c r="N1205" s="58"/>
    </row>
    <row r="1206" spans="1:14" ht="18" customHeight="1">
      <c r="A1206" s="57">
        <v>9</v>
      </c>
      <c r="B1206" s="58">
        <v>20.481000000000002</v>
      </c>
      <c r="C1206" s="58">
        <v>20.558</v>
      </c>
      <c r="D1206" s="58">
        <v>20.577000000000002</v>
      </c>
      <c r="E1206" s="58">
        <v>20.518999999999998</v>
      </c>
      <c r="F1206" s="58" t="s">
        <v>334</v>
      </c>
      <c r="G1206" s="58">
        <v>20.454000000000001</v>
      </c>
      <c r="H1206" s="58">
        <v>20.456</v>
      </c>
      <c r="I1206" s="58" t="s">
        <v>334</v>
      </c>
      <c r="J1206" s="58">
        <v>20.6</v>
      </c>
      <c r="K1206" s="58">
        <v>20.85</v>
      </c>
      <c r="L1206" s="58">
        <v>20.754999999999999</v>
      </c>
      <c r="M1206" s="59">
        <v>20.8</v>
      </c>
      <c r="N1206" s="58"/>
    </row>
    <row r="1207" spans="1:14" ht="18" customHeight="1">
      <c r="A1207" s="57">
        <v>10</v>
      </c>
      <c r="B1207" s="58" t="s">
        <v>334</v>
      </c>
      <c r="C1207" s="58">
        <v>20.54</v>
      </c>
      <c r="D1207" s="58">
        <v>20.585999999999999</v>
      </c>
      <c r="E1207" s="58">
        <v>20.518999999999998</v>
      </c>
      <c r="F1207" s="58" t="s">
        <v>334</v>
      </c>
      <c r="G1207" s="58">
        <v>20.453499999999998</v>
      </c>
      <c r="H1207" s="58">
        <v>20.456</v>
      </c>
      <c r="I1207" s="58">
        <v>20.440000000000001</v>
      </c>
      <c r="J1207" s="58">
        <v>20.6</v>
      </c>
      <c r="K1207" s="58" t="s">
        <v>334</v>
      </c>
      <c r="L1207" s="58">
        <v>20.811</v>
      </c>
      <c r="M1207" s="59">
        <v>20.8</v>
      </c>
      <c r="N1207" s="58"/>
    </row>
    <row r="1208" spans="1:14" ht="18" customHeight="1">
      <c r="A1208" s="57">
        <v>11</v>
      </c>
      <c r="B1208" s="58" t="s">
        <v>334</v>
      </c>
      <c r="C1208" s="58">
        <v>20.53</v>
      </c>
      <c r="D1208" s="58">
        <v>20.577999999999999</v>
      </c>
      <c r="E1208" s="58" t="s">
        <v>334</v>
      </c>
      <c r="F1208" s="58" t="s">
        <v>334</v>
      </c>
      <c r="G1208" s="58">
        <v>20.452999999999999</v>
      </c>
      <c r="H1208" s="58" t="s">
        <v>334</v>
      </c>
      <c r="I1208" s="58">
        <v>20.436</v>
      </c>
      <c r="J1208" s="58">
        <v>20.727</v>
      </c>
      <c r="K1208" s="58" t="s">
        <v>334</v>
      </c>
      <c r="L1208" s="58">
        <v>20.811</v>
      </c>
      <c r="M1208" s="59">
        <v>20.8</v>
      </c>
      <c r="N1208" s="58"/>
    </row>
    <row r="1209" spans="1:14" ht="18" customHeight="1">
      <c r="A1209" s="57">
        <v>12</v>
      </c>
      <c r="B1209" s="58">
        <v>20.48</v>
      </c>
      <c r="C1209" s="58">
        <v>20.54</v>
      </c>
      <c r="D1209" s="58">
        <v>20.577999999999999</v>
      </c>
      <c r="E1209" s="58" t="s">
        <v>334</v>
      </c>
      <c r="F1209" s="58" t="s">
        <v>334</v>
      </c>
      <c r="G1209" s="58" t="s">
        <v>334</v>
      </c>
      <c r="H1209" s="58" t="s">
        <v>334</v>
      </c>
      <c r="I1209" s="58">
        <v>20.436</v>
      </c>
      <c r="J1209" s="58" t="s">
        <v>334</v>
      </c>
      <c r="K1209" s="58">
        <v>20.73</v>
      </c>
      <c r="L1209" s="58">
        <v>20.811</v>
      </c>
      <c r="M1209" s="59" t="s">
        <v>334</v>
      </c>
      <c r="N1209" s="58"/>
    </row>
    <row r="1210" spans="1:14" ht="18" customHeight="1">
      <c r="A1210" s="57">
        <v>13</v>
      </c>
      <c r="B1210" s="58">
        <v>20.478000000000002</v>
      </c>
      <c r="C1210" s="58">
        <v>20.535</v>
      </c>
      <c r="D1210" s="58">
        <v>20.577999999999999</v>
      </c>
      <c r="E1210" s="58">
        <v>20.518999999999998</v>
      </c>
      <c r="F1210" s="58">
        <v>20.48</v>
      </c>
      <c r="G1210" s="58" t="s">
        <v>334</v>
      </c>
      <c r="H1210" s="58">
        <v>20.454000000000001</v>
      </c>
      <c r="I1210" s="58">
        <v>20.436</v>
      </c>
      <c r="J1210" s="58" t="s">
        <v>334</v>
      </c>
      <c r="K1210" s="58">
        <v>20.73</v>
      </c>
      <c r="L1210" s="58">
        <v>20.811</v>
      </c>
      <c r="M1210" s="59" t="s">
        <v>334</v>
      </c>
      <c r="N1210" s="58"/>
    </row>
    <row r="1211" spans="1:14" ht="18" customHeight="1">
      <c r="A1211" s="57">
        <v>14</v>
      </c>
      <c r="B1211" s="58">
        <v>20.46</v>
      </c>
      <c r="C1211" s="58" t="s">
        <v>334</v>
      </c>
      <c r="D1211" s="58" t="s">
        <v>334</v>
      </c>
      <c r="E1211" s="58">
        <v>20.51</v>
      </c>
      <c r="F1211" s="58">
        <v>20.478000000000002</v>
      </c>
      <c r="G1211" s="58" t="s">
        <v>334</v>
      </c>
      <c r="H1211" s="58">
        <v>20.452999999999999</v>
      </c>
      <c r="I1211" s="58">
        <v>20.436</v>
      </c>
      <c r="J1211" s="58">
        <v>20.722999999999999</v>
      </c>
      <c r="K1211" s="58">
        <v>20.73</v>
      </c>
      <c r="L1211" s="58" t="s">
        <v>334</v>
      </c>
      <c r="M1211" s="59">
        <v>20.8</v>
      </c>
      <c r="N1211" s="58"/>
    </row>
    <row r="1212" spans="1:14" ht="18" customHeight="1">
      <c r="A1212" s="57">
        <v>15</v>
      </c>
      <c r="B1212" s="58">
        <v>20.454999999999998</v>
      </c>
      <c r="C1212" s="58" t="s">
        <v>334</v>
      </c>
      <c r="D1212" s="58" t="s">
        <v>334</v>
      </c>
      <c r="E1212" s="58">
        <v>20.51</v>
      </c>
      <c r="F1212" s="58">
        <v>20.478000000000002</v>
      </c>
      <c r="G1212" s="58">
        <v>20.452999999999999</v>
      </c>
      <c r="H1212" s="58">
        <v>20.452999999999999</v>
      </c>
      <c r="I1212" s="58" t="s">
        <v>334</v>
      </c>
      <c r="J1212" s="58">
        <v>20.635999999999999</v>
      </c>
      <c r="K1212" s="58">
        <v>20.73</v>
      </c>
      <c r="L1212" s="58" t="s">
        <v>334</v>
      </c>
      <c r="M1212" s="59">
        <v>20.8</v>
      </c>
      <c r="N1212" s="58"/>
    </row>
    <row r="1213" spans="1:14" ht="18" customHeight="1">
      <c r="A1213" s="57">
        <v>16</v>
      </c>
      <c r="B1213" s="58">
        <v>20.440000000000001</v>
      </c>
      <c r="C1213" s="58">
        <v>20.524999999999999</v>
      </c>
      <c r="D1213" s="58">
        <v>20.577999999999999</v>
      </c>
      <c r="E1213" s="58" t="s">
        <v>334</v>
      </c>
      <c r="F1213" s="58" t="s">
        <v>334</v>
      </c>
      <c r="G1213" s="58">
        <v>20.452999999999999</v>
      </c>
      <c r="H1213" s="58">
        <v>20.451000000000001</v>
      </c>
      <c r="I1213" s="58" t="s">
        <v>334</v>
      </c>
      <c r="J1213" s="58">
        <v>20.631</v>
      </c>
      <c r="K1213" s="58">
        <v>20.73</v>
      </c>
      <c r="L1213" s="58">
        <v>20.803000000000001</v>
      </c>
      <c r="M1213" s="59">
        <v>20.8</v>
      </c>
      <c r="N1213" s="58"/>
    </row>
    <row r="1214" spans="1:14" ht="18" customHeight="1">
      <c r="A1214" s="57">
        <v>17</v>
      </c>
      <c r="B1214" s="58" t="s">
        <v>334</v>
      </c>
      <c r="C1214" s="58">
        <v>20.523</v>
      </c>
      <c r="D1214" s="58">
        <v>20.577000000000002</v>
      </c>
      <c r="E1214" s="58" t="s">
        <v>334</v>
      </c>
      <c r="F1214" s="58" t="s">
        <v>334</v>
      </c>
      <c r="G1214" s="58">
        <v>20.452999999999999</v>
      </c>
      <c r="H1214" s="58">
        <v>20.448</v>
      </c>
      <c r="I1214" s="58">
        <v>20.436</v>
      </c>
      <c r="J1214" s="58">
        <v>20.623000000000001</v>
      </c>
      <c r="K1214" s="58" t="s">
        <v>334</v>
      </c>
      <c r="L1214" s="58">
        <v>20.803000000000001</v>
      </c>
      <c r="M1214" s="59">
        <v>20.8</v>
      </c>
      <c r="N1214" s="58"/>
    </row>
    <row r="1215" spans="1:14" ht="18" customHeight="1">
      <c r="A1215" s="57">
        <v>18</v>
      </c>
      <c r="B1215" s="58" t="s">
        <v>334</v>
      </c>
      <c r="C1215" s="58">
        <v>20.524999999999999</v>
      </c>
      <c r="D1215" s="58">
        <v>20.568999999999999</v>
      </c>
      <c r="E1215" s="58" t="s">
        <v>334</v>
      </c>
      <c r="F1215" s="58">
        <v>20.477</v>
      </c>
      <c r="G1215" s="58">
        <v>20.452999999999999</v>
      </c>
      <c r="H1215" s="58" t="s">
        <v>334</v>
      </c>
      <c r="I1215" s="58">
        <v>20.436</v>
      </c>
      <c r="J1215" s="58">
        <v>20.6</v>
      </c>
      <c r="K1215" s="58" t="s">
        <v>334</v>
      </c>
      <c r="L1215" s="58">
        <v>20.832999999999998</v>
      </c>
      <c r="M1215" s="59">
        <v>20.795999999999999</v>
      </c>
      <c r="N1215" s="58"/>
    </row>
    <row r="1216" spans="1:14" ht="18" customHeight="1">
      <c r="A1216" s="57">
        <v>19</v>
      </c>
      <c r="B1216" s="58">
        <v>20.437999999999999</v>
      </c>
      <c r="C1216" s="58">
        <v>20.524999999999999</v>
      </c>
      <c r="D1216" s="58">
        <v>20.559000000000001</v>
      </c>
      <c r="E1216" s="58" t="s">
        <v>334</v>
      </c>
      <c r="F1216" s="58">
        <v>20.475000000000001</v>
      </c>
      <c r="G1216" s="58">
        <v>20.452999999999999</v>
      </c>
      <c r="H1216" s="58" t="s">
        <v>334</v>
      </c>
      <c r="I1216" s="58">
        <v>20.434999999999999</v>
      </c>
      <c r="J1216" s="58" t="s">
        <v>334</v>
      </c>
      <c r="K1216" s="58">
        <v>20.73</v>
      </c>
      <c r="L1216" s="58">
        <v>20.896999999999998</v>
      </c>
      <c r="M1216" s="59" t="s">
        <v>334</v>
      </c>
      <c r="N1216" s="58"/>
    </row>
    <row r="1217" spans="1:15" ht="18" customHeight="1">
      <c r="A1217" s="57">
        <v>20</v>
      </c>
      <c r="B1217" s="58">
        <v>20.437999999999999</v>
      </c>
      <c r="C1217" s="58">
        <v>20.526</v>
      </c>
      <c r="D1217" s="58">
        <v>20.556000000000001</v>
      </c>
      <c r="E1217" s="58">
        <v>20.507000000000001</v>
      </c>
      <c r="F1217" s="58">
        <v>20.47</v>
      </c>
      <c r="G1217" s="58" t="s">
        <v>334</v>
      </c>
      <c r="H1217" s="58">
        <v>20.448</v>
      </c>
      <c r="I1217" s="58">
        <v>20.434999999999999</v>
      </c>
      <c r="J1217" s="58" t="s">
        <v>334</v>
      </c>
      <c r="K1217" s="58">
        <v>20.73</v>
      </c>
      <c r="L1217" s="58">
        <v>20.832999999999998</v>
      </c>
      <c r="M1217" s="59" t="s">
        <v>334</v>
      </c>
      <c r="N1217" s="58"/>
    </row>
    <row r="1218" spans="1:15" ht="18" customHeight="1">
      <c r="A1218" s="57">
        <v>21</v>
      </c>
      <c r="B1218" s="58">
        <v>20.434000000000001</v>
      </c>
      <c r="C1218" s="58" t="s">
        <v>334</v>
      </c>
      <c r="D1218" s="58" t="s">
        <v>334</v>
      </c>
      <c r="E1218" s="58">
        <v>20.507000000000001</v>
      </c>
      <c r="F1218" s="58">
        <v>20.469000000000001</v>
      </c>
      <c r="G1218" s="58" t="s">
        <v>334</v>
      </c>
      <c r="H1218" s="58">
        <v>20.448</v>
      </c>
      <c r="I1218" s="58">
        <v>20.434999999999999</v>
      </c>
      <c r="J1218" s="58">
        <v>20.6</v>
      </c>
      <c r="K1218" s="58">
        <v>20.73</v>
      </c>
      <c r="L1218" s="58" t="s">
        <v>334</v>
      </c>
      <c r="M1218" s="59">
        <v>20.795999999999999</v>
      </c>
      <c r="N1218" s="58"/>
    </row>
    <row r="1219" spans="1:15" ht="18" customHeight="1">
      <c r="A1219" s="57">
        <v>22</v>
      </c>
      <c r="B1219" s="58">
        <v>20.428000000000001</v>
      </c>
      <c r="C1219" s="58" t="s">
        <v>334</v>
      </c>
      <c r="D1219" s="58" t="s">
        <v>334</v>
      </c>
      <c r="E1219" s="58">
        <v>20.504999999999999</v>
      </c>
      <c r="F1219" s="58">
        <v>20.468</v>
      </c>
      <c r="G1219" s="58">
        <v>20.452999999999999</v>
      </c>
      <c r="H1219" s="58">
        <v>20.446999999999999</v>
      </c>
      <c r="I1219" s="58" t="s">
        <v>334</v>
      </c>
      <c r="J1219" s="58">
        <v>20.6</v>
      </c>
      <c r="K1219" s="58">
        <v>20.73</v>
      </c>
      <c r="L1219" s="58" t="s">
        <v>334</v>
      </c>
      <c r="M1219" s="59">
        <v>20.8</v>
      </c>
      <c r="N1219" s="58"/>
    </row>
    <row r="1220" spans="1:15" ht="18" customHeight="1">
      <c r="A1220" s="57">
        <v>23</v>
      </c>
      <c r="B1220" s="58">
        <v>20.428000000000001</v>
      </c>
      <c r="C1220" s="58">
        <v>20.527000000000001</v>
      </c>
      <c r="D1220" s="58">
        <v>20.541</v>
      </c>
      <c r="E1220" s="58">
        <v>20.498999999999999</v>
      </c>
      <c r="F1220" s="58" t="s">
        <v>334</v>
      </c>
      <c r="G1220" s="58">
        <v>20.452999999999999</v>
      </c>
      <c r="H1220" s="58">
        <v>20.443999999999999</v>
      </c>
      <c r="I1220" s="58" t="s">
        <v>334</v>
      </c>
      <c r="J1220" s="58">
        <v>20.600999999999999</v>
      </c>
      <c r="K1220" s="58">
        <v>20.73</v>
      </c>
      <c r="L1220" s="58">
        <v>20.832999999999998</v>
      </c>
      <c r="M1220" s="59">
        <v>20.8</v>
      </c>
      <c r="N1220" s="58"/>
    </row>
    <row r="1221" spans="1:15" ht="18" customHeight="1">
      <c r="A1221" s="57">
        <v>24</v>
      </c>
      <c r="B1221" s="58" t="s">
        <v>334</v>
      </c>
      <c r="C1221" s="58">
        <v>20.51</v>
      </c>
      <c r="D1221" s="58">
        <v>20.541</v>
      </c>
      <c r="E1221" s="58">
        <v>20.495000000000001</v>
      </c>
      <c r="F1221" s="58" t="s">
        <v>334</v>
      </c>
      <c r="G1221" s="58">
        <v>20.452999999999999</v>
      </c>
      <c r="H1221" s="58">
        <v>20.443999999999999</v>
      </c>
      <c r="I1221" s="58">
        <v>20.434999999999999</v>
      </c>
      <c r="J1221" s="58">
        <v>20.6</v>
      </c>
      <c r="K1221" s="58" t="s">
        <v>334</v>
      </c>
      <c r="L1221" s="58">
        <v>20.937999999999999</v>
      </c>
      <c r="M1221" s="59">
        <v>20.797000000000001</v>
      </c>
      <c r="N1221" s="58"/>
    </row>
    <row r="1222" spans="1:15" ht="18" customHeight="1">
      <c r="A1222" s="57">
        <v>25</v>
      </c>
      <c r="B1222" s="58" t="s">
        <v>334</v>
      </c>
      <c r="C1222" s="58" t="s">
        <v>334</v>
      </c>
      <c r="D1222" s="58">
        <v>20.550999999999998</v>
      </c>
      <c r="E1222" s="58" t="s">
        <v>334</v>
      </c>
      <c r="F1222" s="58">
        <v>20.466000000000001</v>
      </c>
      <c r="G1222" s="58">
        <v>20.456</v>
      </c>
      <c r="H1222" s="58" t="s">
        <v>334</v>
      </c>
      <c r="I1222" s="58">
        <v>20.434999999999999</v>
      </c>
      <c r="J1222" s="58">
        <v>20.6</v>
      </c>
      <c r="K1222" s="58" t="s">
        <v>334</v>
      </c>
      <c r="L1222" s="58">
        <v>20.896000000000001</v>
      </c>
      <c r="M1222" s="59" t="s">
        <v>334</v>
      </c>
      <c r="N1222" s="58"/>
    </row>
    <row r="1223" spans="1:15" ht="18" customHeight="1">
      <c r="A1223" s="57">
        <v>26</v>
      </c>
      <c r="B1223" s="58">
        <v>20.43</v>
      </c>
      <c r="C1223" s="58">
        <v>20.513000000000002</v>
      </c>
      <c r="D1223" s="58">
        <v>20.555</v>
      </c>
      <c r="E1223" s="58" t="s">
        <v>334</v>
      </c>
      <c r="F1223" s="58">
        <v>20.466000000000001</v>
      </c>
      <c r="G1223" s="58">
        <v>20.456</v>
      </c>
      <c r="H1223" s="58" t="s">
        <v>334</v>
      </c>
      <c r="I1223" s="58">
        <v>20.436</v>
      </c>
      <c r="J1223" s="58" t="s">
        <v>334</v>
      </c>
      <c r="K1223" s="58">
        <v>20.73</v>
      </c>
      <c r="L1223" s="58" t="s">
        <v>334</v>
      </c>
      <c r="M1223" s="59" t="s">
        <v>334</v>
      </c>
      <c r="N1223" s="58"/>
    </row>
    <row r="1224" spans="1:15" ht="18" customHeight="1">
      <c r="A1224" s="57">
        <v>27</v>
      </c>
      <c r="B1224" s="58">
        <v>20.437999999999999</v>
      </c>
      <c r="C1224" s="58">
        <v>20.51</v>
      </c>
      <c r="D1224" s="58">
        <v>20.555</v>
      </c>
      <c r="E1224" s="58">
        <v>20.49</v>
      </c>
      <c r="F1224" s="58">
        <v>20.466000000000001</v>
      </c>
      <c r="G1224" s="58" t="s">
        <v>334</v>
      </c>
      <c r="H1224" s="58">
        <v>20.443000000000001</v>
      </c>
      <c r="I1224" s="58">
        <v>20.440000000000001</v>
      </c>
      <c r="J1224" s="58" t="s">
        <v>334</v>
      </c>
      <c r="K1224" s="58">
        <v>20.73</v>
      </c>
      <c r="L1224" s="58">
        <v>20.876999999999999</v>
      </c>
      <c r="M1224" s="59" t="s">
        <v>334</v>
      </c>
      <c r="N1224" s="58"/>
    </row>
    <row r="1225" spans="1:15" ht="18" customHeight="1">
      <c r="A1225" s="57">
        <v>28</v>
      </c>
      <c r="B1225" s="58">
        <v>20.45</v>
      </c>
      <c r="C1225" s="58" t="s">
        <v>334</v>
      </c>
      <c r="D1225" s="58" t="s">
        <v>334</v>
      </c>
      <c r="E1225" s="58">
        <v>20.49</v>
      </c>
      <c r="F1225" s="58">
        <v>20.466000000000001</v>
      </c>
      <c r="G1225" s="58" t="s">
        <v>334</v>
      </c>
      <c r="H1225" s="58">
        <v>20.443000000000001</v>
      </c>
      <c r="I1225" s="58">
        <v>20.452999999999999</v>
      </c>
      <c r="J1225" s="58">
        <v>20.6</v>
      </c>
      <c r="K1225" s="58">
        <v>20.728999999999999</v>
      </c>
      <c r="L1225" s="58" t="s">
        <v>334</v>
      </c>
      <c r="M1225" s="59">
        <v>20.797000000000001</v>
      </c>
      <c r="N1225" s="58"/>
    </row>
    <row r="1226" spans="1:15" ht="18" customHeight="1">
      <c r="A1226" s="57">
        <v>29</v>
      </c>
      <c r="B1226" s="58">
        <v>20.46</v>
      </c>
      <c r="C1226" s="58" t="s">
        <v>335</v>
      </c>
      <c r="D1226" s="58" t="s">
        <v>334</v>
      </c>
      <c r="E1226" s="58">
        <v>20.484000000000002</v>
      </c>
      <c r="F1226" s="58">
        <v>20.466000000000001</v>
      </c>
      <c r="G1226" s="58">
        <v>20.456</v>
      </c>
      <c r="H1226" s="58">
        <v>20.443000000000001</v>
      </c>
      <c r="I1226" s="58" t="s">
        <v>334</v>
      </c>
      <c r="J1226" s="58">
        <v>20.6</v>
      </c>
      <c r="K1226" s="58">
        <v>20.725000000000001</v>
      </c>
      <c r="L1226" s="58" t="s">
        <v>334</v>
      </c>
      <c r="M1226" s="59">
        <v>20.8</v>
      </c>
      <c r="N1226" s="58"/>
    </row>
    <row r="1227" spans="1:15" ht="18" customHeight="1">
      <c r="A1227" s="57">
        <v>30</v>
      </c>
      <c r="B1227" s="58">
        <v>20.477499999999999</v>
      </c>
      <c r="C1227" s="58" t="s">
        <v>335</v>
      </c>
      <c r="D1227" s="58">
        <v>20.555</v>
      </c>
      <c r="E1227" s="58">
        <v>20.484000000000002</v>
      </c>
      <c r="F1227" s="58" t="s">
        <v>334</v>
      </c>
      <c r="G1227" s="58">
        <v>20.456</v>
      </c>
      <c r="H1227" s="58">
        <v>20.443000000000001</v>
      </c>
      <c r="I1227" s="58" t="s">
        <v>334</v>
      </c>
      <c r="J1227" s="58">
        <v>20.6</v>
      </c>
      <c r="K1227" s="58">
        <v>20.725000000000001</v>
      </c>
      <c r="L1227" s="58" t="s">
        <v>334</v>
      </c>
      <c r="M1227" s="59">
        <v>20.8</v>
      </c>
      <c r="N1227" s="58"/>
    </row>
    <row r="1228" spans="1:15" ht="18" customHeight="1">
      <c r="A1228" s="57">
        <v>31</v>
      </c>
      <c r="B1228" s="58" t="s">
        <v>334</v>
      </c>
      <c r="C1228" s="58" t="s">
        <v>335</v>
      </c>
      <c r="D1228" s="58">
        <v>20.55</v>
      </c>
      <c r="E1228" s="58" t="s">
        <v>335</v>
      </c>
      <c r="F1228" s="58" t="s">
        <v>334</v>
      </c>
      <c r="G1228" s="58" t="s">
        <v>335</v>
      </c>
      <c r="H1228" s="58">
        <v>20.440000000000001</v>
      </c>
      <c r="I1228" s="58">
        <v>20.452999999999999</v>
      </c>
      <c r="J1228" s="58" t="s">
        <v>335</v>
      </c>
      <c r="K1228" s="58" t="s">
        <v>334</v>
      </c>
      <c r="L1228" s="58" t="s">
        <v>335</v>
      </c>
      <c r="M1228" s="59" t="s">
        <v>334</v>
      </c>
      <c r="N1228" s="58"/>
    </row>
    <row r="1229" spans="1:15" ht="18" customHeight="1" thickBot="1">
      <c r="A1229" s="76"/>
      <c r="B1229" s="77"/>
      <c r="C1229" s="77"/>
      <c r="D1229" s="77"/>
      <c r="E1229" s="77"/>
      <c r="F1229" s="77"/>
      <c r="G1229" s="77"/>
      <c r="H1229" s="77"/>
      <c r="I1229" s="77"/>
      <c r="J1229" s="77"/>
      <c r="K1229" s="77"/>
      <c r="L1229" s="77"/>
      <c r="M1229" s="78"/>
      <c r="N1229" s="58"/>
    </row>
    <row r="1230" spans="1:15" ht="18" customHeight="1">
      <c r="A1230" s="618">
        <v>1986</v>
      </c>
      <c r="B1230" s="619"/>
      <c r="C1230" s="619"/>
      <c r="D1230" s="619"/>
      <c r="E1230" s="619"/>
      <c r="F1230" s="619"/>
      <c r="G1230" s="619"/>
      <c r="H1230" s="619"/>
      <c r="I1230" s="619"/>
      <c r="J1230" s="619"/>
      <c r="K1230" s="619"/>
      <c r="L1230" s="619"/>
      <c r="M1230" s="620"/>
      <c r="N1230" s="52"/>
    </row>
    <row r="1231" spans="1:15" ht="18" customHeight="1" thickBot="1">
      <c r="A1231" s="63" t="s">
        <v>322</v>
      </c>
      <c r="B1231" s="64" t="s">
        <v>323</v>
      </c>
      <c r="C1231" s="64" t="s">
        <v>324</v>
      </c>
      <c r="D1231" s="64" t="s">
        <v>325</v>
      </c>
      <c r="E1231" s="64" t="s">
        <v>326</v>
      </c>
      <c r="F1231" s="64" t="s">
        <v>236</v>
      </c>
      <c r="G1231" s="64" t="s">
        <v>327</v>
      </c>
      <c r="H1231" s="64" t="s">
        <v>328</v>
      </c>
      <c r="I1231" s="64" t="s">
        <v>329</v>
      </c>
      <c r="J1231" s="64" t="s">
        <v>330</v>
      </c>
      <c r="K1231" s="64" t="s">
        <v>331</v>
      </c>
      <c r="L1231" s="64" t="s">
        <v>332</v>
      </c>
      <c r="M1231" s="65" t="s">
        <v>333</v>
      </c>
      <c r="N1231" s="52"/>
    </row>
    <row r="1232" spans="1:15" ht="18" customHeight="1">
      <c r="A1232" s="54">
        <v>1</v>
      </c>
      <c r="B1232" s="55" t="s">
        <v>334</v>
      </c>
      <c r="C1232" s="55" t="s">
        <v>334</v>
      </c>
      <c r="D1232" s="55" t="s">
        <v>334</v>
      </c>
      <c r="E1232" s="55">
        <v>20.518999999999998</v>
      </c>
      <c r="F1232" s="55" t="s">
        <v>334</v>
      </c>
      <c r="G1232" s="55" t="s">
        <v>334</v>
      </c>
      <c r="H1232" s="55">
        <v>20.56</v>
      </c>
      <c r="I1232" s="55">
        <v>20.423999999999999</v>
      </c>
      <c r="J1232" s="55">
        <v>20.47</v>
      </c>
      <c r="K1232" s="55">
        <v>20.440000000000001</v>
      </c>
      <c r="L1232" s="70" t="s">
        <v>334</v>
      </c>
      <c r="M1232" s="71" t="s">
        <v>334</v>
      </c>
      <c r="N1232" s="83">
        <v>1986</v>
      </c>
      <c r="O1232" s="47">
        <f>AVERAGE(B1232:M1262)</f>
        <v>20.374255186722003</v>
      </c>
    </row>
    <row r="1233" spans="1:14" ht="18" customHeight="1">
      <c r="A1233" s="57">
        <v>2</v>
      </c>
      <c r="B1233" s="58">
        <v>19</v>
      </c>
      <c r="C1233" s="58" t="s">
        <v>334</v>
      </c>
      <c r="D1233" s="58" t="s">
        <v>334</v>
      </c>
      <c r="E1233" s="58">
        <v>20.509</v>
      </c>
      <c r="F1233" s="58">
        <v>20.5</v>
      </c>
      <c r="G1233" s="58">
        <v>20.501999999999999</v>
      </c>
      <c r="H1233" s="58">
        <v>20.55</v>
      </c>
      <c r="I1233" s="58" t="s">
        <v>334</v>
      </c>
      <c r="J1233" s="58" t="s">
        <v>334</v>
      </c>
      <c r="K1233" s="58">
        <v>20.440000000000001</v>
      </c>
      <c r="L1233" s="72" t="s">
        <v>334</v>
      </c>
      <c r="M1233" s="73">
        <v>20.454999999999998</v>
      </c>
      <c r="N1233" s="58"/>
    </row>
    <row r="1234" spans="1:14" ht="18" customHeight="1">
      <c r="A1234" s="57">
        <v>3</v>
      </c>
      <c r="B1234" s="58">
        <v>19</v>
      </c>
      <c r="C1234" s="58">
        <v>19.149999999999999</v>
      </c>
      <c r="D1234" s="58">
        <v>21.872</v>
      </c>
      <c r="E1234" s="58">
        <v>20.507999999999999</v>
      </c>
      <c r="F1234" s="58" t="s">
        <v>334</v>
      </c>
      <c r="G1234" s="58">
        <v>20.503</v>
      </c>
      <c r="H1234" s="58">
        <v>20.536000000000001</v>
      </c>
      <c r="I1234" s="58" t="s">
        <v>334</v>
      </c>
      <c r="J1234" s="58">
        <v>20.47</v>
      </c>
      <c r="K1234" s="58">
        <v>20.437999999999999</v>
      </c>
      <c r="L1234" s="72">
        <v>20.436</v>
      </c>
      <c r="M1234" s="73">
        <v>20.456</v>
      </c>
      <c r="N1234" s="58"/>
    </row>
    <row r="1235" spans="1:14" ht="18" customHeight="1">
      <c r="A1235" s="57">
        <v>4</v>
      </c>
      <c r="B1235" s="58" t="s">
        <v>334</v>
      </c>
      <c r="C1235" s="58">
        <v>19.175000000000001</v>
      </c>
      <c r="D1235" s="58">
        <v>21.672999999999998</v>
      </c>
      <c r="E1235" s="58">
        <v>20.507000000000001</v>
      </c>
      <c r="F1235" s="58" t="s">
        <v>334</v>
      </c>
      <c r="G1235" s="58">
        <v>20.504000000000001</v>
      </c>
      <c r="H1235" s="58" t="s">
        <v>334</v>
      </c>
      <c r="I1235" s="58">
        <v>20.422000000000001</v>
      </c>
      <c r="J1235" s="58">
        <v>20.512</v>
      </c>
      <c r="K1235" s="58" t="s">
        <v>334</v>
      </c>
      <c r="L1235" s="58">
        <v>20.436</v>
      </c>
      <c r="M1235" s="59">
        <v>20.478000000000002</v>
      </c>
      <c r="N1235" s="58"/>
    </row>
    <row r="1236" spans="1:14" ht="18" customHeight="1">
      <c r="A1236" s="57">
        <v>5</v>
      </c>
      <c r="B1236" s="58" t="s">
        <v>334</v>
      </c>
      <c r="C1236" s="58">
        <v>19.3</v>
      </c>
      <c r="D1236" s="58">
        <v>21.268000000000001</v>
      </c>
      <c r="E1236" s="58" t="s">
        <v>334</v>
      </c>
      <c r="F1236" s="58">
        <v>20.5</v>
      </c>
      <c r="G1236" s="58">
        <v>20.504000000000001</v>
      </c>
      <c r="H1236" s="58" t="s">
        <v>334</v>
      </c>
      <c r="I1236" s="58">
        <v>20.422000000000001</v>
      </c>
      <c r="J1236" s="58">
        <v>20.533000000000001</v>
      </c>
      <c r="K1236" s="58" t="s">
        <v>334</v>
      </c>
      <c r="L1236" s="58">
        <v>20.436</v>
      </c>
      <c r="M1236" s="59">
        <v>20.495999999999999</v>
      </c>
      <c r="N1236" s="58"/>
    </row>
    <row r="1237" spans="1:14" ht="18" customHeight="1">
      <c r="A1237" s="57">
        <v>6</v>
      </c>
      <c r="B1237" s="58">
        <v>19</v>
      </c>
      <c r="C1237" s="58" t="s">
        <v>334</v>
      </c>
      <c r="D1237" s="58">
        <v>20.760999999999999</v>
      </c>
      <c r="E1237" s="58" t="s">
        <v>334</v>
      </c>
      <c r="F1237" s="58" t="s">
        <v>334</v>
      </c>
      <c r="G1237" s="58">
        <v>20.52</v>
      </c>
      <c r="H1237" s="58" t="s">
        <v>334</v>
      </c>
      <c r="I1237" s="58">
        <v>20.420000000000002</v>
      </c>
      <c r="J1237" s="58" t="s">
        <v>334</v>
      </c>
      <c r="K1237" s="58">
        <v>20.437999999999999</v>
      </c>
      <c r="L1237" s="58">
        <v>20.436</v>
      </c>
      <c r="M1237" s="59" t="s">
        <v>334</v>
      </c>
      <c r="N1237" s="58"/>
    </row>
    <row r="1238" spans="1:14" ht="18" customHeight="1">
      <c r="A1238" s="57">
        <v>7</v>
      </c>
      <c r="B1238" s="58">
        <v>19.010999999999999</v>
      </c>
      <c r="C1238" s="58" t="s">
        <v>334</v>
      </c>
      <c r="D1238" s="58">
        <v>20.678999999999998</v>
      </c>
      <c r="E1238" s="58">
        <v>20.507000000000001</v>
      </c>
      <c r="F1238" s="58">
        <v>20.5</v>
      </c>
      <c r="G1238" s="58" t="s">
        <v>334</v>
      </c>
      <c r="H1238" s="58">
        <v>20.509</v>
      </c>
      <c r="I1238" s="58">
        <v>20.420000000000002</v>
      </c>
      <c r="J1238" s="58" t="s">
        <v>334</v>
      </c>
      <c r="K1238" s="58">
        <v>20.437999999999999</v>
      </c>
      <c r="L1238" s="58">
        <v>20.436</v>
      </c>
      <c r="M1238" s="59" t="s">
        <v>334</v>
      </c>
      <c r="N1238" s="58"/>
    </row>
    <row r="1239" spans="1:14" ht="18" customHeight="1">
      <c r="A1239" s="57">
        <v>8</v>
      </c>
      <c r="B1239" s="58">
        <v>19.024000000000001</v>
      </c>
      <c r="C1239" s="58" t="s">
        <v>334</v>
      </c>
      <c r="D1239" s="58" t="s">
        <v>334</v>
      </c>
      <c r="E1239" s="58">
        <v>20.506</v>
      </c>
      <c r="F1239" s="58">
        <v>20.5</v>
      </c>
      <c r="G1239" s="58" t="s">
        <v>334</v>
      </c>
      <c r="H1239" s="58">
        <v>20.484000000000002</v>
      </c>
      <c r="I1239" s="58">
        <v>20.420000000000002</v>
      </c>
      <c r="J1239" s="58">
        <v>20.536999999999999</v>
      </c>
      <c r="K1239" s="58">
        <v>20.437999999999999</v>
      </c>
      <c r="L1239" s="58" t="s">
        <v>334</v>
      </c>
      <c r="M1239" s="59">
        <v>20.451000000000001</v>
      </c>
      <c r="N1239" s="58"/>
    </row>
    <row r="1240" spans="1:14" ht="18" customHeight="1">
      <c r="A1240" s="57">
        <v>9</v>
      </c>
      <c r="B1240" s="58">
        <v>19.010000000000002</v>
      </c>
      <c r="C1240" s="58" t="s">
        <v>334</v>
      </c>
      <c r="D1240" s="58" t="s">
        <v>334</v>
      </c>
      <c r="E1240" s="58">
        <v>20.506</v>
      </c>
      <c r="F1240" s="58">
        <v>20.5</v>
      </c>
      <c r="G1240" s="58">
        <v>20.52</v>
      </c>
      <c r="H1240" s="58">
        <v>20.460999999999999</v>
      </c>
      <c r="I1240" s="58" t="s">
        <v>334</v>
      </c>
      <c r="J1240" s="58">
        <v>20.538</v>
      </c>
      <c r="K1240" s="58">
        <v>20.437999999999999</v>
      </c>
      <c r="L1240" s="58" t="s">
        <v>334</v>
      </c>
      <c r="M1240" s="59">
        <v>20.501000000000001</v>
      </c>
      <c r="N1240" s="58"/>
    </row>
    <row r="1241" spans="1:14" ht="18" customHeight="1">
      <c r="A1241" s="57">
        <v>10</v>
      </c>
      <c r="B1241" s="58">
        <v>19.007999999999999</v>
      </c>
      <c r="C1241" s="58">
        <v>19.222000000000001</v>
      </c>
      <c r="D1241" s="58">
        <v>20.594999999999999</v>
      </c>
      <c r="E1241" s="58">
        <v>20.506</v>
      </c>
      <c r="F1241" s="58" t="s">
        <v>334</v>
      </c>
      <c r="G1241" s="58">
        <v>20.52</v>
      </c>
      <c r="H1241" s="58" t="s">
        <v>334</v>
      </c>
      <c r="I1241" s="58" t="s">
        <v>334</v>
      </c>
      <c r="J1241" s="58">
        <v>20.533999999999999</v>
      </c>
      <c r="K1241" s="58">
        <v>20.437999999999999</v>
      </c>
      <c r="L1241" s="58">
        <v>20.436</v>
      </c>
      <c r="M1241" s="59">
        <v>20.51</v>
      </c>
      <c r="N1241" s="58"/>
    </row>
    <row r="1242" spans="1:14" ht="18" customHeight="1">
      <c r="A1242" s="57">
        <v>11</v>
      </c>
      <c r="B1242" s="58" t="s">
        <v>334</v>
      </c>
      <c r="C1242" s="58">
        <v>19.239000000000001</v>
      </c>
      <c r="D1242" s="58">
        <v>20.55</v>
      </c>
      <c r="E1242" s="58">
        <v>20.506</v>
      </c>
      <c r="F1242" s="58" t="s">
        <v>334</v>
      </c>
      <c r="G1242" s="58">
        <v>20.52</v>
      </c>
      <c r="H1242" s="58">
        <v>20.442</v>
      </c>
      <c r="I1242" s="58">
        <v>20.420000000000002</v>
      </c>
      <c r="J1242" s="58">
        <v>20.431000000000001</v>
      </c>
      <c r="K1242" s="58" t="s">
        <v>334</v>
      </c>
      <c r="L1242" s="58">
        <v>20.436</v>
      </c>
      <c r="M1242" s="59">
        <v>20.517499999999998</v>
      </c>
      <c r="N1242" s="58"/>
    </row>
    <row r="1243" spans="1:14" ht="18" customHeight="1">
      <c r="A1243" s="57">
        <v>12</v>
      </c>
      <c r="B1243" s="58" t="s">
        <v>334</v>
      </c>
      <c r="C1243" s="58">
        <v>19.273</v>
      </c>
      <c r="D1243" s="58">
        <v>20.556000000000001</v>
      </c>
      <c r="E1243" s="58" t="s">
        <v>334</v>
      </c>
      <c r="F1243" s="58">
        <v>20.5</v>
      </c>
      <c r="G1243" s="58" t="s">
        <v>334</v>
      </c>
      <c r="H1243" s="58" t="s">
        <v>334</v>
      </c>
      <c r="I1243" s="58">
        <v>20.420000000000002</v>
      </c>
      <c r="J1243" s="58">
        <v>20.530999999999999</v>
      </c>
      <c r="K1243" s="58" t="s">
        <v>334</v>
      </c>
      <c r="L1243" s="58">
        <v>20.436</v>
      </c>
      <c r="M1243" s="59">
        <v>20.524999999999999</v>
      </c>
      <c r="N1243" s="58"/>
    </row>
    <row r="1244" spans="1:14" ht="18" customHeight="1">
      <c r="A1244" s="57">
        <v>13</v>
      </c>
      <c r="B1244" s="58">
        <v>19.015000000000001</v>
      </c>
      <c r="C1244" s="58">
        <v>20</v>
      </c>
      <c r="D1244" s="58">
        <v>20.65</v>
      </c>
      <c r="E1244" s="58" t="s">
        <v>334</v>
      </c>
      <c r="F1244" s="58">
        <v>20.5</v>
      </c>
      <c r="G1244" s="58">
        <v>20.6</v>
      </c>
      <c r="H1244" s="58" t="s">
        <v>334</v>
      </c>
      <c r="I1244" s="58">
        <v>20.420000000000002</v>
      </c>
      <c r="J1244" s="58" t="s">
        <v>334</v>
      </c>
      <c r="K1244" s="58">
        <v>20.437999999999999</v>
      </c>
      <c r="L1244" s="58">
        <v>20.436</v>
      </c>
      <c r="M1244" s="59" t="s">
        <v>334</v>
      </c>
      <c r="N1244" s="58"/>
    </row>
    <row r="1245" spans="1:14" ht="18" customHeight="1">
      <c r="A1245" s="57">
        <v>14</v>
      </c>
      <c r="B1245" s="58">
        <v>19.015000000000001</v>
      </c>
      <c r="C1245" s="58">
        <v>20</v>
      </c>
      <c r="D1245" s="58">
        <v>20.640999999999998</v>
      </c>
      <c r="E1245" s="58">
        <v>20.505500000000001</v>
      </c>
      <c r="F1245" s="58">
        <v>20.5</v>
      </c>
      <c r="G1245" s="58" t="s">
        <v>334</v>
      </c>
      <c r="H1245" s="58">
        <v>20.434999999999999</v>
      </c>
      <c r="I1245" s="58">
        <v>20.420000000000002</v>
      </c>
      <c r="J1245" s="58" t="s">
        <v>334</v>
      </c>
      <c r="K1245" s="58">
        <v>20.437999999999999</v>
      </c>
      <c r="L1245" s="58">
        <v>20.436</v>
      </c>
      <c r="M1245" s="59" t="s">
        <v>334</v>
      </c>
      <c r="N1245" s="58"/>
    </row>
    <row r="1246" spans="1:14" ht="18" customHeight="1">
      <c r="A1246" s="57">
        <v>15</v>
      </c>
      <c r="B1246" s="58">
        <v>19.027000000000001</v>
      </c>
      <c r="C1246" s="58" t="s">
        <v>334</v>
      </c>
      <c r="D1246" s="58" t="s">
        <v>334</v>
      </c>
      <c r="E1246" s="58">
        <v>20.504999999999999</v>
      </c>
      <c r="F1246" s="58">
        <v>20.5</v>
      </c>
      <c r="G1246" s="58" t="s">
        <v>334</v>
      </c>
      <c r="H1246" s="58">
        <v>20.43</v>
      </c>
      <c r="I1246" s="58">
        <v>20.420000000000002</v>
      </c>
      <c r="J1246" s="58">
        <v>20.533000000000001</v>
      </c>
      <c r="K1246" s="58">
        <v>20.437999999999999</v>
      </c>
      <c r="L1246" s="58" t="s">
        <v>334</v>
      </c>
      <c r="M1246" s="59">
        <v>20.537500000000001</v>
      </c>
      <c r="N1246" s="58"/>
    </row>
    <row r="1247" spans="1:14" ht="18" customHeight="1">
      <c r="A1247" s="57">
        <v>16</v>
      </c>
      <c r="B1247" s="58">
        <v>19.030999999999999</v>
      </c>
      <c r="C1247" s="58" t="s">
        <v>334</v>
      </c>
      <c r="D1247" s="58" t="s">
        <v>334</v>
      </c>
      <c r="E1247" s="58">
        <v>20.504999999999999</v>
      </c>
      <c r="F1247" s="58">
        <v>20.5</v>
      </c>
      <c r="G1247" s="58">
        <v>20.6</v>
      </c>
      <c r="H1247" s="58">
        <v>20.43</v>
      </c>
      <c r="I1247" s="58" t="s">
        <v>334</v>
      </c>
      <c r="J1247" s="58">
        <v>20.533000000000001</v>
      </c>
      <c r="K1247" s="58">
        <v>20.736999999999998</v>
      </c>
      <c r="L1247" s="58" t="s">
        <v>334</v>
      </c>
      <c r="M1247" s="59">
        <v>20.552</v>
      </c>
      <c r="N1247" s="58"/>
    </row>
    <row r="1248" spans="1:14" ht="18" customHeight="1">
      <c r="A1248" s="57">
        <v>17</v>
      </c>
      <c r="B1248" s="58">
        <v>19.048999999999999</v>
      </c>
      <c r="C1248" s="58">
        <v>19.986000000000001</v>
      </c>
      <c r="D1248" s="58">
        <v>20.662500000000001</v>
      </c>
      <c r="E1248" s="58">
        <v>20.504000000000001</v>
      </c>
      <c r="F1248" s="58" t="s">
        <v>334</v>
      </c>
      <c r="G1248" s="58">
        <v>20.555</v>
      </c>
      <c r="H1248" s="58">
        <v>20.428999999999998</v>
      </c>
      <c r="I1248" s="58" t="s">
        <v>334</v>
      </c>
      <c r="J1248" s="58">
        <v>20.533000000000001</v>
      </c>
      <c r="K1248" s="58">
        <v>20.436</v>
      </c>
      <c r="L1248" s="58">
        <v>20.436</v>
      </c>
      <c r="M1248" s="59">
        <v>20.574999999999999</v>
      </c>
      <c r="N1248" s="58"/>
    </row>
    <row r="1249" spans="1:14" ht="18" customHeight="1">
      <c r="A1249" s="57">
        <v>18</v>
      </c>
      <c r="B1249" s="58" t="s">
        <v>334</v>
      </c>
      <c r="C1249" s="58">
        <v>19.986000000000001</v>
      </c>
      <c r="D1249" s="58">
        <v>20.6</v>
      </c>
      <c r="E1249" s="58">
        <v>20.504000000000001</v>
      </c>
      <c r="F1249" s="58" t="s">
        <v>334</v>
      </c>
      <c r="G1249" s="58">
        <v>20.573</v>
      </c>
      <c r="H1249" s="58">
        <v>20.428999999999998</v>
      </c>
      <c r="I1249" s="58">
        <v>20.420000000000002</v>
      </c>
      <c r="J1249" s="58">
        <v>20.527999999999999</v>
      </c>
      <c r="K1249" s="58" t="s">
        <v>334</v>
      </c>
      <c r="L1249" s="58">
        <v>20.436</v>
      </c>
      <c r="M1249" s="59">
        <v>20.564</v>
      </c>
      <c r="N1249" s="58"/>
    </row>
    <row r="1250" spans="1:14" ht="18" customHeight="1">
      <c r="A1250" s="57">
        <v>19</v>
      </c>
      <c r="B1250" s="58" t="s">
        <v>334</v>
      </c>
      <c r="C1250" s="58">
        <v>22.042999999999999</v>
      </c>
      <c r="D1250" s="58">
        <v>20.645</v>
      </c>
      <c r="E1250" s="58" t="s">
        <v>334</v>
      </c>
      <c r="F1250" s="58">
        <v>20.5</v>
      </c>
      <c r="G1250" s="58">
        <v>20.574999999999999</v>
      </c>
      <c r="H1250" s="58" t="s">
        <v>334</v>
      </c>
      <c r="I1250" s="58">
        <v>20.420999999999999</v>
      </c>
      <c r="J1250" s="58">
        <v>20.527999999999999</v>
      </c>
      <c r="K1250" s="58" t="s">
        <v>334</v>
      </c>
      <c r="L1250" s="58">
        <v>20.436</v>
      </c>
      <c r="M1250" s="59">
        <v>20.55</v>
      </c>
      <c r="N1250" s="58"/>
    </row>
    <row r="1251" spans="1:14" ht="18" customHeight="1">
      <c r="A1251" s="57">
        <v>20</v>
      </c>
      <c r="B1251" s="58">
        <v>19.047999999999998</v>
      </c>
      <c r="C1251" s="58">
        <v>22.05</v>
      </c>
      <c r="D1251" s="58">
        <v>20.648</v>
      </c>
      <c r="E1251" s="58" t="s">
        <v>334</v>
      </c>
      <c r="F1251" s="58">
        <v>20.5</v>
      </c>
      <c r="G1251" s="58">
        <v>20.585999999999999</v>
      </c>
      <c r="H1251" s="58" t="s">
        <v>334</v>
      </c>
      <c r="I1251" s="58">
        <v>20.422000000000001</v>
      </c>
      <c r="J1251" s="58" t="s">
        <v>334</v>
      </c>
      <c r="K1251" s="58">
        <v>20.436</v>
      </c>
      <c r="L1251" s="58">
        <v>20.436</v>
      </c>
      <c r="M1251" s="59" t="s">
        <v>334</v>
      </c>
      <c r="N1251" s="58"/>
    </row>
    <row r="1252" spans="1:14" ht="18" customHeight="1">
      <c r="A1252" s="57">
        <v>21</v>
      </c>
      <c r="B1252" s="58">
        <v>19.047999999999998</v>
      </c>
      <c r="C1252" s="58">
        <v>22.047000000000001</v>
      </c>
      <c r="D1252" s="58">
        <v>20.6325</v>
      </c>
      <c r="E1252" s="58">
        <v>20.501999999999999</v>
      </c>
      <c r="F1252" s="58">
        <v>20.5</v>
      </c>
      <c r="G1252" s="58" t="s">
        <v>334</v>
      </c>
      <c r="H1252" s="58">
        <v>20.428999999999998</v>
      </c>
      <c r="I1252" s="58" t="s">
        <v>334</v>
      </c>
      <c r="J1252" s="58" t="s">
        <v>334</v>
      </c>
      <c r="K1252" s="58">
        <v>20.436</v>
      </c>
      <c r="L1252" s="58">
        <v>20.436</v>
      </c>
      <c r="M1252" s="59" t="s">
        <v>334</v>
      </c>
      <c r="N1252" s="58"/>
    </row>
    <row r="1253" spans="1:14" ht="18" customHeight="1">
      <c r="A1253" s="57">
        <v>22</v>
      </c>
      <c r="B1253" s="58">
        <v>19.056000000000001</v>
      </c>
      <c r="C1253" s="58" t="s">
        <v>334</v>
      </c>
      <c r="D1253" s="58" t="s">
        <v>334</v>
      </c>
      <c r="E1253" s="58">
        <v>20.5</v>
      </c>
      <c r="F1253" s="58">
        <v>20.5</v>
      </c>
      <c r="G1253" s="58" t="s">
        <v>334</v>
      </c>
      <c r="H1253" s="58">
        <v>20.428000000000001</v>
      </c>
      <c r="I1253" s="58">
        <v>20.431000000000001</v>
      </c>
      <c r="J1253" s="58">
        <v>20.521000000000001</v>
      </c>
      <c r="K1253" s="58">
        <v>20.436</v>
      </c>
      <c r="L1253" s="58" t="s">
        <v>334</v>
      </c>
      <c r="M1253" s="59">
        <v>20.55</v>
      </c>
      <c r="N1253" s="58"/>
    </row>
    <row r="1254" spans="1:14" ht="18" customHeight="1">
      <c r="A1254" s="57">
        <v>23</v>
      </c>
      <c r="B1254" s="58">
        <v>19.056000000000001</v>
      </c>
      <c r="C1254" s="58" t="s">
        <v>334</v>
      </c>
      <c r="D1254" s="58" t="s">
        <v>334</v>
      </c>
      <c r="E1254" s="58">
        <v>20.5</v>
      </c>
      <c r="F1254" s="58">
        <v>20.5</v>
      </c>
      <c r="G1254" s="58">
        <v>20.593499999999999</v>
      </c>
      <c r="H1254" s="58">
        <v>20.428000000000001</v>
      </c>
      <c r="I1254" s="58" t="s">
        <v>334</v>
      </c>
      <c r="J1254" s="58">
        <v>20.521000000000001</v>
      </c>
      <c r="K1254" s="58">
        <v>20.436</v>
      </c>
      <c r="L1254" s="58" t="s">
        <v>334</v>
      </c>
      <c r="M1254" s="59">
        <v>20.547999999999998</v>
      </c>
      <c r="N1254" s="58"/>
    </row>
    <row r="1255" spans="1:14" ht="18" customHeight="1">
      <c r="A1255" s="57">
        <v>24</v>
      </c>
      <c r="B1255" s="58">
        <v>19.07</v>
      </c>
      <c r="C1255" s="58" t="s">
        <v>334</v>
      </c>
      <c r="D1255" s="58">
        <v>20.606000000000002</v>
      </c>
      <c r="E1255" s="58">
        <v>20.5</v>
      </c>
      <c r="F1255" s="58" t="s">
        <v>334</v>
      </c>
      <c r="G1255" s="58">
        <v>20.56</v>
      </c>
      <c r="H1255" s="58">
        <v>20.428000000000001</v>
      </c>
      <c r="I1255" s="58" t="s">
        <v>334</v>
      </c>
      <c r="J1255" s="58">
        <v>20.501000000000001</v>
      </c>
      <c r="K1255" s="58">
        <v>20.436</v>
      </c>
      <c r="L1255" s="58">
        <v>20.436</v>
      </c>
      <c r="M1255" s="59">
        <v>20.5505</v>
      </c>
      <c r="N1255" s="58"/>
    </row>
    <row r="1256" spans="1:14" ht="18" customHeight="1">
      <c r="A1256" s="57">
        <v>25</v>
      </c>
      <c r="B1256" s="58" t="s">
        <v>334</v>
      </c>
      <c r="C1256" s="58" t="s">
        <v>334</v>
      </c>
      <c r="D1256" s="58">
        <v>20.6</v>
      </c>
      <c r="E1256" s="58">
        <v>20.5</v>
      </c>
      <c r="F1256" s="58" t="s">
        <v>334</v>
      </c>
      <c r="G1256" s="58">
        <v>20.56</v>
      </c>
      <c r="H1256" s="58">
        <v>20.427</v>
      </c>
      <c r="I1256" s="58">
        <v>20.431000000000001</v>
      </c>
      <c r="J1256" s="58">
        <v>20.486000000000001</v>
      </c>
      <c r="K1256" s="58" t="s">
        <v>334</v>
      </c>
      <c r="L1256" s="58">
        <v>20.436</v>
      </c>
      <c r="M1256" s="59" t="s">
        <v>334</v>
      </c>
      <c r="N1256" s="58"/>
    </row>
    <row r="1257" spans="1:14" ht="18" customHeight="1">
      <c r="A1257" s="57">
        <v>26</v>
      </c>
      <c r="B1257" s="58" t="s">
        <v>334</v>
      </c>
      <c r="C1257" s="58">
        <v>22.047000000000001</v>
      </c>
      <c r="D1257" s="58">
        <v>20.6</v>
      </c>
      <c r="E1257" s="58" t="s">
        <v>334</v>
      </c>
      <c r="F1257" s="58">
        <v>20.5</v>
      </c>
      <c r="G1257" s="58">
        <v>20.58</v>
      </c>
      <c r="H1257" s="58" t="s">
        <v>334</v>
      </c>
      <c r="I1257" s="58">
        <v>20.47</v>
      </c>
      <c r="J1257" s="58">
        <v>20.457999999999998</v>
      </c>
      <c r="K1257" s="58" t="s">
        <v>334</v>
      </c>
      <c r="L1257" s="58">
        <v>20.436</v>
      </c>
      <c r="M1257" s="59" t="s">
        <v>334</v>
      </c>
      <c r="N1257" s="58"/>
    </row>
    <row r="1258" spans="1:14" ht="18" customHeight="1">
      <c r="A1258" s="57">
        <v>27</v>
      </c>
      <c r="B1258" s="58">
        <v>19.076000000000001</v>
      </c>
      <c r="C1258" s="58">
        <v>22.047000000000001</v>
      </c>
      <c r="D1258" s="58" t="s">
        <v>334</v>
      </c>
      <c r="E1258" s="58" t="s">
        <v>334</v>
      </c>
      <c r="F1258" s="58">
        <v>20.5</v>
      </c>
      <c r="G1258" s="58">
        <v>20.584</v>
      </c>
      <c r="H1258" s="58" t="s">
        <v>334</v>
      </c>
      <c r="I1258" s="58">
        <v>20.47</v>
      </c>
      <c r="J1258" s="58" t="s">
        <v>334</v>
      </c>
      <c r="K1258" s="58">
        <v>20.436</v>
      </c>
      <c r="L1258" s="58">
        <v>20.436</v>
      </c>
      <c r="M1258" s="59" t="s">
        <v>334</v>
      </c>
      <c r="N1258" s="58"/>
    </row>
    <row r="1259" spans="1:14" ht="18" customHeight="1">
      <c r="A1259" s="57">
        <v>28</v>
      </c>
      <c r="B1259" s="58">
        <v>19.09</v>
      </c>
      <c r="C1259" s="58">
        <v>21.978999999999999</v>
      </c>
      <c r="D1259" s="58" t="s">
        <v>334</v>
      </c>
      <c r="E1259" s="58">
        <v>20.5</v>
      </c>
      <c r="F1259" s="58">
        <v>20.501000000000001</v>
      </c>
      <c r="G1259" s="58" t="s">
        <v>334</v>
      </c>
      <c r="H1259" s="58">
        <v>20.426500000000001</v>
      </c>
      <c r="I1259" s="58">
        <v>20.47</v>
      </c>
      <c r="J1259" s="58" t="s">
        <v>334</v>
      </c>
      <c r="K1259" s="58">
        <v>20.436</v>
      </c>
      <c r="L1259" s="58">
        <v>20.436</v>
      </c>
      <c r="M1259" s="59" t="s">
        <v>334</v>
      </c>
      <c r="N1259" s="58"/>
    </row>
    <row r="1260" spans="1:14" ht="18" customHeight="1">
      <c r="A1260" s="57">
        <v>29</v>
      </c>
      <c r="B1260" s="58">
        <v>19.09</v>
      </c>
      <c r="C1260" s="58" t="s">
        <v>335</v>
      </c>
      <c r="D1260" s="58" t="s">
        <v>334</v>
      </c>
      <c r="E1260" s="58">
        <v>20.5</v>
      </c>
      <c r="F1260" s="58">
        <v>20.501999999999999</v>
      </c>
      <c r="G1260" s="58" t="s">
        <v>334</v>
      </c>
      <c r="H1260" s="58">
        <v>20.425999999999998</v>
      </c>
      <c r="I1260" s="58">
        <v>20.47</v>
      </c>
      <c r="J1260" s="58">
        <v>20.448</v>
      </c>
      <c r="K1260" s="58">
        <v>20.436</v>
      </c>
      <c r="L1260" s="58" t="s">
        <v>334</v>
      </c>
      <c r="M1260" s="59">
        <v>20.53</v>
      </c>
      <c r="N1260" s="58"/>
    </row>
    <row r="1261" spans="1:14" ht="18" customHeight="1">
      <c r="A1261" s="57">
        <v>30</v>
      </c>
      <c r="B1261" s="58">
        <v>19.09</v>
      </c>
      <c r="C1261" s="58" t="s">
        <v>335</v>
      </c>
      <c r="D1261" s="58" t="s">
        <v>334</v>
      </c>
      <c r="E1261" s="58">
        <v>20.5</v>
      </c>
      <c r="F1261" s="58">
        <v>20.501999999999999</v>
      </c>
      <c r="G1261" s="58">
        <v>20.58</v>
      </c>
      <c r="H1261" s="58">
        <v>20.425999999999998</v>
      </c>
      <c r="I1261" s="58" t="s">
        <v>334</v>
      </c>
      <c r="J1261" s="58">
        <v>20.448</v>
      </c>
      <c r="K1261" s="58">
        <v>20.436</v>
      </c>
      <c r="L1261" s="58" t="s">
        <v>334</v>
      </c>
      <c r="M1261" s="59" t="s">
        <v>334</v>
      </c>
      <c r="N1261" s="58"/>
    </row>
    <row r="1262" spans="1:14" ht="18" customHeight="1">
      <c r="A1262" s="57">
        <v>31</v>
      </c>
      <c r="B1262" s="58">
        <v>19.103000000000002</v>
      </c>
      <c r="C1262" s="58" t="s">
        <v>335</v>
      </c>
      <c r="D1262" s="58">
        <v>20.6</v>
      </c>
      <c r="E1262" s="58" t="s">
        <v>335</v>
      </c>
      <c r="F1262" s="58" t="s">
        <v>334</v>
      </c>
      <c r="G1262" s="58" t="s">
        <v>335</v>
      </c>
      <c r="H1262" s="58">
        <v>20.4255</v>
      </c>
      <c r="I1262" s="58" t="s">
        <v>334</v>
      </c>
      <c r="J1262" s="58" t="s">
        <v>335</v>
      </c>
      <c r="K1262" s="58" t="s">
        <v>334</v>
      </c>
      <c r="L1262" s="58" t="s">
        <v>335</v>
      </c>
      <c r="M1262" s="59" t="s">
        <v>334</v>
      </c>
      <c r="N1262" s="58"/>
    </row>
    <row r="1263" spans="1:14" ht="18" customHeight="1" thickBot="1">
      <c r="A1263" s="76"/>
      <c r="B1263" s="77"/>
      <c r="C1263" s="77"/>
      <c r="D1263" s="77"/>
      <c r="E1263" s="77"/>
      <c r="F1263" s="77"/>
      <c r="G1263" s="77"/>
      <c r="H1263" s="77"/>
      <c r="I1263" s="77"/>
      <c r="J1263" s="77"/>
      <c r="K1263" s="77"/>
      <c r="L1263" s="77"/>
      <c r="M1263" s="78"/>
      <c r="N1263" s="58"/>
    </row>
    <row r="1264" spans="1:14" ht="18" customHeight="1">
      <c r="A1264" s="605">
        <v>1985</v>
      </c>
      <c r="B1264" s="606"/>
      <c r="C1264" s="606"/>
      <c r="D1264" s="606"/>
      <c r="E1264" s="606"/>
      <c r="F1264" s="606"/>
      <c r="G1264" s="606"/>
      <c r="H1264" s="606"/>
      <c r="I1264" s="606"/>
      <c r="J1264" s="606"/>
      <c r="K1264" s="606"/>
      <c r="L1264" s="606"/>
      <c r="M1264" s="607"/>
      <c r="N1264" s="52"/>
    </row>
    <row r="1265" spans="1:15" ht="18" customHeight="1" thickBot="1">
      <c r="A1265" s="51" t="s">
        <v>322</v>
      </c>
      <c r="B1265" s="52" t="s">
        <v>323</v>
      </c>
      <c r="C1265" s="52" t="s">
        <v>324</v>
      </c>
      <c r="D1265" s="52" t="s">
        <v>325</v>
      </c>
      <c r="E1265" s="52" t="s">
        <v>326</v>
      </c>
      <c r="F1265" s="52" t="s">
        <v>236</v>
      </c>
      <c r="G1265" s="52" t="s">
        <v>327</v>
      </c>
      <c r="H1265" s="52" t="s">
        <v>328</v>
      </c>
      <c r="I1265" s="52" t="s">
        <v>329</v>
      </c>
      <c r="J1265" s="52" t="s">
        <v>330</v>
      </c>
      <c r="K1265" s="52" t="s">
        <v>331</v>
      </c>
      <c r="L1265" s="52" t="s">
        <v>332</v>
      </c>
      <c r="M1265" s="53" t="s">
        <v>333</v>
      </c>
      <c r="N1265" s="52"/>
    </row>
    <row r="1266" spans="1:15" ht="18" customHeight="1">
      <c r="A1266" s="54">
        <v>1</v>
      </c>
      <c r="B1266" s="55" t="s">
        <v>334</v>
      </c>
      <c r="C1266" s="55">
        <v>18.649999999999999</v>
      </c>
      <c r="D1266" s="55">
        <v>18.5825</v>
      </c>
      <c r="E1266" s="55">
        <v>18.684999999999999</v>
      </c>
      <c r="F1266" s="55" t="s">
        <v>334</v>
      </c>
      <c r="G1266" s="55" t="s">
        <v>334</v>
      </c>
      <c r="H1266" s="55" t="s">
        <v>334</v>
      </c>
      <c r="I1266" s="55">
        <v>18.649999999999999</v>
      </c>
      <c r="J1266" s="55" t="s">
        <v>334</v>
      </c>
      <c r="K1266" s="55">
        <v>18.652999999999999</v>
      </c>
      <c r="L1266" s="70" t="s">
        <v>334</v>
      </c>
      <c r="M1266" s="71" t="s">
        <v>334</v>
      </c>
      <c r="N1266" s="83">
        <v>1985</v>
      </c>
      <c r="O1266" s="47">
        <f>AVERAGE(B1266:M1296)</f>
        <v>18.687118473895566</v>
      </c>
    </row>
    <row r="1267" spans="1:15" ht="18" customHeight="1">
      <c r="A1267" s="57">
        <v>2</v>
      </c>
      <c r="B1267" s="58">
        <v>19.649999999999999</v>
      </c>
      <c r="C1267" s="58" t="s">
        <v>334</v>
      </c>
      <c r="D1267" s="58" t="s">
        <v>334</v>
      </c>
      <c r="E1267" s="58">
        <v>18.684999999999999</v>
      </c>
      <c r="F1267" s="58">
        <v>18.64</v>
      </c>
      <c r="G1267" s="58" t="s">
        <v>334</v>
      </c>
      <c r="H1267" s="58">
        <v>18.472000000000001</v>
      </c>
      <c r="I1267" s="58">
        <v>18.600000000000001</v>
      </c>
      <c r="J1267" s="58">
        <v>18.603999999999999</v>
      </c>
      <c r="K1267" s="58">
        <v>18.657</v>
      </c>
      <c r="L1267" s="72" t="s">
        <v>334</v>
      </c>
      <c r="M1267" s="73">
        <v>18.773</v>
      </c>
      <c r="N1267" s="58"/>
    </row>
    <row r="1268" spans="1:15" ht="18" customHeight="1">
      <c r="A1268" s="57">
        <v>3</v>
      </c>
      <c r="B1268" s="58">
        <v>19.59</v>
      </c>
      <c r="C1268" s="58" t="s">
        <v>334</v>
      </c>
      <c r="D1268" s="58" t="s">
        <v>334</v>
      </c>
      <c r="E1268" s="58">
        <v>18.684999999999999</v>
      </c>
      <c r="F1268" s="58">
        <v>18.64</v>
      </c>
      <c r="G1268" s="58">
        <v>18.64</v>
      </c>
      <c r="H1268" s="58">
        <v>18.477</v>
      </c>
      <c r="I1268" s="58" t="s">
        <v>334</v>
      </c>
      <c r="J1268" s="58">
        <v>18.603999999999999</v>
      </c>
      <c r="K1268" s="58">
        <v>18.66</v>
      </c>
      <c r="L1268" s="72" t="s">
        <v>334</v>
      </c>
      <c r="M1268" s="73">
        <v>18.79</v>
      </c>
      <c r="N1268" s="58"/>
    </row>
    <row r="1269" spans="1:15" ht="18" customHeight="1">
      <c r="A1269" s="57">
        <v>4</v>
      </c>
      <c r="B1269" s="58">
        <v>19.57</v>
      </c>
      <c r="C1269" s="58">
        <v>18.7</v>
      </c>
      <c r="D1269" s="58">
        <v>18.592500000000001</v>
      </c>
      <c r="E1269" s="58" t="s">
        <v>334</v>
      </c>
      <c r="F1269" s="58" t="s">
        <v>334</v>
      </c>
      <c r="G1269" s="58">
        <v>18.64</v>
      </c>
      <c r="H1269" s="58" t="s">
        <v>334</v>
      </c>
      <c r="I1269" s="58" t="s">
        <v>334</v>
      </c>
      <c r="J1269" s="58">
        <v>18.603999999999999</v>
      </c>
      <c r="K1269" s="58">
        <v>18.664999999999999</v>
      </c>
      <c r="L1269" s="58">
        <v>18.759</v>
      </c>
      <c r="M1269" s="59">
        <v>18.785</v>
      </c>
      <c r="N1269" s="58"/>
    </row>
    <row r="1270" spans="1:15" ht="18" customHeight="1">
      <c r="A1270" s="57">
        <v>5</v>
      </c>
      <c r="B1270" s="58" t="s">
        <v>334</v>
      </c>
      <c r="C1270" s="58">
        <v>18.7</v>
      </c>
      <c r="D1270" s="58">
        <v>18.587499999999999</v>
      </c>
      <c r="E1270" s="58" t="s">
        <v>334</v>
      </c>
      <c r="F1270" s="58" t="s">
        <v>334</v>
      </c>
      <c r="G1270" s="58">
        <v>18.64</v>
      </c>
      <c r="H1270" s="58">
        <v>14.478999999999999</v>
      </c>
      <c r="I1270" s="58">
        <v>18.600000000000001</v>
      </c>
      <c r="J1270" s="58">
        <v>18.603999999999999</v>
      </c>
      <c r="K1270" s="58" t="s">
        <v>334</v>
      </c>
      <c r="L1270" s="58">
        <v>18.754999999999999</v>
      </c>
      <c r="M1270" s="59">
        <v>18.798999999999999</v>
      </c>
      <c r="N1270" s="58"/>
    </row>
    <row r="1271" spans="1:15" ht="18" customHeight="1">
      <c r="A1271" s="57">
        <v>6</v>
      </c>
      <c r="B1271" s="58" t="s">
        <v>334</v>
      </c>
      <c r="C1271" s="58">
        <v>18.7</v>
      </c>
      <c r="D1271" s="58">
        <v>18.587499999999999</v>
      </c>
      <c r="E1271" s="58" t="s">
        <v>334</v>
      </c>
      <c r="F1271" s="58" t="s">
        <v>334</v>
      </c>
      <c r="G1271" s="58">
        <v>18.63</v>
      </c>
      <c r="H1271" s="58" t="s">
        <v>334</v>
      </c>
      <c r="I1271" s="58">
        <v>18.600000000000001</v>
      </c>
      <c r="J1271" s="58">
        <v>18.605</v>
      </c>
      <c r="K1271" s="58" t="s">
        <v>334</v>
      </c>
      <c r="L1271" s="58">
        <v>18.754999999999999</v>
      </c>
      <c r="M1271" s="59">
        <v>18.809000000000001</v>
      </c>
      <c r="N1271" s="58"/>
    </row>
    <row r="1272" spans="1:15" ht="18" customHeight="1">
      <c r="A1272" s="57">
        <v>7</v>
      </c>
      <c r="B1272" s="58">
        <v>19.57</v>
      </c>
      <c r="C1272" s="58">
        <v>18.7</v>
      </c>
      <c r="D1272" s="58">
        <v>18.594999999999999</v>
      </c>
      <c r="E1272" s="58" t="s">
        <v>334</v>
      </c>
      <c r="F1272" s="58">
        <v>18.64</v>
      </c>
      <c r="G1272" s="58">
        <v>18.466999999999999</v>
      </c>
      <c r="H1272" s="58" t="s">
        <v>334</v>
      </c>
      <c r="I1272" s="58">
        <v>18.600000000000001</v>
      </c>
      <c r="J1272" s="58" t="s">
        <v>334</v>
      </c>
      <c r="K1272" s="58">
        <v>18.667000000000002</v>
      </c>
      <c r="L1272" s="58">
        <v>18.728999999999999</v>
      </c>
      <c r="M1272" s="59" t="s">
        <v>334</v>
      </c>
      <c r="N1272" s="58"/>
    </row>
    <row r="1273" spans="1:15" ht="18" customHeight="1">
      <c r="A1273" s="57">
        <v>8</v>
      </c>
      <c r="B1273" s="58">
        <v>19.57</v>
      </c>
      <c r="C1273" s="58">
        <v>18.68</v>
      </c>
      <c r="D1273" s="58">
        <v>18.594999999999999</v>
      </c>
      <c r="E1273" s="58">
        <v>18.684999999999999</v>
      </c>
      <c r="F1273" s="58">
        <v>18.64</v>
      </c>
      <c r="G1273" s="58" t="s">
        <v>334</v>
      </c>
      <c r="H1273" s="58">
        <v>18.481999999999999</v>
      </c>
      <c r="I1273" s="58">
        <v>18.600000000000001</v>
      </c>
      <c r="J1273" s="58" t="s">
        <v>334</v>
      </c>
      <c r="K1273" s="58">
        <v>18.670000000000002</v>
      </c>
      <c r="L1273" s="58">
        <v>18.72</v>
      </c>
      <c r="M1273" s="59" t="s">
        <v>334</v>
      </c>
      <c r="N1273" s="58"/>
    </row>
    <row r="1274" spans="1:15" ht="18" customHeight="1">
      <c r="A1274" s="57">
        <v>9</v>
      </c>
      <c r="B1274" s="58">
        <v>19.38</v>
      </c>
      <c r="C1274" s="58" t="s">
        <v>334</v>
      </c>
      <c r="D1274" s="58" t="s">
        <v>334</v>
      </c>
      <c r="E1274" s="58">
        <v>18.684999999999999</v>
      </c>
      <c r="F1274" s="58">
        <v>18.64</v>
      </c>
      <c r="G1274" s="58" t="s">
        <v>334</v>
      </c>
      <c r="H1274" s="58">
        <v>18.48</v>
      </c>
      <c r="I1274" s="58">
        <v>18.600000000000001</v>
      </c>
      <c r="J1274" s="58">
        <v>18.605</v>
      </c>
      <c r="K1274" s="58">
        <v>18.670000000000002</v>
      </c>
      <c r="L1274" s="58" t="s">
        <v>334</v>
      </c>
      <c r="M1274" s="59">
        <v>18.82</v>
      </c>
      <c r="N1274" s="58"/>
    </row>
    <row r="1275" spans="1:15" ht="18" customHeight="1">
      <c r="A1275" s="57">
        <v>10</v>
      </c>
      <c r="B1275" s="58">
        <v>19.38</v>
      </c>
      <c r="C1275" s="58" t="s">
        <v>334</v>
      </c>
      <c r="D1275" s="58" t="s">
        <v>334</v>
      </c>
      <c r="E1275" s="58">
        <v>18.64</v>
      </c>
      <c r="F1275" s="58">
        <v>18.64</v>
      </c>
      <c r="G1275" s="58">
        <v>18.477</v>
      </c>
      <c r="H1275" s="58">
        <v>18.481000000000002</v>
      </c>
      <c r="I1275" s="58" t="s">
        <v>334</v>
      </c>
      <c r="J1275" s="58">
        <v>18.603000000000002</v>
      </c>
      <c r="K1275" s="58">
        <v>18.68</v>
      </c>
      <c r="L1275" s="58" t="s">
        <v>334</v>
      </c>
      <c r="M1275" s="59">
        <v>18.832999999999998</v>
      </c>
      <c r="N1275" s="58"/>
    </row>
    <row r="1276" spans="1:15" ht="18" customHeight="1">
      <c r="A1276" s="57">
        <v>11</v>
      </c>
      <c r="B1276" s="58">
        <v>19.25</v>
      </c>
      <c r="C1276" s="58">
        <v>18.72</v>
      </c>
      <c r="D1276" s="58">
        <v>18.649999999999999</v>
      </c>
      <c r="E1276" s="58">
        <v>18.64</v>
      </c>
      <c r="F1276" s="58">
        <v>18.64</v>
      </c>
      <c r="G1276" s="58">
        <v>18.48</v>
      </c>
      <c r="H1276" s="58">
        <v>18.486000000000001</v>
      </c>
      <c r="I1276" s="58" t="s">
        <v>334</v>
      </c>
      <c r="J1276" s="58">
        <v>18.600999999999999</v>
      </c>
      <c r="K1276" s="58">
        <v>18.692</v>
      </c>
      <c r="L1276" s="58">
        <v>18.72</v>
      </c>
      <c r="M1276" s="59">
        <v>18.850999999999999</v>
      </c>
      <c r="N1276" s="58"/>
    </row>
    <row r="1277" spans="1:15" ht="18" customHeight="1">
      <c r="A1277" s="57">
        <v>12</v>
      </c>
      <c r="B1277" s="58" t="s">
        <v>334</v>
      </c>
      <c r="C1277" s="58">
        <v>18.72</v>
      </c>
      <c r="D1277" s="58">
        <v>18.684999999999999</v>
      </c>
      <c r="E1277" s="58">
        <v>18.64</v>
      </c>
      <c r="F1277" s="58" t="s">
        <v>334</v>
      </c>
      <c r="G1277" s="58" t="s">
        <v>334</v>
      </c>
      <c r="H1277" s="58">
        <v>18.503</v>
      </c>
      <c r="I1277" s="58">
        <v>18.600000000000001</v>
      </c>
      <c r="J1277" s="58">
        <v>18.600000000000001</v>
      </c>
      <c r="K1277" s="58" t="s">
        <v>334</v>
      </c>
      <c r="L1277" s="58">
        <v>18.72</v>
      </c>
      <c r="M1277" s="59">
        <v>18.864999999999998</v>
      </c>
      <c r="N1277" s="58"/>
    </row>
    <row r="1278" spans="1:15" ht="18" customHeight="1">
      <c r="A1278" s="57">
        <v>13</v>
      </c>
      <c r="B1278" s="58" t="s">
        <v>334</v>
      </c>
      <c r="C1278" s="58">
        <v>18.72</v>
      </c>
      <c r="D1278" s="58">
        <v>18.684999999999999</v>
      </c>
      <c r="E1278" s="58" t="s">
        <v>334</v>
      </c>
      <c r="F1278" s="58" t="s">
        <v>334</v>
      </c>
      <c r="G1278" s="58">
        <v>18.48</v>
      </c>
      <c r="H1278" s="58" t="s">
        <v>334</v>
      </c>
      <c r="I1278" s="58">
        <v>18.600000000000001</v>
      </c>
      <c r="J1278" s="58">
        <v>18.600000000000001</v>
      </c>
      <c r="K1278" s="58" t="s">
        <v>334</v>
      </c>
      <c r="L1278" s="58">
        <v>18.721</v>
      </c>
      <c r="M1278" s="59">
        <v>18.88</v>
      </c>
      <c r="N1278" s="58"/>
    </row>
    <row r="1279" spans="1:15" ht="18" customHeight="1">
      <c r="A1279" s="57">
        <v>14</v>
      </c>
      <c r="B1279" s="58">
        <v>19.25</v>
      </c>
      <c r="C1279" s="58">
        <v>18.72</v>
      </c>
      <c r="D1279" s="58">
        <v>18.684999999999999</v>
      </c>
      <c r="E1279" s="58" t="s">
        <v>334</v>
      </c>
      <c r="F1279" s="58">
        <v>18.64</v>
      </c>
      <c r="G1279" s="58">
        <v>18.475999999999999</v>
      </c>
      <c r="H1279" s="58" t="s">
        <v>334</v>
      </c>
      <c r="I1279" s="58">
        <v>18.600000000000001</v>
      </c>
      <c r="J1279" s="58" t="s">
        <v>334</v>
      </c>
      <c r="K1279" s="58">
        <v>18.7</v>
      </c>
      <c r="L1279" s="58">
        <v>18.721</v>
      </c>
      <c r="M1279" s="59" t="s">
        <v>334</v>
      </c>
      <c r="N1279" s="58"/>
    </row>
    <row r="1280" spans="1:15" ht="18" customHeight="1">
      <c r="A1280" s="57">
        <v>15</v>
      </c>
      <c r="B1280" s="58">
        <v>19.25</v>
      </c>
      <c r="C1280" s="58">
        <v>18.72</v>
      </c>
      <c r="D1280" s="58">
        <v>18.684999999999999</v>
      </c>
      <c r="E1280" s="58">
        <v>18.64</v>
      </c>
      <c r="F1280" s="58">
        <v>18.64</v>
      </c>
      <c r="G1280" s="58" t="s">
        <v>334</v>
      </c>
      <c r="H1280" s="58">
        <v>18.547499999999999</v>
      </c>
      <c r="I1280" s="58">
        <v>18.600000000000001</v>
      </c>
      <c r="J1280" s="58" t="s">
        <v>334</v>
      </c>
      <c r="K1280" s="58">
        <v>18.7</v>
      </c>
      <c r="L1280" s="58">
        <v>18.721</v>
      </c>
      <c r="M1280" s="59" t="s">
        <v>334</v>
      </c>
      <c r="N1280" s="58"/>
    </row>
    <row r="1281" spans="1:14" ht="18" customHeight="1">
      <c r="A1281" s="57">
        <v>16</v>
      </c>
      <c r="B1281" s="58">
        <v>19.25</v>
      </c>
      <c r="C1281" s="58" t="s">
        <v>334</v>
      </c>
      <c r="D1281" s="58" t="s">
        <v>334</v>
      </c>
      <c r="E1281" s="58">
        <v>18.64</v>
      </c>
      <c r="F1281" s="58">
        <v>18.64</v>
      </c>
      <c r="G1281" s="58" t="s">
        <v>334</v>
      </c>
      <c r="H1281" s="58">
        <v>18.588000000000001</v>
      </c>
      <c r="I1281" s="58">
        <v>18.600000000000001</v>
      </c>
      <c r="J1281" s="58">
        <v>18.62</v>
      </c>
      <c r="K1281" s="58">
        <v>18.707999999999998</v>
      </c>
      <c r="L1281" s="58" t="s">
        <v>334</v>
      </c>
      <c r="M1281" s="59">
        <v>18.902999999999999</v>
      </c>
      <c r="N1281" s="58"/>
    </row>
    <row r="1282" spans="1:14" ht="18" customHeight="1">
      <c r="A1282" s="57">
        <v>17</v>
      </c>
      <c r="B1282" s="58">
        <v>19.239999999999998</v>
      </c>
      <c r="C1282" s="58" t="s">
        <v>334</v>
      </c>
      <c r="D1282" s="58" t="s">
        <v>334</v>
      </c>
      <c r="E1282" s="58">
        <v>18.64</v>
      </c>
      <c r="F1282" s="58">
        <v>18.64</v>
      </c>
      <c r="G1282" s="58">
        <v>18.475999999999999</v>
      </c>
      <c r="H1282" s="58">
        <v>18.657499999999999</v>
      </c>
      <c r="I1282" s="58" t="s">
        <v>334</v>
      </c>
      <c r="J1282" s="58">
        <v>18.622</v>
      </c>
      <c r="K1282" s="58">
        <v>18.717500000000001</v>
      </c>
      <c r="L1282" s="58" t="s">
        <v>334</v>
      </c>
      <c r="M1282" s="59">
        <v>18.914999999999999</v>
      </c>
      <c r="N1282" s="58"/>
    </row>
    <row r="1283" spans="1:14" ht="18" customHeight="1">
      <c r="A1283" s="57">
        <v>18</v>
      </c>
      <c r="B1283" s="58">
        <v>19.002500000000001</v>
      </c>
      <c r="C1283" s="58">
        <v>18.72</v>
      </c>
      <c r="D1283" s="58">
        <v>18.684999999999999</v>
      </c>
      <c r="E1283" s="58">
        <v>18.64</v>
      </c>
      <c r="F1283" s="58" t="s">
        <v>334</v>
      </c>
      <c r="G1283" s="58">
        <v>18.47</v>
      </c>
      <c r="H1283" s="58">
        <v>18.681999999999999</v>
      </c>
      <c r="I1283" s="58" t="s">
        <v>334</v>
      </c>
      <c r="J1283" s="58">
        <v>18.62</v>
      </c>
      <c r="K1283" s="58">
        <v>18.72</v>
      </c>
      <c r="L1283" s="58">
        <v>18.732500000000002</v>
      </c>
      <c r="M1283" s="59">
        <v>18.96</v>
      </c>
      <c r="N1283" s="58"/>
    </row>
    <row r="1284" spans="1:14" ht="18" customHeight="1">
      <c r="A1284" s="57">
        <v>19</v>
      </c>
      <c r="B1284" s="58" t="s">
        <v>334</v>
      </c>
      <c r="C1284" s="58">
        <v>18.72</v>
      </c>
      <c r="D1284" s="58">
        <v>18.684999999999999</v>
      </c>
      <c r="E1284" s="58">
        <v>18.64</v>
      </c>
      <c r="F1284" s="58" t="s">
        <v>334</v>
      </c>
      <c r="G1284" s="58">
        <v>18.472999999999999</v>
      </c>
      <c r="H1284" s="58">
        <v>18.664999999999999</v>
      </c>
      <c r="I1284" s="58">
        <v>18.603999999999999</v>
      </c>
      <c r="J1284" s="58">
        <v>18.62</v>
      </c>
      <c r="K1284" s="58" t="s">
        <v>334</v>
      </c>
      <c r="L1284" s="58">
        <v>18.732500000000002</v>
      </c>
      <c r="M1284" s="59">
        <v>18.981999999999999</v>
      </c>
      <c r="N1284" s="58"/>
    </row>
    <row r="1285" spans="1:14" ht="18" customHeight="1">
      <c r="A1285" s="57">
        <v>20</v>
      </c>
      <c r="B1285" s="58" t="s">
        <v>334</v>
      </c>
      <c r="C1285" s="58">
        <v>18.72</v>
      </c>
      <c r="D1285" s="58">
        <v>18.684999999999999</v>
      </c>
      <c r="E1285" s="58" t="s">
        <v>334</v>
      </c>
      <c r="F1285" s="58">
        <v>18.64</v>
      </c>
      <c r="G1285" s="58">
        <v>18.466999999999999</v>
      </c>
      <c r="H1285" s="58" t="s">
        <v>334</v>
      </c>
      <c r="I1285" s="58">
        <v>18.612500000000001</v>
      </c>
      <c r="J1285" s="58">
        <v>18.622</v>
      </c>
      <c r="K1285" s="58" t="s">
        <v>334</v>
      </c>
      <c r="L1285" s="58">
        <v>18.734999999999999</v>
      </c>
      <c r="M1285" s="59">
        <v>19.003</v>
      </c>
      <c r="N1285" s="58"/>
    </row>
    <row r="1286" spans="1:14" ht="18" customHeight="1">
      <c r="A1286" s="57">
        <v>21</v>
      </c>
      <c r="B1286" s="58">
        <v>19.002500000000001</v>
      </c>
      <c r="C1286" s="58">
        <v>18.72</v>
      </c>
      <c r="D1286" s="58">
        <v>18.684999999999999</v>
      </c>
      <c r="E1286" s="58" t="s">
        <v>334</v>
      </c>
      <c r="F1286" s="58">
        <v>18.64</v>
      </c>
      <c r="G1286" s="58">
        <v>18.463999999999999</v>
      </c>
      <c r="H1286" s="58" t="s">
        <v>334</v>
      </c>
      <c r="I1286" s="58">
        <v>18.606000000000002</v>
      </c>
      <c r="J1286" s="58" t="s">
        <v>334</v>
      </c>
      <c r="K1286" s="58">
        <v>18.72</v>
      </c>
      <c r="L1286" s="58">
        <v>18.737500000000001</v>
      </c>
      <c r="M1286" s="59" t="s">
        <v>334</v>
      </c>
      <c r="N1286" s="58"/>
    </row>
    <row r="1287" spans="1:14" ht="18" customHeight="1">
      <c r="A1287" s="57">
        <v>22</v>
      </c>
      <c r="B1287" s="58">
        <v>18.649999999999999</v>
      </c>
      <c r="C1287" s="58">
        <v>18.72</v>
      </c>
      <c r="D1287" s="58">
        <v>18.684999999999999</v>
      </c>
      <c r="E1287" s="58">
        <v>18.64</v>
      </c>
      <c r="F1287" s="58">
        <v>18.64</v>
      </c>
      <c r="G1287" s="58" t="s">
        <v>334</v>
      </c>
      <c r="H1287" s="58">
        <v>18.637</v>
      </c>
      <c r="I1287" s="58">
        <v>18.605</v>
      </c>
      <c r="J1287" s="58" t="s">
        <v>334</v>
      </c>
      <c r="K1287" s="58">
        <v>18.72</v>
      </c>
      <c r="L1287" s="58">
        <v>18.738</v>
      </c>
      <c r="M1287" s="59" t="s">
        <v>334</v>
      </c>
      <c r="N1287" s="58"/>
    </row>
    <row r="1288" spans="1:14" ht="18" customHeight="1">
      <c r="A1288" s="57">
        <v>23</v>
      </c>
      <c r="B1288" s="58">
        <v>18.649999999999999</v>
      </c>
      <c r="C1288" s="58" t="s">
        <v>334</v>
      </c>
      <c r="D1288" s="58" t="s">
        <v>334</v>
      </c>
      <c r="E1288" s="58">
        <v>18.64</v>
      </c>
      <c r="F1288" s="58">
        <v>18.64</v>
      </c>
      <c r="G1288" s="58" t="s">
        <v>334</v>
      </c>
      <c r="H1288" s="58">
        <v>18.649999999999999</v>
      </c>
      <c r="I1288" s="58">
        <v>18.603999999999999</v>
      </c>
      <c r="J1288" s="58">
        <v>18.62</v>
      </c>
      <c r="K1288" s="58">
        <v>18.727499999999999</v>
      </c>
      <c r="L1288" s="58" t="s">
        <v>334</v>
      </c>
      <c r="M1288" s="59">
        <v>19.003</v>
      </c>
      <c r="N1288" s="58"/>
    </row>
    <row r="1289" spans="1:14" ht="18" customHeight="1">
      <c r="A1289" s="57">
        <v>24</v>
      </c>
      <c r="B1289" s="58">
        <v>18.7</v>
      </c>
      <c r="C1289" s="58" t="s">
        <v>334</v>
      </c>
      <c r="D1289" s="58" t="s">
        <v>334</v>
      </c>
      <c r="E1289" s="58">
        <v>18.64</v>
      </c>
      <c r="F1289" s="58">
        <v>18.64</v>
      </c>
      <c r="G1289" s="58">
        <v>18.48</v>
      </c>
      <c r="H1289" s="58">
        <v>18.649999999999999</v>
      </c>
      <c r="I1289" s="58" t="s">
        <v>334</v>
      </c>
      <c r="J1289" s="58">
        <v>18.62</v>
      </c>
      <c r="K1289" s="58">
        <v>18.734999999999999</v>
      </c>
      <c r="L1289" s="58" t="s">
        <v>334</v>
      </c>
      <c r="M1289" s="59">
        <v>19.027000000000001</v>
      </c>
      <c r="N1289" s="58"/>
    </row>
    <row r="1290" spans="1:14" ht="18" customHeight="1">
      <c r="A1290" s="57">
        <v>25</v>
      </c>
      <c r="B1290" s="58">
        <v>18.75</v>
      </c>
      <c r="C1290" s="58">
        <v>18.72</v>
      </c>
      <c r="D1290" s="58">
        <v>18.684999999999999</v>
      </c>
      <c r="E1290" s="58">
        <v>18.64</v>
      </c>
      <c r="F1290" s="58" t="s">
        <v>334</v>
      </c>
      <c r="G1290" s="58">
        <v>18.48</v>
      </c>
      <c r="H1290" s="58">
        <v>18.696999999999999</v>
      </c>
      <c r="I1290" s="58" t="s">
        <v>334</v>
      </c>
      <c r="J1290" s="58">
        <v>18.638000000000002</v>
      </c>
      <c r="K1290" s="58">
        <v>18.734999999999999</v>
      </c>
      <c r="L1290" s="58">
        <v>18.738</v>
      </c>
      <c r="M1290" s="59" t="s">
        <v>334</v>
      </c>
      <c r="N1290" s="58"/>
    </row>
    <row r="1291" spans="1:14" ht="18" customHeight="1">
      <c r="A1291" s="57">
        <v>26</v>
      </c>
      <c r="B1291" s="58" t="s">
        <v>334</v>
      </c>
      <c r="C1291" s="58">
        <v>18.72</v>
      </c>
      <c r="D1291" s="58">
        <v>18.684999999999999</v>
      </c>
      <c r="E1291" s="58">
        <v>18.64</v>
      </c>
      <c r="F1291" s="58" t="s">
        <v>334</v>
      </c>
      <c r="G1291" s="58">
        <v>18.462</v>
      </c>
      <c r="H1291" s="58">
        <v>18.692499999999999</v>
      </c>
      <c r="I1291" s="58">
        <v>18.603999999999999</v>
      </c>
      <c r="J1291" s="58">
        <v>18.638000000000002</v>
      </c>
      <c r="K1291" s="58" t="s">
        <v>334</v>
      </c>
      <c r="L1291" s="58">
        <v>18.739000000000001</v>
      </c>
      <c r="M1291" s="59">
        <v>19</v>
      </c>
      <c r="N1291" s="58"/>
    </row>
    <row r="1292" spans="1:14" ht="18" customHeight="1">
      <c r="A1292" s="57">
        <v>27</v>
      </c>
      <c r="B1292" s="58" t="s">
        <v>334</v>
      </c>
      <c r="C1292" s="58">
        <v>18.72</v>
      </c>
      <c r="D1292" s="58">
        <v>18.684999999999999</v>
      </c>
      <c r="E1292" s="58" t="s">
        <v>334</v>
      </c>
      <c r="F1292" s="58">
        <v>18.64</v>
      </c>
      <c r="G1292" s="58">
        <v>18.459</v>
      </c>
      <c r="H1292" s="58" t="s">
        <v>334</v>
      </c>
      <c r="I1292" s="58">
        <v>18.603999999999999</v>
      </c>
      <c r="J1292" s="58">
        <v>18.64</v>
      </c>
      <c r="K1292" s="58" t="s">
        <v>334</v>
      </c>
      <c r="L1292" s="58">
        <v>18.747</v>
      </c>
      <c r="M1292" s="59">
        <v>19.032</v>
      </c>
      <c r="N1292" s="58"/>
    </row>
    <row r="1293" spans="1:14" ht="18" customHeight="1">
      <c r="A1293" s="57">
        <v>28</v>
      </c>
      <c r="B1293" s="58">
        <v>18.75</v>
      </c>
      <c r="C1293" s="58">
        <v>18.72</v>
      </c>
      <c r="D1293" s="58">
        <v>18.483000000000001</v>
      </c>
      <c r="E1293" s="58" t="s">
        <v>334</v>
      </c>
      <c r="F1293" s="58">
        <v>18.64</v>
      </c>
      <c r="G1293" s="58">
        <v>18.465</v>
      </c>
      <c r="H1293" s="58" t="s">
        <v>334</v>
      </c>
      <c r="I1293" s="58">
        <v>18.605</v>
      </c>
      <c r="J1293" s="58" t="s">
        <v>334</v>
      </c>
      <c r="K1293" s="58">
        <v>18.734999999999999</v>
      </c>
      <c r="L1293" s="58">
        <v>18.757999999999999</v>
      </c>
      <c r="M1293" s="59" t="s">
        <v>334</v>
      </c>
      <c r="N1293" s="58"/>
    </row>
    <row r="1294" spans="1:14" ht="18" customHeight="1">
      <c r="A1294" s="57">
        <v>29</v>
      </c>
      <c r="B1294" s="58">
        <v>18.75</v>
      </c>
      <c r="C1294" s="58" t="s">
        <v>335</v>
      </c>
      <c r="D1294" s="58">
        <v>18.684999999999999</v>
      </c>
      <c r="E1294" s="58">
        <v>18.64</v>
      </c>
      <c r="F1294" s="58">
        <v>18.64</v>
      </c>
      <c r="G1294" s="58" t="s">
        <v>334</v>
      </c>
      <c r="H1294" s="58">
        <v>18.66</v>
      </c>
      <c r="I1294" s="58">
        <v>18.605</v>
      </c>
      <c r="J1294" s="58" t="s">
        <v>334</v>
      </c>
      <c r="K1294" s="58">
        <v>18.745999999999999</v>
      </c>
      <c r="L1294" s="58">
        <v>18.757999999999999</v>
      </c>
      <c r="M1294" s="59" t="s">
        <v>334</v>
      </c>
      <c r="N1294" s="58"/>
    </row>
    <row r="1295" spans="1:14" ht="18" customHeight="1">
      <c r="A1295" s="57">
        <v>30</v>
      </c>
      <c r="B1295" s="58">
        <v>18.75</v>
      </c>
      <c r="C1295" s="58" t="s">
        <v>335</v>
      </c>
      <c r="D1295" s="58" t="s">
        <v>334</v>
      </c>
      <c r="E1295" s="58">
        <v>18.64</v>
      </c>
      <c r="F1295" s="58">
        <v>18.64</v>
      </c>
      <c r="G1295" s="58" t="s">
        <v>334</v>
      </c>
      <c r="H1295" s="58">
        <v>18.664999999999999</v>
      </c>
      <c r="I1295" s="58">
        <v>18.605</v>
      </c>
      <c r="J1295" s="58">
        <v>18.64</v>
      </c>
      <c r="K1295" s="58">
        <v>18.757000000000001</v>
      </c>
      <c r="L1295" s="58" t="s">
        <v>334</v>
      </c>
      <c r="M1295" s="59" t="s">
        <v>334</v>
      </c>
      <c r="N1295" s="58"/>
    </row>
    <row r="1296" spans="1:14" ht="18" customHeight="1">
      <c r="A1296" s="57">
        <v>31</v>
      </c>
      <c r="B1296" s="58">
        <v>18.75</v>
      </c>
      <c r="C1296" s="58" t="s">
        <v>335</v>
      </c>
      <c r="D1296" s="58" t="s">
        <v>334</v>
      </c>
      <c r="E1296" s="58" t="s">
        <v>335</v>
      </c>
      <c r="F1296" s="58">
        <v>18.64</v>
      </c>
      <c r="G1296" s="58" t="s">
        <v>335</v>
      </c>
      <c r="H1296" s="58">
        <v>18.666</v>
      </c>
      <c r="I1296" s="58" t="s">
        <v>334</v>
      </c>
      <c r="J1296" s="58" t="s">
        <v>335</v>
      </c>
      <c r="K1296" s="58">
        <v>18.754999999999999</v>
      </c>
      <c r="L1296" s="58" t="s">
        <v>335</v>
      </c>
      <c r="M1296" s="59" t="s">
        <v>334</v>
      </c>
      <c r="N1296" s="58"/>
    </row>
    <row r="1297" spans="1:15" ht="18" customHeight="1" thickBot="1">
      <c r="A1297" s="76"/>
      <c r="B1297" s="77"/>
      <c r="C1297" s="77"/>
      <c r="D1297" s="77"/>
      <c r="E1297" s="77"/>
      <c r="F1297" s="77"/>
      <c r="G1297" s="77"/>
      <c r="H1297" s="77"/>
      <c r="I1297" s="77"/>
      <c r="J1297" s="77"/>
      <c r="K1297" s="77"/>
      <c r="L1297" s="77"/>
      <c r="M1297" s="78"/>
      <c r="N1297" s="58"/>
    </row>
    <row r="1298" spans="1:15" ht="18" customHeight="1">
      <c r="A1298" s="618">
        <v>1984</v>
      </c>
      <c r="B1298" s="619"/>
      <c r="C1298" s="619"/>
      <c r="D1298" s="619"/>
      <c r="E1298" s="619"/>
      <c r="F1298" s="619"/>
      <c r="G1298" s="619"/>
      <c r="H1298" s="619"/>
      <c r="I1298" s="619"/>
      <c r="J1298" s="619"/>
      <c r="K1298" s="619"/>
      <c r="L1298" s="619"/>
      <c r="M1298" s="620"/>
      <c r="N1298" s="52"/>
    </row>
    <row r="1299" spans="1:15" ht="18" customHeight="1" thickBot="1">
      <c r="A1299" s="63" t="s">
        <v>322</v>
      </c>
      <c r="B1299" s="64" t="s">
        <v>323</v>
      </c>
      <c r="C1299" s="64" t="s">
        <v>324</v>
      </c>
      <c r="D1299" s="64" t="s">
        <v>325</v>
      </c>
      <c r="E1299" s="64" t="s">
        <v>326</v>
      </c>
      <c r="F1299" s="64" t="s">
        <v>236</v>
      </c>
      <c r="G1299" s="64" t="s">
        <v>327</v>
      </c>
      <c r="H1299" s="64" t="s">
        <v>328</v>
      </c>
      <c r="I1299" s="64" t="s">
        <v>329</v>
      </c>
      <c r="J1299" s="64" t="s">
        <v>330</v>
      </c>
      <c r="K1299" s="64" t="s">
        <v>331</v>
      </c>
      <c r="L1299" s="64" t="s">
        <v>332</v>
      </c>
      <c r="M1299" s="65" t="s">
        <v>333</v>
      </c>
      <c r="N1299" s="52"/>
    </row>
    <row r="1300" spans="1:15" ht="18" customHeight="1">
      <c r="A1300" s="54">
        <v>1</v>
      </c>
      <c r="B1300" s="55" t="s">
        <v>334</v>
      </c>
      <c r="C1300" s="55">
        <v>14.002000000000001</v>
      </c>
      <c r="D1300" s="55">
        <v>14.002000000000001</v>
      </c>
      <c r="E1300" s="55" t="s">
        <v>334</v>
      </c>
      <c r="F1300" s="55" t="s">
        <v>334</v>
      </c>
      <c r="G1300" s="55">
        <v>14.002000000000001</v>
      </c>
      <c r="H1300" s="55" t="s">
        <v>334</v>
      </c>
      <c r="I1300" s="55">
        <v>18.001999999999999</v>
      </c>
      <c r="J1300" s="55" t="s">
        <v>334</v>
      </c>
      <c r="K1300" s="55">
        <v>18.001999999999999</v>
      </c>
      <c r="L1300" s="70" t="s">
        <v>334</v>
      </c>
      <c r="M1300" s="71" t="s">
        <v>334</v>
      </c>
      <c r="N1300" s="83">
        <v>1984</v>
      </c>
      <c r="O1300" s="47">
        <f>AVERAGE(B1300:M1330)</f>
        <v>16.699716326530584</v>
      </c>
    </row>
    <row r="1301" spans="1:15" ht="18" customHeight="1">
      <c r="A1301" s="57">
        <v>2</v>
      </c>
      <c r="B1301" s="58" t="s">
        <v>334</v>
      </c>
      <c r="C1301" s="58">
        <v>14.002000000000001</v>
      </c>
      <c r="D1301" s="58">
        <v>14.002000000000001</v>
      </c>
      <c r="E1301" s="58">
        <v>14.002000000000001</v>
      </c>
      <c r="F1301" s="58">
        <v>14.002000000000001</v>
      </c>
      <c r="G1301" s="58" t="s">
        <v>334</v>
      </c>
      <c r="H1301" s="58">
        <v>18.001999999999999</v>
      </c>
      <c r="I1301" s="58">
        <v>18.001999999999999</v>
      </c>
      <c r="J1301" s="58" t="s">
        <v>334</v>
      </c>
      <c r="K1301" s="58">
        <v>18.001999999999999</v>
      </c>
      <c r="L1301" s="72">
        <v>19.995000000000001</v>
      </c>
      <c r="M1301" s="73" t="s">
        <v>334</v>
      </c>
      <c r="N1301" s="58"/>
    </row>
    <row r="1302" spans="1:15" ht="18" customHeight="1">
      <c r="A1302" s="57">
        <v>3</v>
      </c>
      <c r="B1302" s="58">
        <v>14.002000000000001</v>
      </c>
      <c r="C1302" s="58">
        <v>14.002000000000001</v>
      </c>
      <c r="D1302" s="58" t="s">
        <v>334</v>
      </c>
      <c r="E1302" s="58">
        <v>14.002000000000001</v>
      </c>
      <c r="F1302" s="58">
        <v>14.002000000000001</v>
      </c>
      <c r="G1302" s="58" t="s">
        <v>334</v>
      </c>
      <c r="H1302" s="58">
        <v>18.001999999999999</v>
      </c>
      <c r="I1302" s="58">
        <v>18.001999999999999</v>
      </c>
      <c r="J1302" s="58">
        <v>18.001999999999999</v>
      </c>
      <c r="K1302" s="58">
        <v>18.12</v>
      </c>
      <c r="L1302" s="72" t="s">
        <v>334</v>
      </c>
      <c r="M1302" s="73">
        <v>19.91</v>
      </c>
      <c r="N1302" s="58"/>
    </row>
    <row r="1303" spans="1:15" ht="18" customHeight="1">
      <c r="A1303" s="57">
        <v>4</v>
      </c>
      <c r="B1303" s="58">
        <v>14.002000000000001</v>
      </c>
      <c r="C1303" s="58" t="s">
        <v>334</v>
      </c>
      <c r="D1303" s="58" t="s">
        <v>334</v>
      </c>
      <c r="E1303" s="58">
        <v>14.002000000000001</v>
      </c>
      <c r="F1303" s="58">
        <v>14.002000000000001</v>
      </c>
      <c r="G1303" s="58" t="s">
        <v>334</v>
      </c>
      <c r="H1303" s="58">
        <v>18.001999999999999</v>
      </c>
      <c r="I1303" s="58" t="s">
        <v>334</v>
      </c>
      <c r="J1303" s="58">
        <v>18.001999999999999</v>
      </c>
      <c r="K1303" s="58">
        <v>18.12</v>
      </c>
      <c r="L1303" s="58" t="s">
        <v>334</v>
      </c>
      <c r="M1303" s="59">
        <v>19.905000000000001</v>
      </c>
      <c r="N1303" s="58"/>
    </row>
    <row r="1304" spans="1:15" ht="18" customHeight="1">
      <c r="A1304" s="57">
        <v>5</v>
      </c>
      <c r="B1304" s="58">
        <v>14.002000000000001</v>
      </c>
      <c r="C1304" s="58" t="s">
        <v>334</v>
      </c>
      <c r="D1304" s="58">
        <v>14.002000000000001</v>
      </c>
      <c r="E1304" s="58">
        <v>14.002000000000001</v>
      </c>
      <c r="F1304" s="58" t="s">
        <v>334</v>
      </c>
      <c r="G1304" s="58">
        <v>14.002000000000001</v>
      </c>
      <c r="H1304" s="58">
        <v>18.001999999999999</v>
      </c>
      <c r="I1304" s="58" t="s">
        <v>334</v>
      </c>
      <c r="J1304" s="58">
        <v>18.001999999999999</v>
      </c>
      <c r="K1304" s="58">
        <v>18.21</v>
      </c>
      <c r="L1304" s="58">
        <v>19.989999999999998</v>
      </c>
      <c r="M1304" s="59">
        <v>19.905000000000001</v>
      </c>
      <c r="N1304" s="58"/>
    </row>
    <row r="1305" spans="1:15" ht="18" customHeight="1">
      <c r="A1305" s="57">
        <v>6</v>
      </c>
      <c r="B1305" s="58">
        <v>14.002000000000001</v>
      </c>
      <c r="C1305" s="58">
        <v>14.002000000000001</v>
      </c>
      <c r="D1305" s="58">
        <v>14.002000000000001</v>
      </c>
      <c r="E1305" s="58">
        <v>14.002000000000001</v>
      </c>
      <c r="F1305" s="58" t="s">
        <v>334</v>
      </c>
      <c r="G1305" s="58">
        <v>18.001999999999999</v>
      </c>
      <c r="H1305" s="58">
        <v>18.001999999999999</v>
      </c>
      <c r="I1305" s="58">
        <v>18.001999999999999</v>
      </c>
      <c r="J1305" s="58">
        <v>18.021999999999998</v>
      </c>
      <c r="K1305" s="58" t="s">
        <v>334</v>
      </c>
      <c r="L1305" s="58">
        <v>19.989999999999998</v>
      </c>
      <c r="M1305" s="59">
        <v>19.901</v>
      </c>
      <c r="N1305" s="58"/>
    </row>
    <row r="1306" spans="1:15" ht="18" customHeight="1">
      <c r="A1306" s="57">
        <v>7</v>
      </c>
      <c r="B1306" s="58" t="s">
        <v>334</v>
      </c>
      <c r="C1306" s="58">
        <v>14.002000000000001</v>
      </c>
      <c r="D1306" s="58">
        <v>14.002000000000001</v>
      </c>
      <c r="E1306" s="58" t="s">
        <v>334</v>
      </c>
      <c r="F1306" s="58">
        <v>14.002000000000001</v>
      </c>
      <c r="G1306" s="58">
        <v>18.001999999999999</v>
      </c>
      <c r="H1306" s="58" t="s">
        <v>334</v>
      </c>
      <c r="I1306" s="58">
        <v>18.001999999999999</v>
      </c>
      <c r="J1306" s="58">
        <v>18.001999999999999</v>
      </c>
      <c r="K1306" s="58" t="s">
        <v>334</v>
      </c>
      <c r="L1306" s="58">
        <v>19.984999999999999</v>
      </c>
      <c r="M1306" s="59">
        <v>19.895</v>
      </c>
      <c r="N1306" s="58"/>
    </row>
    <row r="1307" spans="1:15" ht="18" customHeight="1">
      <c r="A1307" s="57">
        <v>8</v>
      </c>
      <c r="B1307" s="58" t="s">
        <v>334</v>
      </c>
      <c r="C1307" s="58">
        <v>14.002000000000001</v>
      </c>
      <c r="D1307" s="58">
        <v>14.002000000000001</v>
      </c>
      <c r="E1307" s="58" t="s">
        <v>334</v>
      </c>
      <c r="F1307" s="58">
        <v>14.002000000000001</v>
      </c>
      <c r="G1307" s="58">
        <v>18.001999999999999</v>
      </c>
      <c r="H1307" s="58" t="s">
        <v>334</v>
      </c>
      <c r="I1307" s="58">
        <v>18.001999999999999</v>
      </c>
      <c r="J1307" s="58" t="s">
        <v>334</v>
      </c>
      <c r="K1307" s="58">
        <v>18.21</v>
      </c>
      <c r="L1307" s="58">
        <v>19.98</v>
      </c>
      <c r="M1307" s="59" t="s">
        <v>334</v>
      </c>
      <c r="N1307" s="58"/>
    </row>
    <row r="1308" spans="1:15" ht="18" customHeight="1">
      <c r="A1308" s="57">
        <v>9</v>
      </c>
      <c r="B1308" s="58">
        <v>14.002000000000001</v>
      </c>
      <c r="C1308" s="58">
        <v>14.002000000000001</v>
      </c>
      <c r="D1308" s="58">
        <v>14.002000000000001</v>
      </c>
      <c r="E1308" s="58">
        <v>14.002000000000001</v>
      </c>
      <c r="F1308" s="58">
        <v>14.002000000000001</v>
      </c>
      <c r="G1308" s="58" t="s">
        <v>334</v>
      </c>
      <c r="H1308" s="58">
        <v>18.001999999999999</v>
      </c>
      <c r="I1308" s="58">
        <v>18.001999999999999</v>
      </c>
      <c r="J1308" s="58" t="s">
        <v>334</v>
      </c>
      <c r="K1308" s="58">
        <v>18.21</v>
      </c>
      <c r="L1308" s="58">
        <v>19.977</v>
      </c>
      <c r="M1308" s="59" t="s">
        <v>334</v>
      </c>
      <c r="N1308" s="58"/>
    </row>
    <row r="1309" spans="1:15" ht="18" customHeight="1">
      <c r="A1309" s="57">
        <v>10</v>
      </c>
      <c r="B1309" s="58">
        <v>14.002000000000001</v>
      </c>
      <c r="C1309" s="58">
        <v>14.002000000000001</v>
      </c>
      <c r="D1309" s="58" t="s">
        <v>334</v>
      </c>
      <c r="E1309" s="58">
        <v>14.002000000000001</v>
      </c>
      <c r="F1309" s="58">
        <v>14.002000000000001</v>
      </c>
      <c r="G1309" s="58" t="s">
        <v>334</v>
      </c>
      <c r="H1309" s="58">
        <v>18.001999999999999</v>
      </c>
      <c r="I1309" s="58">
        <v>18.001999999999999</v>
      </c>
      <c r="J1309" s="58">
        <v>18.001999999999999</v>
      </c>
      <c r="K1309" s="58">
        <v>18.329999999999998</v>
      </c>
      <c r="L1309" s="58" t="s">
        <v>334</v>
      </c>
      <c r="M1309" s="59">
        <v>19.885999999999999</v>
      </c>
      <c r="N1309" s="58"/>
    </row>
    <row r="1310" spans="1:15" ht="18" customHeight="1">
      <c r="A1310" s="57">
        <v>11</v>
      </c>
      <c r="B1310" s="58">
        <v>14.002000000000001</v>
      </c>
      <c r="C1310" s="58" t="s">
        <v>334</v>
      </c>
      <c r="D1310" s="58" t="s">
        <v>334</v>
      </c>
      <c r="E1310" s="58">
        <v>14.002000000000001</v>
      </c>
      <c r="F1310" s="58">
        <v>14.002000000000001</v>
      </c>
      <c r="G1310" s="58">
        <v>18.001999999999999</v>
      </c>
      <c r="H1310" s="58">
        <v>18.001999999999999</v>
      </c>
      <c r="I1310" s="58" t="s">
        <v>334</v>
      </c>
      <c r="J1310" s="58" t="s">
        <v>334</v>
      </c>
      <c r="K1310" s="58">
        <v>18.329999999999998</v>
      </c>
      <c r="L1310" s="58" t="s">
        <v>334</v>
      </c>
      <c r="M1310" s="59">
        <v>19.88</v>
      </c>
      <c r="N1310" s="58"/>
    </row>
    <row r="1311" spans="1:15" ht="18" customHeight="1">
      <c r="A1311" s="57">
        <v>12</v>
      </c>
      <c r="B1311" s="58">
        <v>14.002000000000001</v>
      </c>
      <c r="C1311" s="58" t="s">
        <v>334</v>
      </c>
      <c r="D1311" s="58">
        <v>14.002000000000001</v>
      </c>
      <c r="E1311" s="58">
        <v>14.002000000000001</v>
      </c>
      <c r="F1311" s="58" t="s">
        <v>334</v>
      </c>
      <c r="G1311" s="58" t="s">
        <v>334</v>
      </c>
      <c r="H1311" s="58">
        <v>18.001999999999999</v>
      </c>
      <c r="I1311" s="58" t="s">
        <v>334</v>
      </c>
      <c r="J1311" s="58">
        <v>18.001999999999999</v>
      </c>
      <c r="K1311" s="58">
        <v>18.45</v>
      </c>
      <c r="L1311" s="58">
        <v>19.977</v>
      </c>
      <c r="M1311" s="59">
        <v>19.879000000000001</v>
      </c>
      <c r="N1311" s="58"/>
    </row>
    <row r="1312" spans="1:15" ht="18" customHeight="1">
      <c r="A1312" s="57">
        <v>13</v>
      </c>
      <c r="B1312" s="58">
        <v>14.002000000000001</v>
      </c>
      <c r="C1312" s="58">
        <v>14.002000000000001</v>
      </c>
      <c r="D1312" s="58">
        <v>14.002000000000001</v>
      </c>
      <c r="E1312" s="58">
        <v>14.002000000000001</v>
      </c>
      <c r="F1312" s="58" t="s">
        <v>334</v>
      </c>
      <c r="G1312" s="58">
        <v>18.001999999999999</v>
      </c>
      <c r="H1312" s="58">
        <v>18.001999999999999</v>
      </c>
      <c r="I1312" s="58">
        <v>18.001999999999999</v>
      </c>
      <c r="J1312" s="58">
        <v>18.001999999999999</v>
      </c>
      <c r="K1312" s="58" t="s">
        <v>334</v>
      </c>
      <c r="L1312" s="58">
        <v>19.975000000000001</v>
      </c>
      <c r="M1312" s="59">
        <v>19.86</v>
      </c>
      <c r="N1312" s="58"/>
    </row>
    <row r="1313" spans="1:14" ht="18" customHeight="1">
      <c r="A1313" s="57">
        <v>14</v>
      </c>
      <c r="B1313" s="58" t="s">
        <v>334</v>
      </c>
      <c r="C1313" s="58">
        <v>14.002000000000001</v>
      </c>
      <c r="D1313" s="58">
        <v>14.002000000000001</v>
      </c>
      <c r="E1313" s="58" t="s">
        <v>334</v>
      </c>
      <c r="F1313" s="58" t="s">
        <v>334</v>
      </c>
      <c r="G1313" s="58">
        <v>18.001999999999999</v>
      </c>
      <c r="H1313" s="58" t="s">
        <v>334</v>
      </c>
      <c r="I1313" s="58">
        <v>18.001999999999999</v>
      </c>
      <c r="J1313" s="58">
        <v>18.001999999999999</v>
      </c>
      <c r="K1313" s="58" t="s">
        <v>334</v>
      </c>
      <c r="L1313" s="58">
        <v>19.965</v>
      </c>
      <c r="M1313" s="59">
        <v>19.86</v>
      </c>
      <c r="N1313" s="58"/>
    </row>
    <row r="1314" spans="1:14" ht="18" customHeight="1">
      <c r="A1314" s="57">
        <v>15</v>
      </c>
      <c r="B1314" s="58" t="s">
        <v>334</v>
      </c>
      <c r="C1314" s="58">
        <v>14.002000000000001</v>
      </c>
      <c r="D1314" s="58">
        <v>14.002000000000001</v>
      </c>
      <c r="E1314" s="58" t="s">
        <v>334</v>
      </c>
      <c r="F1314" s="58">
        <v>14.002000000000001</v>
      </c>
      <c r="G1314" s="58">
        <v>18.001999999999999</v>
      </c>
      <c r="H1314" s="58" t="s">
        <v>334</v>
      </c>
      <c r="I1314" s="58">
        <v>18.001999999999999</v>
      </c>
      <c r="J1314" s="58" t="s">
        <v>334</v>
      </c>
      <c r="K1314" s="58">
        <v>18.45</v>
      </c>
      <c r="L1314" s="58">
        <v>19.96</v>
      </c>
      <c r="M1314" s="59" t="s">
        <v>334</v>
      </c>
      <c r="N1314" s="58"/>
    </row>
    <row r="1315" spans="1:14" ht="18" customHeight="1">
      <c r="A1315" s="57">
        <v>16</v>
      </c>
      <c r="B1315" s="58">
        <v>14.002000000000001</v>
      </c>
      <c r="C1315" s="58">
        <v>14.002000000000001</v>
      </c>
      <c r="D1315" s="58">
        <v>14.002000000000001</v>
      </c>
      <c r="E1315" s="58">
        <v>14.002000000000001</v>
      </c>
      <c r="F1315" s="58">
        <v>14.002000000000001</v>
      </c>
      <c r="G1315" s="58" t="s">
        <v>334</v>
      </c>
      <c r="H1315" s="58">
        <v>18.001999999999999</v>
      </c>
      <c r="I1315" s="58">
        <v>18.001999999999999</v>
      </c>
      <c r="J1315" s="58" t="s">
        <v>334</v>
      </c>
      <c r="K1315" s="58">
        <v>19.95</v>
      </c>
      <c r="L1315" s="58">
        <v>19.954999999999998</v>
      </c>
      <c r="M1315" s="59" t="s">
        <v>334</v>
      </c>
      <c r="N1315" s="58"/>
    </row>
    <row r="1316" spans="1:14" ht="18" customHeight="1">
      <c r="A1316" s="57">
        <v>17</v>
      </c>
      <c r="B1316" s="58">
        <v>14.002000000000001</v>
      </c>
      <c r="C1316" s="58">
        <v>14.002000000000001</v>
      </c>
      <c r="D1316" s="58" t="s">
        <v>334</v>
      </c>
      <c r="E1316" s="58">
        <v>14.002000000000001</v>
      </c>
      <c r="F1316" s="58">
        <v>14.002000000000001</v>
      </c>
      <c r="G1316" s="58" t="s">
        <v>334</v>
      </c>
      <c r="H1316" s="58">
        <v>18.001999999999999</v>
      </c>
      <c r="I1316" s="58">
        <v>18.001999999999999</v>
      </c>
      <c r="J1316" s="58">
        <v>18.001999999999999</v>
      </c>
      <c r="K1316" s="58">
        <v>19.98</v>
      </c>
      <c r="L1316" s="58" t="s">
        <v>334</v>
      </c>
      <c r="M1316" s="59">
        <v>19.855</v>
      </c>
      <c r="N1316" s="58"/>
    </row>
    <row r="1317" spans="1:14" ht="18" customHeight="1">
      <c r="A1317" s="57">
        <v>18</v>
      </c>
      <c r="B1317" s="58">
        <v>14.002000000000001</v>
      </c>
      <c r="C1317" s="58" t="s">
        <v>334</v>
      </c>
      <c r="D1317" s="58" t="s">
        <v>334</v>
      </c>
      <c r="E1317" s="58">
        <v>14.002000000000001</v>
      </c>
      <c r="F1317" s="58">
        <v>14.002000000000001</v>
      </c>
      <c r="G1317" s="58">
        <v>18.001999999999999</v>
      </c>
      <c r="H1317" s="58">
        <v>18.001999999999999</v>
      </c>
      <c r="I1317" s="58" t="s">
        <v>334</v>
      </c>
      <c r="J1317" s="58">
        <v>18.001999999999999</v>
      </c>
      <c r="K1317" s="58">
        <v>19.995000000000001</v>
      </c>
      <c r="L1317" s="58" t="s">
        <v>334</v>
      </c>
      <c r="M1317" s="59">
        <v>19.847999999999999</v>
      </c>
      <c r="N1317" s="58"/>
    </row>
    <row r="1318" spans="1:14" ht="18" customHeight="1">
      <c r="A1318" s="57">
        <v>19</v>
      </c>
      <c r="B1318" s="58">
        <v>14.002000000000001</v>
      </c>
      <c r="C1318" s="58" t="s">
        <v>334</v>
      </c>
      <c r="D1318" s="58">
        <v>14.002000000000001</v>
      </c>
      <c r="E1318" s="58" t="s">
        <v>334</v>
      </c>
      <c r="F1318" s="58" t="s">
        <v>334</v>
      </c>
      <c r="G1318" s="58">
        <v>18.001999999999999</v>
      </c>
      <c r="H1318" s="58">
        <v>18.001999999999999</v>
      </c>
      <c r="I1318" s="58" t="s">
        <v>334</v>
      </c>
      <c r="J1318" s="58">
        <v>18.001999999999999</v>
      </c>
      <c r="K1318" s="58">
        <v>20</v>
      </c>
      <c r="L1318" s="58">
        <v>19.954999999999998</v>
      </c>
      <c r="M1318" s="59">
        <v>19.8325</v>
      </c>
      <c r="N1318" s="58"/>
    </row>
    <row r="1319" spans="1:14" ht="18" customHeight="1">
      <c r="A1319" s="57">
        <v>20</v>
      </c>
      <c r="B1319" s="58">
        <v>14.002000000000001</v>
      </c>
      <c r="C1319" s="58">
        <v>14.002000000000001</v>
      </c>
      <c r="D1319" s="58">
        <v>14.002000000000001</v>
      </c>
      <c r="E1319" s="58" t="s">
        <v>334</v>
      </c>
      <c r="F1319" s="58" t="s">
        <v>334</v>
      </c>
      <c r="G1319" s="58">
        <v>18.001999999999999</v>
      </c>
      <c r="H1319" s="58">
        <v>18.001999999999999</v>
      </c>
      <c r="I1319" s="58">
        <v>18.001999999999999</v>
      </c>
      <c r="J1319" s="58">
        <v>18.001999999999999</v>
      </c>
      <c r="K1319" s="58" t="s">
        <v>334</v>
      </c>
      <c r="L1319" s="58">
        <v>19.954999999999998</v>
      </c>
      <c r="M1319" s="59">
        <v>19.821999999999999</v>
      </c>
      <c r="N1319" s="58"/>
    </row>
    <row r="1320" spans="1:14" ht="18" customHeight="1">
      <c r="A1320" s="57">
        <v>21</v>
      </c>
      <c r="B1320" s="58" t="s">
        <v>334</v>
      </c>
      <c r="C1320" s="58">
        <v>14.002000000000001</v>
      </c>
      <c r="D1320" s="58">
        <v>14.002000000000001</v>
      </c>
      <c r="E1320" s="58" t="s">
        <v>334</v>
      </c>
      <c r="F1320" s="58">
        <v>14.002000000000001</v>
      </c>
      <c r="G1320" s="58">
        <v>18.001999999999999</v>
      </c>
      <c r="H1320" s="58" t="s">
        <v>334</v>
      </c>
      <c r="I1320" s="58">
        <v>18.001999999999999</v>
      </c>
      <c r="J1320" s="58">
        <v>18.001999999999999</v>
      </c>
      <c r="K1320" s="58" t="s">
        <v>334</v>
      </c>
      <c r="L1320" s="58" t="s">
        <v>334</v>
      </c>
      <c r="M1320" s="59">
        <v>19.809999999999999</v>
      </c>
      <c r="N1320" s="58"/>
    </row>
    <row r="1321" spans="1:14" ht="18" customHeight="1">
      <c r="A1321" s="57">
        <v>22</v>
      </c>
      <c r="B1321" s="58" t="s">
        <v>334</v>
      </c>
      <c r="C1321" s="58">
        <v>14.002000000000001</v>
      </c>
      <c r="D1321" s="58">
        <v>14.002000000000001</v>
      </c>
      <c r="E1321" s="58" t="s">
        <v>334</v>
      </c>
      <c r="F1321" s="58">
        <v>14.002000000000001</v>
      </c>
      <c r="G1321" s="58">
        <v>18.001999999999999</v>
      </c>
      <c r="H1321" s="58" t="s">
        <v>334</v>
      </c>
      <c r="I1321" s="58">
        <v>18.001999999999999</v>
      </c>
      <c r="J1321" s="58" t="s">
        <v>334</v>
      </c>
      <c r="K1321" s="58">
        <v>20.004999999999999</v>
      </c>
      <c r="L1321" s="58">
        <v>19.945</v>
      </c>
      <c r="M1321" s="59" t="s">
        <v>334</v>
      </c>
      <c r="N1321" s="58"/>
    </row>
    <row r="1322" spans="1:14" ht="18" customHeight="1">
      <c r="A1322" s="57">
        <v>23</v>
      </c>
      <c r="B1322" s="58">
        <v>14.002000000000001</v>
      </c>
      <c r="C1322" s="58">
        <v>14.002000000000001</v>
      </c>
      <c r="D1322" s="58">
        <v>14.002000000000001</v>
      </c>
      <c r="E1322" s="58">
        <v>14.002000000000001</v>
      </c>
      <c r="F1322" s="58">
        <v>14.002000000000001</v>
      </c>
      <c r="G1322" s="58" t="s">
        <v>334</v>
      </c>
      <c r="H1322" s="58">
        <v>18.001999999999999</v>
      </c>
      <c r="I1322" s="58">
        <v>18.001999999999999</v>
      </c>
      <c r="J1322" s="58" t="s">
        <v>334</v>
      </c>
      <c r="K1322" s="58">
        <v>20.010000000000002</v>
      </c>
      <c r="L1322" s="58">
        <v>19.940000000000001</v>
      </c>
      <c r="M1322" s="59" t="s">
        <v>334</v>
      </c>
      <c r="N1322" s="58"/>
    </row>
    <row r="1323" spans="1:14" ht="18" customHeight="1">
      <c r="A1323" s="57">
        <v>24</v>
      </c>
      <c r="B1323" s="58">
        <v>14.002000000000001</v>
      </c>
      <c r="C1323" s="58">
        <v>14.002000000000001</v>
      </c>
      <c r="D1323" s="58" t="s">
        <v>334</v>
      </c>
      <c r="E1323" s="58">
        <v>14.002000000000001</v>
      </c>
      <c r="F1323" s="58">
        <v>14.002000000000001</v>
      </c>
      <c r="G1323" s="58" t="s">
        <v>334</v>
      </c>
      <c r="H1323" s="58">
        <v>18.001999999999999</v>
      </c>
      <c r="I1323" s="58">
        <v>18.001999999999999</v>
      </c>
      <c r="J1323" s="58">
        <v>18.001999999999999</v>
      </c>
      <c r="K1323" s="58">
        <v>20.015000000000001</v>
      </c>
      <c r="L1323" s="58" t="s">
        <v>334</v>
      </c>
      <c r="M1323" s="59" t="s">
        <v>334</v>
      </c>
      <c r="N1323" s="58"/>
    </row>
    <row r="1324" spans="1:14" ht="18" customHeight="1">
      <c r="A1324" s="57">
        <v>25</v>
      </c>
      <c r="B1324" s="58">
        <v>14.002000000000001</v>
      </c>
      <c r="C1324" s="58" t="s">
        <v>334</v>
      </c>
      <c r="D1324" s="58" t="s">
        <v>334</v>
      </c>
      <c r="E1324" s="58">
        <v>14.002000000000001</v>
      </c>
      <c r="F1324" s="58">
        <v>14.002000000000001</v>
      </c>
      <c r="G1324" s="58">
        <v>18.001999999999999</v>
      </c>
      <c r="H1324" s="58">
        <v>18.001999999999999</v>
      </c>
      <c r="I1324" s="58" t="s">
        <v>334</v>
      </c>
      <c r="J1324" s="58">
        <v>18.001999999999999</v>
      </c>
      <c r="K1324" s="58">
        <v>20.010000000000002</v>
      </c>
      <c r="L1324" s="58" t="s">
        <v>334</v>
      </c>
      <c r="M1324" s="59" t="s">
        <v>334</v>
      </c>
      <c r="N1324" s="58"/>
    </row>
    <row r="1325" spans="1:14" ht="18" customHeight="1">
      <c r="A1325" s="57">
        <v>26</v>
      </c>
      <c r="B1325" s="58" t="s">
        <v>334</v>
      </c>
      <c r="C1325" s="58" t="s">
        <v>334</v>
      </c>
      <c r="D1325" s="58">
        <v>14.002000000000001</v>
      </c>
      <c r="E1325" s="58">
        <v>14.002000000000001</v>
      </c>
      <c r="F1325" s="58" t="s">
        <v>334</v>
      </c>
      <c r="G1325" s="58">
        <v>18.001999999999999</v>
      </c>
      <c r="H1325" s="58">
        <v>18.001999999999999</v>
      </c>
      <c r="I1325" s="58" t="s">
        <v>334</v>
      </c>
      <c r="J1325" s="58">
        <v>18.001999999999999</v>
      </c>
      <c r="K1325" s="58">
        <v>20.010000000000002</v>
      </c>
      <c r="L1325" s="58">
        <v>19.927</v>
      </c>
      <c r="M1325" s="59">
        <v>19.801500000000001</v>
      </c>
      <c r="N1325" s="58"/>
    </row>
    <row r="1326" spans="1:14" ht="18" customHeight="1">
      <c r="A1326" s="57">
        <v>27</v>
      </c>
      <c r="B1326" s="58" t="s">
        <v>334</v>
      </c>
      <c r="C1326" s="58">
        <v>14.002000000000001</v>
      </c>
      <c r="D1326" s="58">
        <v>14.002000000000001</v>
      </c>
      <c r="E1326" s="58">
        <v>14.002000000000001</v>
      </c>
      <c r="F1326" s="58" t="s">
        <v>334</v>
      </c>
      <c r="G1326" s="58">
        <v>18.001999999999999</v>
      </c>
      <c r="H1326" s="58">
        <v>18.001999999999999</v>
      </c>
      <c r="I1326" s="58">
        <v>18.001999999999999</v>
      </c>
      <c r="J1326" s="58">
        <v>18.001999999999999</v>
      </c>
      <c r="K1326" s="58" t="s">
        <v>334</v>
      </c>
      <c r="L1326" s="58">
        <v>19.927</v>
      </c>
      <c r="M1326" s="59">
        <v>19.787500000000001</v>
      </c>
      <c r="N1326" s="58"/>
    </row>
    <row r="1327" spans="1:14" ht="18" customHeight="1">
      <c r="A1327" s="57">
        <v>28</v>
      </c>
      <c r="B1327" s="58" t="s">
        <v>334</v>
      </c>
      <c r="C1327" s="58">
        <v>14.002000000000001</v>
      </c>
      <c r="D1327" s="58">
        <v>14.002000000000001</v>
      </c>
      <c r="E1327" s="58" t="s">
        <v>334</v>
      </c>
      <c r="F1327" s="58">
        <v>14.002000000000001</v>
      </c>
      <c r="G1327" s="58">
        <v>18.001999999999999</v>
      </c>
      <c r="H1327" s="58" t="s">
        <v>334</v>
      </c>
      <c r="I1327" s="58">
        <v>18.001999999999999</v>
      </c>
      <c r="J1327" s="58">
        <v>18.001999999999999</v>
      </c>
      <c r="K1327" s="58" t="s">
        <v>334</v>
      </c>
      <c r="L1327" s="58">
        <v>19.920000000000002</v>
      </c>
      <c r="M1327" s="59">
        <v>19.759</v>
      </c>
      <c r="N1327" s="58"/>
    </row>
    <row r="1328" spans="1:14" ht="18" customHeight="1">
      <c r="A1328" s="57">
        <v>29</v>
      </c>
      <c r="B1328" s="58" t="s">
        <v>334</v>
      </c>
      <c r="C1328" s="58">
        <v>14.002000000000001</v>
      </c>
      <c r="D1328" s="58">
        <v>14.002000000000001</v>
      </c>
      <c r="E1328" s="58" t="s">
        <v>334</v>
      </c>
      <c r="F1328" s="58">
        <v>14.002000000000001</v>
      </c>
      <c r="G1328" s="58">
        <v>18.001999999999999</v>
      </c>
      <c r="H1328" s="58" t="s">
        <v>334</v>
      </c>
      <c r="I1328" s="58">
        <v>18.001999999999999</v>
      </c>
      <c r="J1328" s="58" t="s">
        <v>334</v>
      </c>
      <c r="K1328" s="58">
        <v>20.010000000000002</v>
      </c>
      <c r="L1328" s="58">
        <v>19.917000000000002</v>
      </c>
      <c r="M1328" s="59" t="s">
        <v>334</v>
      </c>
      <c r="N1328" s="58"/>
    </row>
    <row r="1329" spans="1:15" ht="18" customHeight="1">
      <c r="A1329" s="57">
        <v>30</v>
      </c>
      <c r="B1329" s="58">
        <v>14.002000000000001</v>
      </c>
      <c r="C1329" s="58" t="s">
        <v>335</v>
      </c>
      <c r="D1329" s="58">
        <v>14.002000000000001</v>
      </c>
      <c r="E1329" s="58">
        <v>14.002000000000001</v>
      </c>
      <c r="F1329" s="58">
        <v>14.002000000000001</v>
      </c>
      <c r="G1329" s="58" t="s">
        <v>334</v>
      </c>
      <c r="H1329" s="58">
        <v>18.001999999999999</v>
      </c>
      <c r="I1329" s="58">
        <v>18.001999999999999</v>
      </c>
      <c r="J1329" s="58" t="s">
        <v>334</v>
      </c>
      <c r="K1329" s="58">
        <v>20</v>
      </c>
      <c r="L1329" s="58" t="s">
        <v>334</v>
      </c>
      <c r="M1329" s="59" t="s">
        <v>334</v>
      </c>
      <c r="N1329" s="58"/>
    </row>
    <row r="1330" spans="1:15" ht="18" customHeight="1">
      <c r="A1330" s="57">
        <v>31</v>
      </c>
      <c r="B1330" s="58">
        <v>14.002000000000001</v>
      </c>
      <c r="C1330" s="58" t="s">
        <v>335</v>
      </c>
      <c r="D1330" s="58" t="s">
        <v>334</v>
      </c>
      <c r="E1330" s="58" t="s">
        <v>335</v>
      </c>
      <c r="F1330" s="58">
        <v>14.002000000000001</v>
      </c>
      <c r="G1330" s="58" t="s">
        <v>335</v>
      </c>
      <c r="H1330" s="58">
        <v>18.001999999999999</v>
      </c>
      <c r="I1330" s="58">
        <v>18.001999999999999</v>
      </c>
      <c r="J1330" s="58" t="s">
        <v>335</v>
      </c>
      <c r="K1330" s="58">
        <v>19.989999999999998</v>
      </c>
      <c r="L1330" s="58" t="s">
        <v>335</v>
      </c>
      <c r="M1330" s="59" t="s">
        <v>334</v>
      </c>
      <c r="N1330" s="58"/>
    </row>
    <row r="1331" spans="1:15" ht="18" customHeight="1" thickBot="1">
      <c r="A1331" s="76"/>
      <c r="B1331" s="77"/>
      <c r="C1331" s="77"/>
      <c r="D1331" s="77"/>
      <c r="E1331" s="77"/>
      <c r="F1331" s="77"/>
      <c r="G1331" s="77"/>
      <c r="H1331" s="77"/>
      <c r="I1331" s="77"/>
      <c r="J1331" s="77"/>
      <c r="K1331" s="77"/>
      <c r="L1331" s="77"/>
      <c r="M1331" s="78"/>
      <c r="N1331" s="58"/>
    </row>
    <row r="1332" spans="1:15" ht="18" customHeight="1">
      <c r="A1332" s="605">
        <v>1983</v>
      </c>
      <c r="B1332" s="606"/>
      <c r="C1332" s="606"/>
      <c r="D1332" s="606"/>
      <c r="E1332" s="606"/>
      <c r="F1332" s="606"/>
      <c r="G1332" s="606"/>
      <c r="H1332" s="606"/>
      <c r="I1332" s="606"/>
      <c r="J1332" s="606"/>
      <c r="K1332" s="606"/>
      <c r="L1332" s="606"/>
      <c r="M1332" s="607"/>
      <c r="N1332" s="52"/>
    </row>
    <row r="1333" spans="1:15" ht="18" customHeight="1" thickBot="1">
      <c r="A1333" s="51" t="s">
        <v>322</v>
      </c>
      <c r="B1333" s="52" t="s">
        <v>323</v>
      </c>
      <c r="C1333" s="52" t="s">
        <v>324</v>
      </c>
      <c r="D1333" s="52" t="s">
        <v>325</v>
      </c>
      <c r="E1333" s="52" t="s">
        <v>326</v>
      </c>
      <c r="F1333" s="52" t="s">
        <v>236</v>
      </c>
      <c r="G1333" s="52" t="s">
        <v>327</v>
      </c>
      <c r="H1333" s="52" t="s">
        <v>328</v>
      </c>
      <c r="I1333" s="52" t="s">
        <v>329</v>
      </c>
      <c r="J1333" s="52" t="s">
        <v>330</v>
      </c>
      <c r="K1333" s="52" t="s">
        <v>331</v>
      </c>
      <c r="L1333" s="52" t="s">
        <v>332</v>
      </c>
      <c r="M1333" s="53" t="s">
        <v>333</v>
      </c>
      <c r="N1333" s="52"/>
    </row>
    <row r="1334" spans="1:15" ht="18" customHeight="1">
      <c r="A1334" s="54">
        <v>1</v>
      </c>
      <c r="B1334" s="55" t="s">
        <v>334</v>
      </c>
      <c r="C1334" s="55">
        <v>9.4090000000000007</v>
      </c>
      <c r="D1334" s="55">
        <v>9.5280000000000005</v>
      </c>
      <c r="E1334" s="55" t="s">
        <v>334</v>
      </c>
      <c r="F1334" s="55" t="s">
        <v>334</v>
      </c>
      <c r="G1334" s="55">
        <v>10.093</v>
      </c>
      <c r="H1334" s="55">
        <v>11.002000000000001</v>
      </c>
      <c r="I1334" s="55">
        <v>11.0015</v>
      </c>
      <c r="J1334" s="55">
        <v>11.0015</v>
      </c>
      <c r="K1334" s="55" t="s">
        <v>334</v>
      </c>
      <c r="L1334" s="70" t="s">
        <v>334</v>
      </c>
      <c r="M1334" s="71">
        <v>14.002000000000001</v>
      </c>
      <c r="N1334" s="83">
        <v>1983</v>
      </c>
      <c r="O1334" s="47">
        <f>AVERAGE(B1334:M1364)</f>
        <v>11.08116892430278</v>
      </c>
    </row>
    <row r="1335" spans="1:15" ht="18" customHeight="1">
      <c r="A1335" s="57">
        <v>2</v>
      </c>
      <c r="B1335" s="58" t="s">
        <v>334</v>
      </c>
      <c r="C1335" s="58">
        <v>9.4220000000000006</v>
      </c>
      <c r="D1335" s="58">
        <v>9.5359999999999996</v>
      </c>
      <c r="E1335" s="58" t="s">
        <v>334</v>
      </c>
      <c r="F1335" s="58">
        <v>9.9320000000000004</v>
      </c>
      <c r="G1335" s="58">
        <v>10.111000000000001</v>
      </c>
      <c r="H1335" s="58" t="s">
        <v>334</v>
      </c>
      <c r="I1335" s="58">
        <v>11.0015</v>
      </c>
      <c r="J1335" s="58">
        <v>11.0015</v>
      </c>
      <c r="K1335" s="58" t="s">
        <v>334</v>
      </c>
      <c r="L1335" s="72">
        <v>14.002000000000001</v>
      </c>
      <c r="M1335" s="73">
        <v>14.002000000000001</v>
      </c>
      <c r="N1335" s="58"/>
    </row>
    <row r="1336" spans="1:15" ht="18" customHeight="1">
      <c r="A1336" s="57">
        <v>3</v>
      </c>
      <c r="B1336" s="58">
        <v>9.173</v>
      </c>
      <c r="C1336" s="58">
        <v>9.4149999999999991</v>
      </c>
      <c r="D1336" s="58">
        <v>9.5340000000000007</v>
      </c>
      <c r="E1336" s="58" t="s">
        <v>334</v>
      </c>
      <c r="F1336" s="58">
        <v>9.9450000000000003</v>
      </c>
      <c r="G1336" s="58">
        <v>10.125</v>
      </c>
      <c r="H1336" s="58" t="s">
        <v>334</v>
      </c>
      <c r="I1336" s="58">
        <v>11.000999999999999</v>
      </c>
      <c r="J1336" s="58" t="s">
        <v>334</v>
      </c>
      <c r="K1336" s="58">
        <v>11.002000000000001</v>
      </c>
      <c r="L1336" s="72">
        <v>14.002000000000001</v>
      </c>
      <c r="M1336" s="73" t="s">
        <v>334</v>
      </c>
      <c r="N1336" s="58"/>
    </row>
    <row r="1337" spans="1:15" ht="18" customHeight="1">
      <c r="A1337" s="57">
        <v>4</v>
      </c>
      <c r="B1337" s="58">
        <v>9.1910000000000007</v>
      </c>
      <c r="C1337" s="58">
        <v>9.4290000000000003</v>
      </c>
      <c r="D1337" s="58">
        <v>9.5470000000000006</v>
      </c>
      <c r="E1337" s="58">
        <v>9.7509999999999994</v>
      </c>
      <c r="F1337" s="58">
        <v>9.9710000000000001</v>
      </c>
      <c r="G1337" s="58" t="s">
        <v>334</v>
      </c>
      <c r="H1337" s="58" t="s">
        <v>334</v>
      </c>
      <c r="I1337" s="58">
        <v>11.0015</v>
      </c>
      <c r="J1337" s="58" t="s">
        <v>334</v>
      </c>
      <c r="K1337" s="58">
        <v>11.0015</v>
      </c>
      <c r="L1337" s="58">
        <v>14.002000000000001</v>
      </c>
      <c r="M1337" s="59" t="s">
        <v>334</v>
      </c>
      <c r="N1337" s="58"/>
    </row>
    <row r="1338" spans="1:15" ht="18" customHeight="1">
      <c r="A1338" s="57">
        <v>5</v>
      </c>
      <c r="B1338" s="58">
        <v>9.2129999999999992</v>
      </c>
      <c r="C1338" s="58" t="s">
        <v>334</v>
      </c>
      <c r="D1338" s="58" t="s">
        <v>334</v>
      </c>
      <c r="E1338" s="58">
        <v>9.7690000000000001</v>
      </c>
      <c r="F1338" s="58">
        <v>9.9849999999999994</v>
      </c>
      <c r="G1338" s="58" t="s">
        <v>334</v>
      </c>
      <c r="H1338" s="58">
        <v>11.0015</v>
      </c>
      <c r="I1338" s="58">
        <v>11.0015</v>
      </c>
      <c r="J1338" s="58">
        <v>11.0015</v>
      </c>
      <c r="K1338" s="58">
        <v>14</v>
      </c>
      <c r="L1338" s="58" t="s">
        <v>334</v>
      </c>
      <c r="M1338" s="59">
        <v>14.002000000000001</v>
      </c>
      <c r="N1338" s="58"/>
    </row>
    <row r="1339" spans="1:15" ht="18" customHeight="1">
      <c r="A1339" s="57">
        <v>6</v>
      </c>
      <c r="B1339" s="58">
        <v>9.2210000000000001</v>
      </c>
      <c r="C1339" s="58" t="s">
        <v>334</v>
      </c>
      <c r="D1339" s="58" t="s">
        <v>334</v>
      </c>
      <c r="E1339" s="58">
        <v>9.8119999999999994</v>
      </c>
      <c r="F1339" s="58" t="s">
        <v>334</v>
      </c>
      <c r="G1339" s="58">
        <v>10.115</v>
      </c>
      <c r="H1339" s="58">
        <v>11.000999999999999</v>
      </c>
      <c r="I1339" s="58" t="s">
        <v>334</v>
      </c>
      <c r="J1339" s="58">
        <v>11.0015</v>
      </c>
      <c r="K1339" s="58">
        <v>14</v>
      </c>
      <c r="L1339" s="58" t="s">
        <v>334</v>
      </c>
      <c r="M1339" s="59">
        <v>14.002000000000001</v>
      </c>
      <c r="N1339" s="58"/>
    </row>
    <row r="1340" spans="1:15" ht="18" customHeight="1">
      <c r="A1340" s="57">
        <v>7</v>
      </c>
      <c r="B1340" s="58">
        <v>9.2319999999999993</v>
      </c>
      <c r="C1340" s="58">
        <v>9.4350000000000005</v>
      </c>
      <c r="D1340" s="58">
        <v>9.5589999999999993</v>
      </c>
      <c r="E1340" s="58">
        <v>9.8030000000000008</v>
      </c>
      <c r="F1340" s="58" t="s">
        <v>334</v>
      </c>
      <c r="G1340" s="58">
        <v>10.141999999999999</v>
      </c>
      <c r="H1340" s="58">
        <v>11.001200000000001</v>
      </c>
      <c r="I1340" s="58" t="s">
        <v>334</v>
      </c>
      <c r="J1340" s="58">
        <v>11.0015</v>
      </c>
      <c r="K1340" s="58">
        <v>14.000999999999999</v>
      </c>
      <c r="L1340" s="58">
        <v>14.002000000000001</v>
      </c>
      <c r="M1340" s="59">
        <v>14.002000000000001</v>
      </c>
      <c r="N1340" s="58"/>
    </row>
    <row r="1341" spans="1:15" ht="18" customHeight="1">
      <c r="A1341" s="57">
        <v>8</v>
      </c>
      <c r="B1341" s="58" t="s">
        <v>334</v>
      </c>
      <c r="C1341" s="58">
        <v>9.4350000000000005</v>
      </c>
      <c r="D1341" s="58">
        <v>9.5660000000000007</v>
      </c>
      <c r="E1341" s="58">
        <v>9.8219999999999992</v>
      </c>
      <c r="F1341" s="58" t="s">
        <v>334</v>
      </c>
      <c r="G1341" s="58">
        <v>10.132</v>
      </c>
      <c r="H1341" s="58">
        <v>11.002000000000001</v>
      </c>
      <c r="I1341" s="58">
        <v>11.002000000000001</v>
      </c>
      <c r="J1341" s="58">
        <v>11.002000000000001</v>
      </c>
      <c r="K1341" s="58" t="s">
        <v>334</v>
      </c>
      <c r="L1341" s="58">
        <v>14.002000000000001</v>
      </c>
      <c r="M1341" s="59">
        <v>14.002000000000001</v>
      </c>
      <c r="N1341" s="58"/>
    </row>
    <row r="1342" spans="1:15" ht="18" customHeight="1">
      <c r="A1342" s="57">
        <v>9</v>
      </c>
      <c r="B1342" s="58" t="s">
        <v>334</v>
      </c>
      <c r="C1342" s="58">
        <v>9.4510000000000005</v>
      </c>
      <c r="D1342" s="58">
        <v>9.5749999999999993</v>
      </c>
      <c r="E1342" s="58" t="s">
        <v>334</v>
      </c>
      <c r="F1342" s="58">
        <v>9.9939999999999998</v>
      </c>
      <c r="G1342" s="58">
        <v>10.143000000000001</v>
      </c>
      <c r="H1342" s="58" t="s">
        <v>334</v>
      </c>
      <c r="I1342" s="58">
        <v>11.002000000000001</v>
      </c>
      <c r="J1342" s="58">
        <v>11.002000000000001</v>
      </c>
      <c r="K1342" s="58" t="s">
        <v>334</v>
      </c>
      <c r="L1342" s="58">
        <v>14.002000000000001</v>
      </c>
      <c r="M1342" s="59">
        <v>14.002000000000001</v>
      </c>
      <c r="N1342" s="58"/>
    </row>
    <row r="1343" spans="1:15" ht="18" customHeight="1">
      <c r="A1343" s="57">
        <v>10</v>
      </c>
      <c r="B1343" s="58">
        <v>9.2439999999999998</v>
      </c>
      <c r="C1343" s="58">
        <v>9.4649999999999999</v>
      </c>
      <c r="D1343" s="58">
        <v>9.5809999999999995</v>
      </c>
      <c r="E1343" s="58" t="s">
        <v>334</v>
      </c>
      <c r="F1343" s="58">
        <v>10.005000000000001</v>
      </c>
      <c r="G1343" s="58">
        <v>10.169</v>
      </c>
      <c r="H1343" s="58" t="s">
        <v>334</v>
      </c>
      <c r="I1343" s="58">
        <v>11.015000000000001</v>
      </c>
      <c r="J1343" s="58" t="s">
        <v>334</v>
      </c>
      <c r="K1343" s="58">
        <v>14.000999999999999</v>
      </c>
      <c r="L1343" s="58">
        <v>14.002000000000001</v>
      </c>
      <c r="M1343" s="59" t="s">
        <v>334</v>
      </c>
      <c r="N1343" s="58"/>
    </row>
    <row r="1344" spans="1:15" ht="18" customHeight="1">
      <c r="A1344" s="57">
        <v>11</v>
      </c>
      <c r="B1344" s="58">
        <v>9.2539999999999996</v>
      </c>
      <c r="C1344" s="58">
        <v>9.4610000000000003</v>
      </c>
      <c r="D1344" s="58">
        <v>9.5779999999999994</v>
      </c>
      <c r="E1344" s="58">
        <v>9.8309999999999995</v>
      </c>
      <c r="F1344" s="58">
        <v>10.021000000000001</v>
      </c>
      <c r="G1344" s="58" t="s">
        <v>334</v>
      </c>
      <c r="H1344" s="58">
        <v>11.0015</v>
      </c>
      <c r="I1344" s="58">
        <v>11.0015</v>
      </c>
      <c r="J1344" s="58" t="s">
        <v>334</v>
      </c>
      <c r="K1344" s="58">
        <v>14.000999999999999</v>
      </c>
      <c r="L1344" s="58">
        <v>14.002000000000001</v>
      </c>
      <c r="M1344" s="59" t="s">
        <v>334</v>
      </c>
      <c r="N1344" s="58"/>
    </row>
    <row r="1345" spans="1:14" ht="18" customHeight="1">
      <c r="A1345" s="57">
        <v>12</v>
      </c>
      <c r="B1345" s="58">
        <v>9.2629999999999999</v>
      </c>
      <c r="C1345" s="58" t="s">
        <v>334</v>
      </c>
      <c r="D1345" s="58" t="s">
        <v>334</v>
      </c>
      <c r="E1345" s="58">
        <v>9.8350000000000009</v>
      </c>
      <c r="F1345" s="58">
        <v>10.026</v>
      </c>
      <c r="G1345" s="58" t="s">
        <v>334</v>
      </c>
      <c r="H1345" s="58">
        <v>11.002000000000001</v>
      </c>
      <c r="I1345" s="58">
        <v>11.002000000000001</v>
      </c>
      <c r="J1345" s="58">
        <v>11.002000000000001</v>
      </c>
      <c r="K1345" s="58">
        <v>14.002000000000001</v>
      </c>
      <c r="L1345" s="58" t="s">
        <v>334</v>
      </c>
      <c r="M1345" s="59">
        <v>14.002000000000001</v>
      </c>
      <c r="N1345" s="58"/>
    </row>
    <row r="1346" spans="1:14" ht="18" customHeight="1">
      <c r="A1346" s="57">
        <v>13</v>
      </c>
      <c r="B1346" s="58">
        <v>9.2650000000000006</v>
      </c>
      <c r="C1346" s="58" t="s">
        <v>334</v>
      </c>
      <c r="D1346" s="58" t="s">
        <v>334</v>
      </c>
      <c r="E1346" s="58">
        <v>9.8330000000000002</v>
      </c>
      <c r="F1346" s="58">
        <v>10.029</v>
      </c>
      <c r="G1346" s="58">
        <v>10.170999999999999</v>
      </c>
      <c r="H1346" s="58">
        <v>11.0015</v>
      </c>
      <c r="I1346" s="58" t="s">
        <v>334</v>
      </c>
      <c r="J1346" s="58">
        <v>11.0015</v>
      </c>
      <c r="K1346" s="58">
        <v>14.002000000000001</v>
      </c>
      <c r="L1346" s="58" t="s">
        <v>334</v>
      </c>
      <c r="M1346" s="59">
        <v>14.002000000000001</v>
      </c>
      <c r="N1346" s="58"/>
    </row>
    <row r="1347" spans="1:14" ht="18" customHeight="1">
      <c r="A1347" s="57">
        <v>14</v>
      </c>
      <c r="B1347" s="58">
        <v>9.2789999999999999</v>
      </c>
      <c r="C1347" s="58">
        <v>9.4719999999999995</v>
      </c>
      <c r="D1347" s="58">
        <v>9.5850000000000009</v>
      </c>
      <c r="E1347" s="58">
        <v>9.8620000000000001</v>
      </c>
      <c r="F1347" s="58" t="s">
        <v>334</v>
      </c>
      <c r="G1347" s="58">
        <v>10.151999999999999</v>
      </c>
      <c r="H1347" s="58">
        <v>11.0015</v>
      </c>
      <c r="I1347" s="58" t="s">
        <v>334</v>
      </c>
      <c r="J1347" s="58">
        <v>11.0015</v>
      </c>
      <c r="K1347" s="58">
        <v>14.002000000000001</v>
      </c>
      <c r="L1347" s="58">
        <v>14.002000000000001</v>
      </c>
      <c r="M1347" s="59">
        <v>14.002000000000001</v>
      </c>
      <c r="N1347" s="58"/>
    </row>
    <row r="1348" spans="1:14" ht="18" customHeight="1">
      <c r="A1348" s="57">
        <v>15</v>
      </c>
      <c r="B1348" s="58" t="s">
        <v>334</v>
      </c>
      <c r="C1348" s="58">
        <v>9.4710000000000001</v>
      </c>
      <c r="D1348" s="58">
        <v>9.5869999999999997</v>
      </c>
      <c r="E1348" s="58">
        <v>9.8670000000000009</v>
      </c>
      <c r="F1348" s="58" t="s">
        <v>334</v>
      </c>
      <c r="G1348" s="58">
        <v>10.179</v>
      </c>
      <c r="H1348" s="58">
        <v>11.0015</v>
      </c>
      <c r="I1348" s="58">
        <v>11.0015</v>
      </c>
      <c r="J1348" s="58">
        <v>11.002000000000001</v>
      </c>
      <c r="K1348" s="58" t="s">
        <v>334</v>
      </c>
      <c r="L1348" s="58">
        <v>14.002000000000001</v>
      </c>
      <c r="M1348" s="59">
        <v>14.002000000000001</v>
      </c>
      <c r="N1348" s="58"/>
    </row>
    <row r="1349" spans="1:14" ht="18" customHeight="1">
      <c r="A1349" s="57">
        <v>16</v>
      </c>
      <c r="B1349" s="58" t="s">
        <v>334</v>
      </c>
      <c r="C1349" s="58">
        <v>9.4779999999999998</v>
      </c>
      <c r="D1349" s="58">
        <v>9.5860000000000003</v>
      </c>
      <c r="E1349" s="58" t="s">
        <v>334</v>
      </c>
      <c r="F1349" s="58">
        <v>10.038</v>
      </c>
      <c r="G1349" s="58">
        <v>10.169</v>
      </c>
      <c r="H1349" s="58" t="s">
        <v>334</v>
      </c>
      <c r="I1349" s="58">
        <v>11.0015</v>
      </c>
      <c r="J1349" s="58">
        <v>11.002000000000001</v>
      </c>
      <c r="K1349" s="58" t="s">
        <v>334</v>
      </c>
      <c r="L1349" s="58">
        <v>14.002000000000001</v>
      </c>
      <c r="M1349" s="59">
        <v>14.002000000000001</v>
      </c>
      <c r="N1349" s="58"/>
    </row>
    <row r="1350" spans="1:14" ht="18" customHeight="1">
      <c r="A1350" s="57">
        <v>17</v>
      </c>
      <c r="B1350" s="58">
        <v>9.282</v>
      </c>
      <c r="C1350" s="58">
        <v>9.4749999999999996</v>
      </c>
      <c r="D1350" s="58">
        <v>9.5939999999999994</v>
      </c>
      <c r="E1350" s="58" t="s">
        <v>334</v>
      </c>
      <c r="F1350" s="58">
        <v>10.044</v>
      </c>
      <c r="G1350" s="58">
        <v>10.159000000000001</v>
      </c>
      <c r="H1350" s="58" t="s">
        <v>334</v>
      </c>
      <c r="I1350" s="58">
        <v>11.0015</v>
      </c>
      <c r="J1350" s="58" t="s">
        <v>334</v>
      </c>
      <c r="K1350" s="58">
        <v>14.002000000000001</v>
      </c>
      <c r="L1350" s="58">
        <v>14.002000000000001</v>
      </c>
      <c r="M1350" s="59" t="s">
        <v>334</v>
      </c>
      <c r="N1350" s="58"/>
    </row>
    <row r="1351" spans="1:14" ht="18" customHeight="1">
      <c r="A1351" s="57">
        <v>18</v>
      </c>
      <c r="B1351" s="58">
        <v>9.2929999999999993</v>
      </c>
      <c r="C1351" s="58">
        <v>9.4809999999999999</v>
      </c>
      <c r="D1351" s="58">
        <v>9.6050000000000004</v>
      </c>
      <c r="E1351" s="58">
        <v>9.8819999999999997</v>
      </c>
      <c r="F1351" s="58">
        <v>10.052</v>
      </c>
      <c r="G1351" s="58" t="s">
        <v>334</v>
      </c>
      <c r="H1351" s="58">
        <v>11.000999999999999</v>
      </c>
      <c r="I1351" s="58">
        <v>11.000999999999999</v>
      </c>
      <c r="J1351" s="58" t="s">
        <v>334</v>
      </c>
      <c r="K1351" s="58">
        <v>14.002000000000001</v>
      </c>
      <c r="L1351" s="58">
        <v>14.002000000000001</v>
      </c>
      <c r="M1351" s="59" t="s">
        <v>334</v>
      </c>
      <c r="N1351" s="58"/>
    </row>
    <row r="1352" spans="1:14" ht="18" customHeight="1">
      <c r="A1352" s="57">
        <v>19</v>
      </c>
      <c r="B1352" s="58">
        <v>9.3049999999999997</v>
      </c>
      <c r="C1352" s="58" t="s">
        <v>334</v>
      </c>
      <c r="D1352" s="58" t="s">
        <v>334</v>
      </c>
      <c r="E1352" s="58">
        <v>9.8960000000000008</v>
      </c>
      <c r="F1352" s="58">
        <v>10.048999999999999</v>
      </c>
      <c r="G1352" s="58" t="s">
        <v>334</v>
      </c>
      <c r="H1352" s="58">
        <v>11.0015</v>
      </c>
      <c r="I1352" s="58">
        <v>11.0015</v>
      </c>
      <c r="J1352" s="58">
        <v>11.002000000000001</v>
      </c>
      <c r="K1352" s="58">
        <v>14.002000000000001</v>
      </c>
      <c r="L1352" s="58" t="s">
        <v>334</v>
      </c>
      <c r="M1352" s="59">
        <v>14.002000000000001</v>
      </c>
      <c r="N1352" s="58"/>
    </row>
    <row r="1353" spans="1:14" ht="18" customHeight="1">
      <c r="A1353" s="57">
        <v>20</v>
      </c>
      <c r="B1353" s="58">
        <v>9.3179999999999996</v>
      </c>
      <c r="C1353" s="58" t="s">
        <v>334</v>
      </c>
      <c r="D1353" s="58" t="s">
        <v>334</v>
      </c>
      <c r="E1353" s="58">
        <v>9.9109999999999996</v>
      </c>
      <c r="F1353" s="58">
        <v>10.055</v>
      </c>
      <c r="G1353" s="58">
        <v>10.180999999999999</v>
      </c>
      <c r="H1353" s="58">
        <v>11.002000000000001</v>
      </c>
      <c r="I1353" s="58" t="s">
        <v>334</v>
      </c>
      <c r="J1353" s="58">
        <v>11.002000000000001</v>
      </c>
      <c r="K1353" s="58">
        <v>14.002000000000001</v>
      </c>
      <c r="L1353" s="58" t="s">
        <v>334</v>
      </c>
      <c r="M1353" s="59">
        <v>14.002000000000001</v>
      </c>
      <c r="N1353" s="58"/>
    </row>
    <row r="1354" spans="1:14" ht="18" customHeight="1">
      <c r="A1354" s="57">
        <v>21</v>
      </c>
      <c r="B1354" s="58">
        <v>9.3290000000000006</v>
      </c>
      <c r="C1354" s="58">
        <v>9.4809999999999999</v>
      </c>
      <c r="D1354" s="58">
        <v>9.6140000000000008</v>
      </c>
      <c r="E1354" s="58">
        <v>9.9190000000000005</v>
      </c>
      <c r="F1354" s="58" t="s">
        <v>334</v>
      </c>
      <c r="G1354" s="58">
        <v>10.212</v>
      </c>
      <c r="H1354" s="58">
        <v>11.002000000000001</v>
      </c>
      <c r="I1354" s="58" t="s">
        <v>334</v>
      </c>
      <c r="J1354" s="58">
        <v>11.0015</v>
      </c>
      <c r="K1354" s="58">
        <v>14.002000000000001</v>
      </c>
      <c r="L1354" s="58">
        <v>14.002000000000001</v>
      </c>
      <c r="M1354" s="59">
        <v>14.002000000000001</v>
      </c>
      <c r="N1354" s="58"/>
    </row>
    <row r="1355" spans="1:14" ht="18" customHeight="1">
      <c r="A1355" s="57">
        <v>22</v>
      </c>
      <c r="B1355" s="58" t="s">
        <v>334</v>
      </c>
      <c r="C1355" s="58">
        <v>9.4890000000000008</v>
      </c>
      <c r="D1355" s="58">
        <v>9.6329999999999991</v>
      </c>
      <c r="E1355" s="58">
        <v>9.9309999999999992</v>
      </c>
      <c r="F1355" s="58" t="s">
        <v>334</v>
      </c>
      <c r="G1355" s="58">
        <v>10.202</v>
      </c>
      <c r="H1355" s="58">
        <v>11.002000000000001</v>
      </c>
      <c r="I1355" s="58">
        <v>11.001200000000001</v>
      </c>
      <c r="J1355" s="58">
        <v>11.0015</v>
      </c>
      <c r="K1355" s="58" t="s">
        <v>334</v>
      </c>
      <c r="L1355" s="58">
        <v>14.002000000000001</v>
      </c>
      <c r="M1355" s="59">
        <v>14.002000000000001</v>
      </c>
      <c r="N1355" s="58"/>
    </row>
    <row r="1356" spans="1:14" ht="18" customHeight="1">
      <c r="A1356" s="57">
        <v>23</v>
      </c>
      <c r="B1356" s="58" t="s">
        <v>334</v>
      </c>
      <c r="C1356" s="58">
        <v>9.4969999999999999</v>
      </c>
      <c r="D1356" s="58">
        <v>9.6449999999999996</v>
      </c>
      <c r="E1356" s="58" t="s">
        <v>334</v>
      </c>
      <c r="F1356" s="58">
        <v>10.053000000000001</v>
      </c>
      <c r="G1356" s="58">
        <v>11</v>
      </c>
      <c r="H1356" s="58" t="s">
        <v>334</v>
      </c>
      <c r="I1356" s="58">
        <v>11.002000000000001</v>
      </c>
      <c r="J1356" s="58">
        <v>11.002000000000001</v>
      </c>
      <c r="K1356" s="58" t="s">
        <v>334</v>
      </c>
      <c r="L1356" s="58">
        <v>14.002000000000001</v>
      </c>
      <c r="M1356" s="59">
        <v>14.002000000000001</v>
      </c>
      <c r="N1356" s="58"/>
    </row>
    <row r="1357" spans="1:14" ht="18" customHeight="1">
      <c r="A1357" s="57">
        <v>24</v>
      </c>
      <c r="B1357" s="58">
        <v>9.3339999999999996</v>
      </c>
      <c r="C1357" s="58">
        <v>9.4949999999999992</v>
      </c>
      <c r="D1357" s="58">
        <v>9.6609999999999996</v>
      </c>
      <c r="E1357" s="58" t="s">
        <v>334</v>
      </c>
      <c r="F1357" s="58">
        <v>10.058</v>
      </c>
      <c r="G1357" s="58">
        <v>11</v>
      </c>
      <c r="H1357" s="58" t="s">
        <v>334</v>
      </c>
      <c r="I1357" s="58">
        <v>11.0015</v>
      </c>
      <c r="J1357" s="58" t="s">
        <v>334</v>
      </c>
      <c r="K1357" s="58">
        <v>14.002000000000001</v>
      </c>
      <c r="L1357" s="58">
        <v>14.002000000000001</v>
      </c>
      <c r="M1357" s="59" t="s">
        <v>334</v>
      </c>
      <c r="N1357" s="58"/>
    </row>
    <row r="1358" spans="1:14" ht="18" customHeight="1">
      <c r="A1358" s="57">
        <v>25</v>
      </c>
      <c r="B1358" s="58">
        <v>9.3369999999999997</v>
      </c>
      <c r="C1358" s="58">
        <v>9.5069999999999997</v>
      </c>
      <c r="D1358" s="58">
        <v>9.6750000000000007</v>
      </c>
      <c r="E1358" s="58">
        <v>9.9280000000000008</v>
      </c>
      <c r="F1358" s="58">
        <v>10.081</v>
      </c>
      <c r="G1358" s="58" t="s">
        <v>334</v>
      </c>
      <c r="H1358" s="58">
        <v>11.0015</v>
      </c>
      <c r="I1358" s="58">
        <v>11.0015</v>
      </c>
      <c r="J1358" s="58" t="s">
        <v>334</v>
      </c>
      <c r="K1358" s="58">
        <v>14.002000000000001</v>
      </c>
      <c r="L1358" s="58">
        <v>14.002000000000001</v>
      </c>
      <c r="M1358" s="59" t="s">
        <v>334</v>
      </c>
      <c r="N1358" s="58"/>
    </row>
    <row r="1359" spans="1:14" ht="18" customHeight="1">
      <c r="A1359" s="57">
        <v>26</v>
      </c>
      <c r="B1359" s="58">
        <v>9.3510000000000009</v>
      </c>
      <c r="C1359" s="58" t="s">
        <v>334</v>
      </c>
      <c r="D1359" s="58" t="s">
        <v>334</v>
      </c>
      <c r="E1359" s="58">
        <v>9.9260000000000002</v>
      </c>
      <c r="F1359" s="58">
        <v>10.071999999999999</v>
      </c>
      <c r="G1359" s="58" t="s">
        <v>334</v>
      </c>
      <c r="H1359" s="58">
        <v>11.002000000000001</v>
      </c>
      <c r="I1359" s="58">
        <v>11.0015</v>
      </c>
      <c r="J1359" s="58">
        <v>11.002000000000001</v>
      </c>
      <c r="K1359" s="58">
        <v>14.002000000000001</v>
      </c>
      <c r="L1359" s="58">
        <v>14.002000000000001</v>
      </c>
      <c r="M1359" s="59" t="s">
        <v>334</v>
      </c>
      <c r="N1359" s="58"/>
    </row>
    <row r="1360" spans="1:14" ht="18" customHeight="1">
      <c r="A1360" s="57">
        <v>27</v>
      </c>
      <c r="B1360" s="58">
        <v>9.3620000000000001</v>
      </c>
      <c r="C1360" s="58" t="s">
        <v>334</v>
      </c>
      <c r="D1360" s="58" t="s">
        <v>334</v>
      </c>
      <c r="E1360" s="58">
        <v>9.9410000000000007</v>
      </c>
      <c r="F1360" s="58">
        <v>10.085000000000001</v>
      </c>
      <c r="G1360" s="58">
        <v>11.000999999999999</v>
      </c>
      <c r="H1360" s="58">
        <v>11.0015</v>
      </c>
      <c r="I1360" s="58" t="s">
        <v>334</v>
      </c>
      <c r="J1360" s="58">
        <v>11.002000000000001</v>
      </c>
      <c r="K1360" s="58">
        <v>14.002000000000001</v>
      </c>
      <c r="L1360" s="58" t="s">
        <v>334</v>
      </c>
      <c r="M1360" s="59">
        <v>14.002000000000001</v>
      </c>
      <c r="N1360" s="58"/>
    </row>
    <row r="1361" spans="1:15" ht="18" customHeight="1">
      <c r="A1361" s="57">
        <v>28</v>
      </c>
      <c r="B1361" s="58">
        <v>9.3789999999999996</v>
      </c>
      <c r="C1361" s="58">
        <v>9.5190000000000001</v>
      </c>
      <c r="D1361" s="58">
        <v>9.6829999999999998</v>
      </c>
      <c r="E1361" s="58">
        <v>9.9380000000000006</v>
      </c>
      <c r="F1361" s="58" t="s">
        <v>334</v>
      </c>
      <c r="G1361" s="58">
        <v>11.002000000000001</v>
      </c>
      <c r="H1361" s="58">
        <v>11.002000000000001</v>
      </c>
      <c r="I1361" s="58" t="s">
        <v>334</v>
      </c>
      <c r="J1361" s="58">
        <v>11.002000000000001</v>
      </c>
      <c r="K1361" s="58">
        <v>14.002000000000001</v>
      </c>
      <c r="L1361" s="58" t="s">
        <v>334</v>
      </c>
      <c r="M1361" s="59">
        <v>14.002000000000001</v>
      </c>
      <c r="N1361" s="58"/>
    </row>
    <row r="1362" spans="1:15" ht="18" customHeight="1">
      <c r="A1362" s="57">
        <v>29</v>
      </c>
      <c r="B1362" s="58" t="s">
        <v>334</v>
      </c>
      <c r="C1362" s="58" t="s">
        <v>335</v>
      </c>
      <c r="D1362" s="58">
        <v>9.7129999999999992</v>
      </c>
      <c r="E1362" s="58">
        <v>9.9290000000000003</v>
      </c>
      <c r="F1362" s="58" t="s">
        <v>334</v>
      </c>
      <c r="G1362" s="58">
        <v>11.000999999999999</v>
      </c>
      <c r="H1362" s="58">
        <v>11.002000000000001</v>
      </c>
      <c r="I1362" s="58">
        <v>11.002000000000001</v>
      </c>
      <c r="J1362" s="58">
        <v>11.0015</v>
      </c>
      <c r="K1362" s="58" t="s">
        <v>334</v>
      </c>
      <c r="L1362" s="58">
        <v>14.002000000000001</v>
      </c>
      <c r="M1362" s="59">
        <v>14.002000000000001</v>
      </c>
      <c r="N1362" s="58"/>
    </row>
    <row r="1363" spans="1:15" ht="18" customHeight="1">
      <c r="A1363" s="57">
        <v>30</v>
      </c>
      <c r="B1363" s="58" t="s">
        <v>334</v>
      </c>
      <c r="C1363" s="58" t="s">
        <v>335</v>
      </c>
      <c r="D1363" s="58">
        <v>9.7409999999999997</v>
      </c>
      <c r="E1363" s="58" t="s">
        <v>334</v>
      </c>
      <c r="F1363" s="58">
        <v>10.085000000000001</v>
      </c>
      <c r="G1363" s="58">
        <v>11.0015</v>
      </c>
      <c r="H1363" s="58" t="s">
        <v>334</v>
      </c>
      <c r="I1363" s="58">
        <v>11.002000000000001</v>
      </c>
      <c r="J1363" s="58">
        <v>11.002000000000001</v>
      </c>
      <c r="K1363" s="58" t="s">
        <v>334</v>
      </c>
      <c r="L1363" s="58" t="s">
        <v>334</v>
      </c>
      <c r="M1363" s="59" t="s">
        <v>334</v>
      </c>
      <c r="N1363" s="58"/>
    </row>
    <row r="1364" spans="1:15" ht="18" customHeight="1">
      <c r="A1364" s="57">
        <v>31</v>
      </c>
      <c r="B1364" s="58">
        <v>9.391</v>
      </c>
      <c r="C1364" s="58" t="s">
        <v>335</v>
      </c>
      <c r="D1364" s="58" t="s">
        <v>334</v>
      </c>
      <c r="E1364" s="58" t="s">
        <v>335</v>
      </c>
      <c r="F1364" s="58">
        <v>10.083</v>
      </c>
      <c r="G1364" s="58" t="s">
        <v>335</v>
      </c>
      <c r="H1364" s="58" t="s">
        <v>334</v>
      </c>
      <c r="I1364" s="58">
        <v>11.002000000000001</v>
      </c>
      <c r="J1364" s="58" t="s">
        <v>335</v>
      </c>
      <c r="K1364" s="58" t="s">
        <v>334</v>
      </c>
      <c r="L1364" s="58" t="s">
        <v>335</v>
      </c>
      <c r="M1364" s="59" t="s">
        <v>334</v>
      </c>
      <c r="N1364" s="58"/>
    </row>
    <row r="1365" spans="1:15" ht="18" customHeight="1" thickBot="1">
      <c r="A1365" s="76"/>
      <c r="B1365" s="77"/>
      <c r="C1365" s="77"/>
      <c r="D1365" s="77"/>
      <c r="E1365" s="77"/>
      <c r="F1365" s="77"/>
      <c r="G1365" s="77"/>
      <c r="H1365" s="77"/>
      <c r="I1365" s="77"/>
      <c r="J1365" s="77"/>
      <c r="K1365" s="77"/>
      <c r="L1365" s="77"/>
      <c r="M1365" s="78"/>
      <c r="N1365" s="58"/>
    </row>
    <row r="1366" spans="1:15" ht="18" customHeight="1">
      <c r="A1366" s="618">
        <v>1982</v>
      </c>
      <c r="B1366" s="619"/>
      <c r="C1366" s="619"/>
      <c r="D1366" s="619"/>
      <c r="E1366" s="619"/>
      <c r="F1366" s="619"/>
      <c r="G1366" s="619"/>
      <c r="H1366" s="619"/>
      <c r="I1366" s="619"/>
      <c r="J1366" s="619"/>
      <c r="K1366" s="619"/>
      <c r="L1366" s="619"/>
      <c r="M1366" s="620"/>
      <c r="N1366" s="52"/>
    </row>
    <row r="1367" spans="1:15" ht="18" customHeight="1" thickBot="1">
      <c r="A1367" s="63" t="s">
        <v>322</v>
      </c>
      <c r="B1367" s="64" t="s">
        <v>323</v>
      </c>
      <c r="C1367" s="64" t="s">
        <v>324</v>
      </c>
      <c r="D1367" s="64" t="s">
        <v>325</v>
      </c>
      <c r="E1367" s="64" t="s">
        <v>326</v>
      </c>
      <c r="F1367" s="64" t="s">
        <v>236</v>
      </c>
      <c r="G1367" s="64" t="s">
        <v>327</v>
      </c>
      <c r="H1367" s="64" t="s">
        <v>328</v>
      </c>
      <c r="I1367" s="64" t="s">
        <v>329</v>
      </c>
      <c r="J1367" s="64" t="s">
        <v>330</v>
      </c>
      <c r="K1367" s="64" t="s">
        <v>331</v>
      </c>
      <c r="L1367" s="64" t="s">
        <v>332</v>
      </c>
      <c r="M1367" s="65" t="s">
        <v>333</v>
      </c>
      <c r="N1367" s="52"/>
    </row>
    <row r="1368" spans="1:15" ht="18" customHeight="1">
      <c r="A1368" s="54">
        <v>1</v>
      </c>
      <c r="B1368" s="55" t="s">
        <v>334</v>
      </c>
      <c r="C1368" s="55">
        <v>8.2750000000000004</v>
      </c>
      <c r="D1368" s="55">
        <v>8.3040000000000003</v>
      </c>
      <c r="E1368" s="55">
        <v>8.36</v>
      </c>
      <c r="F1368" s="55" t="s">
        <v>334</v>
      </c>
      <c r="G1368" s="55">
        <v>8.43</v>
      </c>
      <c r="H1368" s="55">
        <v>8.4700000000000006</v>
      </c>
      <c r="I1368" s="55" t="s">
        <v>334</v>
      </c>
      <c r="J1368" s="55">
        <v>8.5890000000000004</v>
      </c>
      <c r="K1368" s="55">
        <v>8.702</v>
      </c>
      <c r="L1368" s="70" t="s">
        <v>334</v>
      </c>
      <c r="M1368" s="71">
        <v>8.9510000000000005</v>
      </c>
      <c r="N1368" s="83">
        <v>1982</v>
      </c>
      <c r="O1368" s="47">
        <f>AVERAGE(B1368:M1398)</f>
        <v>8.5378003952569106</v>
      </c>
    </row>
    <row r="1369" spans="1:15" ht="18" customHeight="1">
      <c r="A1369" s="57">
        <v>2</v>
      </c>
      <c r="B1369" s="58" t="s">
        <v>334</v>
      </c>
      <c r="C1369" s="58">
        <v>8.2720000000000002</v>
      </c>
      <c r="D1369" s="58">
        <v>8.3070000000000004</v>
      </c>
      <c r="E1369" s="58">
        <v>8.3620000000000001</v>
      </c>
      <c r="F1369" s="58" t="s">
        <v>334</v>
      </c>
      <c r="G1369" s="58">
        <v>8.43</v>
      </c>
      <c r="H1369" s="58">
        <v>8.4700000000000006</v>
      </c>
      <c r="I1369" s="58">
        <v>8.5</v>
      </c>
      <c r="J1369" s="58">
        <v>8.5860000000000003</v>
      </c>
      <c r="K1369" s="58" t="s">
        <v>334</v>
      </c>
      <c r="L1369" s="72">
        <v>8.8320000000000007</v>
      </c>
      <c r="M1369" s="73">
        <v>8.9719999999999995</v>
      </c>
      <c r="N1369" s="58"/>
    </row>
    <row r="1370" spans="1:15" ht="18" customHeight="1">
      <c r="A1370" s="57">
        <v>3</v>
      </c>
      <c r="B1370" s="58" t="s">
        <v>334</v>
      </c>
      <c r="C1370" s="58">
        <v>8.2654999999999994</v>
      </c>
      <c r="D1370" s="58">
        <v>8.3170000000000002</v>
      </c>
      <c r="E1370" s="58" t="s">
        <v>334</v>
      </c>
      <c r="F1370" s="58">
        <v>8.4149999999999991</v>
      </c>
      <c r="G1370" s="58">
        <v>8.4390000000000001</v>
      </c>
      <c r="H1370" s="58" t="s">
        <v>334</v>
      </c>
      <c r="I1370" s="58">
        <v>8.5050000000000008</v>
      </c>
      <c r="J1370" s="58">
        <v>8.6020000000000003</v>
      </c>
      <c r="K1370" s="58" t="s">
        <v>334</v>
      </c>
      <c r="L1370" s="72">
        <v>8.8390000000000004</v>
      </c>
      <c r="M1370" s="73">
        <v>8.984</v>
      </c>
      <c r="N1370" s="58"/>
    </row>
    <row r="1371" spans="1:15" ht="18" customHeight="1">
      <c r="A1371" s="57">
        <v>4</v>
      </c>
      <c r="B1371" s="58">
        <v>8.2040000000000006</v>
      </c>
      <c r="C1371" s="58">
        <v>8.2654999999999994</v>
      </c>
      <c r="D1371" s="58">
        <v>8.3249999999999993</v>
      </c>
      <c r="E1371" s="58" t="s">
        <v>334</v>
      </c>
      <c r="F1371" s="58">
        <v>8.41</v>
      </c>
      <c r="G1371" s="58">
        <v>8.4390000000000001</v>
      </c>
      <c r="H1371" s="58" t="s">
        <v>334</v>
      </c>
      <c r="I1371" s="58">
        <v>8.49</v>
      </c>
      <c r="J1371" s="58" t="s">
        <v>334</v>
      </c>
      <c r="K1371" s="58">
        <v>8.6869999999999994</v>
      </c>
      <c r="L1371" s="58">
        <v>8.8460000000000001</v>
      </c>
      <c r="M1371" s="59" t="s">
        <v>334</v>
      </c>
      <c r="N1371" s="58"/>
    </row>
    <row r="1372" spans="1:15" ht="18" customHeight="1">
      <c r="A1372" s="57">
        <v>5</v>
      </c>
      <c r="B1372" s="58">
        <v>8.2100000000000009</v>
      </c>
      <c r="C1372" s="58">
        <v>8.27</v>
      </c>
      <c r="D1372" s="58">
        <v>8.3249999999999993</v>
      </c>
      <c r="E1372" s="58">
        <v>8.3620000000000001</v>
      </c>
      <c r="F1372" s="58">
        <v>8.4</v>
      </c>
      <c r="G1372" s="58" t="s">
        <v>334</v>
      </c>
      <c r="H1372" s="58">
        <v>8.4700000000000006</v>
      </c>
      <c r="I1372" s="58">
        <v>8.5030000000000001</v>
      </c>
      <c r="J1372" s="58" t="s">
        <v>334</v>
      </c>
      <c r="K1372" s="58">
        <v>8.7010000000000005</v>
      </c>
      <c r="L1372" s="58">
        <v>8.8510000000000009</v>
      </c>
      <c r="M1372" s="59" t="s">
        <v>334</v>
      </c>
      <c r="N1372" s="58"/>
    </row>
    <row r="1373" spans="1:15" ht="18" customHeight="1">
      <c r="A1373" s="57">
        <v>6</v>
      </c>
      <c r="B1373" s="58">
        <v>8.2100000000000009</v>
      </c>
      <c r="C1373" s="58" t="s">
        <v>334</v>
      </c>
      <c r="D1373" s="58" t="s">
        <v>334</v>
      </c>
      <c r="E1373" s="58">
        <v>8.3650000000000002</v>
      </c>
      <c r="F1373" s="58">
        <v>8.4030000000000005</v>
      </c>
      <c r="G1373" s="58" t="s">
        <v>334</v>
      </c>
      <c r="H1373" s="58">
        <v>8.4749999999999996</v>
      </c>
      <c r="I1373" s="58">
        <v>8.5079999999999991</v>
      </c>
      <c r="J1373" s="58">
        <v>8.6020000000000003</v>
      </c>
      <c r="K1373" s="58">
        <v>8.7140000000000004</v>
      </c>
      <c r="L1373" s="58" t="s">
        <v>334</v>
      </c>
      <c r="M1373" s="59">
        <v>8.9969999999999999</v>
      </c>
      <c r="N1373" s="58"/>
    </row>
    <row r="1374" spans="1:15" ht="18" customHeight="1">
      <c r="A1374" s="57">
        <v>7</v>
      </c>
      <c r="B1374" s="58">
        <v>8.2149999999999999</v>
      </c>
      <c r="C1374" s="58" t="s">
        <v>334</v>
      </c>
      <c r="D1374" s="58" t="s">
        <v>334</v>
      </c>
      <c r="E1374" s="58">
        <v>8.3699999999999992</v>
      </c>
      <c r="F1374" s="58">
        <v>8.4049999999999994</v>
      </c>
      <c r="G1374" s="58">
        <v>8.4410000000000007</v>
      </c>
      <c r="H1374" s="58">
        <v>8.4749999999999996</v>
      </c>
      <c r="I1374" s="58" t="s">
        <v>334</v>
      </c>
      <c r="J1374" s="58">
        <v>8.609</v>
      </c>
      <c r="K1374" s="58">
        <v>8.7230000000000008</v>
      </c>
      <c r="L1374" s="58" t="s">
        <v>334</v>
      </c>
      <c r="M1374" s="59">
        <v>9.0069999999999997</v>
      </c>
      <c r="N1374" s="58"/>
    </row>
    <row r="1375" spans="1:15" ht="18" customHeight="1">
      <c r="A1375" s="57">
        <v>8</v>
      </c>
      <c r="B1375" s="58">
        <v>8.2319999999999993</v>
      </c>
      <c r="C1375" s="58">
        <v>8.2750000000000004</v>
      </c>
      <c r="D1375" s="58">
        <v>8.33</v>
      </c>
      <c r="E1375" s="58" t="s">
        <v>334</v>
      </c>
      <c r="F1375" s="58" t="s">
        <v>334</v>
      </c>
      <c r="G1375" s="58">
        <v>8.4410000000000007</v>
      </c>
      <c r="H1375" s="58">
        <v>8.4849999999999994</v>
      </c>
      <c r="I1375" s="58" t="s">
        <v>334</v>
      </c>
      <c r="J1375" s="58">
        <v>8.6120000000000001</v>
      </c>
      <c r="K1375" s="58">
        <v>8.7460000000000004</v>
      </c>
      <c r="L1375" s="58">
        <v>8.8539999999999992</v>
      </c>
      <c r="M1375" s="59">
        <v>9.0229999999999997</v>
      </c>
      <c r="N1375" s="58"/>
    </row>
    <row r="1376" spans="1:15" ht="18" customHeight="1">
      <c r="A1376" s="57">
        <v>9</v>
      </c>
      <c r="B1376" s="58" t="s">
        <v>334</v>
      </c>
      <c r="C1376" s="58">
        <v>8.2750000000000004</v>
      </c>
      <c r="D1376" s="58">
        <v>8.33</v>
      </c>
      <c r="E1376" s="58" t="s">
        <v>334</v>
      </c>
      <c r="F1376" s="58" t="s">
        <v>334</v>
      </c>
      <c r="G1376" s="58">
        <v>8.4410000000000007</v>
      </c>
      <c r="H1376" s="58">
        <v>8.4824999999999999</v>
      </c>
      <c r="I1376" s="58">
        <v>8.5150000000000006</v>
      </c>
      <c r="J1376" s="58">
        <v>8.6069999999999993</v>
      </c>
      <c r="K1376" s="58" t="s">
        <v>334</v>
      </c>
      <c r="L1376" s="58">
        <v>8.859</v>
      </c>
      <c r="M1376" s="59">
        <v>9.0389999999999997</v>
      </c>
      <c r="N1376" s="58"/>
    </row>
    <row r="1377" spans="1:14" ht="18" customHeight="1">
      <c r="A1377" s="57">
        <v>10</v>
      </c>
      <c r="B1377" s="58" t="s">
        <v>334</v>
      </c>
      <c r="C1377" s="58">
        <v>8.2780000000000005</v>
      </c>
      <c r="D1377" s="58">
        <v>8.3249999999999993</v>
      </c>
      <c r="E1377" s="58" t="s">
        <v>334</v>
      </c>
      <c r="F1377" s="58">
        <v>8.4</v>
      </c>
      <c r="G1377" s="58">
        <v>8.4410000000000007</v>
      </c>
      <c r="H1377" s="58" t="s">
        <v>334</v>
      </c>
      <c r="I1377" s="58">
        <v>8.5090000000000003</v>
      </c>
      <c r="J1377" s="58">
        <v>8.6199999999999992</v>
      </c>
      <c r="K1377" s="58" t="s">
        <v>334</v>
      </c>
      <c r="L1377" s="58">
        <v>8.8610000000000007</v>
      </c>
      <c r="M1377" s="59">
        <v>9.0489999999999995</v>
      </c>
      <c r="N1377" s="58"/>
    </row>
    <row r="1378" spans="1:14" ht="18" customHeight="1">
      <c r="A1378" s="57">
        <v>11</v>
      </c>
      <c r="B1378" s="58">
        <v>8.2420000000000009</v>
      </c>
      <c r="C1378" s="58">
        <v>8.2799999999999994</v>
      </c>
      <c r="D1378" s="58">
        <v>8.3320000000000007</v>
      </c>
      <c r="E1378" s="58" t="s">
        <v>334</v>
      </c>
      <c r="F1378" s="58">
        <v>8.4</v>
      </c>
      <c r="G1378" s="58">
        <v>8.4499999999999993</v>
      </c>
      <c r="H1378" s="58" t="s">
        <v>334</v>
      </c>
      <c r="I1378" s="58">
        <v>8.5109999999999992</v>
      </c>
      <c r="J1378" s="58" t="s">
        <v>334</v>
      </c>
      <c r="K1378" s="58">
        <v>8.7460000000000004</v>
      </c>
      <c r="L1378" s="58">
        <v>8.8610000000000007</v>
      </c>
      <c r="M1378" s="59" t="s">
        <v>334</v>
      </c>
      <c r="N1378" s="58"/>
    </row>
    <row r="1379" spans="1:14" ht="18" customHeight="1">
      <c r="A1379" s="57">
        <v>12</v>
      </c>
      <c r="B1379" s="58">
        <v>8.25</v>
      </c>
      <c r="C1379" s="58">
        <v>8.2799999999999994</v>
      </c>
      <c r="D1379" s="58">
        <v>8.3360000000000003</v>
      </c>
      <c r="E1379" s="58">
        <v>8.3680000000000003</v>
      </c>
      <c r="F1379" s="58">
        <v>8.4030000000000005</v>
      </c>
      <c r="G1379" s="58" t="s">
        <v>334</v>
      </c>
      <c r="H1379" s="58">
        <v>8.4849999999999994</v>
      </c>
      <c r="I1379" s="58">
        <v>8.5169999999999995</v>
      </c>
      <c r="J1379" s="58" t="s">
        <v>334</v>
      </c>
      <c r="K1379" s="58">
        <v>8.7509999999999994</v>
      </c>
      <c r="L1379" s="58">
        <v>8.8689999999999998</v>
      </c>
      <c r="M1379" s="59" t="s">
        <v>334</v>
      </c>
      <c r="N1379" s="58"/>
    </row>
    <row r="1380" spans="1:14" ht="18" customHeight="1">
      <c r="A1380" s="57">
        <v>13</v>
      </c>
      <c r="B1380" s="58">
        <v>8.26</v>
      </c>
      <c r="C1380" s="58" t="s">
        <v>334</v>
      </c>
      <c r="D1380" s="58" t="s">
        <v>334</v>
      </c>
      <c r="E1380" s="58">
        <v>8.375</v>
      </c>
      <c r="F1380" s="58">
        <v>8.41</v>
      </c>
      <c r="G1380" s="58" t="s">
        <v>334</v>
      </c>
      <c r="H1380" s="58">
        <v>8.4849999999999994</v>
      </c>
      <c r="I1380" s="58">
        <v>8.52</v>
      </c>
      <c r="J1380" s="58">
        <v>8.6289999999999996</v>
      </c>
      <c r="K1380" s="58">
        <v>8.7590000000000003</v>
      </c>
      <c r="L1380" s="58" t="s">
        <v>334</v>
      </c>
      <c r="M1380" s="59">
        <v>9.0540000000000003</v>
      </c>
      <c r="N1380" s="58"/>
    </row>
    <row r="1381" spans="1:14" ht="18" customHeight="1">
      <c r="A1381" s="57">
        <v>14</v>
      </c>
      <c r="B1381" s="58">
        <v>8.2729999999999997</v>
      </c>
      <c r="C1381" s="58" t="s">
        <v>334</v>
      </c>
      <c r="D1381" s="58" t="s">
        <v>334</v>
      </c>
      <c r="E1381" s="58">
        <v>8.3725000000000005</v>
      </c>
      <c r="F1381" s="58">
        <v>8.42</v>
      </c>
      <c r="G1381" s="58">
        <v>8.4499999999999993</v>
      </c>
      <c r="H1381" s="58">
        <v>8.4879999999999995</v>
      </c>
      <c r="I1381" s="58" t="s">
        <v>334</v>
      </c>
      <c r="J1381" s="58">
        <v>8.6370000000000005</v>
      </c>
      <c r="K1381" s="58">
        <v>8.766</v>
      </c>
      <c r="L1381" s="58" t="s">
        <v>334</v>
      </c>
      <c r="M1381" s="59">
        <v>9.0609999999999999</v>
      </c>
      <c r="N1381" s="58"/>
    </row>
    <row r="1382" spans="1:14" ht="18" customHeight="1">
      <c r="A1382" s="57">
        <v>15</v>
      </c>
      <c r="B1382" s="58">
        <v>8.2799999999999994</v>
      </c>
      <c r="C1382" s="58">
        <v>8.2799999999999994</v>
      </c>
      <c r="D1382" s="58">
        <v>8.3390000000000004</v>
      </c>
      <c r="E1382" s="58">
        <v>8.375</v>
      </c>
      <c r="F1382" s="58" t="s">
        <v>334</v>
      </c>
      <c r="G1382" s="58">
        <v>8.452</v>
      </c>
      <c r="H1382" s="58">
        <v>8.49</v>
      </c>
      <c r="I1382" s="58" t="s">
        <v>334</v>
      </c>
      <c r="J1382" s="58">
        <v>8.6389999999999993</v>
      </c>
      <c r="K1382" s="58">
        <v>8.7720000000000002</v>
      </c>
      <c r="L1382" s="58">
        <v>8.8729999999999993</v>
      </c>
      <c r="M1382" s="59">
        <v>9.0670000000000002</v>
      </c>
      <c r="N1382" s="58"/>
    </row>
    <row r="1383" spans="1:14" ht="18" customHeight="1">
      <c r="A1383" s="57">
        <v>16</v>
      </c>
      <c r="B1383" s="58" t="s">
        <v>334</v>
      </c>
      <c r="C1383" s="58">
        <v>8.2850000000000001</v>
      </c>
      <c r="D1383" s="58">
        <v>8.3490000000000002</v>
      </c>
      <c r="E1383" s="58">
        <v>8.3774999999999995</v>
      </c>
      <c r="F1383" s="58" t="s">
        <v>334</v>
      </c>
      <c r="G1383" s="58">
        <v>8.4550000000000001</v>
      </c>
      <c r="H1383" s="58">
        <v>8.49</v>
      </c>
      <c r="I1383" s="58">
        <v>8.5139999999999993</v>
      </c>
      <c r="J1383" s="58">
        <v>8.64</v>
      </c>
      <c r="K1383" s="58" t="s">
        <v>334</v>
      </c>
      <c r="L1383" s="58">
        <v>8.8789999999999996</v>
      </c>
      <c r="M1383" s="59">
        <v>9.0719999999999992</v>
      </c>
      <c r="N1383" s="58"/>
    </row>
    <row r="1384" spans="1:14" ht="18" customHeight="1">
      <c r="A1384" s="57">
        <v>17</v>
      </c>
      <c r="B1384" s="58" t="s">
        <v>334</v>
      </c>
      <c r="C1384" s="58">
        <v>8.2870000000000008</v>
      </c>
      <c r="D1384" s="58">
        <v>8.3550000000000004</v>
      </c>
      <c r="E1384" s="58" t="s">
        <v>334</v>
      </c>
      <c r="F1384" s="58" t="s">
        <v>334</v>
      </c>
      <c r="G1384" s="58">
        <v>8.4600000000000009</v>
      </c>
      <c r="H1384" s="58" t="s">
        <v>334</v>
      </c>
      <c r="I1384" s="58">
        <v>8.5250000000000004</v>
      </c>
      <c r="J1384" s="58">
        <v>8.6449999999999996</v>
      </c>
      <c r="K1384" s="58" t="s">
        <v>334</v>
      </c>
      <c r="L1384" s="58">
        <v>8.8859999999999992</v>
      </c>
      <c r="M1384" s="59">
        <v>9.0739999999999998</v>
      </c>
      <c r="N1384" s="58"/>
    </row>
    <row r="1385" spans="1:14" ht="18" customHeight="1">
      <c r="A1385" s="57">
        <v>18</v>
      </c>
      <c r="B1385" s="58">
        <v>8.2850000000000001</v>
      </c>
      <c r="C1385" s="58">
        <v>8.2899999999999991</v>
      </c>
      <c r="D1385" s="58">
        <v>8.3550000000000004</v>
      </c>
      <c r="E1385" s="58" t="s">
        <v>334</v>
      </c>
      <c r="F1385" s="58">
        <v>8.42</v>
      </c>
      <c r="G1385" s="58">
        <v>8.4600000000000009</v>
      </c>
      <c r="H1385" s="58" t="s">
        <v>334</v>
      </c>
      <c r="I1385" s="58">
        <v>8.5229999999999997</v>
      </c>
      <c r="J1385" s="58" t="s">
        <v>334</v>
      </c>
      <c r="K1385" s="58">
        <v>8.7759999999999998</v>
      </c>
      <c r="L1385" s="58">
        <v>8.891</v>
      </c>
      <c r="M1385" s="59" t="s">
        <v>334</v>
      </c>
      <c r="N1385" s="58"/>
    </row>
    <row r="1386" spans="1:14" ht="18" customHeight="1">
      <c r="A1386" s="57">
        <v>19</v>
      </c>
      <c r="B1386" s="58">
        <v>8.282</v>
      </c>
      <c r="C1386" s="58">
        <v>8.2899999999999991</v>
      </c>
      <c r="D1386" s="58">
        <v>8.3550000000000004</v>
      </c>
      <c r="E1386" s="58">
        <v>8.375</v>
      </c>
      <c r="F1386" s="58">
        <v>8.4160000000000004</v>
      </c>
      <c r="G1386" s="58" t="s">
        <v>334</v>
      </c>
      <c r="H1386" s="58">
        <v>8.49</v>
      </c>
      <c r="I1386" s="58">
        <v>8.5310000000000006</v>
      </c>
      <c r="J1386" s="58" t="s">
        <v>334</v>
      </c>
      <c r="K1386" s="58">
        <v>8.7829999999999995</v>
      </c>
      <c r="L1386" s="58">
        <v>8.891</v>
      </c>
      <c r="M1386" s="59" t="s">
        <v>334</v>
      </c>
      <c r="N1386" s="58"/>
    </row>
    <row r="1387" spans="1:14" ht="18" customHeight="1">
      <c r="A1387" s="57">
        <v>20</v>
      </c>
      <c r="B1387" s="58">
        <v>8.2729999999999997</v>
      </c>
      <c r="C1387" s="58" t="s">
        <v>334</v>
      </c>
      <c r="D1387" s="58" t="s">
        <v>334</v>
      </c>
      <c r="E1387" s="58">
        <v>8.3800000000000008</v>
      </c>
      <c r="F1387" s="58">
        <v>8.4250000000000007</v>
      </c>
      <c r="G1387" s="58" t="s">
        <v>334</v>
      </c>
      <c r="H1387" s="58">
        <v>8.4949999999999992</v>
      </c>
      <c r="I1387" s="58">
        <v>8.5350000000000001</v>
      </c>
      <c r="J1387" s="58">
        <v>8.6440000000000001</v>
      </c>
      <c r="K1387" s="58">
        <v>8.7910000000000004</v>
      </c>
      <c r="L1387" s="58" t="s">
        <v>334</v>
      </c>
      <c r="M1387" s="59">
        <v>9.0790000000000006</v>
      </c>
      <c r="N1387" s="58"/>
    </row>
    <row r="1388" spans="1:14" ht="18" customHeight="1">
      <c r="A1388" s="57">
        <v>21</v>
      </c>
      <c r="B1388" s="58">
        <v>8.2690000000000001</v>
      </c>
      <c r="C1388" s="58" t="s">
        <v>334</v>
      </c>
      <c r="D1388" s="58" t="s">
        <v>334</v>
      </c>
      <c r="E1388" s="58">
        <v>8.3780000000000001</v>
      </c>
      <c r="F1388" s="58">
        <v>8.4250000000000007</v>
      </c>
      <c r="G1388" s="58">
        <v>8.4580000000000002</v>
      </c>
      <c r="H1388" s="58">
        <v>8.4949999999999992</v>
      </c>
      <c r="I1388" s="58" t="s">
        <v>334</v>
      </c>
      <c r="J1388" s="58">
        <v>8.6489999999999991</v>
      </c>
      <c r="K1388" s="58">
        <v>8.7949999999999999</v>
      </c>
      <c r="L1388" s="58" t="s">
        <v>334</v>
      </c>
      <c r="M1388" s="59">
        <v>9.0850000000000009</v>
      </c>
      <c r="N1388" s="58"/>
    </row>
    <row r="1389" spans="1:14" ht="18" customHeight="1">
      <c r="A1389" s="57">
        <v>22</v>
      </c>
      <c r="B1389" s="58">
        <v>8.26</v>
      </c>
      <c r="C1389" s="58">
        <v>8.2769999999999992</v>
      </c>
      <c r="D1389" s="58">
        <v>8.3520000000000003</v>
      </c>
      <c r="E1389" s="58">
        <v>8.3849999999999998</v>
      </c>
      <c r="F1389" s="58" t="s">
        <v>334</v>
      </c>
      <c r="G1389" s="58">
        <v>8.4559999999999995</v>
      </c>
      <c r="H1389" s="58">
        <v>8.4949999999999992</v>
      </c>
      <c r="I1389" s="58" t="s">
        <v>334</v>
      </c>
      <c r="J1389" s="58">
        <v>8.6579999999999995</v>
      </c>
      <c r="K1389" s="58">
        <v>8.202</v>
      </c>
      <c r="L1389" s="58">
        <v>8.8919999999999995</v>
      </c>
      <c r="M1389" s="59">
        <v>9.0890000000000004</v>
      </c>
      <c r="N1389" s="58"/>
    </row>
    <row r="1390" spans="1:14" ht="18" customHeight="1">
      <c r="A1390" s="57">
        <v>23</v>
      </c>
      <c r="B1390" s="58" t="s">
        <v>334</v>
      </c>
      <c r="C1390" s="58">
        <v>8.2859999999999996</v>
      </c>
      <c r="D1390" s="58">
        <v>8.3550000000000004</v>
      </c>
      <c r="E1390" s="58">
        <v>8.3949999999999996</v>
      </c>
      <c r="F1390" s="58" t="s">
        <v>334</v>
      </c>
      <c r="G1390" s="58">
        <v>8.4559999999999995</v>
      </c>
      <c r="H1390" s="58">
        <v>8.4979999999999993</v>
      </c>
      <c r="I1390" s="58">
        <v>8.5429999999999993</v>
      </c>
      <c r="J1390" s="58">
        <v>8.6609999999999996</v>
      </c>
      <c r="K1390" s="58" t="s">
        <v>334</v>
      </c>
      <c r="L1390" s="58">
        <v>8.8930000000000007</v>
      </c>
      <c r="M1390" s="59">
        <v>9.093</v>
      </c>
      <c r="N1390" s="58"/>
    </row>
    <row r="1391" spans="1:14" ht="18" customHeight="1">
      <c r="A1391" s="57">
        <v>24</v>
      </c>
      <c r="B1391" s="58" t="s">
        <v>334</v>
      </c>
      <c r="C1391" s="58">
        <v>8.31</v>
      </c>
      <c r="D1391" s="58">
        <v>8.3550000000000004</v>
      </c>
      <c r="E1391" s="58" t="s">
        <v>334</v>
      </c>
      <c r="F1391" s="58">
        <v>8.4250000000000007</v>
      </c>
      <c r="G1391" s="58">
        <v>8.4559999999999995</v>
      </c>
      <c r="H1391" s="58" t="s">
        <v>334</v>
      </c>
      <c r="I1391" s="58">
        <v>8.5519999999999996</v>
      </c>
      <c r="J1391" s="58">
        <v>8.6709999999999994</v>
      </c>
      <c r="K1391" s="58" t="s">
        <v>334</v>
      </c>
      <c r="L1391" s="58">
        <v>8.8949999999999996</v>
      </c>
      <c r="M1391" s="59">
        <v>9.0960000000000001</v>
      </c>
      <c r="N1391" s="58"/>
    </row>
    <row r="1392" spans="1:14" ht="18" customHeight="1">
      <c r="A1392" s="57">
        <v>25</v>
      </c>
      <c r="B1392" s="58">
        <v>8.26</v>
      </c>
      <c r="C1392" s="58">
        <v>8.31</v>
      </c>
      <c r="D1392" s="58">
        <v>8.3550000000000004</v>
      </c>
      <c r="E1392" s="58" t="s">
        <v>334</v>
      </c>
      <c r="F1392" s="58">
        <v>8.4250000000000007</v>
      </c>
      <c r="G1392" s="58">
        <v>8.4600000000000009</v>
      </c>
      <c r="H1392" s="58" t="s">
        <v>334</v>
      </c>
      <c r="I1392" s="58">
        <v>8.5500000000000007</v>
      </c>
      <c r="J1392" s="58" t="s">
        <v>334</v>
      </c>
      <c r="K1392" s="58">
        <v>8.8019999999999996</v>
      </c>
      <c r="L1392" s="58">
        <v>8.8949999999999996</v>
      </c>
      <c r="M1392" s="59" t="s">
        <v>334</v>
      </c>
      <c r="N1392" s="58"/>
    </row>
    <row r="1393" spans="1:15" ht="18" customHeight="1">
      <c r="A1393" s="57">
        <v>26</v>
      </c>
      <c r="B1393" s="58">
        <v>8.26</v>
      </c>
      <c r="C1393" s="58">
        <v>8.31</v>
      </c>
      <c r="D1393" s="58">
        <v>8.36</v>
      </c>
      <c r="E1393" s="58">
        <v>8.39</v>
      </c>
      <c r="F1393" s="58">
        <v>8.43</v>
      </c>
      <c r="G1393" s="58" t="s">
        <v>334</v>
      </c>
      <c r="H1393" s="58">
        <v>8.4979999999999993</v>
      </c>
      <c r="I1393" s="58">
        <v>8.5589999999999993</v>
      </c>
      <c r="J1393" s="58" t="s">
        <v>334</v>
      </c>
      <c r="K1393" s="58">
        <v>8.8119999999999994</v>
      </c>
      <c r="L1393" s="58">
        <v>8.9090000000000007</v>
      </c>
      <c r="M1393" s="59" t="s">
        <v>334</v>
      </c>
      <c r="N1393" s="58"/>
    </row>
    <row r="1394" spans="1:15" ht="18" customHeight="1">
      <c r="A1394" s="57">
        <v>27</v>
      </c>
      <c r="B1394" s="58">
        <v>8.27</v>
      </c>
      <c r="C1394" s="58" t="s">
        <v>334</v>
      </c>
      <c r="D1394" s="58" t="s">
        <v>334</v>
      </c>
      <c r="E1394" s="58">
        <v>8.3949999999999996</v>
      </c>
      <c r="F1394" s="58">
        <v>8.43</v>
      </c>
      <c r="G1394" s="58" t="s">
        <v>334</v>
      </c>
      <c r="H1394" s="58">
        <v>8.4979999999999993</v>
      </c>
      <c r="I1394" s="58">
        <v>8.5679999999999996</v>
      </c>
      <c r="J1394" s="58">
        <v>8.6750000000000007</v>
      </c>
      <c r="K1394" s="58">
        <v>8.8160000000000007</v>
      </c>
      <c r="L1394" s="58" t="s">
        <v>334</v>
      </c>
      <c r="M1394" s="59">
        <v>9.1259999999999994</v>
      </c>
      <c r="N1394" s="58"/>
    </row>
    <row r="1395" spans="1:15" ht="18" customHeight="1">
      <c r="A1395" s="57">
        <v>28</v>
      </c>
      <c r="B1395" s="58">
        <v>8.2750000000000004</v>
      </c>
      <c r="C1395" s="58" t="s">
        <v>334</v>
      </c>
      <c r="D1395" s="58" t="s">
        <v>334</v>
      </c>
      <c r="E1395" s="58">
        <v>8.4</v>
      </c>
      <c r="F1395" s="58">
        <v>8.43</v>
      </c>
      <c r="G1395" s="58">
        <v>8.4649999999999999</v>
      </c>
      <c r="H1395" s="58">
        <v>8.4979999999999993</v>
      </c>
      <c r="I1395" s="58" t="s">
        <v>334</v>
      </c>
      <c r="J1395" s="58">
        <v>8.6820000000000004</v>
      </c>
      <c r="K1395" s="58">
        <v>8.8190000000000008</v>
      </c>
      <c r="L1395" s="58" t="s">
        <v>334</v>
      </c>
      <c r="M1395" s="59">
        <v>9.1579999999999995</v>
      </c>
      <c r="N1395" s="58"/>
    </row>
    <row r="1396" spans="1:15" ht="18" customHeight="1">
      <c r="A1396" s="57">
        <v>29</v>
      </c>
      <c r="B1396" s="58">
        <v>8.2750000000000004</v>
      </c>
      <c r="C1396" s="58" t="s">
        <v>335</v>
      </c>
      <c r="D1396" s="58">
        <v>8.36</v>
      </c>
      <c r="E1396" s="58">
        <v>8.4</v>
      </c>
      <c r="F1396" s="58" t="s">
        <v>334</v>
      </c>
      <c r="G1396" s="58">
        <v>8.4700000000000006</v>
      </c>
      <c r="H1396" s="58">
        <v>8.5</v>
      </c>
      <c r="I1396" s="58" t="s">
        <v>334</v>
      </c>
      <c r="J1396" s="58">
        <v>8.6890000000000001</v>
      </c>
      <c r="K1396" s="58">
        <v>8.8320000000000007</v>
      </c>
      <c r="L1396" s="58">
        <v>8.9280000000000008</v>
      </c>
      <c r="M1396" s="59">
        <v>9.1709999999999994</v>
      </c>
      <c r="N1396" s="58"/>
    </row>
    <row r="1397" spans="1:15" ht="18" customHeight="1">
      <c r="A1397" s="57">
        <v>30</v>
      </c>
      <c r="B1397" s="58" t="s">
        <v>334</v>
      </c>
      <c r="C1397" s="58" t="s">
        <v>335</v>
      </c>
      <c r="D1397" s="58">
        <v>8.36</v>
      </c>
      <c r="E1397" s="58">
        <v>8.4</v>
      </c>
      <c r="F1397" s="58" t="s">
        <v>334</v>
      </c>
      <c r="G1397" s="58">
        <v>8.4700000000000006</v>
      </c>
      <c r="H1397" s="58">
        <v>8.5</v>
      </c>
      <c r="I1397" s="58">
        <v>8.58</v>
      </c>
      <c r="J1397" s="58">
        <v>8.6890000000000001</v>
      </c>
      <c r="K1397" s="58" t="s">
        <v>334</v>
      </c>
      <c r="L1397" s="58" t="s">
        <v>334</v>
      </c>
      <c r="M1397" s="59" t="s">
        <v>334</v>
      </c>
      <c r="N1397" s="58"/>
    </row>
    <row r="1398" spans="1:15" ht="18" customHeight="1">
      <c r="A1398" s="57">
        <v>31</v>
      </c>
      <c r="B1398" s="58" t="s">
        <v>334</v>
      </c>
      <c r="C1398" s="58" t="s">
        <v>335</v>
      </c>
      <c r="D1398" s="58">
        <v>8.3510000000000009</v>
      </c>
      <c r="E1398" s="58" t="s">
        <v>335</v>
      </c>
      <c r="F1398" s="58">
        <v>8.43</v>
      </c>
      <c r="G1398" s="58" t="s">
        <v>335</v>
      </c>
      <c r="H1398" s="58" t="s">
        <v>334</v>
      </c>
      <c r="I1398" s="58">
        <v>8.5869999999999997</v>
      </c>
      <c r="J1398" s="58" t="s">
        <v>335</v>
      </c>
      <c r="K1398" s="58" t="s">
        <v>334</v>
      </c>
      <c r="L1398" s="58" t="s">
        <v>335</v>
      </c>
      <c r="M1398" s="59" t="s">
        <v>334</v>
      </c>
      <c r="N1398" s="58"/>
    </row>
    <row r="1399" spans="1:15" ht="18" customHeight="1" thickBot="1">
      <c r="A1399" s="76"/>
      <c r="B1399" s="77"/>
      <c r="C1399" s="77"/>
      <c r="D1399" s="77"/>
      <c r="E1399" s="77"/>
      <c r="F1399" s="77"/>
      <c r="G1399" s="77"/>
      <c r="H1399" s="77"/>
      <c r="I1399" s="77"/>
      <c r="J1399" s="77"/>
      <c r="K1399" s="77"/>
      <c r="L1399" s="77"/>
      <c r="M1399" s="78"/>
      <c r="N1399" s="58"/>
    </row>
    <row r="1400" spans="1:15" ht="18" customHeight="1">
      <c r="A1400" s="605">
        <v>1981</v>
      </c>
      <c r="B1400" s="606"/>
      <c r="C1400" s="606"/>
      <c r="D1400" s="606"/>
      <c r="E1400" s="606"/>
      <c r="F1400" s="606"/>
      <c r="G1400" s="606"/>
      <c r="H1400" s="606"/>
      <c r="I1400" s="606"/>
      <c r="J1400" s="606"/>
      <c r="K1400" s="606"/>
      <c r="L1400" s="606"/>
      <c r="M1400" s="607"/>
      <c r="N1400" s="52"/>
    </row>
    <row r="1401" spans="1:15" ht="18" customHeight="1" thickBot="1">
      <c r="A1401" s="51" t="s">
        <v>322</v>
      </c>
      <c r="B1401" s="52" t="s">
        <v>323</v>
      </c>
      <c r="C1401" s="52" t="s">
        <v>324</v>
      </c>
      <c r="D1401" s="52" t="s">
        <v>325</v>
      </c>
      <c r="E1401" s="52" t="s">
        <v>326</v>
      </c>
      <c r="F1401" s="52" t="s">
        <v>236</v>
      </c>
      <c r="G1401" s="52" t="s">
        <v>327</v>
      </c>
      <c r="H1401" s="52" t="s">
        <v>328</v>
      </c>
      <c r="I1401" s="52" t="s">
        <v>329</v>
      </c>
      <c r="J1401" s="52" t="s">
        <v>330</v>
      </c>
      <c r="K1401" s="52" t="s">
        <v>331</v>
      </c>
      <c r="L1401" s="52" t="s">
        <v>332</v>
      </c>
      <c r="M1401" s="53" t="s">
        <v>333</v>
      </c>
      <c r="N1401" s="52"/>
    </row>
    <row r="1402" spans="1:15" ht="18" customHeight="1">
      <c r="A1402" s="54">
        <v>1</v>
      </c>
      <c r="B1402" s="55" t="s">
        <v>334</v>
      </c>
      <c r="C1402" s="55" t="s">
        <v>334</v>
      </c>
      <c r="D1402" s="55" t="s">
        <v>334</v>
      </c>
      <c r="E1402" s="55">
        <v>7.7649999999999997</v>
      </c>
      <c r="F1402" s="55" t="s">
        <v>334</v>
      </c>
      <c r="G1402" s="55">
        <v>7.89</v>
      </c>
      <c r="H1402" s="55">
        <v>7.9485000000000001</v>
      </c>
      <c r="I1402" s="55" t="s">
        <v>334</v>
      </c>
      <c r="J1402" s="55">
        <v>7.9649999999999999</v>
      </c>
      <c r="K1402" s="55">
        <v>8.0350000000000001</v>
      </c>
      <c r="L1402" s="70" t="s">
        <v>334</v>
      </c>
      <c r="M1402" s="71">
        <v>8.1120000000000001</v>
      </c>
      <c r="N1402" s="83">
        <v>1981</v>
      </c>
      <c r="O1402" s="47">
        <f>AVERAGE(B1402:M1432)</f>
        <v>7.8981045081967194</v>
      </c>
    </row>
    <row r="1403" spans="1:15" ht="18" customHeight="1">
      <c r="A1403" s="57">
        <v>2</v>
      </c>
      <c r="B1403" s="58">
        <v>7.6</v>
      </c>
      <c r="C1403" s="58">
        <v>7.6524999999999999</v>
      </c>
      <c r="D1403" s="58">
        <v>7.7050000000000001</v>
      </c>
      <c r="E1403" s="58">
        <v>7.77</v>
      </c>
      <c r="F1403" s="58" t="s">
        <v>334</v>
      </c>
      <c r="G1403" s="58">
        <v>7.8949999999999996</v>
      </c>
      <c r="H1403" s="58">
        <v>7.9485000000000001</v>
      </c>
      <c r="I1403" s="58" t="s">
        <v>334</v>
      </c>
      <c r="J1403" s="58">
        <v>7.9649999999999999</v>
      </c>
      <c r="K1403" s="58">
        <v>8.0470000000000006</v>
      </c>
      <c r="L1403" s="72" t="s">
        <v>334</v>
      </c>
      <c r="M1403" s="73">
        <v>8.11</v>
      </c>
      <c r="N1403" s="58"/>
    </row>
    <row r="1404" spans="1:15" ht="18" customHeight="1">
      <c r="A1404" s="57">
        <v>3</v>
      </c>
      <c r="B1404" s="58" t="s">
        <v>334</v>
      </c>
      <c r="C1404" s="58">
        <v>7.6529999999999996</v>
      </c>
      <c r="D1404" s="58">
        <v>7.71</v>
      </c>
      <c r="E1404" s="58">
        <v>7.7725</v>
      </c>
      <c r="F1404" s="58" t="s">
        <v>334</v>
      </c>
      <c r="G1404" s="58">
        <v>7.9015000000000004</v>
      </c>
      <c r="H1404" s="58">
        <v>7.9480000000000004</v>
      </c>
      <c r="I1404" s="58">
        <v>7.95</v>
      </c>
      <c r="J1404" s="58">
        <v>7.9654999999999996</v>
      </c>
      <c r="K1404" s="58" t="s">
        <v>334</v>
      </c>
      <c r="L1404" s="72">
        <v>8.1</v>
      </c>
      <c r="M1404" s="73">
        <v>8.1</v>
      </c>
      <c r="N1404" s="58"/>
    </row>
    <row r="1405" spans="1:15" ht="18" customHeight="1">
      <c r="A1405" s="57">
        <v>4</v>
      </c>
      <c r="B1405" s="58" t="s">
        <v>334</v>
      </c>
      <c r="C1405" s="58">
        <v>7.6529999999999996</v>
      </c>
      <c r="D1405" s="58">
        <v>7.7149999999999999</v>
      </c>
      <c r="E1405" s="58" t="s">
        <v>334</v>
      </c>
      <c r="F1405" s="58">
        <v>7.82</v>
      </c>
      <c r="G1405" s="58">
        <v>7.91</v>
      </c>
      <c r="H1405" s="58" t="s">
        <v>334</v>
      </c>
      <c r="I1405" s="58">
        <v>7.95</v>
      </c>
      <c r="J1405" s="58">
        <v>7.97</v>
      </c>
      <c r="K1405" s="58" t="s">
        <v>334</v>
      </c>
      <c r="L1405" s="58">
        <v>8.0969999999999995</v>
      </c>
      <c r="M1405" s="59">
        <v>8.1</v>
      </c>
      <c r="N1405" s="58"/>
    </row>
    <row r="1406" spans="1:15" ht="18" customHeight="1">
      <c r="A1406" s="57">
        <v>5</v>
      </c>
      <c r="B1406" s="58">
        <v>7.6</v>
      </c>
      <c r="C1406" s="58">
        <v>7.6515000000000004</v>
      </c>
      <c r="D1406" s="58">
        <v>7.7175000000000002</v>
      </c>
      <c r="E1406" s="58" t="s">
        <v>334</v>
      </c>
      <c r="F1406" s="58">
        <v>7.8215000000000003</v>
      </c>
      <c r="G1406" s="58">
        <v>7.1974999999999998</v>
      </c>
      <c r="H1406" s="58" t="s">
        <v>334</v>
      </c>
      <c r="I1406" s="58">
        <v>7.95</v>
      </c>
      <c r="J1406" s="58" t="s">
        <v>334</v>
      </c>
      <c r="K1406" s="58">
        <v>8.0399999999999991</v>
      </c>
      <c r="L1406" s="58">
        <v>8.0969999999999995</v>
      </c>
      <c r="M1406" s="59" t="s">
        <v>334</v>
      </c>
      <c r="N1406" s="58"/>
    </row>
    <row r="1407" spans="1:15" ht="18" customHeight="1">
      <c r="A1407" s="57">
        <v>6</v>
      </c>
      <c r="B1407" s="58">
        <v>7.6035000000000004</v>
      </c>
      <c r="C1407" s="58" t="s">
        <v>334</v>
      </c>
      <c r="D1407" s="58">
        <v>7.7149999999999999</v>
      </c>
      <c r="E1407" s="58" t="s">
        <v>334</v>
      </c>
      <c r="F1407" s="58" t="s">
        <v>334</v>
      </c>
      <c r="G1407" s="58" t="s">
        <v>334</v>
      </c>
      <c r="H1407" s="58">
        <v>7.9480000000000004</v>
      </c>
      <c r="I1407" s="58">
        <v>7.9515000000000002</v>
      </c>
      <c r="J1407" s="58" t="s">
        <v>334</v>
      </c>
      <c r="K1407" s="58">
        <v>8.0500000000000007</v>
      </c>
      <c r="L1407" s="58">
        <v>8.0869999999999997</v>
      </c>
      <c r="M1407" s="59" t="s">
        <v>334</v>
      </c>
      <c r="N1407" s="58"/>
    </row>
    <row r="1408" spans="1:15" ht="18" customHeight="1">
      <c r="A1408" s="57">
        <v>7</v>
      </c>
      <c r="B1408" s="58">
        <v>7.6040000000000001</v>
      </c>
      <c r="C1408" s="58" t="s">
        <v>334</v>
      </c>
      <c r="D1408" s="58" t="s">
        <v>334</v>
      </c>
      <c r="E1408" s="58" t="s">
        <v>334</v>
      </c>
      <c r="F1408" s="58">
        <v>7.8215000000000003</v>
      </c>
      <c r="G1408" s="58" t="s">
        <v>334</v>
      </c>
      <c r="H1408" s="58">
        <v>7.9489999999999998</v>
      </c>
      <c r="I1408" s="58">
        <v>7.9515000000000002</v>
      </c>
      <c r="J1408" s="58">
        <v>7.97</v>
      </c>
      <c r="K1408" s="58">
        <v>8.0500000000000007</v>
      </c>
      <c r="L1408" s="58" t="s">
        <v>334</v>
      </c>
      <c r="M1408" s="59">
        <v>8.1</v>
      </c>
      <c r="N1408" s="58"/>
    </row>
    <row r="1409" spans="1:14" ht="18" customHeight="1">
      <c r="A1409" s="57">
        <v>8</v>
      </c>
      <c r="B1409" s="58">
        <v>7.6135000000000002</v>
      </c>
      <c r="C1409" s="58" t="s">
        <v>334</v>
      </c>
      <c r="D1409" s="58" t="s">
        <v>334</v>
      </c>
      <c r="E1409" s="58">
        <v>7.7750000000000004</v>
      </c>
      <c r="F1409" s="58">
        <v>7.827</v>
      </c>
      <c r="G1409" s="58">
        <v>7.93</v>
      </c>
      <c r="H1409" s="58">
        <v>7.9494999999999996</v>
      </c>
      <c r="I1409" s="58" t="s">
        <v>334</v>
      </c>
      <c r="J1409" s="58">
        <v>7.97</v>
      </c>
      <c r="K1409" s="58">
        <v>8.048</v>
      </c>
      <c r="L1409" s="58" t="s">
        <v>334</v>
      </c>
      <c r="M1409" s="59">
        <v>8.0950000000000006</v>
      </c>
      <c r="N1409" s="58"/>
    </row>
    <row r="1410" spans="1:14" ht="18" customHeight="1">
      <c r="A1410" s="57">
        <v>9</v>
      </c>
      <c r="B1410" s="58">
        <v>7.62</v>
      </c>
      <c r="C1410" s="58">
        <v>7.6529999999999996</v>
      </c>
      <c r="D1410" s="58">
        <v>7.7175000000000002</v>
      </c>
      <c r="E1410" s="58">
        <v>7.78</v>
      </c>
      <c r="F1410" s="58" t="s">
        <v>334</v>
      </c>
      <c r="G1410" s="58">
        <v>7.94</v>
      </c>
      <c r="H1410" s="58">
        <v>7.9494999999999996</v>
      </c>
      <c r="I1410" s="58" t="s">
        <v>334</v>
      </c>
      <c r="J1410" s="58">
        <v>7.98</v>
      </c>
      <c r="K1410" s="58">
        <v>8.0540000000000003</v>
      </c>
      <c r="L1410" s="58">
        <v>8.0830000000000002</v>
      </c>
      <c r="M1410" s="59">
        <v>8.1</v>
      </c>
      <c r="N1410" s="58"/>
    </row>
    <row r="1411" spans="1:14" ht="18" customHeight="1">
      <c r="A1411" s="57">
        <v>10</v>
      </c>
      <c r="B1411" s="58" t="s">
        <v>334</v>
      </c>
      <c r="C1411" s="58">
        <v>7.6550000000000002</v>
      </c>
      <c r="D1411" s="58">
        <v>7.72</v>
      </c>
      <c r="E1411" s="58">
        <v>7.7850000000000001</v>
      </c>
      <c r="F1411" s="58" t="s">
        <v>334</v>
      </c>
      <c r="G1411" s="58">
        <v>7.95</v>
      </c>
      <c r="H1411" s="58">
        <v>7.9494999999999996</v>
      </c>
      <c r="I1411" s="58">
        <v>7.9515000000000002</v>
      </c>
      <c r="J1411" s="58">
        <v>7.9889999999999999</v>
      </c>
      <c r="K1411" s="58" t="s">
        <v>334</v>
      </c>
      <c r="L1411" s="58">
        <v>8.0830000000000002</v>
      </c>
      <c r="M1411" s="59">
        <v>8.0950000000000006</v>
      </c>
      <c r="N1411" s="58"/>
    </row>
    <row r="1412" spans="1:14" ht="18" customHeight="1">
      <c r="A1412" s="57">
        <v>11</v>
      </c>
      <c r="B1412" s="58" t="s">
        <v>334</v>
      </c>
      <c r="C1412" s="58">
        <v>7.6550000000000002</v>
      </c>
      <c r="D1412" s="58">
        <v>7.72</v>
      </c>
      <c r="E1412" s="58" t="s">
        <v>334</v>
      </c>
      <c r="F1412" s="58">
        <v>7.8319999999999999</v>
      </c>
      <c r="G1412" s="58">
        <v>7.9494999999999996</v>
      </c>
      <c r="H1412" s="58" t="s">
        <v>334</v>
      </c>
      <c r="I1412" s="58">
        <v>7.952</v>
      </c>
      <c r="J1412" s="58">
        <v>7.99</v>
      </c>
      <c r="K1412" s="58" t="s">
        <v>334</v>
      </c>
      <c r="L1412" s="58">
        <v>8.11</v>
      </c>
      <c r="M1412" s="59">
        <v>8.1120000000000001</v>
      </c>
      <c r="N1412" s="58"/>
    </row>
    <row r="1413" spans="1:14" ht="18" customHeight="1">
      <c r="A1413" s="57">
        <v>12</v>
      </c>
      <c r="B1413" s="58">
        <v>7.625</v>
      </c>
      <c r="C1413" s="58">
        <v>7.6580000000000004</v>
      </c>
      <c r="D1413" s="58">
        <v>7.7249999999999996</v>
      </c>
      <c r="E1413" s="58" t="s">
        <v>334</v>
      </c>
      <c r="F1413" s="58">
        <v>7.835</v>
      </c>
      <c r="G1413" s="58" t="s">
        <v>334</v>
      </c>
      <c r="H1413" s="58" t="s">
        <v>334</v>
      </c>
      <c r="I1413" s="58">
        <v>7.952</v>
      </c>
      <c r="J1413" s="58" t="s">
        <v>334</v>
      </c>
      <c r="K1413" s="58">
        <v>8.06</v>
      </c>
      <c r="L1413" s="58">
        <v>8.0950000000000006</v>
      </c>
      <c r="M1413" s="59" t="s">
        <v>334</v>
      </c>
      <c r="N1413" s="58"/>
    </row>
    <row r="1414" spans="1:14" ht="18" customHeight="1">
      <c r="A1414" s="57">
        <v>13</v>
      </c>
      <c r="B1414" s="58">
        <v>7.6224999999999996</v>
      </c>
      <c r="C1414" s="58">
        <v>7.66</v>
      </c>
      <c r="D1414" s="58">
        <v>7.7275</v>
      </c>
      <c r="E1414" s="58">
        <v>7.7850000000000001</v>
      </c>
      <c r="F1414" s="58">
        <v>7.84</v>
      </c>
      <c r="G1414" s="58" t="s">
        <v>334</v>
      </c>
      <c r="H1414" s="58">
        <v>7.9489999999999998</v>
      </c>
      <c r="I1414" s="58">
        <v>7.952</v>
      </c>
      <c r="J1414" s="58" t="s">
        <v>334</v>
      </c>
      <c r="K1414" s="58">
        <v>8.06</v>
      </c>
      <c r="L1414" s="58">
        <v>8.0950000000000006</v>
      </c>
      <c r="M1414" s="59" t="s">
        <v>334</v>
      </c>
      <c r="N1414" s="58"/>
    </row>
    <row r="1415" spans="1:14" ht="18" customHeight="1">
      <c r="A1415" s="57">
        <v>14</v>
      </c>
      <c r="B1415" s="58">
        <v>7.6275000000000004</v>
      </c>
      <c r="C1415" s="58" t="s">
        <v>334</v>
      </c>
      <c r="D1415" s="58" t="s">
        <v>334</v>
      </c>
      <c r="E1415" s="58">
        <v>7.7874999999999996</v>
      </c>
      <c r="F1415" s="58">
        <v>7.8425000000000002</v>
      </c>
      <c r="G1415" s="58" t="s">
        <v>334</v>
      </c>
      <c r="H1415" s="58">
        <v>7.9485000000000001</v>
      </c>
      <c r="I1415" s="58">
        <v>7.9515000000000002</v>
      </c>
      <c r="J1415" s="58">
        <v>7.9950000000000001</v>
      </c>
      <c r="K1415" s="58">
        <v>8.0640000000000001</v>
      </c>
      <c r="L1415" s="58" t="s">
        <v>334</v>
      </c>
      <c r="M1415" s="59">
        <v>8.1120000000000001</v>
      </c>
      <c r="N1415" s="58"/>
    </row>
    <row r="1416" spans="1:14" ht="18" customHeight="1">
      <c r="A1416" s="57">
        <v>15</v>
      </c>
      <c r="B1416" s="58">
        <v>7.6340000000000003</v>
      </c>
      <c r="C1416" s="58" t="s">
        <v>334</v>
      </c>
      <c r="D1416" s="58" t="s">
        <v>334</v>
      </c>
      <c r="E1416" s="58">
        <v>7.7874999999999996</v>
      </c>
      <c r="F1416" s="58">
        <v>7.85</v>
      </c>
      <c r="G1416" s="58" t="s">
        <v>334</v>
      </c>
      <c r="H1416" s="58">
        <v>7.9489999999999998</v>
      </c>
      <c r="I1416" s="58" t="s">
        <v>334</v>
      </c>
      <c r="J1416" s="58">
        <v>7.9950000000000001</v>
      </c>
      <c r="K1416" s="58">
        <v>8.0670000000000002</v>
      </c>
      <c r="L1416" s="58" t="s">
        <v>334</v>
      </c>
      <c r="M1416" s="59">
        <v>8.1120000000000001</v>
      </c>
      <c r="N1416" s="58"/>
    </row>
    <row r="1417" spans="1:14" ht="18" customHeight="1">
      <c r="A1417" s="57">
        <v>16</v>
      </c>
      <c r="B1417" s="58">
        <v>7.64</v>
      </c>
      <c r="C1417" s="58">
        <v>7.67</v>
      </c>
      <c r="D1417" s="58">
        <v>7.7275</v>
      </c>
      <c r="E1417" s="58" t="s">
        <v>334</v>
      </c>
      <c r="F1417" s="58" t="s">
        <v>334</v>
      </c>
      <c r="G1417" s="58" t="s">
        <v>334</v>
      </c>
      <c r="H1417" s="58">
        <v>7.9489999999999998</v>
      </c>
      <c r="I1417" s="58" t="s">
        <v>334</v>
      </c>
      <c r="J1417" s="58">
        <v>7.9950000000000001</v>
      </c>
      <c r="K1417" s="58">
        <v>8.07</v>
      </c>
      <c r="L1417" s="58">
        <v>8.1</v>
      </c>
      <c r="M1417" s="59">
        <v>8.1210000000000004</v>
      </c>
      <c r="N1417" s="58"/>
    </row>
    <row r="1418" spans="1:14" ht="18" customHeight="1">
      <c r="A1418" s="57">
        <v>17</v>
      </c>
      <c r="B1418" s="58" t="s">
        <v>334</v>
      </c>
      <c r="C1418" s="58">
        <v>7.6725000000000003</v>
      </c>
      <c r="D1418" s="58">
        <v>7.73</v>
      </c>
      <c r="E1418" s="58" t="s">
        <v>334</v>
      </c>
      <c r="F1418" s="58" t="s">
        <v>334</v>
      </c>
      <c r="G1418" s="58">
        <v>7.9494999999999996</v>
      </c>
      <c r="H1418" s="58">
        <v>7.9489999999999998</v>
      </c>
      <c r="I1418" s="58">
        <v>7.9509999999999996</v>
      </c>
      <c r="J1418" s="58">
        <v>7.9950000000000001</v>
      </c>
      <c r="K1418" s="58" t="s">
        <v>334</v>
      </c>
      <c r="L1418" s="58">
        <v>8.1150000000000002</v>
      </c>
      <c r="M1418" s="59">
        <v>8.1229999999999993</v>
      </c>
      <c r="N1418" s="58"/>
    </row>
    <row r="1419" spans="1:14" ht="18" customHeight="1">
      <c r="A1419" s="57">
        <v>18</v>
      </c>
      <c r="B1419" s="58" t="s">
        <v>334</v>
      </c>
      <c r="C1419" s="58">
        <v>7.6725000000000003</v>
      </c>
      <c r="D1419" s="58">
        <v>7.7309999999999999</v>
      </c>
      <c r="E1419" s="58" t="s">
        <v>334</v>
      </c>
      <c r="F1419" s="58">
        <v>7.8525</v>
      </c>
      <c r="G1419" s="58">
        <v>7.9494999999999996</v>
      </c>
      <c r="H1419" s="58" t="s">
        <v>334</v>
      </c>
      <c r="I1419" s="58">
        <v>7.95</v>
      </c>
      <c r="J1419" s="58">
        <v>7.9950000000000001</v>
      </c>
      <c r="K1419" s="58" t="s">
        <v>334</v>
      </c>
      <c r="L1419" s="58">
        <v>8.0969999999999995</v>
      </c>
      <c r="M1419" s="59">
        <v>8.1349999999999998</v>
      </c>
      <c r="N1419" s="58"/>
    </row>
    <row r="1420" spans="1:14" ht="18" customHeight="1">
      <c r="A1420" s="57">
        <v>19</v>
      </c>
      <c r="B1420" s="58">
        <v>7.64</v>
      </c>
      <c r="C1420" s="58">
        <v>7.6725000000000003</v>
      </c>
      <c r="D1420" s="58">
        <v>7.7329999999999997</v>
      </c>
      <c r="E1420" s="58" t="s">
        <v>334</v>
      </c>
      <c r="F1420" s="58">
        <v>7.8550000000000004</v>
      </c>
      <c r="G1420" s="58">
        <v>7.9489999999999998</v>
      </c>
      <c r="H1420" s="58" t="s">
        <v>334</v>
      </c>
      <c r="I1420" s="58">
        <v>7.95</v>
      </c>
      <c r="J1420" s="58" t="s">
        <v>334</v>
      </c>
      <c r="K1420" s="58">
        <v>8.0730000000000004</v>
      </c>
      <c r="L1420" s="58">
        <v>8.0969999999999995</v>
      </c>
      <c r="M1420" s="59" t="s">
        <v>334</v>
      </c>
      <c r="N1420" s="58"/>
    </row>
    <row r="1421" spans="1:14" ht="18" customHeight="1">
      <c r="A1421" s="57">
        <v>20</v>
      </c>
      <c r="B1421" s="58">
        <v>7.65</v>
      </c>
      <c r="C1421" s="58">
        <v>7.68</v>
      </c>
      <c r="D1421" s="58">
        <v>7.7350000000000003</v>
      </c>
      <c r="E1421" s="58">
        <v>7.79</v>
      </c>
      <c r="F1421" s="58">
        <v>7.86</v>
      </c>
      <c r="G1421" s="58" t="s">
        <v>334</v>
      </c>
      <c r="H1421" s="58">
        <v>7.9489999999999998</v>
      </c>
      <c r="I1421" s="58">
        <v>7.95</v>
      </c>
      <c r="J1421" s="58" t="s">
        <v>334</v>
      </c>
      <c r="K1421" s="58">
        <v>8.0760000000000005</v>
      </c>
      <c r="L1421" s="58">
        <v>8.1059999999999999</v>
      </c>
      <c r="M1421" s="59" t="s">
        <v>334</v>
      </c>
      <c r="N1421" s="58"/>
    </row>
    <row r="1422" spans="1:14" ht="18" customHeight="1">
      <c r="A1422" s="57">
        <v>21</v>
      </c>
      <c r="B1422" s="58">
        <v>7.65</v>
      </c>
      <c r="C1422" s="58" t="s">
        <v>334</v>
      </c>
      <c r="D1422" s="58" t="s">
        <v>334</v>
      </c>
      <c r="E1422" s="58">
        <v>7.7925000000000004</v>
      </c>
      <c r="F1422" s="58">
        <v>7.86</v>
      </c>
      <c r="G1422" s="58" t="s">
        <v>334</v>
      </c>
      <c r="H1422" s="58">
        <v>7.9489999999999998</v>
      </c>
      <c r="I1422" s="58">
        <v>7.9494999999999996</v>
      </c>
      <c r="J1422" s="58">
        <v>7.9969999999999999</v>
      </c>
      <c r="K1422" s="58">
        <v>8.0779999999999994</v>
      </c>
      <c r="L1422" s="58" t="s">
        <v>334</v>
      </c>
      <c r="M1422" s="59">
        <v>8.157</v>
      </c>
      <c r="N1422" s="58"/>
    </row>
    <row r="1423" spans="1:14" ht="18" customHeight="1">
      <c r="A1423" s="57">
        <v>22</v>
      </c>
      <c r="B1423" s="58">
        <v>7.6494999999999997</v>
      </c>
      <c r="C1423" s="58" t="s">
        <v>334</v>
      </c>
      <c r="D1423" s="58" t="s">
        <v>334</v>
      </c>
      <c r="E1423" s="58">
        <v>7.7949999999999999</v>
      </c>
      <c r="F1423" s="58">
        <v>7.86</v>
      </c>
      <c r="G1423" s="58">
        <v>7.9494999999999996</v>
      </c>
      <c r="H1423" s="58">
        <v>7.9494999999999996</v>
      </c>
      <c r="I1423" s="58" t="s">
        <v>334</v>
      </c>
      <c r="J1423" s="58">
        <v>7.9969999999999999</v>
      </c>
      <c r="K1423" s="58">
        <v>8.0779999999999994</v>
      </c>
      <c r="L1423" s="58" t="s">
        <v>334</v>
      </c>
      <c r="M1423" s="59">
        <v>8.173</v>
      </c>
      <c r="N1423" s="58"/>
    </row>
    <row r="1424" spans="1:14" ht="18" customHeight="1">
      <c r="A1424" s="57">
        <v>23</v>
      </c>
      <c r="B1424" s="58">
        <v>7.649</v>
      </c>
      <c r="C1424" s="58">
        <v>7.68</v>
      </c>
      <c r="D1424" s="58">
        <v>7.7350000000000003</v>
      </c>
      <c r="E1424" s="58">
        <v>7.7975000000000003</v>
      </c>
      <c r="F1424" s="58" t="s">
        <v>334</v>
      </c>
      <c r="G1424" s="58">
        <v>7.9494999999999996</v>
      </c>
      <c r="H1424" s="58">
        <v>7.9494999999999996</v>
      </c>
      <c r="I1424" s="58" t="s">
        <v>334</v>
      </c>
      <c r="J1424" s="58">
        <v>8.0050000000000008</v>
      </c>
      <c r="K1424" s="58">
        <v>8.08</v>
      </c>
      <c r="L1424" s="58">
        <v>8.1120000000000001</v>
      </c>
      <c r="M1424" s="59">
        <v>8.1839999999999993</v>
      </c>
      <c r="N1424" s="58"/>
    </row>
    <row r="1425" spans="1:15" ht="18" customHeight="1">
      <c r="A1425" s="57">
        <v>24</v>
      </c>
      <c r="B1425" s="58" t="s">
        <v>334</v>
      </c>
      <c r="C1425" s="58">
        <v>7.6849999999999996</v>
      </c>
      <c r="D1425" s="58">
        <v>7.74</v>
      </c>
      <c r="E1425" s="58">
        <v>7.8</v>
      </c>
      <c r="F1425" s="58" t="s">
        <v>334</v>
      </c>
      <c r="G1425" s="58" t="s">
        <v>334</v>
      </c>
      <c r="H1425" s="58">
        <v>7.9494999999999996</v>
      </c>
      <c r="I1425" s="58">
        <v>7.9494999999999996</v>
      </c>
      <c r="J1425" s="58">
        <v>8.01</v>
      </c>
      <c r="K1425" s="58" t="s">
        <v>334</v>
      </c>
      <c r="L1425" s="58">
        <v>8.11</v>
      </c>
      <c r="M1425" s="59">
        <v>8.1829999999999998</v>
      </c>
      <c r="N1425" s="58"/>
    </row>
    <row r="1426" spans="1:15" ht="18" customHeight="1">
      <c r="A1426" s="57">
        <v>25</v>
      </c>
      <c r="B1426" s="58" t="s">
        <v>334</v>
      </c>
      <c r="C1426" s="58">
        <v>7.6879999999999997</v>
      </c>
      <c r="D1426" s="58">
        <v>7.7424999999999997</v>
      </c>
      <c r="E1426" s="58" t="s">
        <v>334</v>
      </c>
      <c r="F1426" s="58">
        <v>7.8650000000000002</v>
      </c>
      <c r="G1426" s="58">
        <v>7.95</v>
      </c>
      <c r="H1426" s="58" t="s">
        <v>334</v>
      </c>
      <c r="I1426" s="58">
        <v>7.95</v>
      </c>
      <c r="J1426" s="58">
        <v>8.02</v>
      </c>
      <c r="K1426" s="58" t="s">
        <v>334</v>
      </c>
      <c r="L1426" s="58">
        <v>8.11</v>
      </c>
      <c r="M1426" s="59" t="s">
        <v>334</v>
      </c>
      <c r="N1426" s="58"/>
    </row>
    <row r="1427" spans="1:15" ht="18" customHeight="1">
      <c r="A1427" s="57">
        <v>26</v>
      </c>
      <c r="B1427" s="58">
        <v>7.65</v>
      </c>
      <c r="C1427" s="58">
        <v>7.6950000000000003</v>
      </c>
      <c r="D1427" s="58">
        <v>7.7450000000000001</v>
      </c>
      <c r="E1427" s="58" t="s">
        <v>334</v>
      </c>
      <c r="F1427" s="58">
        <v>7.8650000000000002</v>
      </c>
      <c r="G1427" s="58">
        <v>7.95</v>
      </c>
      <c r="H1427" s="58" t="s">
        <v>334</v>
      </c>
      <c r="I1427" s="58">
        <v>7.9515000000000002</v>
      </c>
      <c r="J1427" s="58" t="s">
        <v>334</v>
      </c>
      <c r="K1427" s="58">
        <v>8.077</v>
      </c>
      <c r="L1427" s="58">
        <v>8.11</v>
      </c>
      <c r="M1427" s="59" t="s">
        <v>334</v>
      </c>
      <c r="N1427" s="58"/>
    </row>
    <row r="1428" spans="1:15" ht="18" customHeight="1">
      <c r="A1428" s="57">
        <v>27</v>
      </c>
      <c r="B1428" s="58">
        <v>7.6509999999999998</v>
      </c>
      <c r="C1428" s="58">
        <v>7.7024999999999997</v>
      </c>
      <c r="D1428" s="58">
        <v>7.75</v>
      </c>
      <c r="E1428" s="58">
        <v>7.8</v>
      </c>
      <c r="F1428" s="58">
        <v>7.875</v>
      </c>
      <c r="G1428" s="58" t="s">
        <v>334</v>
      </c>
      <c r="H1428" s="58">
        <v>7.9494999999999996</v>
      </c>
      <c r="I1428" s="58">
        <v>7.9565000000000001</v>
      </c>
      <c r="J1428" s="58" t="s">
        <v>334</v>
      </c>
      <c r="K1428" s="58">
        <v>8.07</v>
      </c>
      <c r="L1428" s="58">
        <v>8.1129999999999995</v>
      </c>
      <c r="M1428" s="59" t="s">
        <v>334</v>
      </c>
      <c r="N1428" s="58"/>
    </row>
    <row r="1429" spans="1:15" ht="18" customHeight="1">
      <c r="A1429" s="57">
        <v>28</v>
      </c>
      <c r="B1429" s="58">
        <v>7.65</v>
      </c>
      <c r="C1429" s="58" t="s">
        <v>334</v>
      </c>
      <c r="D1429" s="58" t="s">
        <v>334</v>
      </c>
      <c r="E1429" s="58">
        <v>7.81</v>
      </c>
      <c r="F1429" s="58">
        <v>7.8849999999999998</v>
      </c>
      <c r="G1429" s="58" t="s">
        <v>334</v>
      </c>
      <c r="H1429" s="58">
        <v>7.9494999999999996</v>
      </c>
      <c r="I1429" s="58">
        <v>7.9569999999999999</v>
      </c>
      <c r="J1429" s="58">
        <v>8.0150000000000006</v>
      </c>
      <c r="K1429" s="58">
        <v>8.0649999999999995</v>
      </c>
      <c r="L1429" s="58" t="s">
        <v>334</v>
      </c>
      <c r="M1429" s="59">
        <v>8.1999999999999993</v>
      </c>
      <c r="N1429" s="58"/>
    </row>
    <row r="1430" spans="1:15" ht="18" customHeight="1">
      <c r="A1430" s="57">
        <v>29</v>
      </c>
      <c r="B1430" s="58">
        <v>7.6494999999999997</v>
      </c>
      <c r="C1430" s="58" t="s">
        <v>335</v>
      </c>
      <c r="D1430" s="58" t="s">
        <v>334</v>
      </c>
      <c r="E1430" s="58">
        <v>7.8150000000000004</v>
      </c>
      <c r="F1430" s="58">
        <v>7.89</v>
      </c>
      <c r="G1430" s="58">
        <v>7.9494999999999996</v>
      </c>
      <c r="H1430" s="58">
        <v>7.9494999999999996</v>
      </c>
      <c r="I1430" s="58" t="s">
        <v>334</v>
      </c>
      <c r="J1430" s="58">
        <v>8.0180000000000007</v>
      </c>
      <c r="K1430" s="58">
        <v>8.0860000000000003</v>
      </c>
      <c r="L1430" s="58" t="s">
        <v>334</v>
      </c>
      <c r="M1430" s="59">
        <v>8.1999999999999993</v>
      </c>
      <c r="N1430" s="58"/>
    </row>
    <row r="1431" spans="1:15" ht="18" customHeight="1">
      <c r="A1431" s="57">
        <v>30</v>
      </c>
      <c r="B1431" s="58">
        <v>7.65</v>
      </c>
      <c r="C1431" s="58" t="s">
        <v>335</v>
      </c>
      <c r="D1431" s="58">
        <v>7.76</v>
      </c>
      <c r="E1431" s="58">
        <v>7.82</v>
      </c>
      <c r="F1431" s="58" t="s">
        <v>334</v>
      </c>
      <c r="G1431" s="58">
        <v>7.9489999999999998</v>
      </c>
      <c r="H1431" s="58">
        <v>7.95</v>
      </c>
      <c r="I1431" s="58" t="s">
        <v>334</v>
      </c>
      <c r="J1431" s="58">
        <v>8.0220000000000002</v>
      </c>
      <c r="K1431" s="58">
        <v>8.0830000000000002</v>
      </c>
      <c r="L1431" s="58" t="s">
        <v>334</v>
      </c>
      <c r="M1431" s="59" t="s">
        <v>334</v>
      </c>
      <c r="N1431" s="58"/>
    </row>
    <row r="1432" spans="1:15" ht="18" customHeight="1">
      <c r="A1432" s="57">
        <v>31</v>
      </c>
      <c r="B1432" s="58" t="s">
        <v>334</v>
      </c>
      <c r="C1432" s="58" t="s">
        <v>335</v>
      </c>
      <c r="D1432" s="58">
        <v>7.7649999999999997</v>
      </c>
      <c r="E1432" s="58" t="s">
        <v>335</v>
      </c>
      <c r="F1432" s="58" t="s">
        <v>334</v>
      </c>
      <c r="G1432" s="58" t="s">
        <v>335</v>
      </c>
      <c r="H1432" s="58">
        <v>7.95</v>
      </c>
      <c r="I1432" s="58">
        <v>7.9569999999999999</v>
      </c>
      <c r="J1432" s="58" t="s">
        <v>335</v>
      </c>
      <c r="K1432" s="58" t="s">
        <v>334</v>
      </c>
      <c r="L1432" s="58" t="s">
        <v>335</v>
      </c>
      <c r="M1432" s="59" t="s">
        <v>334</v>
      </c>
      <c r="N1432" s="58"/>
    </row>
    <row r="1433" spans="1:15" ht="18" customHeight="1" thickBot="1">
      <c r="A1433" s="76"/>
      <c r="B1433" s="77"/>
      <c r="C1433" s="77"/>
      <c r="D1433" s="77"/>
      <c r="E1433" s="77"/>
      <c r="F1433" s="77"/>
      <c r="G1433" s="77"/>
      <c r="H1433" s="77"/>
      <c r="I1433" s="77"/>
      <c r="J1433" s="77"/>
      <c r="K1433" s="77"/>
      <c r="L1433" s="77"/>
      <c r="M1433" s="78"/>
      <c r="N1433" s="58"/>
    </row>
    <row r="1434" spans="1:15" ht="18" customHeight="1">
      <c r="A1434" s="618">
        <v>1980</v>
      </c>
      <c r="B1434" s="619"/>
      <c r="C1434" s="619"/>
      <c r="D1434" s="619"/>
      <c r="E1434" s="619"/>
      <c r="F1434" s="619"/>
      <c r="G1434" s="619"/>
      <c r="H1434" s="619"/>
      <c r="I1434" s="619"/>
      <c r="J1434" s="619"/>
      <c r="K1434" s="619"/>
      <c r="L1434" s="619"/>
      <c r="M1434" s="620"/>
      <c r="N1434" s="52"/>
    </row>
    <row r="1435" spans="1:15" ht="18" customHeight="1" thickBot="1">
      <c r="A1435" s="63" t="s">
        <v>322</v>
      </c>
      <c r="B1435" s="64" t="s">
        <v>323</v>
      </c>
      <c r="C1435" s="64" t="s">
        <v>324</v>
      </c>
      <c r="D1435" s="64" t="s">
        <v>325</v>
      </c>
      <c r="E1435" s="64" t="s">
        <v>326</v>
      </c>
      <c r="F1435" s="64" t="s">
        <v>236</v>
      </c>
      <c r="G1435" s="64" t="s">
        <v>327</v>
      </c>
      <c r="H1435" s="64" t="s">
        <v>328</v>
      </c>
      <c r="I1435" s="64" t="s">
        <v>329</v>
      </c>
      <c r="J1435" s="64" t="s">
        <v>330</v>
      </c>
      <c r="K1435" s="64" t="s">
        <v>331</v>
      </c>
      <c r="L1435" s="64" t="s">
        <v>332</v>
      </c>
      <c r="M1435" s="65" t="s">
        <v>333</v>
      </c>
      <c r="N1435" s="52"/>
    </row>
    <row r="1436" spans="1:15" ht="18" customHeight="1">
      <c r="A1436" s="54">
        <v>1</v>
      </c>
      <c r="B1436" s="55" t="s">
        <v>334</v>
      </c>
      <c r="C1436" s="55">
        <v>7.4160000000000004</v>
      </c>
      <c r="D1436" s="55" t="s">
        <v>334</v>
      </c>
      <c r="E1436" s="55">
        <v>7.4284999999999997</v>
      </c>
      <c r="F1436" s="55" t="s">
        <v>334</v>
      </c>
      <c r="G1436" s="55" t="s">
        <v>334</v>
      </c>
      <c r="H1436" s="55">
        <v>7.5289999999999999</v>
      </c>
      <c r="I1436" s="55">
        <v>7.55</v>
      </c>
      <c r="J1436" s="55">
        <v>7.56</v>
      </c>
      <c r="K1436" s="55">
        <v>7.5609999999999999</v>
      </c>
      <c r="L1436" s="70" t="s">
        <v>334</v>
      </c>
      <c r="M1436" s="71">
        <v>7.5914999999999999</v>
      </c>
      <c r="N1436" s="83">
        <v>1980</v>
      </c>
      <c r="O1436" s="47">
        <f>AVERAGE(B1436:M1466)</f>
        <v>7.5101025104602464</v>
      </c>
    </row>
    <row r="1437" spans="1:15" ht="18" customHeight="1">
      <c r="A1437" s="57">
        <v>2</v>
      </c>
      <c r="B1437" s="58">
        <v>7.415</v>
      </c>
      <c r="C1437" s="58" t="s">
        <v>334</v>
      </c>
      <c r="D1437" s="58" t="s">
        <v>334</v>
      </c>
      <c r="E1437" s="58">
        <v>7.4284999999999997</v>
      </c>
      <c r="F1437" s="58">
        <v>7.49</v>
      </c>
      <c r="G1437" s="58">
        <v>7.5190000000000001</v>
      </c>
      <c r="H1437" s="58">
        <v>7.53</v>
      </c>
      <c r="I1437" s="58" t="s">
        <v>334</v>
      </c>
      <c r="J1437" s="58">
        <v>7.56</v>
      </c>
      <c r="K1437" s="58">
        <v>7.5625</v>
      </c>
      <c r="L1437" s="72" t="s">
        <v>334</v>
      </c>
      <c r="M1437" s="73">
        <v>7.5914999999999999</v>
      </c>
      <c r="N1437" s="58"/>
    </row>
    <row r="1438" spans="1:15" ht="18" customHeight="1">
      <c r="A1438" s="57">
        <v>3</v>
      </c>
      <c r="B1438" s="58">
        <v>7.4154999999999998</v>
      </c>
      <c r="C1438" s="58" t="s">
        <v>334</v>
      </c>
      <c r="D1438" s="58">
        <v>7.4215</v>
      </c>
      <c r="E1438" s="58" t="s">
        <v>334</v>
      </c>
      <c r="F1438" s="58" t="s">
        <v>334</v>
      </c>
      <c r="G1438" s="58">
        <v>7.5149999999999997</v>
      </c>
      <c r="H1438" s="58">
        <v>7.53</v>
      </c>
      <c r="I1438" s="58" t="s">
        <v>334</v>
      </c>
      <c r="J1438" s="58">
        <v>7.56</v>
      </c>
      <c r="K1438" s="58">
        <v>7.5614999999999997</v>
      </c>
      <c r="L1438" s="72">
        <v>7.5715000000000003</v>
      </c>
      <c r="M1438" s="73">
        <v>7.5919999999999996</v>
      </c>
      <c r="N1438" s="58"/>
    </row>
    <row r="1439" spans="1:15" ht="18" customHeight="1">
      <c r="A1439" s="57">
        <v>4</v>
      </c>
      <c r="B1439" s="58">
        <v>7.4154999999999998</v>
      </c>
      <c r="C1439" s="58">
        <v>7.4160000000000004</v>
      </c>
      <c r="D1439" s="58">
        <v>7.4219999999999997</v>
      </c>
      <c r="E1439" s="58" t="s">
        <v>334</v>
      </c>
      <c r="F1439" s="58" t="s">
        <v>334</v>
      </c>
      <c r="G1439" s="58">
        <v>7.5149999999999997</v>
      </c>
      <c r="H1439" s="58" t="s">
        <v>334</v>
      </c>
      <c r="I1439" s="58">
        <v>7.55</v>
      </c>
      <c r="J1439" s="58">
        <v>7.5635000000000003</v>
      </c>
      <c r="K1439" s="58" t="s">
        <v>334</v>
      </c>
      <c r="L1439" s="58">
        <v>7.5724999999999998</v>
      </c>
      <c r="M1439" s="59">
        <v>7.5919999999999996</v>
      </c>
      <c r="N1439" s="58"/>
    </row>
    <row r="1440" spans="1:15" ht="18" customHeight="1">
      <c r="A1440" s="57">
        <v>5</v>
      </c>
      <c r="B1440" s="58" t="s">
        <v>334</v>
      </c>
      <c r="C1440" s="58">
        <v>7.4160000000000004</v>
      </c>
      <c r="D1440" s="58">
        <v>7.4210000000000003</v>
      </c>
      <c r="E1440" s="58" t="s">
        <v>334</v>
      </c>
      <c r="F1440" s="58">
        <v>7.49</v>
      </c>
      <c r="G1440" s="58">
        <v>7.5149999999999997</v>
      </c>
      <c r="H1440" s="58" t="s">
        <v>334</v>
      </c>
      <c r="I1440" s="58">
        <v>7.55</v>
      </c>
      <c r="J1440" s="58">
        <v>7.5640000000000001</v>
      </c>
      <c r="K1440" s="58" t="s">
        <v>334</v>
      </c>
      <c r="L1440" s="58" t="s">
        <v>334</v>
      </c>
      <c r="M1440" s="59">
        <v>7.593</v>
      </c>
      <c r="N1440" s="58"/>
    </row>
    <row r="1441" spans="1:14" ht="18" customHeight="1">
      <c r="A1441" s="57">
        <v>6</v>
      </c>
      <c r="B1441" s="58" t="s">
        <v>334</v>
      </c>
      <c r="C1441" s="58">
        <v>7.4160000000000004</v>
      </c>
      <c r="D1441" s="58">
        <v>7.42</v>
      </c>
      <c r="E1441" s="58" t="s">
        <v>334</v>
      </c>
      <c r="F1441" s="58" t="s">
        <v>334</v>
      </c>
      <c r="G1441" s="58">
        <v>7.5170000000000003</v>
      </c>
      <c r="H1441" s="58" t="s">
        <v>334</v>
      </c>
      <c r="I1441" s="58">
        <v>7.5525000000000002</v>
      </c>
      <c r="J1441" s="58" t="s">
        <v>334</v>
      </c>
      <c r="K1441" s="58">
        <v>7.5614999999999997</v>
      </c>
      <c r="L1441" s="58">
        <v>7.5724999999999998</v>
      </c>
      <c r="M1441" s="59" t="s">
        <v>334</v>
      </c>
      <c r="N1441" s="58"/>
    </row>
    <row r="1442" spans="1:14" ht="18" customHeight="1">
      <c r="A1442" s="57">
        <v>7</v>
      </c>
      <c r="B1442" s="58">
        <v>7.4154999999999998</v>
      </c>
      <c r="C1442" s="58">
        <v>7.4165000000000001</v>
      </c>
      <c r="D1442" s="58">
        <v>7.4210000000000003</v>
      </c>
      <c r="E1442" s="58">
        <v>7.4284999999999997</v>
      </c>
      <c r="F1442" s="58">
        <v>7.49</v>
      </c>
      <c r="G1442" s="58" t="s">
        <v>334</v>
      </c>
      <c r="H1442" s="58">
        <v>7.53</v>
      </c>
      <c r="I1442" s="58">
        <v>7.5549999999999997</v>
      </c>
      <c r="J1442" s="58" t="s">
        <v>334</v>
      </c>
      <c r="K1442" s="58">
        <v>7.5629999999999997</v>
      </c>
      <c r="L1442" s="58">
        <v>7.5720000000000001</v>
      </c>
      <c r="M1442" s="59" t="s">
        <v>334</v>
      </c>
      <c r="N1442" s="58"/>
    </row>
    <row r="1443" spans="1:14" ht="18" customHeight="1">
      <c r="A1443" s="57">
        <v>8</v>
      </c>
      <c r="B1443" s="58">
        <v>7.4160000000000004</v>
      </c>
      <c r="C1443" s="58">
        <v>7.4160000000000004</v>
      </c>
      <c r="D1443" s="58" t="s">
        <v>334</v>
      </c>
      <c r="E1443" s="58">
        <v>7.4279999999999999</v>
      </c>
      <c r="F1443" s="58">
        <v>7.4904999999999999</v>
      </c>
      <c r="G1443" s="58" t="s">
        <v>334</v>
      </c>
      <c r="H1443" s="58">
        <v>7.53</v>
      </c>
      <c r="I1443" s="58">
        <v>7.5540000000000003</v>
      </c>
      <c r="J1443" s="58">
        <v>7.5650000000000004</v>
      </c>
      <c r="K1443" s="58">
        <v>7.5644999999999998</v>
      </c>
      <c r="L1443" s="58" t="s">
        <v>334</v>
      </c>
      <c r="M1443" s="59">
        <v>7.593</v>
      </c>
      <c r="N1443" s="58"/>
    </row>
    <row r="1444" spans="1:14" ht="18" customHeight="1">
      <c r="A1444" s="57">
        <v>9</v>
      </c>
      <c r="B1444" s="58">
        <v>7.4165000000000001</v>
      </c>
      <c r="C1444" s="58" t="s">
        <v>334</v>
      </c>
      <c r="D1444" s="58" t="s">
        <v>334</v>
      </c>
      <c r="E1444" s="58">
        <v>7.4279999999999999</v>
      </c>
      <c r="F1444" s="58">
        <v>7.5</v>
      </c>
      <c r="G1444" s="58">
        <v>7.5170000000000003</v>
      </c>
      <c r="H1444" s="58">
        <v>7.5350000000000001</v>
      </c>
      <c r="I1444" s="58" t="s">
        <v>334</v>
      </c>
      <c r="J1444" s="58">
        <v>7.5650000000000004</v>
      </c>
      <c r="K1444" s="58">
        <v>7.5640000000000001</v>
      </c>
      <c r="L1444" s="58" t="s">
        <v>334</v>
      </c>
      <c r="M1444" s="59">
        <v>7.5934999999999997</v>
      </c>
      <c r="N1444" s="58"/>
    </row>
    <row r="1445" spans="1:14" ht="18" customHeight="1">
      <c r="A1445" s="57">
        <v>10</v>
      </c>
      <c r="B1445" s="58">
        <v>7.42</v>
      </c>
      <c r="C1445" s="58" t="s">
        <v>334</v>
      </c>
      <c r="D1445" s="58">
        <v>7.4249999999999998</v>
      </c>
      <c r="E1445" s="58">
        <v>7.4279999999999999</v>
      </c>
      <c r="F1445" s="58" t="s">
        <v>334</v>
      </c>
      <c r="G1445" s="58">
        <v>7.5170000000000003</v>
      </c>
      <c r="H1445" s="58">
        <v>7.54</v>
      </c>
      <c r="I1445" s="58" t="s">
        <v>334</v>
      </c>
      <c r="J1445" s="58">
        <v>7.5655000000000001</v>
      </c>
      <c r="K1445" s="58">
        <v>7.5620000000000003</v>
      </c>
      <c r="L1445" s="58">
        <v>7.5720000000000001</v>
      </c>
      <c r="M1445" s="59">
        <v>7.5934999999999997</v>
      </c>
      <c r="N1445" s="58"/>
    </row>
    <row r="1446" spans="1:14" ht="18" customHeight="1">
      <c r="A1446" s="57">
        <v>11</v>
      </c>
      <c r="B1446" s="58">
        <v>7.42</v>
      </c>
      <c r="C1446" s="58">
        <v>7.4160000000000004</v>
      </c>
      <c r="D1446" s="58">
        <v>7.4264999999999999</v>
      </c>
      <c r="E1446" s="58">
        <v>7.4314999999999998</v>
      </c>
      <c r="F1446" s="58" t="s">
        <v>334</v>
      </c>
      <c r="G1446" s="58">
        <v>7.52</v>
      </c>
      <c r="H1446" s="58">
        <v>7.5430000000000001</v>
      </c>
      <c r="I1446" s="58">
        <v>7.5575000000000001</v>
      </c>
      <c r="J1446" s="58">
        <v>7.5655000000000001</v>
      </c>
      <c r="K1446" s="58" t="s">
        <v>334</v>
      </c>
      <c r="L1446" s="58">
        <v>7.5750000000000002</v>
      </c>
      <c r="M1446" s="59">
        <v>7.5940000000000003</v>
      </c>
      <c r="N1446" s="58"/>
    </row>
    <row r="1447" spans="1:14" ht="18" customHeight="1">
      <c r="A1447" s="57">
        <v>12</v>
      </c>
      <c r="B1447" s="58" t="s">
        <v>334</v>
      </c>
      <c r="C1447" s="58">
        <v>7.4154999999999998</v>
      </c>
      <c r="D1447" s="58">
        <v>7.4275000000000002</v>
      </c>
      <c r="E1447" s="58" t="s">
        <v>334</v>
      </c>
      <c r="F1447" s="58">
        <v>7.5034999999999998</v>
      </c>
      <c r="G1447" s="58" t="s">
        <v>334</v>
      </c>
      <c r="H1447" s="58" t="s">
        <v>334</v>
      </c>
      <c r="I1447" s="58">
        <v>7.556</v>
      </c>
      <c r="J1447" s="58">
        <v>7.5650000000000004</v>
      </c>
      <c r="K1447" s="58" t="s">
        <v>334</v>
      </c>
      <c r="L1447" s="58">
        <v>7.5750000000000002</v>
      </c>
      <c r="M1447" s="59">
        <v>7.593</v>
      </c>
      <c r="N1447" s="58"/>
    </row>
    <row r="1448" spans="1:14" ht="18" customHeight="1">
      <c r="A1448" s="57">
        <v>13</v>
      </c>
      <c r="B1448" s="58" t="s">
        <v>334</v>
      </c>
      <c r="C1448" s="58">
        <v>7.4160000000000004</v>
      </c>
      <c r="D1448" s="58">
        <v>7.4275000000000002</v>
      </c>
      <c r="E1448" s="58" t="s">
        <v>334</v>
      </c>
      <c r="F1448" s="58">
        <v>7.5034999999999998</v>
      </c>
      <c r="G1448" s="58">
        <v>7.52</v>
      </c>
      <c r="H1448" s="58" t="s">
        <v>334</v>
      </c>
      <c r="I1448" s="58">
        <v>7.5564999999999998</v>
      </c>
      <c r="J1448" s="58" t="s">
        <v>334</v>
      </c>
      <c r="K1448" s="58">
        <v>7.5620000000000003</v>
      </c>
      <c r="L1448" s="58">
        <v>7.5795000000000003</v>
      </c>
      <c r="M1448" s="59" t="s">
        <v>334</v>
      </c>
      <c r="N1448" s="58"/>
    </row>
    <row r="1449" spans="1:14" ht="18" customHeight="1">
      <c r="A1449" s="57">
        <v>14</v>
      </c>
      <c r="B1449" s="58">
        <v>7.4184999999999999</v>
      </c>
      <c r="C1449" s="58">
        <v>7.4169999999999998</v>
      </c>
      <c r="D1449" s="58">
        <v>7.4279999999999999</v>
      </c>
      <c r="E1449" s="58">
        <v>7.4320000000000004</v>
      </c>
      <c r="F1449" s="58">
        <v>7.5034999999999998</v>
      </c>
      <c r="G1449" s="58" t="s">
        <v>334</v>
      </c>
      <c r="H1449" s="58">
        <v>7.5425000000000004</v>
      </c>
      <c r="I1449" s="58">
        <v>7.5579999999999998</v>
      </c>
      <c r="J1449" s="58" t="s">
        <v>334</v>
      </c>
      <c r="K1449" s="58">
        <v>7.5644999999999998</v>
      </c>
      <c r="L1449" s="58">
        <v>7.5815000000000001</v>
      </c>
      <c r="M1449" s="59" t="s">
        <v>334</v>
      </c>
      <c r="N1449" s="58"/>
    </row>
    <row r="1450" spans="1:14" ht="18" customHeight="1">
      <c r="A1450" s="57">
        <v>15</v>
      </c>
      <c r="B1450" s="58">
        <v>7.4145000000000003</v>
      </c>
      <c r="C1450" s="58">
        <v>7.4175000000000004</v>
      </c>
      <c r="D1450" s="58" t="s">
        <v>334</v>
      </c>
      <c r="E1450" s="58">
        <v>7.4349999999999996</v>
      </c>
      <c r="F1450" s="58">
        <v>7.51</v>
      </c>
      <c r="G1450" s="58" t="s">
        <v>334</v>
      </c>
      <c r="H1450" s="58">
        <v>7.5439999999999996</v>
      </c>
      <c r="I1450" s="58">
        <v>7.5564999999999998</v>
      </c>
      <c r="J1450" s="58">
        <v>7.5609999999999999</v>
      </c>
      <c r="K1450" s="58">
        <v>7.5674999999999999</v>
      </c>
      <c r="L1450" s="58" t="s">
        <v>334</v>
      </c>
      <c r="M1450" s="59">
        <v>7.593</v>
      </c>
      <c r="N1450" s="58"/>
    </row>
    <row r="1451" spans="1:14" ht="18" customHeight="1">
      <c r="A1451" s="57">
        <v>16</v>
      </c>
      <c r="B1451" s="58">
        <v>7.415</v>
      </c>
      <c r="C1451" s="58" t="s">
        <v>334</v>
      </c>
      <c r="D1451" s="58" t="s">
        <v>334</v>
      </c>
      <c r="E1451" s="58">
        <v>7.4375</v>
      </c>
      <c r="F1451" s="58">
        <v>7.5145</v>
      </c>
      <c r="G1451" s="58">
        <v>7.52</v>
      </c>
      <c r="H1451" s="58">
        <v>7.55</v>
      </c>
      <c r="I1451" s="58" t="s">
        <v>334</v>
      </c>
      <c r="J1451" s="58">
        <v>7.56</v>
      </c>
      <c r="K1451" s="58">
        <v>7.5679999999999996</v>
      </c>
      <c r="L1451" s="58" t="s">
        <v>334</v>
      </c>
      <c r="M1451" s="59">
        <v>7.593</v>
      </c>
      <c r="N1451" s="58"/>
    </row>
    <row r="1452" spans="1:14" ht="18" customHeight="1">
      <c r="A1452" s="57">
        <v>17</v>
      </c>
      <c r="B1452" s="58">
        <v>7.4160000000000004</v>
      </c>
      <c r="C1452" s="58" t="s">
        <v>334</v>
      </c>
      <c r="D1452" s="58">
        <v>7.4284999999999997</v>
      </c>
      <c r="E1452" s="58">
        <v>7.4375</v>
      </c>
      <c r="F1452" s="58" t="s">
        <v>334</v>
      </c>
      <c r="G1452" s="58">
        <v>7.52</v>
      </c>
      <c r="H1452" s="58">
        <v>7.55</v>
      </c>
      <c r="I1452" s="58" t="s">
        <v>334</v>
      </c>
      <c r="J1452" s="58">
        <v>7.5625</v>
      </c>
      <c r="K1452" s="58">
        <v>7.5685000000000002</v>
      </c>
      <c r="L1452" s="58">
        <v>7.5824999999999996</v>
      </c>
      <c r="M1452" s="59">
        <v>7.5934999999999997</v>
      </c>
      <c r="N1452" s="58"/>
    </row>
    <row r="1453" spans="1:14" ht="18" customHeight="1">
      <c r="A1453" s="57">
        <v>18</v>
      </c>
      <c r="B1453" s="58">
        <v>7.4169999999999998</v>
      </c>
      <c r="C1453" s="58">
        <v>7.4160000000000004</v>
      </c>
      <c r="D1453" s="58">
        <v>7.4284999999999997</v>
      </c>
      <c r="E1453" s="58">
        <v>7.4504999999999999</v>
      </c>
      <c r="F1453" s="58" t="s">
        <v>334</v>
      </c>
      <c r="G1453" s="58">
        <v>7.5229999999999997</v>
      </c>
      <c r="H1453" s="58">
        <v>7.5449999999999999</v>
      </c>
      <c r="I1453" s="58">
        <v>7.5564999999999998</v>
      </c>
      <c r="J1453" s="58">
        <v>7.5635000000000003</v>
      </c>
      <c r="K1453" s="58" t="s">
        <v>334</v>
      </c>
      <c r="L1453" s="58">
        <v>7.5834999999999999</v>
      </c>
      <c r="M1453" s="59" t="s">
        <v>334</v>
      </c>
      <c r="N1453" s="58"/>
    </row>
    <row r="1454" spans="1:14" ht="18" customHeight="1">
      <c r="A1454" s="57">
        <v>19</v>
      </c>
      <c r="B1454" s="58" t="s">
        <v>334</v>
      </c>
      <c r="C1454" s="58">
        <v>7.4175000000000004</v>
      </c>
      <c r="D1454" s="58">
        <v>7.4284999999999997</v>
      </c>
      <c r="E1454" s="58" t="s">
        <v>334</v>
      </c>
      <c r="F1454" s="58">
        <v>7.5145</v>
      </c>
      <c r="G1454" s="58">
        <v>7.5229999999999997</v>
      </c>
      <c r="H1454" s="58" t="s">
        <v>334</v>
      </c>
      <c r="I1454" s="58">
        <v>7.5585000000000004</v>
      </c>
      <c r="J1454" s="58">
        <v>7.5625</v>
      </c>
      <c r="K1454" s="58" t="s">
        <v>334</v>
      </c>
      <c r="L1454" s="58">
        <v>7.5839999999999996</v>
      </c>
      <c r="M1454" s="59">
        <v>7.5945</v>
      </c>
      <c r="N1454" s="58"/>
    </row>
    <row r="1455" spans="1:14" ht="18" customHeight="1">
      <c r="A1455" s="57">
        <v>20</v>
      </c>
      <c r="B1455" s="58" t="s">
        <v>334</v>
      </c>
      <c r="C1455" s="58">
        <v>7.4175000000000004</v>
      </c>
      <c r="D1455" s="58">
        <v>7.4279999999999999</v>
      </c>
      <c r="E1455" s="58" t="s">
        <v>334</v>
      </c>
      <c r="F1455" s="58">
        <v>7.52</v>
      </c>
      <c r="G1455" s="58">
        <v>7.524</v>
      </c>
      <c r="H1455" s="58" t="s">
        <v>334</v>
      </c>
      <c r="I1455" s="58">
        <v>7.5590000000000002</v>
      </c>
      <c r="J1455" s="58" t="s">
        <v>334</v>
      </c>
      <c r="K1455" s="58">
        <v>7.57</v>
      </c>
      <c r="L1455" s="58">
        <v>7.5839999999999996</v>
      </c>
      <c r="M1455" s="59" t="s">
        <v>334</v>
      </c>
      <c r="N1455" s="58"/>
    </row>
    <row r="1456" spans="1:14" ht="18" customHeight="1">
      <c r="A1456" s="57">
        <v>21</v>
      </c>
      <c r="B1456" s="58">
        <v>7.4169999999999998</v>
      </c>
      <c r="C1456" s="58">
        <v>7.42</v>
      </c>
      <c r="D1456" s="58">
        <v>7.4275000000000002</v>
      </c>
      <c r="E1456" s="58">
        <v>7.4524999999999997</v>
      </c>
      <c r="F1456" s="58">
        <v>7.5175000000000001</v>
      </c>
      <c r="G1456" s="58" t="s">
        <v>334</v>
      </c>
      <c r="H1456" s="58">
        <v>7.5465</v>
      </c>
      <c r="I1456" s="58">
        <v>7.5590000000000002</v>
      </c>
      <c r="J1456" s="58" t="s">
        <v>334</v>
      </c>
      <c r="K1456" s="58">
        <v>7.57</v>
      </c>
      <c r="L1456" s="58">
        <v>7.585</v>
      </c>
      <c r="M1456" s="59" t="s">
        <v>334</v>
      </c>
      <c r="N1456" s="58"/>
    </row>
    <row r="1457" spans="1:15" ht="18" customHeight="1">
      <c r="A1457" s="57">
        <v>22</v>
      </c>
      <c r="B1457" s="58">
        <v>7.4175000000000004</v>
      </c>
      <c r="C1457" s="58">
        <v>7.42</v>
      </c>
      <c r="D1457" s="58" t="s">
        <v>334</v>
      </c>
      <c r="E1457" s="58">
        <v>7.4524999999999997</v>
      </c>
      <c r="F1457" s="58">
        <v>7.5214999999999996</v>
      </c>
      <c r="G1457" s="58" t="s">
        <v>334</v>
      </c>
      <c r="H1457" s="58">
        <v>7.5475000000000003</v>
      </c>
      <c r="I1457" s="58">
        <v>7.5585000000000004</v>
      </c>
      <c r="J1457" s="58" t="s">
        <v>334</v>
      </c>
      <c r="K1457" s="58">
        <v>7.5715000000000003</v>
      </c>
      <c r="L1457" s="58" t="s">
        <v>334</v>
      </c>
      <c r="M1457" s="59">
        <v>7.5949999999999998</v>
      </c>
      <c r="N1457" s="58"/>
    </row>
    <row r="1458" spans="1:15" ht="18" customHeight="1">
      <c r="A1458" s="57">
        <v>23</v>
      </c>
      <c r="B1458" s="58">
        <v>7.4175000000000004</v>
      </c>
      <c r="C1458" s="58" t="s">
        <v>334</v>
      </c>
      <c r="D1458" s="58" t="s">
        <v>334</v>
      </c>
      <c r="E1458" s="58">
        <v>7.4550000000000001</v>
      </c>
      <c r="F1458" s="58">
        <v>7.52</v>
      </c>
      <c r="G1458" s="58">
        <v>7.5250000000000004</v>
      </c>
      <c r="H1458" s="58">
        <v>7.5484999999999998</v>
      </c>
      <c r="I1458" s="58" t="s">
        <v>334</v>
      </c>
      <c r="J1458" s="58">
        <v>7.56</v>
      </c>
      <c r="K1458" s="58">
        <v>7.5730000000000004</v>
      </c>
      <c r="L1458" s="58" t="s">
        <v>334</v>
      </c>
      <c r="M1458" s="59">
        <v>7.6</v>
      </c>
      <c r="N1458" s="58"/>
    </row>
    <row r="1459" spans="1:15" ht="18" customHeight="1">
      <c r="A1459" s="57">
        <v>24</v>
      </c>
      <c r="B1459" s="58">
        <v>7.4169999999999998</v>
      </c>
      <c r="C1459" s="58" t="s">
        <v>334</v>
      </c>
      <c r="D1459" s="58">
        <v>7.4275000000000002</v>
      </c>
      <c r="E1459" s="58">
        <v>7.4550000000000001</v>
      </c>
      <c r="F1459" s="58" t="s">
        <v>334</v>
      </c>
      <c r="G1459" s="58" t="s">
        <v>334</v>
      </c>
      <c r="H1459" s="58">
        <v>7.5525000000000002</v>
      </c>
      <c r="I1459" s="58" t="s">
        <v>334</v>
      </c>
      <c r="J1459" s="58">
        <v>7.5614999999999997</v>
      </c>
      <c r="K1459" s="58" t="s">
        <v>334</v>
      </c>
      <c r="L1459" s="58">
        <v>7.5860000000000003</v>
      </c>
      <c r="M1459" s="59">
        <v>7.6</v>
      </c>
      <c r="N1459" s="58"/>
    </row>
    <row r="1460" spans="1:15" ht="18" customHeight="1">
      <c r="A1460" s="57">
        <v>25</v>
      </c>
      <c r="B1460" s="58">
        <v>7.4165000000000001</v>
      </c>
      <c r="C1460" s="58">
        <v>7.42</v>
      </c>
      <c r="D1460" s="58">
        <v>7.4269999999999996</v>
      </c>
      <c r="E1460" s="58">
        <v>7.4550000000000001</v>
      </c>
      <c r="F1460" s="58" t="s">
        <v>334</v>
      </c>
      <c r="G1460" s="58">
        <v>7.5250000000000004</v>
      </c>
      <c r="H1460" s="58">
        <v>7.5525000000000002</v>
      </c>
      <c r="I1460" s="58">
        <v>7.5575000000000001</v>
      </c>
      <c r="J1460" s="58">
        <v>7.5614999999999997</v>
      </c>
      <c r="K1460" s="58" t="s">
        <v>334</v>
      </c>
      <c r="L1460" s="58">
        <v>7.5869999999999997</v>
      </c>
      <c r="M1460" s="59" t="s">
        <v>334</v>
      </c>
      <c r="N1460" s="58"/>
    </row>
    <row r="1461" spans="1:15" ht="18" customHeight="1">
      <c r="A1461" s="57">
        <v>26</v>
      </c>
      <c r="B1461" s="58" t="s">
        <v>334</v>
      </c>
      <c r="C1461" s="58">
        <v>7.4210000000000003</v>
      </c>
      <c r="D1461" s="58">
        <v>7.4264999999999999</v>
      </c>
      <c r="E1461" s="58" t="s">
        <v>334</v>
      </c>
      <c r="F1461" s="58">
        <v>7.52</v>
      </c>
      <c r="G1461" s="58">
        <v>7.5279999999999996</v>
      </c>
      <c r="H1461" s="58" t="s">
        <v>334</v>
      </c>
      <c r="I1461" s="58" t="s">
        <v>334</v>
      </c>
      <c r="J1461" s="58">
        <v>7.5605000000000002</v>
      </c>
      <c r="K1461" s="58" t="s">
        <v>334</v>
      </c>
      <c r="L1461" s="58">
        <v>7.5880000000000001</v>
      </c>
      <c r="M1461" s="59" t="s">
        <v>334</v>
      </c>
      <c r="N1461" s="58"/>
    </row>
    <row r="1462" spans="1:15" ht="18" customHeight="1">
      <c r="A1462" s="57">
        <v>27</v>
      </c>
      <c r="B1462" s="58" t="s">
        <v>334</v>
      </c>
      <c r="C1462" s="58">
        <v>7.4215</v>
      </c>
      <c r="D1462" s="58">
        <v>7.4260000000000002</v>
      </c>
      <c r="E1462" s="58" t="s">
        <v>334</v>
      </c>
      <c r="F1462" s="58">
        <v>7.52</v>
      </c>
      <c r="G1462" s="58">
        <v>7.5259999999999998</v>
      </c>
      <c r="H1462" s="58" t="s">
        <v>334</v>
      </c>
      <c r="I1462" s="58">
        <v>7.5590000000000002</v>
      </c>
      <c r="J1462" s="58" t="s">
        <v>334</v>
      </c>
      <c r="K1462" s="58">
        <v>7.5715000000000003</v>
      </c>
      <c r="L1462" s="58" t="s">
        <v>334</v>
      </c>
      <c r="M1462" s="59" t="s">
        <v>334</v>
      </c>
      <c r="N1462" s="58"/>
    </row>
    <row r="1463" spans="1:15" ht="18" customHeight="1">
      <c r="A1463" s="57">
        <v>28</v>
      </c>
      <c r="B1463" s="58">
        <v>7.4160000000000004</v>
      </c>
      <c r="C1463" s="58">
        <v>7.4215</v>
      </c>
      <c r="D1463" s="58">
        <v>7.4264999999999999</v>
      </c>
      <c r="E1463" s="58">
        <v>7.4550000000000001</v>
      </c>
      <c r="F1463" s="58">
        <v>7.52</v>
      </c>
      <c r="G1463" s="58" t="s">
        <v>334</v>
      </c>
      <c r="H1463" s="58">
        <v>7.5525000000000002</v>
      </c>
      <c r="I1463" s="58">
        <v>7.5590000000000002</v>
      </c>
      <c r="J1463" s="58" t="s">
        <v>334</v>
      </c>
      <c r="K1463" s="58">
        <v>7.57</v>
      </c>
      <c r="L1463" s="58" t="s">
        <v>334</v>
      </c>
      <c r="M1463" s="59" t="s">
        <v>334</v>
      </c>
      <c r="N1463" s="58"/>
    </row>
    <row r="1464" spans="1:15" ht="18" customHeight="1">
      <c r="A1464" s="57">
        <v>29</v>
      </c>
      <c r="B1464" s="58" t="s">
        <v>334</v>
      </c>
      <c r="C1464" s="58">
        <v>7.4215</v>
      </c>
      <c r="D1464" s="58" t="s">
        <v>334</v>
      </c>
      <c r="E1464" s="58">
        <v>7.46</v>
      </c>
      <c r="F1464" s="58">
        <v>7.52</v>
      </c>
      <c r="G1464" s="58" t="s">
        <v>334</v>
      </c>
      <c r="H1464" s="58">
        <v>7.5525000000000002</v>
      </c>
      <c r="I1464" s="58">
        <v>7.56</v>
      </c>
      <c r="J1464" s="58">
        <v>7.56</v>
      </c>
      <c r="K1464" s="58">
        <v>7.57</v>
      </c>
      <c r="L1464" s="58" t="s">
        <v>334</v>
      </c>
      <c r="M1464" s="59">
        <v>7.6</v>
      </c>
      <c r="N1464" s="58"/>
    </row>
    <row r="1465" spans="1:15" ht="18" customHeight="1">
      <c r="A1465" s="57">
        <v>30</v>
      </c>
      <c r="B1465" s="58" t="s">
        <v>334</v>
      </c>
      <c r="C1465" s="58" t="s">
        <v>335</v>
      </c>
      <c r="D1465" s="58" t="s">
        <v>334</v>
      </c>
      <c r="E1465" s="58">
        <v>7.49</v>
      </c>
      <c r="F1465" s="58">
        <v>7.52</v>
      </c>
      <c r="G1465" s="58">
        <v>7.5279999999999996</v>
      </c>
      <c r="H1465" s="58">
        <v>7.55</v>
      </c>
      <c r="I1465" s="58" t="s">
        <v>334</v>
      </c>
      <c r="J1465" s="58">
        <v>7.5594999999999999</v>
      </c>
      <c r="K1465" s="58">
        <v>7.5715000000000003</v>
      </c>
      <c r="L1465" s="58" t="s">
        <v>334</v>
      </c>
      <c r="M1465" s="59" t="s">
        <v>334</v>
      </c>
      <c r="N1465" s="58"/>
    </row>
    <row r="1466" spans="1:15" ht="18" customHeight="1">
      <c r="A1466" s="57">
        <v>31</v>
      </c>
      <c r="B1466" s="58" t="s">
        <v>334</v>
      </c>
      <c r="C1466" s="58" t="s">
        <v>335</v>
      </c>
      <c r="D1466" s="58">
        <v>7.4284999999999997</v>
      </c>
      <c r="E1466" s="58" t="s">
        <v>335</v>
      </c>
      <c r="F1466" s="58" t="s">
        <v>334</v>
      </c>
      <c r="G1466" s="58" t="s">
        <v>335</v>
      </c>
      <c r="H1466" s="58">
        <v>7.55</v>
      </c>
      <c r="I1466" s="58" t="s">
        <v>334</v>
      </c>
      <c r="J1466" s="58" t="s">
        <v>335</v>
      </c>
      <c r="K1466" s="58" t="s">
        <v>334</v>
      </c>
      <c r="L1466" s="58" t="s">
        <v>335</v>
      </c>
      <c r="M1466" s="59" t="s">
        <v>334</v>
      </c>
      <c r="N1466" s="58"/>
    </row>
    <row r="1467" spans="1:15" ht="18" customHeight="1" thickBot="1">
      <c r="A1467" s="76"/>
      <c r="B1467" s="77"/>
      <c r="C1467" s="77"/>
      <c r="D1467" s="77"/>
      <c r="E1467" s="77"/>
      <c r="F1467" s="77"/>
      <c r="G1467" s="77"/>
      <c r="H1467" s="77"/>
      <c r="I1467" s="77"/>
      <c r="J1467" s="77"/>
      <c r="K1467" s="77"/>
      <c r="L1467" s="77"/>
      <c r="M1467" s="78"/>
      <c r="N1467" s="58"/>
    </row>
    <row r="1468" spans="1:15" ht="18" customHeight="1">
      <c r="A1468" s="605">
        <v>1979</v>
      </c>
      <c r="B1468" s="606"/>
      <c r="C1468" s="606"/>
      <c r="D1468" s="606"/>
      <c r="E1468" s="606"/>
      <c r="F1468" s="606"/>
      <c r="G1468" s="606"/>
      <c r="H1468" s="606"/>
      <c r="I1468" s="606"/>
      <c r="J1468" s="606"/>
      <c r="K1468" s="606"/>
      <c r="L1468" s="606"/>
      <c r="M1468" s="607"/>
      <c r="N1468" s="52"/>
    </row>
    <row r="1469" spans="1:15" ht="18" customHeight="1" thickBot="1">
      <c r="A1469" s="51" t="s">
        <v>322</v>
      </c>
      <c r="B1469" s="52" t="s">
        <v>323</v>
      </c>
      <c r="C1469" s="52" t="s">
        <v>324</v>
      </c>
      <c r="D1469" s="52" t="s">
        <v>325</v>
      </c>
      <c r="E1469" s="52" t="s">
        <v>326</v>
      </c>
      <c r="F1469" s="52" t="s">
        <v>236</v>
      </c>
      <c r="G1469" s="52" t="s">
        <v>327</v>
      </c>
      <c r="H1469" s="52" t="s">
        <v>328</v>
      </c>
      <c r="I1469" s="52" t="s">
        <v>329</v>
      </c>
      <c r="J1469" s="52" t="s">
        <v>330</v>
      </c>
      <c r="K1469" s="52" t="s">
        <v>331</v>
      </c>
      <c r="L1469" s="52" t="s">
        <v>332</v>
      </c>
      <c r="M1469" s="53" t="s">
        <v>333</v>
      </c>
      <c r="N1469" s="52"/>
    </row>
    <row r="1470" spans="1:15" ht="18" customHeight="1">
      <c r="A1470" s="54">
        <v>1</v>
      </c>
      <c r="B1470" s="55" t="s">
        <v>334</v>
      </c>
      <c r="C1470" s="55">
        <v>7.3765000000000001</v>
      </c>
      <c r="D1470" s="55">
        <v>7.3765000000000001</v>
      </c>
      <c r="E1470" s="55" t="s">
        <v>334</v>
      </c>
      <c r="F1470" s="55" t="s">
        <v>334</v>
      </c>
      <c r="G1470" s="55">
        <v>7.3769999999999998</v>
      </c>
      <c r="H1470" s="55" t="s">
        <v>334</v>
      </c>
      <c r="I1470" s="55">
        <v>7.3715000000000002</v>
      </c>
      <c r="J1470" s="55" t="s">
        <v>334</v>
      </c>
      <c r="K1470" s="55">
        <v>7.3710000000000004</v>
      </c>
      <c r="L1470" s="70" t="s">
        <v>334</v>
      </c>
      <c r="M1470" s="71" t="s">
        <v>334</v>
      </c>
      <c r="N1470" s="83">
        <v>1979</v>
      </c>
      <c r="O1470" s="47">
        <f>AVERAGE(B1470:M1500)</f>
        <v>7.3774036144578252</v>
      </c>
    </row>
    <row r="1471" spans="1:15" ht="18" customHeight="1">
      <c r="A1471" s="57">
        <v>2</v>
      </c>
      <c r="B1471" s="58">
        <v>7.375</v>
      </c>
      <c r="C1471" s="58">
        <v>7.3765000000000001</v>
      </c>
      <c r="D1471" s="58">
        <v>7.3765000000000001</v>
      </c>
      <c r="E1471" s="58">
        <v>7.3804999999999996</v>
      </c>
      <c r="F1471" s="58">
        <v>7.3784999999999998</v>
      </c>
      <c r="G1471" s="58" t="s">
        <v>334</v>
      </c>
      <c r="H1471" s="58">
        <v>7.3650000000000002</v>
      </c>
      <c r="I1471" s="58">
        <v>7.3719999999999999</v>
      </c>
      <c r="J1471" s="58" t="s">
        <v>334</v>
      </c>
      <c r="K1471" s="58">
        <v>7.3710000000000004</v>
      </c>
      <c r="L1471" s="72" t="s">
        <v>334</v>
      </c>
      <c r="M1471" s="73" t="s">
        <v>334</v>
      </c>
      <c r="N1471" s="58"/>
    </row>
    <row r="1472" spans="1:15" ht="18" customHeight="1">
      <c r="A1472" s="57">
        <v>3</v>
      </c>
      <c r="B1472" s="58">
        <v>7.375</v>
      </c>
      <c r="C1472" s="58" t="s">
        <v>334</v>
      </c>
      <c r="D1472" s="58" t="s">
        <v>334</v>
      </c>
      <c r="E1472" s="58">
        <v>7.3804999999999996</v>
      </c>
      <c r="F1472" s="58">
        <v>7.3784999999999998</v>
      </c>
      <c r="G1472" s="58" t="s">
        <v>334</v>
      </c>
      <c r="H1472" s="58">
        <v>7.3704999999999998</v>
      </c>
      <c r="I1472" s="58">
        <v>7.3719999999999999</v>
      </c>
      <c r="J1472" s="58">
        <v>7.3715000000000002</v>
      </c>
      <c r="K1472" s="58">
        <v>7.3710000000000004</v>
      </c>
      <c r="L1472" s="72" t="s">
        <v>334</v>
      </c>
      <c r="M1472" s="73">
        <v>7.4</v>
      </c>
      <c r="N1472" s="58"/>
    </row>
    <row r="1473" spans="1:14" ht="18" customHeight="1">
      <c r="A1473" s="57">
        <v>4</v>
      </c>
      <c r="B1473" s="58">
        <v>7.375</v>
      </c>
      <c r="C1473" s="58" t="s">
        <v>334</v>
      </c>
      <c r="D1473" s="58" t="s">
        <v>334</v>
      </c>
      <c r="E1473" s="58">
        <v>7.38</v>
      </c>
      <c r="F1473" s="58">
        <v>7.3784999999999998</v>
      </c>
      <c r="G1473" s="58">
        <v>7.3775000000000004</v>
      </c>
      <c r="H1473" s="58" t="s">
        <v>334</v>
      </c>
      <c r="I1473" s="58" t="s">
        <v>334</v>
      </c>
      <c r="J1473" s="58">
        <v>7.3719999999999999</v>
      </c>
      <c r="K1473" s="58">
        <v>7.3710000000000004</v>
      </c>
      <c r="L1473" s="58" t="s">
        <v>334</v>
      </c>
      <c r="M1473" s="59">
        <v>7.4115000000000002</v>
      </c>
      <c r="N1473" s="58"/>
    </row>
    <row r="1474" spans="1:14" ht="18" customHeight="1">
      <c r="A1474" s="57">
        <v>5</v>
      </c>
      <c r="B1474" s="58">
        <v>7.375</v>
      </c>
      <c r="C1474" s="58">
        <v>7.3765000000000001</v>
      </c>
      <c r="D1474" s="58">
        <v>7.3765000000000001</v>
      </c>
      <c r="E1474" s="58">
        <v>7.38</v>
      </c>
      <c r="F1474" s="58" t="s">
        <v>334</v>
      </c>
      <c r="G1474" s="58">
        <v>7.3769999999999998</v>
      </c>
      <c r="H1474" s="58">
        <v>7.3654999999999999</v>
      </c>
      <c r="I1474" s="58" t="s">
        <v>334</v>
      </c>
      <c r="J1474" s="58">
        <v>7.3719999999999999</v>
      </c>
      <c r="K1474" s="58">
        <v>7.3710000000000004</v>
      </c>
      <c r="L1474" s="58">
        <v>7.37</v>
      </c>
      <c r="M1474" s="59">
        <v>7.4104999999999999</v>
      </c>
      <c r="N1474" s="58"/>
    </row>
    <row r="1475" spans="1:14" ht="18" customHeight="1">
      <c r="A1475" s="57">
        <v>6</v>
      </c>
      <c r="B1475" s="58" t="s">
        <v>334</v>
      </c>
      <c r="C1475" s="58">
        <v>7.3765000000000001</v>
      </c>
      <c r="D1475" s="58">
        <v>7.3765000000000001</v>
      </c>
      <c r="E1475" s="58">
        <v>7.38</v>
      </c>
      <c r="F1475" s="58" t="s">
        <v>334</v>
      </c>
      <c r="G1475" s="58">
        <v>7.3769999999999998</v>
      </c>
      <c r="H1475" s="58">
        <v>7.3689999999999998</v>
      </c>
      <c r="I1475" s="58">
        <v>7.3719999999999999</v>
      </c>
      <c r="J1475" s="58">
        <v>7.3719999999999999</v>
      </c>
      <c r="K1475" s="58" t="s">
        <v>334</v>
      </c>
      <c r="L1475" s="58">
        <v>7.37</v>
      </c>
      <c r="M1475" s="59">
        <v>7.41</v>
      </c>
      <c r="N1475" s="58"/>
    </row>
    <row r="1476" spans="1:14" ht="18" customHeight="1">
      <c r="A1476" s="57">
        <v>7</v>
      </c>
      <c r="B1476" s="58" t="s">
        <v>334</v>
      </c>
      <c r="C1476" s="58">
        <v>7.3765000000000001</v>
      </c>
      <c r="D1476" s="58">
        <v>7.3765000000000001</v>
      </c>
      <c r="E1476" s="58" t="s">
        <v>334</v>
      </c>
      <c r="F1476" s="58">
        <v>7.3780000000000001</v>
      </c>
      <c r="G1476" s="58">
        <v>7.3769999999999998</v>
      </c>
      <c r="H1476" s="58" t="s">
        <v>334</v>
      </c>
      <c r="I1476" s="58">
        <v>7.3719999999999999</v>
      </c>
      <c r="J1476" s="58">
        <v>7.3719999999999999</v>
      </c>
      <c r="K1476" s="58" t="s">
        <v>334</v>
      </c>
      <c r="L1476" s="58">
        <v>7.37</v>
      </c>
      <c r="M1476" s="59">
        <v>7.4104999999999999</v>
      </c>
      <c r="N1476" s="58"/>
    </row>
    <row r="1477" spans="1:14" ht="18" customHeight="1">
      <c r="A1477" s="57">
        <v>8</v>
      </c>
      <c r="B1477" s="58">
        <v>7.375</v>
      </c>
      <c r="C1477" s="58">
        <v>7.3760000000000003</v>
      </c>
      <c r="D1477" s="58">
        <v>7.3765000000000001</v>
      </c>
      <c r="E1477" s="58" t="s">
        <v>334</v>
      </c>
      <c r="F1477" s="58">
        <v>7.3780000000000001</v>
      </c>
      <c r="G1477" s="58">
        <v>7.3769999999999998</v>
      </c>
      <c r="H1477" s="58" t="s">
        <v>334</v>
      </c>
      <c r="I1477" s="58">
        <v>7.3715000000000002</v>
      </c>
      <c r="J1477" s="58" t="s">
        <v>334</v>
      </c>
      <c r="K1477" s="58">
        <v>7.3710000000000004</v>
      </c>
      <c r="L1477" s="58">
        <v>7.3710000000000004</v>
      </c>
      <c r="M1477" s="59" t="s">
        <v>334</v>
      </c>
      <c r="N1477" s="58"/>
    </row>
    <row r="1478" spans="1:14" ht="18" customHeight="1">
      <c r="A1478" s="57">
        <v>9</v>
      </c>
      <c r="B1478" s="58">
        <v>7.3754999999999997</v>
      </c>
      <c r="C1478" s="58">
        <v>7.3765000000000001</v>
      </c>
      <c r="D1478" s="58">
        <v>7.3765000000000001</v>
      </c>
      <c r="E1478" s="58" t="s">
        <v>334</v>
      </c>
      <c r="F1478" s="58">
        <v>7.3780000000000001</v>
      </c>
      <c r="G1478" s="58" t="s">
        <v>334</v>
      </c>
      <c r="H1478" s="58">
        <v>7.37</v>
      </c>
      <c r="I1478" s="58">
        <v>7.3715000000000002</v>
      </c>
      <c r="J1478" s="58" t="s">
        <v>334</v>
      </c>
      <c r="K1478" s="58">
        <v>7.3710000000000004</v>
      </c>
      <c r="L1478" s="58">
        <v>7.3704999999999998</v>
      </c>
      <c r="M1478" s="59" t="s">
        <v>334</v>
      </c>
      <c r="N1478" s="58"/>
    </row>
    <row r="1479" spans="1:14" ht="18" customHeight="1">
      <c r="A1479" s="57">
        <v>10</v>
      </c>
      <c r="B1479" s="58">
        <v>7.3760000000000003</v>
      </c>
      <c r="C1479" s="58" t="s">
        <v>334</v>
      </c>
      <c r="D1479" s="58" t="s">
        <v>334</v>
      </c>
      <c r="E1479" s="58">
        <v>7.38</v>
      </c>
      <c r="F1479" s="58">
        <v>7.3780000000000001</v>
      </c>
      <c r="G1479" s="58" t="s">
        <v>334</v>
      </c>
      <c r="H1479" s="58">
        <v>7.37</v>
      </c>
      <c r="I1479" s="58">
        <v>7.3715000000000002</v>
      </c>
      <c r="J1479" s="58">
        <v>7.3724999999999996</v>
      </c>
      <c r="K1479" s="58">
        <v>7.3715000000000002</v>
      </c>
      <c r="L1479" s="58" t="s">
        <v>334</v>
      </c>
      <c r="M1479" s="59">
        <v>7.4104999999999999</v>
      </c>
      <c r="N1479" s="58"/>
    </row>
    <row r="1480" spans="1:14" ht="18" customHeight="1">
      <c r="A1480" s="57">
        <v>11</v>
      </c>
      <c r="B1480" s="58">
        <v>7.3765000000000001</v>
      </c>
      <c r="C1480" s="58" t="s">
        <v>334</v>
      </c>
      <c r="D1480" s="58" t="s">
        <v>334</v>
      </c>
      <c r="E1480" s="58">
        <v>7.38</v>
      </c>
      <c r="F1480" s="58">
        <v>7.3780000000000001</v>
      </c>
      <c r="G1480" s="58">
        <v>7.3769999999999998</v>
      </c>
      <c r="H1480" s="58">
        <v>7.37</v>
      </c>
      <c r="I1480" s="58" t="s">
        <v>334</v>
      </c>
      <c r="J1480" s="58">
        <v>7.3719999999999999</v>
      </c>
      <c r="K1480" s="58">
        <v>7.3719999999999999</v>
      </c>
      <c r="L1480" s="58" t="s">
        <v>334</v>
      </c>
      <c r="M1480" s="59">
        <v>7.4135</v>
      </c>
      <c r="N1480" s="58"/>
    </row>
    <row r="1481" spans="1:14" ht="18" customHeight="1">
      <c r="A1481" s="57">
        <v>12</v>
      </c>
      <c r="B1481" s="58">
        <v>7.3765000000000001</v>
      </c>
      <c r="C1481" s="58">
        <v>7.3765000000000001</v>
      </c>
      <c r="D1481" s="58">
        <v>7.3769999999999998</v>
      </c>
      <c r="E1481" s="58" t="s">
        <v>334</v>
      </c>
      <c r="F1481" s="58" t="s">
        <v>334</v>
      </c>
      <c r="G1481" s="58" t="s">
        <v>334</v>
      </c>
      <c r="H1481" s="58">
        <v>7.37</v>
      </c>
      <c r="I1481" s="58" t="s">
        <v>334</v>
      </c>
      <c r="J1481" s="58">
        <v>7.3719999999999999</v>
      </c>
      <c r="K1481" s="58">
        <v>7.3710000000000004</v>
      </c>
      <c r="L1481" s="58">
        <v>7.3704999999999998</v>
      </c>
      <c r="M1481" s="59">
        <v>7.4124999999999996</v>
      </c>
      <c r="N1481" s="58"/>
    </row>
    <row r="1482" spans="1:14" ht="18" customHeight="1">
      <c r="A1482" s="57">
        <v>13</v>
      </c>
      <c r="B1482" s="58" t="s">
        <v>334</v>
      </c>
      <c r="C1482" s="58">
        <v>7.3769999999999998</v>
      </c>
      <c r="D1482" s="58">
        <v>7.3775000000000004</v>
      </c>
      <c r="E1482" s="58" t="s">
        <v>334</v>
      </c>
      <c r="F1482" s="58" t="s">
        <v>334</v>
      </c>
      <c r="G1482" s="58">
        <v>7.3769999999999998</v>
      </c>
      <c r="H1482" s="58">
        <v>7.3710000000000004</v>
      </c>
      <c r="I1482" s="58">
        <v>7.3719999999999999</v>
      </c>
      <c r="J1482" s="58">
        <v>7.3724999999999996</v>
      </c>
      <c r="K1482" s="58" t="s">
        <v>334</v>
      </c>
      <c r="L1482" s="58">
        <v>7.3704999999999998</v>
      </c>
      <c r="M1482" s="59">
        <v>7.4119999999999999</v>
      </c>
      <c r="N1482" s="58"/>
    </row>
    <row r="1483" spans="1:14" ht="18" customHeight="1">
      <c r="A1483" s="57">
        <v>14</v>
      </c>
      <c r="B1483" s="58" t="s">
        <v>334</v>
      </c>
      <c r="C1483" s="58">
        <v>7.3769999999999998</v>
      </c>
      <c r="D1483" s="58">
        <v>7.3780000000000001</v>
      </c>
      <c r="E1483" s="58" t="s">
        <v>334</v>
      </c>
      <c r="F1483" s="58">
        <v>7.3784999999999998</v>
      </c>
      <c r="G1483" s="58">
        <v>7.3769999999999998</v>
      </c>
      <c r="H1483" s="58" t="s">
        <v>334</v>
      </c>
      <c r="I1483" s="58">
        <v>7.3715000000000002</v>
      </c>
      <c r="J1483" s="58">
        <v>7.3724999999999996</v>
      </c>
      <c r="K1483" s="58" t="s">
        <v>334</v>
      </c>
      <c r="L1483" s="58">
        <v>7.3710000000000004</v>
      </c>
      <c r="M1483" s="59">
        <v>7.4119999999999999</v>
      </c>
      <c r="N1483" s="58"/>
    </row>
    <row r="1484" spans="1:14" ht="18" customHeight="1">
      <c r="A1484" s="57">
        <v>15</v>
      </c>
      <c r="B1484" s="58">
        <v>7.3765000000000001</v>
      </c>
      <c r="C1484" s="58">
        <v>7.3769999999999998</v>
      </c>
      <c r="D1484" s="58">
        <v>7.3780000000000001</v>
      </c>
      <c r="E1484" s="58" t="s">
        <v>334</v>
      </c>
      <c r="F1484" s="58">
        <v>7.3784999999999998</v>
      </c>
      <c r="G1484" s="58">
        <v>7.3769999999999998</v>
      </c>
      <c r="H1484" s="58" t="s">
        <v>334</v>
      </c>
      <c r="I1484" s="58">
        <v>7.3715000000000002</v>
      </c>
      <c r="J1484" s="58" t="s">
        <v>334</v>
      </c>
      <c r="K1484" s="58">
        <v>7.3710000000000004</v>
      </c>
      <c r="L1484" s="58">
        <v>7.3704999999999998</v>
      </c>
      <c r="M1484" s="59" t="s">
        <v>334</v>
      </c>
      <c r="N1484" s="58"/>
    </row>
    <row r="1485" spans="1:14" ht="18" customHeight="1">
      <c r="A1485" s="57">
        <v>16</v>
      </c>
      <c r="B1485" s="58">
        <v>7.3769999999999998</v>
      </c>
      <c r="C1485" s="58">
        <v>7.3769999999999998</v>
      </c>
      <c r="D1485" s="58">
        <v>7.3780000000000001</v>
      </c>
      <c r="E1485" s="58">
        <v>7.38</v>
      </c>
      <c r="F1485" s="58">
        <v>7.3784999999999998</v>
      </c>
      <c r="G1485" s="58" t="s">
        <v>334</v>
      </c>
      <c r="H1485" s="58">
        <v>7.3715000000000002</v>
      </c>
      <c r="I1485" s="58">
        <v>7.3715000000000002</v>
      </c>
      <c r="J1485" s="58" t="s">
        <v>334</v>
      </c>
      <c r="K1485" s="58">
        <v>7.3710000000000004</v>
      </c>
      <c r="L1485" s="58">
        <v>7.3704999999999998</v>
      </c>
      <c r="M1485" s="59" t="s">
        <v>334</v>
      </c>
      <c r="N1485" s="58"/>
    </row>
    <row r="1486" spans="1:14" ht="18" customHeight="1">
      <c r="A1486" s="57">
        <v>17</v>
      </c>
      <c r="B1486" s="58">
        <v>7.3765000000000001</v>
      </c>
      <c r="C1486" s="58" t="s">
        <v>334</v>
      </c>
      <c r="D1486" s="58" t="s">
        <v>334</v>
      </c>
      <c r="E1486" s="58">
        <v>7.38</v>
      </c>
      <c r="F1486" s="58">
        <v>7.3784999999999998</v>
      </c>
      <c r="G1486" s="58" t="s">
        <v>334</v>
      </c>
      <c r="H1486" s="58">
        <v>7.3715000000000002</v>
      </c>
      <c r="I1486" s="58">
        <v>7.3715000000000002</v>
      </c>
      <c r="J1486" s="58">
        <v>7.3730000000000002</v>
      </c>
      <c r="K1486" s="58">
        <v>7.37</v>
      </c>
      <c r="L1486" s="58" t="s">
        <v>334</v>
      </c>
      <c r="M1486" s="59">
        <v>7.41</v>
      </c>
      <c r="N1486" s="58"/>
    </row>
    <row r="1487" spans="1:14" ht="18" customHeight="1">
      <c r="A1487" s="57">
        <v>18</v>
      </c>
      <c r="B1487" s="58">
        <v>7.3765000000000001</v>
      </c>
      <c r="C1487" s="58" t="s">
        <v>334</v>
      </c>
      <c r="D1487" s="58" t="s">
        <v>334</v>
      </c>
      <c r="E1487" s="58">
        <v>7.38</v>
      </c>
      <c r="F1487" s="58">
        <v>7.3789999999999996</v>
      </c>
      <c r="G1487" s="58">
        <v>7.3775000000000004</v>
      </c>
      <c r="H1487" s="58">
        <v>7.3715000000000002</v>
      </c>
      <c r="I1487" s="58" t="s">
        <v>334</v>
      </c>
      <c r="J1487" s="58">
        <v>7.3730000000000002</v>
      </c>
      <c r="K1487" s="58">
        <v>7.37</v>
      </c>
      <c r="L1487" s="58" t="s">
        <v>334</v>
      </c>
      <c r="M1487" s="59">
        <v>7.4115000000000002</v>
      </c>
      <c r="N1487" s="58"/>
    </row>
    <row r="1488" spans="1:14" ht="18" customHeight="1">
      <c r="A1488" s="57">
        <v>19</v>
      </c>
      <c r="B1488" s="58">
        <v>7.3765000000000001</v>
      </c>
      <c r="C1488" s="58">
        <v>7.3769999999999998</v>
      </c>
      <c r="D1488" s="58">
        <v>7.3780000000000001</v>
      </c>
      <c r="E1488" s="58">
        <v>7.38</v>
      </c>
      <c r="F1488" s="58" t="s">
        <v>334</v>
      </c>
      <c r="G1488" s="58">
        <v>7.3775000000000004</v>
      </c>
      <c r="H1488" s="58">
        <v>7.3715000000000002</v>
      </c>
      <c r="I1488" s="58" t="s">
        <v>334</v>
      </c>
      <c r="J1488" s="58">
        <v>7.3730000000000002</v>
      </c>
      <c r="K1488" s="58">
        <v>7.37</v>
      </c>
      <c r="L1488" s="58">
        <v>7.37</v>
      </c>
      <c r="M1488" s="59">
        <v>7.4104999999999999</v>
      </c>
      <c r="N1488" s="58"/>
    </row>
    <row r="1489" spans="1:15" ht="18" customHeight="1">
      <c r="A1489" s="57">
        <v>20</v>
      </c>
      <c r="B1489" s="58" t="s">
        <v>334</v>
      </c>
      <c r="C1489" s="58">
        <v>7.3769999999999998</v>
      </c>
      <c r="D1489" s="58">
        <v>7.3780000000000001</v>
      </c>
      <c r="E1489" s="58">
        <v>7.3795000000000002</v>
      </c>
      <c r="F1489" s="58" t="s">
        <v>334</v>
      </c>
      <c r="G1489" s="58">
        <v>7.3775000000000004</v>
      </c>
      <c r="H1489" s="58">
        <v>7.3719999999999999</v>
      </c>
      <c r="I1489" s="58">
        <v>7.3719999999999999</v>
      </c>
      <c r="J1489" s="58">
        <v>7.3724999999999996</v>
      </c>
      <c r="K1489" s="58" t="s">
        <v>334</v>
      </c>
      <c r="L1489" s="58">
        <v>7.37</v>
      </c>
      <c r="M1489" s="59">
        <v>7.4124999999999996</v>
      </c>
      <c r="N1489" s="58"/>
    </row>
    <row r="1490" spans="1:15" ht="18" customHeight="1">
      <c r="A1490" s="57">
        <v>21</v>
      </c>
      <c r="B1490" s="58" t="s">
        <v>334</v>
      </c>
      <c r="C1490" s="58">
        <v>7.3769999999999998</v>
      </c>
      <c r="D1490" s="58">
        <v>7.3780000000000001</v>
      </c>
      <c r="E1490" s="58" t="s">
        <v>334</v>
      </c>
      <c r="F1490" s="58">
        <v>7.3789999999999996</v>
      </c>
      <c r="G1490" s="58">
        <v>7.3775000000000004</v>
      </c>
      <c r="H1490" s="58" t="s">
        <v>334</v>
      </c>
      <c r="I1490" s="58">
        <v>7.3719999999999999</v>
      </c>
      <c r="J1490" s="58" t="s">
        <v>334</v>
      </c>
      <c r="K1490" s="58" t="s">
        <v>334</v>
      </c>
      <c r="L1490" s="58">
        <v>7.3704999999999998</v>
      </c>
      <c r="M1490" s="59">
        <v>7.4124999999999996</v>
      </c>
      <c r="N1490" s="58"/>
    </row>
    <row r="1491" spans="1:15" ht="18" customHeight="1">
      <c r="A1491" s="57">
        <v>22</v>
      </c>
      <c r="B1491" s="58">
        <v>7.3765000000000001</v>
      </c>
      <c r="C1491" s="58">
        <v>7.3769999999999998</v>
      </c>
      <c r="D1491" s="58">
        <v>7.3780000000000001</v>
      </c>
      <c r="E1491" s="58" t="s">
        <v>334</v>
      </c>
      <c r="F1491" s="58">
        <v>7.3789999999999996</v>
      </c>
      <c r="G1491" s="58">
        <v>7.3769999999999998</v>
      </c>
      <c r="H1491" s="58" t="s">
        <v>334</v>
      </c>
      <c r="I1491" s="58">
        <v>7.3715000000000002</v>
      </c>
      <c r="J1491" s="58" t="s">
        <v>334</v>
      </c>
      <c r="K1491" s="58">
        <v>7.37</v>
      </c>
      <c r="L1491" s="58">
        <v>7.3704999999999998</v>
      </c>
      <c r="M1491" s="59" t="s">
        <v>334</v>
      </c>
      <c r="N1491" s="58"/>
    </row>
    <row r="1492" spans="1:15" ht="18" customHeight="1">
      <c r="A1492" s="57">
        <v>23</v>
      </c>
      <c r="B1492" s="58">
        <v>7.3769999999999998</v>
      </c>
      <c r="C1492" s="58">
        <v>7.3769999999999998</v>
      </c>
      <c r="D1492" s="58">
        <v>7.3780000000000001</v>
      </c>
      <c r="E1492" s="58">
        <v>7.3789999999999996</v>
      </c>
      <c r="F1492" s="58">
        <v>7.3789999999999996</v>
      </c>
      <c r="G1492" s="58" t="s">
        <v>334</v>
      </c>
      <c r="H1492" s="58">
        <v>7.3719999999999999</v>
      </c>
      <c r="I1492" s="58">
        <v>7.3715000000000002</v>
      </c>
      <c r="J1492" s="58" t="s">
        <v>334</v>
      </c>
      <c r="K1492" s="58">
        <v>7.37</v>
      </c>
      <c r="L1492" s="58">
        <v>7.3704999999999998</v>
      </c>
      <c r="M1492" s="59" t="s">
        <v>334</v>
      </c>
      <c r="N1492" s="58"/>
    </row>
    <row r="1493" spans="1:15" ht="18" customHeight="1">
      <c r="A1493" s="57">
        <v>24</v>
      </c>
      <c r="B1493" s="58">
        <v>7.3765000000000001</v>
      </c>
      <c r="C1493" s="58" t="s">
        <v>334</v>
      </c>
      <c r="D1493" s="58" t="s">
        <v>334</v>
      </c>
      <c r="E1493" s="58">
        <v>7.3784999999999998</v>
      </c>
      <c r="F1493" s="58">
        <v>7.3784999999999998</v>
      </c>
      <c r="G1493" s="58" t="s">
        <v>334</v>
      </c>
      <c r="H1493" s="58">
        <v>7.3724999999999996</v>
      </c>
      <c r="I1493" s="58">
        <v>7.3719999999999999</v>
      </c>
      <c r="J1493" s="58">
        <v>7.3724999999999996</v>
      </c>
      <c r="K1493" s="58">
        <v>7.3710000000000004</v>
      </c>
      <c r="L1493" s="58" t="s">
        <v>334</v>
      </c>
      <c r="M1493" s="59">
        <v>7.4119999999999999</v>
      </c>
      <c r="N1493" s="58"/>
    </row>
    <row r="1494" spans="1:15" ht="18" customHeight="1">
      <c r="A1494" s="57">
        <v>25</v>
      </c>
      <c r="B1494" s="58">
        <v>7.3765000000000001</v>
      </c>
      <c r="C1494" s="58" t="s">
        <v>334</v>
      </c>
      <c r="D1494" s="58" t="s">
        <v>334</v>
      </c>
      <c r="E1494" s="58">
        <v>7.3784999999999998</v>
      </c>
      <c r="F1494" s="58">
        <v>7.3784999999999998</v>
      </c>
      <c r="G1494" s="58">
        <v>7.3760000000000003</v>
      </c>
      <c r="H1494" s="58">
        <v>7.3719999999999999</v>
      </c>
      <c r="I1494" s="58" t="s">
        <v>334</v>
      </c>
      <c r="J1494" s="58">
        <v>7.3719999999999999</v>
      </c>
      <c r="K1494" s="58">
        <v>7.3710000000000004</v>
      </c>
      <c r="L1494" s="58" t="s">
        <v>334</v>
      </c>
      <c r="M1494" s="59">
        <v>7.4119999999999999</v>
      </c>
      <c r="N1494" s="58"/>
    </row>
    <row r="1495" spans="1:15" ht="18" customHeight="1">
      <c r="A1495" s="57">
        <v>26</v>
      </c>
      <c r="B1495" s="58">
        <v>7.3765000000000001</v>
      </c>
      <c r="C1495" s="58">
        <v>7.3769999999999998</v>
      </c>
      <c r="D1495" s="58">
        <v>7.3780000000000001</v>
      </c>
      <c r="E1495" s="58">
        <v>7.3789999999999996</v>
      </c>
      <c r="F1495" s="58" t="s">
        <v>334</v>
      </c>
      <c r="G1495" s="58">
        <v>7.375</v>
      </c>
      <c r="H1495" s="58">
        <v>7.3719999999999999</v>
      </c>
      <c r="I1495" s="58" t="s">
        <v>334</v>
      </c>
      <c r="J1495" s="58">
        <v>7.3715000000000002</v>
      </c>
      <c r="K1495" s="58">
        <v>7.3710000000000004</v>
      </c>
      <c r="L1495" s="58">
        <v>7.3704999999999998</v>
      </c>
      <c r="M1495" s="59">
        <v>7.4119999999999999</v>
      </c>
      <c r="N1495" s="58"/>
    </row>
    <row r="1496" spans="1:15" ht="18" customHeight="1">
      <c r="A1496" s="57">
        <v>27</v>
      </c>
      <c r="B1496" s="58" t="s">
        <v>334</v>
      </c>
      <c r="C1496" s="58">
        <v>7.3765000000000001</v>
      </c>
      <c r="D1496" s="58">
        <v>7.3784999999999998</v>
      </c>
      <c r="E1496" s="58">
        <v>7.3789999999999996</v>
      </c>
      <c r="F1496" s="58" t="s">
        <v>334</v>
      </c>
      <c r="G1496" s="58">
        <v>7.3650000000000002</v>
      </c>
      <c r="H1496" s="58">
        <v>7.3715000000000002</v>
      </c>
      <c r="I1496" s="58">
        <v>7.3715000000000002</v>
      </c>
      <c r="J1496" s="58">
        <v>7.3715000000000002</v>
      </c>
      <c r="K1496" s="58" t="s">
        <v>334</v>
      </c>
      <c r="L1496" s="58">
        <v>7.3719999999999999</v>
      </c>
      <c r="M1496" s="59">
        <v>7.4104999999999999</v>
      </c>
      <c r="N1496" s="58"/>
    </row>
    <row r="1497" spans="1:15" ht="18" customHeight="1">
      <c r="A1497" s="57">
        <v>28</v>
      </c>
      <c r="B1497" s="58" t="s">
        <v>334</v>
      </c>
      <c r="C1497" s="58">
        <v>7.3765000000000001</v>
      </c>
      <c r="D1497" s="58">
        <v>7.3789999999999996</v>
      </c>
      <c r="E1497" s="58" t="s">
        <v>334</v>
      </c>
      <c r="F1497" s="58">
        <v>7.3780000000000001</v>
      </c>
      <c r="G1497" s="58">
        <v>7.3550000000000004</v>
      </c>
      <c r="H1497" s="58" t="s">
        <v>334</v>
      </c>
      <c r="I1497" s="58">
        <v>7.3715000000000002</v>
      </c>
      <c r="J1497" s="58">
        <v>7.3710000000000004</v>
      </c>
      <c r="K1497" s="58" t="s">
        <v>334</v>
      </c>
      <c r="L1497" s="58">
        <v>7.375</v>
      </c>
      <c r="M1497" s="59">
        <v>7.415</v>
      </c>
      <c r="N1497" s="58"/>
    </row>
    <row r="1498" spans="1:15" ht="18" customHeight="1">
      <c r="A1498" s="57">
        <v>29</v>
      </c>
      <c r="B1498" s="58">
        <v>7.3769999999999998</v>
      </c>
      <c r="C1498" s="58" t="s">
        <v>335</v>
      </c>
      <c r="D1498" s="58">
        <v>7.3795000000000002</v>
      </c>
      <c r="E1498" s="58" t="s">
        <v>334</v>
      </c>
      <c r="F1498" s="58">
        <v>7.3780000000000001</v>
      </c>
      <c r="G1498" s="58">
        <v>7.35</v>
      </c>
      <c r="H1498" s="58" t="s">
        <v>334</v>
      </c>
      <c r="I1498" s="58">
        <v>7.3715000000000002</v>
      </c>
      <c r="J1498" s="58" t="s">
        <v>334</v>
      </c>
      <c r="K1498" s="58">
        <v>7.3715000000000002</v>
      </c>
      <c r="L1498" s="58">
        <v>7.39</v>
      </c>
      <c r="M1498" s="59" t="s">
        <v>334</v>
      </c>
      <c r="N1498" s="58"/>
    </row>
    <row r="1499" spans="1:15" ht="18" customHeight="1">
      <c r="A1499" s="57">
        <v>30</v>
      </c>
      <c r="B1499" s="58">
        <v>7.3769999999999998</v>
      </c>
      <c r="C1499" s="58" t="s">
        <v>335</v>
      </c>
      <c r="D1499" s="58">
        <v>7.38</v>
      </c>
      <c r="E1499" s="58">
        <v>7.3789999999999996</v>
      </c>
      <c r="F1499" s="58">
        <v>7.3775000000000004</v>
      </c>
      <c r="G1499" s="58" t="s">
        <v>334</v>
      </c>
      <c r="H1499" s="58">
        <v>7.3719999999999999</v>
      </c>
      <c r="I1499" s="58">
        <v>7.3719999999999999</v>
      </c>
      <c r="J1499" s="58" t="s">
        <v>334</v>
      </c>
      <c r="K1499" s="58">
        <v>7.3715000000000002</v>
      </c>
      <c r="L1499" s="58" t="s">
        <v>334</v>
      </c>
      <c r="M1499" s="59" t="s">
        <v>334</v>
      </c>
      <c r="N1499" s="58"/>
    </row>
    <row r="1500" spans="1:15" ht="18" customHeight="1">
      <c r="A1500" s="57">
        <v>31</v>
      </c>
      <c r="B1500" s="58">
        <v>7.3769999999999998</v>
      </c>
      <c r="C1500" s="58" t="s">
        <v>335</v>
      </c>
      <c r="D1500" s="58" t="s">
        <v>334</v>
      </c>
      <c r="E1500" s="58" t="s">
        <v>335</v>
      </c>
      <c r="F1500" s="58">
        <v>7.3769999999999998</v>
      </c>
      <c r="G1500" s="58" t="s">
        <v>335</v>
      </c>
      <c r="H1500" s="58">
        <v>7.3719999999999999</v>
      </c>
      <c r="I1500" s="58">
        <v>7.3715000000000002</v>
      </c>
      <c r="J1500" s="58" t="s">
        <v>335</v>
      </c>
      <c r="K1500" s="58">
        <v>7.3710000000000004</v>
      </c>
      <c r="L1500" s="58" t="s">
        <v>335</v>
      </c>
      <c r="M1500" s="59" t="s">
        <v>334</v>
      </c>
      <c r="N1500" s="58"/>
    </row>
    <row r="1501" spans="1:15" ht="21.6" thickBot="1">
      <c r="A1501" s="76"/>
      <c r="B1501" s="77"/>
      <c r="C1501" s="77"/>
      <c r="D1501" s="77"/>
      <c r="E1501" s="77"/>
      <c r="F1501" s="77"/>
      <c r="G1501" s="77"/>
      <c r="H1501" s="77"/>
      <c r="I1501" s="77"/>
      <c r="J1501" s="77"/>
      <c r="K1501" s="77"/>
      <c r="L1501" s="77"/>
      <c r="M1501" s="78"/>
      <c r="N1501" s="58"/>
    </row>
    <row r="1502" spans="1:15" ht="18" customHeight="1">
      <c r="A1502" s="605">
        <v>1978</v>
      </c>
      <c r="B1502" s="606"/>
      <c r="C1502" s="606"/>
      <c r="D1502" s="606"/>
      <c r="E1502" s="606"/>
      <c r="F1502" s="606"/>
      <c r="G1502" s="606"/>
      <c r="H1502" s="606"/>
      <c r="I1502" s="606"/>
      <c r="J1502" s="606"/>
      <c r="K1502" s="606"/>
      <c r="L1502" s="606"/>
      <c r="M1502" s="607"/>
      <c r="N1502" s="52"/>
    </row>
    <row r="1503" spans="1:15" ht="18" customHeight="1" thickBot="1">
      <c r="A1503" s="51" t="s">
        <v>322</v>
      </c>
      <c r="B1503" s="52" t="s">
        <v>323</v>
      </c>
      <c r="C1503" s="52" t="s">
        <v>324</v>
      </c>
      <c r="D1503" s="52" t="s">
        <v>325</v>
      </c>
      <c r="E1503" s="52" t="s">
        <v>326</v>
      </c>
      <c r="F1503" s="52" t="s">
        <v>236</v>
      </c>
      <c r="G1503" s="52" t="s">
        <v>327</v>
      </c>
      <c r="H1503" s="52" t="s">
        <v>328</v>
      </c>
      <c r="I1503" s="52" t="s">
        <v>329</v>
      </c>
      <c r="J1503" s="52" t="s">
        <v>330</v>
      </c>
      <c r="K1503" s="52" t="s">
        <v>331</v>
      </c>
      <c r="L1503" s="52" t="s">
        <v>332</v>
      </c>
      <c r="M1503" s="53" t="s">
        <v>333</v>
      </c>
      <c r="N1503" s="52"/>
    </row>
    <row r="1504" spans="1:15" ht="18" customHeight="1">
      <c r="A1504" s="54">
        <v>1</v>
      </c>
      <c r="B1504" s="55" t="s">
        <v>334</v>
      </c>
      <c r="C1504" s="55" t="s">
        <v>334</v>
      </c>
      <c r="D1504" s="55">
        <v>7.3724999999999996</v>
      </c>
      <c r="E1504" s="55" t="s">
        <v>334</v>
      </c>
      <c r="F1504" s="55" t="s">
        <v>334</v>
      </c>
      <c r="G1504" s="55">
        <v>7.3644999999999996</v>
      </c>
      <c r="H1504" s="55" t="s">
        <v>334</v>
      </c>
      <c r="I1504" s="55">
        <v>7.3620000000000001</v>
      </c>
      <c r="J1504" s="55" t="s">
        <v>334</v>
      </c>
      <c r="K1504" s="55" t="s">
        <v>334</v>
      </c>
      <c r="L1504" s="55" t="s">
        <v>334</v>
      </c>
      <c r="M1504" s="56">
        <v>7.3689999999999998</v>
      </c>
      <c r="N1504" s="83">
        <v>1978</v>
      </c>
      <c r="O1504" s="47">
        <f>AVERAGE(B1504:M1534)</f>
        <v>7.3657972972972976</v>
      </c>
    </row>
    <row r="1505" spans="1:14" ht="18" customHeight="1">
      <c r="A1505" s="57">
        <v>2</v>
      </c>
      <c r="B1505" s="58" t="s">
        <v>334</v>
      </c>
      <c r="C1505" s="58">
        <v>7.3715000000000002</v>
      </c>
      <c r="D1505" s="58">
        <v>7.3730000000000002</v>
      </c>
      <c r="E1505" s="58" t="s">
        <v>334</v>
      </c>
      <c r="F1505" s="58">
        <v>7.3650000000000002</v>
      </c>
      <c r="G1505" s="58">
        <v>7.3644999999999996</v>
      </c>
      <c r="H1505" s="58" t="s">
        <v>334</v>
      </c>
      <c r="I1505" s="58">
        <v>7.3620000000000001</v>
      </c>
      <c r="J1505" s="58" t="s">
        <v>334</v>
      </c>
      <c r="K1505" s="58">
        <v>7.3570000000000002</v>
      </c>
      <c r="L1505" s="58">
        <v>7.3615000000000004</v>
      </c>
      <c r="M1505" s="59" t="s">
        <v>334</v>
      </c>
      <c r="N1505" s="58"/>
    </row>
    <row r="1506" spans="1:14" ht="18" customHeight="1">
      <c r="A1506" s="57">
        <v>3</v>
      </c>
      <c r="B1506" s="58">
        <v>7.37</v>
      </c>
      <c r="C1506" s="58">
        <v>7.3715000000000002</v>
      </c>
      <c r="D1506" s="58">
        <v>7.3730000000000002</v>
      </c>
      <c r="E1506" s="58">
        <v>7.3674999999999997</v>
      </c>
      <c r="F1506" s="58">
        <v>7.3650000000000002</v>
      </c>
      <c r="G1506" s="58" t="s">
        <v>334</v>
      </c>
      <c r="H1506" s="58" t="s">
        <v>334</v>
      </c>
      <c r="I1506" s="58">
        <v>7.3609999999999998</v>
      </c>
      <c r="J1506" s="58" t="s">
        <v>334</v>
      </c>
      <c r="K1506" s="58">
        <v>7.3585000000000003</v>
      </c>
      <c r="L1506" s="58">
        <v>7.3620000000000001</v>
      </c>
      <c r="M1506" s="59" t="s">
        <v>334</v>
      </c>
      <c r="N1506" s="58"/>
    </row>
    <row r="1507" spans="1:14" ht="18" customHeight="1">
      <c r="A1507" s="57">
        <v>4</v>
      </c>
      <c r="B1507" s="58">
        <v>7.37</v>
      </c>
      <c r="C1507" s="58" t="s">
        <v>334</v>
      </c>
      <c r="D1507" s="58" t="s">
        <v>334</v>
      </c>
      <c r="E1507" s="58">
        <v>7.3674999999999997</v>
      </c>
      <c r="F1507" s="58">
        <v>7.3650000000000002</v>
      </c>
      <c r="G1507" s="58" t="s">
        <v>334</v>
      </c>
      <c r="H1507" s="58" t="s">
        <v>334</v>
      </c>
      <c r="I1507" s="58">
        <v>7.3615000000000004</v>
      </c>
      <c r="J1507" s="58">
        <v>7.3620000000000001</v>
      </c>
      <c r="K1507" s="58">
        <v>7.3579999999999997</v>
      </c>
      <c r="L1507" s="58" t="s">
        <v>334</v>
      </c>
      <c r="M1507" s="59">
        <v>7.3689999999999998</v>
      </c>
      <c r="N1507" s="58"/>
    </row>
    <row r="1508" spans="1:14" ht="18" customHeight="1">
      <c r="A1508" s="57">
        <v>5</v>
      </c>
      <c r="B1508" s="58">
        <v>7.37</v>
      </c>
      <c r="C1508" s="58" t="s">
        <v>334</v>
      </c>
      <c r="D1508" s="58" t="s">
        <v>334</v>
      </c>
      <c r="E1508" s="58">
        <v>7.367</v>
      </c>
      <c r="F1508" s="58">
        <v>7.3644999999999996</v>
      </c>
      <c r="G1508" s="58">
        <v>7.3644999999999996</v>
      </c>
      <c r="H1508" s="58" t="s">
        <v>334</v>
      </c>
      <c r="I1508" s="58" t="s">
        <v>334</v>
      </c>
      <c r="J1508" s="58" t="s">
        <v>334</v>
      </c>
      <c r="K1508" s="58">
        <v>7.3579999999999997</v>
      </c>
      <c r="L1508" s="58" t="s">
        <v>334</v>
      </c>
      <c r="M1508" s="59">
        <v>7.3689999999999998</v>
      </c>
      <c r="N1508" s="58"/>
    </row>
    <row r="1509" spans="1:14" ht="18" customHeight="1">
      <c r="A1509" s="57">
        <v>6</v>
      </c>
      <c r="B1509" s="58">
        <v>7.37</v>
      </c>
      <c r="C1509" s="58">
        <v>7.3715000000000002</v>
      </c>
      <c r="D1509" s="58" t="s">
        <v>334</v>
      </c>
      <c r="E1509" s="58" t="s">
        <v>334</v>
      </c>
      <c r="F1509" s="58" t="s">
        <v>334</v>
      </c>
      <c r="G1509" s="58">
        <v>7.3644999999999996</v>
      </c>
      <c r="H1509" s="58">
        <v>7.36</v>
      </c>
      <c r="I1509" s="58" t="s">
        <v>334</v>
      </c>
      <c r="J1509" s="58">
        <v>7.3620000000000001</v>
      </c>
      <c r="K1509" s="58" t="s">
        <v>334</v>
      </c>
      <c r="L1509" s="58">
        <v>7.3624999999999998</v>
      </c>
      <c r="M1509" s="59" t="s">
        <v>334</v>
      </c>
      <c r="N1509" s="58"/>
    </row>
    <row r="1510" spans="1:14" ht="18" customHeight="1">
      <c r="A1510" s="57">
        <v>7</v>
      </c>
      <c r="B1510" s="58" t="s">
        <v>334</v>
      </c>
      <c r="C1510" s="58">
        <v>7.3715000000000002</v>
      </c>
      <c r="D1510" s="58" t="s">
        <v>334</v>
      </c>
      <c r="E1510" s="58" t="s">
        <v>334</v>
      </c>
      <c r="F1510" s="58" t="s">
        <v>334</v>
      </c>
      <c r="G1510" s="58">
        <v>7.3650000000000002</v>
      </c>
      <c r="H1510" s="58" t="s">
        <v>334</v>
      </c>
      <c r="I1510" s="58">
        <v>7.3609999999999998</v>
      </c>
      <c r="J1510" s="58">
        <v>7.3620000000000001</v>
      </c>
      <c r="K1510" s="58" t="s">
        <v>334</v>
      </c>
      <c r="L1510" s="58">
        <v>7.3624999999999998</v>
      </c>
      <c r="M1510" s="59">
        <v>7.3689999999999998</v>
      </c>
      <c r="N1510" s="58"/>
    </row>
    <row r="1511" spans="1:14" ht="18" customHeight="1">
      <c r="A1511" s="57">
        <v>8</v>
      </c>
      <c r="B1511" s="58" t="s">
        <v>334</v>
      </c>
      <c r="C1511" s="58">
        <v>7.3715000000000002</v>
      </c>
      <c r="D1511" s="58">
        <v>7.3730000000000002</v>
      </c>
      <c r="E1511" s="58" t="s">
        <v>334</v>
      </c>
      <c r="F1511" s="58">
        <v>7.3639999999999999</v>
      </c>
      <c r="G1511" s="58">
        <v>7.3654999999999999</v>
      </c>
      <c r="H1511" s="58" t="s">
        <v>334</v>
      </c>
      <c r="I1511" s="58">
        <v>7.3615000000000004</v>
      </c>
      <c r="J1511" s="58">
        <v>7.3615000000000004</v>
      </c>
      <c r="K1511" s="58" t="s">
        <v>334</v>
      </c>
      <c r="L1511" s="58">
        <v>7.3630000000000004</v>
      </c>
      <c r="M1511" s="59">
        <v>7.3689999999999998</v>
      </c>
      <c r="N1511" s="58"/>
    </row>
    <row r="1512" spans="1:14" ht="18" customHeight="1">
      <c r="A1512" s="57">
        <v>9</v>
      </c>
      <c r="B1512" s="58">
        <v>7.3704999999999998</v>
      </c>
      <c r="C1512" s="58">
        <v>7.3715000000000002</v>
      </c>
      <c r="D1512" s="58">
        <v>7.3730000000000002</v>
      </c>
      <c r="E1512" s="58" t="s">
        <v>334</v>
      </c>
      <c r="F1512" s="58">
        <v>7.3639999999999999</v>
      </c>
      <c r="G1512" s="58">
        <v>7.3659999999999997</v>
      </c>
      <c r="H1512" s="58" t="s">
        <v>334</v>
      </c>
      <c r="I1512" s="58">
        <v>7.3615000000000004</v>
      </c>
      <c r="J1512" s="58" t="s">
        <v>334</v>
      </c>
      <c r="K1512" s="58">
        <v>7.3579999999999997</v>
      </c>
      <c r="L1512" s="58">
        <v>7.3630000000000004</v>
      </c>
      <c r="M1512" s="59" t="s">
        <v>334</v>
      </c>
      <c r="N1512" s="58"/>
    </row>
    <row r="1513" spans="1:14" ht="18" customHeight="1">
      <c r="A1513" s="57">
        <v>10</v>
      </c>
      <c r="B1513" s="58">
        <v>7.3704999999999998</v>
      </c>
      <c r="C1513" s="58" t="s">
        <v>334</v>
      </c>
      <c r="D1513" s="58">
        <v>7.3730000000000002</v>
      </c>
      <c r="E1513" s="58" t="s">
        <v>334</v>
      </c>
      <c r="F1513" s="58">
        <v>7.3635000000000002</v>
      </c>
      <c r="G1513" s="58" t="s">
        <v>334</v>
      </c>
      <c r="H1513" s="58">
        <v>7.36</v>
      </c>
      <c r="I1513" s="58">
        <v>7.3615000000000004</v>
      </c>
      <c r="J1513" s="58" t="s">
        <v>334</v>
      </c>
      <c r="K1513" s="58" t="s">
        <v>334</v>
      </c>
      <c r="L1513" s="58">
        <v>7.3630000000000004</v>
      </c>
      <c r="M1513" s="59" t="s">
        <v>334</v>
      </c>
      <c r="N1513" s="58"/>
    </row>
    <row r="1514" spans="1:14" ht="18" customHeight="1">
      <c r="A1514" s="57">
        <v>11</v>
      </c>
      <c r="B1514" s="58">
        <v>7.3704999999999998</v>
      </c>
      <c r="C1514" s="58" t="s">
        <v>334</v>
      </c>
      <c r="D1514" s="58" t="s">
        <v>334</v>
      </c>
      <c r="E1514" s="58">
        <v>7.367</v>
      </c>
      <c r="F1514" s="58">
        <v>7.3635000000000002</v>
      </c>
      <c r="G1514" s="58" t="s">
        <v>334</v>
      </c>
      <c r="H1514" s="58">
        <v>7.3605</v>
      </c>
      <c r="I1514" s="58">
        <v>7.3620000000000001</v>
      </c>
      <c r="J1514" s="58" t="s">
        <v>334</v>
      </c>
      <c r="K1514" s="58">
        <v>7.3585000000000003</v>
      </c>
      <c r="L1514" s="58" t="s">
        <v>334</v>
      </c>
      <c r="M1514" s="59">
        <v>7.3695000000000004</v>
      </c>
      <c r="N1514" s="58"/>
    </row>
    <row r="1515" spans="1:14" ht="18" customHeight="1">
      <c r="A1515" s="57">
        <v>12</v>
      </c>
      <c r="B1515" s="58">
        <v>7.3710000000000004</v>
      </c>
      <c r="C1515" s="58" t="s">
        <v>334</v>
      </c>
      <c r="D1515" s="58" t="s">
        <v>334</v>
      </c>
      <c r="E1515" s="58">
        <v>7.367</v>
      </c>
      <c r="F1515" s="58">
        <v>7.3635000000000002</v>
      </c>
      <c r="G1515" s="58" t="s">
        <v>334</v>
      </c>
      <c r="H1515" s="58">
        <v>7.3605</v>
      </c>
      <c r="I1515" s="58" t="s">
        <v>334</v>
      </c>
      <c r="J1515" s="58">
        <v>7.3624999999999998</v>
      </c>
      <c r="K1515" s="58">
        <v>7.359</v>
      </c>
      <c r="L1515" s="58" t="s">
        <v>334</v>
      </c>
      <c r="M1515" s="59" t="s">
        <v>334</v>
      </c>
      <c r="N1515" s="58"/>
    </row>
    <row r="1516" spans="1:14" ht="18" customHeight="1">
      <c r="A1516" s="57">
        <v>13</v>
      </c>
      <c r="B1516" s="58">
        <v>7.3715000000000002</v>
      </c>
      <c r="C1516" s="58">
        <v>7.3710000000000004</v>
      </c>
      <c r="D1516" s="58">
        <v>7.3739999999999997</v>
      </c>
      <c r="E1516" s="58">
        <v>7.367</v>
      </c>
      <c r="F1516" s="58" t="s">
        <v>334</v>
      </c>
      <c r="G1516" s="58">
        <v>7.3650000000000002</v>
      </c>
      <c r="H1516" s="58">
        <v>7.3609999999999998</v>
      </c>
      <c r="I1516" s="58" t="s">
        <v>334</v>
      </c>
      <c r="J1516" s="58">
        <v>7.3624999999999998</v>
      </c>
      <c r="K1516" s="58">
        <v>7.36</v>
      </c>
      <c r="L1516" s="58">
        <v>7.3630000000000004</v>
      </c>
      <c r="M1516" s="59">
        <v>7.3704999999999998</v>
      </c>
      <c r="N1516" s="58"/>
    </row>
    <row r="1517" spans="1:14" ht="18" customHeight="1">
      <c r="A1517" s="57">
        <v>14</v>
      </c>
      <c r="B1517" s="58" t="s">
        <v>334</v>
      </c>
      <c r="C1517" s="58">
        <v>7.3710000000000004</v>
      </c>
      <c r="D1517" s="58">
        <v>7.3745000000000003</v>
      </c>
      <c r="E1517" s="58">
        <v>7.3674999999999997</v>
      </c>
      <c r="F1517" s="58" t="s">
        <v>334</v>
      </c>
      <c r="G1517" s="58">
        <v>7.3644999999999996</v>
      </c>
      <c r="H1517" s="58">
        <v>7.3609999999999998</v>
      </c>
      <c r="I1517" s="58">
        <v>7.3620000000000001</v>
      </c>
      <c r="J1517" s="58">
        <v>7.3620000000000001</v>
      </c>
      <c r="K1517" s="58" t="s">
        <v>334</v>
      </c>
      <c r="L1517" s="58">
        <v>7.3635000000000002</v>
      </c>
      <c r="M1517" s="59">
        <v>7.3704999999999998</v>
      </c>
      <c r="N1517" s="58"/>
    </row>
    <row r="1518" spans="1:14" ht="18" customHeight="1">
      <c r="A1518" s="57">
        <v>15</v>
      </c>
      <c r="B1518" s="58" t="s">
        <v>334</v>
      </c>
      <c r="C1518" s="58">
        <v>7.3710000000000004</v>
      </c>
      <c r="D1518" s="58">
        <v>7.3745000000000003</v>
      </c>
      <c r="E1518" s="58" t="s">
        <v>334</v>
      </c>
      <c r="F1518" s="58">
        <v>7.3639999999999999</v>
      </c>
      <c r="G1518" s="58">
        <v>7.3644999999999996</v>
      </c>
      <c r="H1518" s="58" t="s">
        <v>334</v>
      </c>
      <c r="I1518" s="58">
        <v>7.3620000000000001</v>
      </c>
      <c r="J1518" s="58">
        <v>7.3624999999999998</v>
      </c>
      <c r="K1518" s="58" t="s">
        <v>334</v>
      </c>
      <c r="L1518" s="58">
        <v>7.3635000000000002</v>
      </c>
      <c r="M1518" s="59">
        <v>7.3710000000000004</v>
      </c>
      <c r="N1518" s="58"/>
    </row>
    <row r="1519" spans="1:14" ht="18" customHeight="1">
      <c r="A1519" s="57">
        <v>16</v>
      </c>
      <c r="B1519" s="58">
        <v>7.3715000000000002</v>
      </c>
      <c r="C1519" s="58">
        <v>7.3710000000000004</v>
      </c>
      <c r="D1519" s="58">
        <v>7.375</v>
      </c>
      <c r="E1519" s="58" t="s">
        <v>334</v>
      </c>
      <c r="F1519" s="58">
        <v>7.3635000000000002</v>
      </c>
      <c r="G1519" s="58">
        <v>7.3639999999999999</v>
      </c>
      <c r="H1519" s="58" t="s">
        <v>334</v>
      </c>
      <c r="I1519" s="58">
        <v>7.3615000000000004</v>
      </c>
      <c r="J1519" s="58" t="s">
        <v>334</v>
      </c>
      <c r="K1519" s="58">
        <v>7.3594999999999997</v>
      </c>
      <c r="L1519" s="58">
        <v>7.3644999999999996</v>
      </c>
      <c r="M1519" s="59" t="s">
        <v>334</v>
      </c>
      <c r="N1519" s="58"/>
    </row>
    <row r="1520" spans="1:14" ht="18" customHeight="1">
      <c r="A1520" s="57">
        <v>17</v>
      </c>
      <c r="B1520" s="58">
        <v>7.3715000000000002</v>
      </c>
      <c r="C1520" s="58">
        <v>7.3710000000000004</v>
      </c>
      <c r="D1520" s="58">
        <v>7.375</v>
      </c>
      <c r="E1520" s="58">
        <v>7.367</v>
      </c>
      <c r="F1520" s="58">
        <v>7.3635000000000002</v>
      </c>
      <c r="G1520" s="58" t="s">
        <v>334</v>
      </c>
      <c r="H1520" s="58">
        <v>7.3615000000000004</v>
      </c>
      <c r="I1520" s="58">
        <v>7.3609999999999998</v>
      </c>
      <c r="J1520" s="58" t="s">
        <v>334</v>
      </c>
      <c r="K1520" s="58">
        <v>7.359</v>
      </c>
      <c r="L1520" s="58">
        <v>7.3650000000000002</v>
      </c>
      <c r="M1520" s="59" t="s">
        <v>334</v>
      </c>
      <c r="N1520" s="58"/>
    </row>
    <row r="1521" spans="1:14" ht="18" customHeight="1">
      <c r="A1521" s="57">
        <v>18</v>
      </c>
      <c r="B1521" s="58" t="s">
        <v>334</v>
      </c>
      <c r="C1521" s="58" t="s">
        <v>334</v>
      </c>
      <c r="D1521" s="58" t="s">
        <v>334</v>
      </c>
      <c r="E1521" s="58">
        <v>7.367</v>
      </c>
      <c r="F1521" s="58">
        <v>7.3630000000000004</v>
      </c>
      <c r="G1521" s="58" t="s">
        <v>334</v>
      </c>
      <c r="H1521" s="58">
        <v>7.3615000000000004</v>
      </c>
      <c r="I1521" s="58">
        <v>7.3609999999999998</v>
      </c>
      <c r="J1521" s="58">
        <v>7.3624999999999998</v>
      </c>
      <c r="K1521" s="58">
        <v>7.359</v>
      </c>
      <c r="L1521" s="58" t="s">
        <v>334</v>
      </c>
      <c r="M1521" s="59">
        <v>7.3715000000000002</v>
      </c>
      <c r="N1521" s="58"/>
    </row>
    <row r="1522" spans="1:14" ht="18" customHeight="1">
      <c r="A1522" s="57">
        <v>19</v>
      </c>
      <c r="B1522" s="58">
        <v>7.3719999999999999</v>
      </c>
      <c r="C1522" s="58" t="s">
        <v>334</v>
      </c>
      <c r="D1522" s="58" t="s">
        <v>334</v>
      </c>
      <c r="E1522" s="58">
        <v>7.367</v>
      </c>
      <c r="F1522" s="58">
        <v>7.3624999999999998</v>
      </c>
      <c r="G1522" s="58">
        <v>7.3639999999999999</v>
      </c>
      <c r="H1522" s="58">
        <v>7.3615000000000004</v>
      </c>
      <c r="I1522" s="58" t="s">
        <v>334</v>
      </c>
      <c r="J1522" s="58">
        <v>7.3620000000000001</v>
      </c>
      <c r="K1522" s="58">
        <v>7.359</v>
      </c>
      <c r="L1522" s="58" t="s">
        <v>334</v>
      </c>
      <c r="M1522" s="59">
        <v>7.3719999999999999</v>
      </c>
      <c r="N1522" s="58"/>
    </row>
    <row r="1523" spans="1:14" ht="18" customHeight="1">
      <c r="A1523" s="57">
        <v>20</v>
      </c>
      <c r="B1523" s="58">
        <v>7.3719999999999999</v>
      </c>
      <c r="C1523" s="58">
        <v>7.3710000000000004</v>
      </c>
      <c r="D1523" s="58">
        <v>7.3745000000000003</v>
      </c>
      <c r="E1523" s="58">
        <v>7.367</v>
      </c>
      <c r="F1523" s="58" t="s">
        <v>334</v>
      </c>
      <c r="G1523" s="58">
        <v>7.3630000000000004</v>
      </c>
      <c r="H1523" s="58">
        <v>7.3609999999999998</v>
      </c>
      <c r="I1523" s="58" t="s">
        <v>334</v>
      </c>
      <c r="J1523" s="58">
        <v>7.3615000000000004</v>
      </c>
      <c r="K1523" s="58">
        <v>7.3594999999999997</v>
      </c>
      <c r="L1523" s="58">
        <v>7.3654999999999999</v>
      </c>
      <c r="M1523" s="59">
        <v>7.3724999999999996</v>
      </c>
      <c r="N1523" s="58"/>
    </row>
    <row r="1524" spans="1:14" ht="18" customHeight="1">
      <c r="A1524" s="57">
        <v>21</v>
      </c>
      <c r="B1524" s="58" t="s">
        <v>334</v>
      </c>
      <c r="C1524" s="58">
        <v>7.3710000000000004</v>
      </c>
      <c r="D1524" s="58">
        <v>7.3739999999999997</v>
      </c>
      <c r="E1524" s="58">
        <v>7.367</v>
      </c>
      <c r="F1524" s="58" t="s">
        <v>334</v>
      </c>
      <c r="G1524" s="58">
        <v>7.3620000000000001</v>
      </c>
      <c r="H1524" s="58">
        <v>7.3609999999999998</v>
      </c>
      <c r="I1524" s="58">
        <v>7.3615000000000004</v>
      </c>
      <c r="J1524" s="58" t="s">
        <v>334</v>
      </c>
      <c r="K1524" s="58" t="s">
        <v>334</v>
      </c>
      <c r="L1524" s="58">
        <v>7.3659999999999997</v>
      </c>
      <c r="M1524" s="59">
        <v>7.3730000000000002</v>
      </c>
      <c r="N1524" s="58"/>
    </row>
    <row r="1525" spans="1:14" ht="18" customHeight="1">
      <c r="A1525" s="57">
        <v>22</v>
      </c>
      <c r="B1525" s="58" t="s">
        <v>334</v>
      </c>
      <c r="C1525" s="58" t="s">
        <v>334</v>
      </c>
      <c r="D1525" s="58">
        <v>7.3734999999999999</v>
      </c>
      <c r="E1525" s="58" t="s">
        <v>334</v>
      </c>
      <c r="F1525" s="58" t="s">
        <v>334</v>
      </c>
      <c r="G1525" s="58" t="s">
        <v>334</v>
      </c>
      <c r="H1525" s="58" t="s">
        <v>334</v>
      </c>
      <c r="I1525" s="58">
        <v>7.3615000000000004</v>
      </c>
      <c r="J1525" s="58" t="s">
        <v>334</v>
      </c>
      <c r="K1525" s="58" t="s">
        <v>334</v>
      </c>
      <c r="L1525" s="58">
        <v>7.3674999999999997</v>
      </c>
      <c r="M1525" s="59">
        <v>7.3730000000000002</v>
      </c>
      <c r="N1525" s="58"/>
    </row>
    <row r="1526" spans="1:14" ht="18" customHeight="1">
      <c r="A1526" s="57">
        <v>23</v>
      </c>
      <c r="B1526" s="58">
        <v>7.3724999999999996</v>
      </c>
      <c r="C1526" s="58">
        <v>7.3719999999999999</v>
      </c>
      <c r="D1526" s="58" t="s">
        <v>334</v>
      </c>
      <c r="E1526" s="58" t="s">
        <v>334</v>
      </c>
      <c r="F1526" s="58">
        <v>7.3620000000000001</v>
      </c>
      <c r="G1526" s="58">
        <v>7.3615000000000004</v>
      </c>
      <c r="H1526" s="58" t="s">
        <v>334</v>
      </c>
      <c r="I1526" s="58">
        <v>7.3609999999999998</v>
      </c>
      <c r="J1526" s="58" t="s">
        <v>334</v>
      </c>
      <c r="K1526" s="58">
        <v>7.3594999999999997</v>
      </c>
      <c r="L1526" s="58">
        <v>7.3685</v>
      </c>
      <c r="M1526" s="59" t="s">
        <v>334</v>
      </c>
      <c r="N1526" s="58"/>
    </row>
    <row r="1527" spans="1:14" ht="18" customHeight="1">
      <c r="A1527" s="57">
        <v>24</v>
      </c>
      <c r="B1527" s="58">
        <v>7.3724999999999996</v>
      </c>
      <c r="C1527" s="58">
        <v>7.3724999999999996</v>
      </c>
      <c r="D1527" s="58" t="s">
        <v>334</v>
      </c>
      <c r="E1527" s="58">
        <v>7.3665000000000003</v>
      </c>
      <c r="F1527" s="58">
        <v>7.3620000000000001</v>
      </c>
      <c r="G1527" s="58" t="s">
        <v>334</v>
      </c>
      <c r="H1527" s="58">
        <v>7.3609999999999998</v>
      </c>
      <c r="I1527" s="58">
        <v>7.3620000000000001</v>
      </c>
      <c r="J1527" s="58" t="s">
        <v>334</v>
      </c>
      <c r="K1527" s="58">
        <v>7.3594999999999997</v>
      </c>
      <c r="L1527" s="58">
        <v>7.3689999999999998</v>
      </c>
      <c r="M1527" s="59" t="s">
        <v>334</v>
      </c>
      <c r="N1527" s="58"/>
    </row>
    <row r="1528" spans="1:14" ht="18" customHeight="1">
      <c r="A1528" s="57">
        <v>25</v>
      </c>
      <c r="B1528" s="58">
        <v>7.3724999999999996</v>
      </c>
      <c r="C1528" s="58" t="s">
        <v>334</v>
      </c>
      <c r="D1528" s="58" t="s">
        <v>334</v>
      </c>
      <c r="E1528" s="58">
        <v>7.3665000000000003</v>
      </c>
      <c r="F1528" s="58">
        <v>7.3624999999999998</v>
      </c>
      <c r="G1528" s="58" t="s">
        <v>334</v>
      </c>
      <c r="H1528" s="58">
        <v>7.3615000000000004</v>
      </c>
      <c r="I1528" s="58">
        <v>7.3620000000000001</v>
      </c>
      <c r="J1528" s="58">
        <v>7.3609999999999998</v>
      </c>
      <c r="K1528" s="58">
        <v>7.36</v>
      </c>
      <c r="L1528" s="58" t="s">
        <v>334</v>
      </c>
      <c r="M1528" s="59" t="s">
        <v>334</v>
      </c>
      <c r="N1528" s="58"/>
    </row>
    <row r="1529" spans="1:14" ht="18" customHeight="1">
      <c r="A1529" s="57">
        <v>26</v>
      </c>
      <c r="B1529" s="58">
        <v>7.3724999999999996</v>
      </c>
      <c r="C1529" s="58" t="s">
        <v>334</v>
      </c>
      <c r="D1529" s="58" t="s">
        <v>334</v>
      </c>
      <c r="E1529" s="58">
        <v>7.3659999999999997</v>
      </c>
      <c r="F1529" s="58">
        <v>7.3630000000000004</v>
      </c>
      <c r="G1529" s="58" t="s">
        <v>334</v>
      </c>
      <c r="H1529" s="58">
        <v>7.3615000000000004</v>
      </c>
      <c r="I1529" s="58" t="s">
        <v>334</v>
      </c>
      <c r="J1529" s="58">
        <v>7.36</v>
      </c>
      <c r="K1529" s="58" t="s">
        <v>334</v>
      </c>
      <c r="L1529" s="58" t="s">
        <v>334</v>
      </c>
      <c r="M1529" s="59">
        <v>7.3730000000000002</v>
      </c>
      <c r="N1529" s="58"/>
    </row>
    <row r="1530" spans="1:14" ht="18" customHeight="1">
      <c r="A1530" s="57">
        <v>27</v>
      </c>
      <c r="B1530" s="58">
        <v>7.3730000000000002</v>
      </c>
      <c r="C1530" s="58">
        <v>7.3724999999999996</v>
      </c>
      <c r="D1530" s="58">
        <v>7.3734999999999999</v>
      </c>
      <c r="E1530" s="58">
        <v>7.3654999999999999</v>
      </c>
      <c r="F1530" s="58" t="s">
        <v>334</v>
      </c>
      <c r="G1530" s="58">
        <v>7.3609999999999998</v>
      </c>
      <c r="H1530" s="58">
        <v>7.3615000000000004</v>
      </c>
      <c r="I1530" s="58" t="s">
        <v>334</v>
      </c>
      <c r="J1530" s="58">
        <v>7.359</v>
      </c>
      <c r="K1530" s="58" t="s">
        <v>334</v>
      </c>
      <c r="L1530" s="58">
        <v>7.3689999999999998</v>
      </c>
      <c r="M1530" s="59">
        <v>7.3739999999999997</v>
      </c>
      <c r="N1530" s="58"/>
    </row>
    <row r="1531" spans="1:14" ht="18" customHeight="1">
      <c r="A1531" s="57">
        <v>28</v>
      </c>
      <c r="B1531" s="58" t="s">
        <v>334</v>
      </c>
      <c r="C1531" s="58">
        <v>7.3724999999999996</v>
      </c>
      <c r="D1531" s="58">
        <v>7.3734999999999999</v>
      </c>
      <c r="E1531" s="58">
        <v>7.3650000000000002</v>
      </c>
      <c r="F1531" s="58" t="s">
        <v>334</v>
      </c>
      <c r="G1531" s="58" t="s">
        <v>334</v>
      </c>
      <c r="H1531" s="58">
        <v>7.3615000000000004</v>
      </c>
      <c r="I1531" s="58">
        <v>7.3620000000000001</v>
      </c>
      <c r="J1531" s="58">
        <v>7.3579999999999997</v>
      </c>
      <c r="K1531" s="58" t="s">
        <v>334</v>
      </c>
      <c r="L1531" s="58">
        <v>7.3689999999999998</v>
      </c>
      <c r="M1531" s="59">
        <v>7.3745000000000003</v>
      </c>
      <c r="N1531" s="58"/>
    </row>
    <row r="1532" spans="1:14" ht="18" customHeight="1">
      <c r="A1532" s="57">
        <v>29</v>
      </c>
      <c r="B1532" s="58" t="s">
        <v>334</v>
      </c>
      <c r="C1532" s="58" t="s">
        <v>335</v>
      </c>
      <c r="D1532" s="58">
        <v>7.3730000000000002</v>
      </c>
      <c r="E1532" s="58" t="s">
        <v>334</v>
      </c>
      <c r="F1532" s="58">
        <v>7.3635000000000002</v>
      </c>
      <c r="G1532" s="58">
        <v>7.36</v>
      </c>
      <c r="H1532" s="58" t="s">
        <v>334</v>
      </c>
      <c r="I1532" s="58">
        <v>7.3620000000000001</v>
      </c>
      <c r="J1532" s="58">
        <v>7.3574999999999999</v>
      </c>
      <c r="K1532" s="58" t="s">
        <v>334</v>
      </c>
      <c r="L1532" s="58">
        <v>7.3689999999999998</v>
      </c>
      <c r="M1532" s="59">
        <v>7.375</v>
      </c>
      <c r="N1532" s="58"/>
    </row>
    <row r="1533" spans="1:14" ht="18" customHeight="1">
      <c r="A1533" s="57">
        <v>30</v>
      </c>
      <c r="B1533" s="58">
        <v>7.3724999999999996</v>
      </c>
      <c r="C1533" s="58" t="s">
        <v>335</v>
      </c>
      <c r="D1533" s="58">
        <v>7.3730000000000002</v>
      </c>
      <c r="E1533" s="58" t="s">
        <v>334</v>
      </c>
      <c r="F1533" s="58">
        <v>7.3639999999999999</v>
      </c>
      <c r="G1533" s="58">
        <v>7.36</v>
      </c>
      <c r="H1533" s="58" t="s">
        <v>334</v>
      </c>
      <c r="I1533" s="58">
        <v>7.3624999999999998</v>
      </c>
      <c r="J1533" s="58" t="s">
        <v>334</v>
      </c>
      <c r="K1533" s="58">
        <v>7.3609999999999998</v>
      </c>
      <c r="L1533" s="58" t="s">
        <v>334</v>
      </c>
      <c r="M1533" s="59" t="s">
        <v>334</v>
      </c>
      <c r="N1533" s="58"/>
    </row>
    <row r="1534" spans="1:14" ht="18" customHeight="1">
      <c r="A1534" s="57">
        <v>31</v>
      </c>
      <c r="B1534" s="58" t="s">
        <v>334</v>
      </c>
      <c r="C1534" s="58" t="s">
        <v>335</v>
      </c>
      <c r="D1534" s="58">
        <v>7.3719999999999999</v>
      </c>
      <c r="E1534" s="58" t="s">
        <v>335</v>
      </c>
      <c r="F1534" s="58">
        <v>7.3639999999999999</v>
      </c>
      <c r="G1534" s="58" t="s">
        <v>335</v>
      </c>
      <c r="H1534" s="58">
        <v>7.3609999999999998</v>
      </c>
      <c r="I1534" s="58">
        <v>7.3624999999999998</v>
      </c>
      <c r="J1534" s="58" t="s">
        <v>335</v>
      </c>
      <c r="K1534" s="58" t="s">
        <v>334</v>
      </c>
      <c r="L1534" s="58" t="s">
        <v>335</v>
      </c>
      <c r="M1534" s="59" t="s">
        <v>334</v>
      </c>
      <c r="N1534" s="58"/>
    </row>
    <row r="1535" spans="1:14" ht="21.6" thickBot="1">
      <c r="A1535" s="76"/>
      <c r="B1535" s="77"/>
      <c r="C1535" s="77"/>
      <c r="D1535" s="77"/>
      <c r="E1535" s="77"/>
      <c r="F1535" s="77"/>
      <c r="G1535" s="77"/>
      <c r="H1535" s="77"/>
      <c r="I1535" s="77"/>
      <c r="J1535" s="77"/>
      <c r="K1535" s="77"/>
      <c r="L1535" s="77"/>
      <c r="M1535" s="78"/>
      <c r="N1535" s="58"/>
    </row>
  </sheetData>
  <mergeCells count="49">
    <mergeCell ref="A1502:M1502"/>
    <mergeCell ref="A1298:M1298"/>
    <mergeCell ref="A1332:M1332"/>
    <mergeCell ref="A1366:M1366"/>
    <mergeCell ref="A1400:M1400"/>
    <mergeCell ref="A1434:M1434"/>
    <mergeCell ref="A1468:M1468"/>
    <mergeCell ref="A1264:M1264"/>
    <mergeCell ref="A890:M890"/>
    <mergeCell ref="A924:M924"/>
    <mergeCell ref="A958:M958"/>
    <mergeCell ref="A992:M992"/>
    <mergeCell ref="A1026:M1026"/>
    <mergeCell ref="A1060:M1060"/>
    <mergeCell ref="A1094:M1094"/>
    <mergeCell ref="A1128:M1128"/>
    <mergeCell ref="A1162:M1162"/>
    <mergeCell ref="A1196:M1196"/>
    <mergeCell ref="A1230:M1230"/>
    <mergeCell ref="A856:M856"/>
    <mergeCell ref="A482:M482"/>
    <mergeCell ref="A516:M516"/>
    <mergeCell ref="A550:M550"/>
    <mergeCell ref="A584:M584"/>
    <mergeCell ref="A618:M618"/>
    <mergeCell ref="A652:M652"/>
    <mergeCell ref="A686:M686"/>
    <mergeCell ref="A720:M720"/>
    <mergeCell ref="A754:M754"/>
    <mergeCell ref="A788:M788"/>
    <mergeCell ref="A822:M822"/>
    <mergeCell ref="A448:M448"/>
    <mergeCell ref="A74:M74"/>
    <mergeCell ref="A108:M108"/>
    <mergeCell ref="A142:M142"/>
    <mergeCell ref="A176:M176"/>
    <mergeCell ref="A210:M210"/>
    <mergeCell ref="A244:M244"/>
    <mergeCell ref="A278:M278"/>
    <mergeCell ref="A312:M312"/>
    <mergeCell ref="A346:M346"/>
    <mergeCell ref="A380:M380"/>
    <mergeCell ref="A414:M414"/>
    <mergeCell ref="A40:M40"/>
    <mergeCell ref="A1:M1"/>
    <mergeCell ref="A2:M2"/>
    <mergeCell ref="A3:M3"/>
    <mergeCell ref="A4:M4"/>
    <mergeCell ref="A6:M6"/>
  </mergeCells>
  <pageMargins left="1" right="1" top="1" bottom="1" header="0.5" footer="0.5"/>
  <rowBreaks count="21" manualBreakCount="21">
    <brk id="107" max="12" man="1"/>
    <brk id="141" max="12" man="1"/>
    <brk id="209" max="12" man="1"/>
    <brk id="277" max="12" man="1"/>
    <brk id="345" max="12" man="1"/>
    <brk id="413" max="12" man="1"/>
    <brk id="481" max="12" man="1"/>
    <brk id="549" max="12" man="1"/>
    <brk id="617" max="12" man="1"/>
    <brk id="685" max="12" man="1"/>
    <brk id="753" max="12" man="1"/>
    <brk id="821" max="12" man="1"/>
    <brk id="889" max="12" man="1"/>
    <brk id="957" max="12" man="1"/>
    <brk id="1025" max="12" man="1"/>
    <brk id="1093" max="12" man="1"/>
    <brk id="1161" max="12" man="1"/>
    <brk id="1229" max="12" man="1"/>
    <brk id="1297" max="12" man="1"/>
    <brk id="1365" max="12" man="1"/>
    <brk id="1433" max="1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83"/>
  <sheetViews>
    <sheetView topLeftCell="A61" workbookViewId="0">
      <selection activeCell="C83" sqref="C83"/>
    </sheetView>
  </sheetViews>
  <sheetFormatPr defaultColWidth="8.77734375" defaultRowHeight="14.4"/>
  <cols>
    <col min="1" max="1" width="20.77734375" customWidth="1"/>
    <col min="2" max="11" width="15.77734375" customWidth="1"/>
    <col min="12" max="12" width="15.77734375" style="6" customWidth="1"/>
    <col min="13" max="23" width="15.77734375" customWidth="1"/>
    <col min="24" max="24" width="15.77734375" style="6" customWidth="1"/>
    <col min="25" max="33" width="15.77734375" customWidth="1"/>
    <col min="34" max="34" width="15.77734375" style="6" customWidth="1"/>
    <col min="35" max="38" width="15.77734375" customWidth="1"/>
    <col min="39" max="39" width="15.77734375" style="6" customWidth="1"/>
    <col min="40" max="44" width="15.77734375" customWidth="1"/>
    <col min="45" max="45" width="15.77734375" style="6" customWidth="1"/>
    <col min="46" max="48" width="15.77734375" customWidth="1"/>
    <col min="49" max="49" width="15.77734375" style="6" customWidth="1"/>
    <col min="50" max="55" width="15.77734375" customWidth="1"/>
    <col min="56" max="56" width="15.77734375" style="6" customWidth="1"/>
    <col min="57" max="58" width="15.77734375" customWidth="1"/>
    <col min="59" max="59" width="15.77734375" style="6" customWidth="1"/>
    <col min="60" max="60" width="15.77734375" customWidth="1"/>
  </cols>
  <sheetData>
    <row r="1" spans="1:60" s="14" customFormat="1">
      <c r="L1" s="15"/>
      <c r="X1" s="15"/>
      <c r="AH1" s="15"/>
      <c r="AM1" s="15"/>
      <c r="AS1" s="15"/>
      <c r="AW1" s="15"/>
      <c r="BD1" s="15"/>
      <c r="BG1" s="15"/>
    </row>
    <row r="2" spans="1:60" s="17" customFormat="1" ht="14.55" customHeight="1">
      <c r="A2" s="16" t="s">
        <v>250</v>
      </c>
      <c r="B2" s="593" t="s">
        <v>6</v>
      </c>
      <c r="C2" s="593"/>
      <c r="D2" s="593"/>
      <c r="E2" s="593"/>
      <c r="F2" s="593"/>
      <c r="G2" s="593"/>
      <c r="H2" s="593"/>
      <c r="I2" s="593"/>
      <c r="J2" s="593"/>
      <c r="K2" s="593"/>
      <c r="L2" s="593"/>
      <c r="M2" s="593" t="s">
        <v>5</v>
      </c>
      <c r="N2" s="593"/>
      <c r="O2" s="593"/>
      <c r="P2" s="593"/>
      <c r="Q2" s="593"/>
      <c r="R2" s="593"/>
      <c r="S2" s="593"/>
      <c r="T2" s="593"/>
      <c r="U2" s="593"/>
      <c r="V2" s="593"/>
      <c r="W2" s="593"/>
      <c r="X2" s="593"/>
      <c r="Y2" s="593" t="s">
        <v>7</v>
      </c>
      <c r="Z2" s="593"/>
      <c r="AA2" s="593"/>
      <c r="AB2" s="593"/>
      <c r="AC2" s="593"/>
      <c r="AD2" s="593"/>
      <c r="AE2" s="593"/>
      <c r="AF2" s="593"/>
      <c r="AG2" s="593"/>
      <c r="AH2" s="593"/>
      <c r="AI2" s="593" t="s">
        <v>1</v>
      </c>
      <c r="AJ2" s="593"/>
      <c r="AK2" s="593"/>
      <c r="AL2" s="593"/>
      <c r="AM2" s="593"/>
      <c r="AN2" s="593" t="s">
        <v>3</v>
      </c>
      <c r="AO2" s="593"/>
      <c r="AP2" s="593"/>
      <c r="AQ2" s="593"/>
      <c r="AR2" s="593"/>
      <c r="AS2" s="593"/>
      <c r="AT2" s="593" t="s">
        <v>2</v>
      </c>
      <c r="AU2" s="593"/>
      <c r="AV2" s="593"/>
      <c r="AW2" s="593"/>
      <c r="AX2" s="593" t="s">
        <v>8</v>
      </c>
      <c r="AY2" s="593"/>
      <c r="AZ2" s="593"/>
      <c r="BA2" s="593"/>
      <c r="BB2" s="593"/>
      <c r="BC2" s="593"/>
      <c r="BD2" s="593"/>
      <c r="BE2" s="623" t="s">
        <v>4</v>
      </c>
      <c r="BF2" s="624"/>
      <c r="BG2" s="625"/>
      <c r="BH2" s="626" t="s">
        <v>9</v>
      </c>
    </row>
    <row r="3" spans="1:60" s="17" customFormat="1" ht="57.6">
      <c r="A3" s="16" t="s">
        <v>202</v>
      </c>
      <c r="B3" s="16" t="s">
        <v>140</v>
      </c>
      <c r="C3" s="16" t="s">
        <v>54</v>
      </c>
      <c r="D3" s="16" t="s">
        <v>142</v>
      </c>
      <c r="E3" s="16" t="s">
        <v>188</v>
      </c>
      <c r="F3" s="16" t="s">
        <v>252</v>
      </c>
      <c r="G3" s="16" t="s">
        <v>251</v>
      </c>
      <c r="H3" s="16" t="s">
        <v>164</v>
      </c>
      <c r="I3" s="16" t="s">
        <v>98</v>
      </c>
      <c r="J3" s="16" t="s">
        <v>60</v>
      </c>
      <c r="K3" s="16" t="s">
        <v>60</v>
      </c>
      <c r="L3" s="18" t="s">
        <v>257</v>
      </c>
      <c r="M3" s="16" t="s">
        <v>198</v>
      </c>
      <c r="N3" s="16" t="s">
        <v>178</v>
      </c>
      <c r="O3" s="16" t="s">
        <v>197</v>
      </c>
      <c r="P3" s="16" t="s">
        <v>93</v>
      </c>
      <c r="Q3" s="16" t="s">
        <v>106</v>
      </c>
      <c r="R3" s="16" t="s">
        <v>118</v>
      </c>
      <c r="S3" s="16" t="s">
        <v>119</v>
      </c>
      <c r="T3" s="16" t="s">
        <v>120</v>
      </c>
      <c r="U3" s="16" t="s">
        <v>75</v>
      </c>
      <c r="V3" s="16" t="s">
        <v>156</v>
      </c>
      <c r="W3" s="16" t="s">
        <v>112</v>
      </c>
      <c r="X3" s="18" t="s">
        <v>257</v>
      </c>
      <c r="Y3" s="16" t="s">
        <v>141</v>
      </c>
      <c r="Z3" s="16" t="s">
        <v>116</v>
      </c>
      <c r="AA3" s="16" t="s">
        <v>187</v>
      </c>
      <c r="AB3" s="16" t="s">
        <v>114</v>
      </c>
      <c r="AC3" s="16" t="s">
        <v>165</v>
      </c>
      <c r="AD3" s="16" t="s">
        <v>100</v>
      </c>
      <c r="AE3" s="16" t="s">
        <v>166</v>
      </c>
      <c r="AF3" s="16" t="s">
        <v>97</v>
      </c>
      <c r="AG3" s="16" t="s">
        <v>62</v>
      </c>
      <c r="AH3" s="18" t="s">
        <v>257</v>
      </c>
      <c r="AI3" s="16" t="s">
        <v>159</v>
      </c>
      <c r="AJ3" s="16" t="s">
        <v>149</v>
      </c>
      <c r="AK3" s="16" t="s">
        <v>143</v>
      </c>
      <c r="AL3" s="16" t="s">
        <v>185</v>
      </c>
      <c r="AM3" s="18" t="s">
        <v>257</v>
      </c>
      <c r="AN3" s="16" t="s">
        <v>61</v>
      </c>
      <c r="AO3" s="16" t="s">
        <v>115</v>
      </c>
      <c r="AP3" s="16" t="s">
        <v>113</v>
      </c>
      <c r="AQ3" s="16" t="s">
        <v>99</v>
      </c>
      <c r="AR3" s="16" t="s">
        <v>167</v>
      </c>
      <c r="AS3" s="18" t="s">
        <v>257</v>
      </c>
      <c r="AT3" s="16" t="s">
        <v>162</v>
      </c>
      <c r="AU3" s="16" t="s">
        <v>101</v>
      </c>
      <c r="AV3" s="16" t="s">
        <v>157</v>
      </c>
      <c r="AW3" s="18" t="s">
        <v>257</v>
      </c>
      <c r="AX3" s="16" t="s">
        <v>184</v>
      </c>
      <c r="AY3" s="16" t="s">
        <v>176</v>
      </c>
      <c r="AZ3" s="16" t="s">
        <v>168</v>
      </c>
      <c r="BA3" s="16" t="s">
        <v>193</v>
      </c>
      <c r="BB3" s="16" t="s">
        <v>144</v>
      </c>
      <c r="BC3" s="16" t="s">
        <v>58</v>
      </c>
      <c r="BD3" s="18" t="s">
        <v>257</v>
      </c>
      <c r="BE3" s="16" t="s">
        <v>196</v>
      </c>
      <c r="BF3" s="16" t="s">
        <v>105</v>
      </c>
      <c r="BG3" s="18" t="s">
        <v>257</v>
      </c>
      <c r="BH3" s="627"/>
    </row>
    <row r="4" spans="1:60">
      <c r="A4" s="5" t="s">
        <v>88</v>
      </c>
      <c r="B4" s="2"/>
      <c r="C4" s="2">
        <v>15</v>
      </c>
      <c r="D4" s="2"/>
      <c r="E4" s="2"/>
      <c r="F4" s="2"/>
      <c r="G4" s="2"/>
      <c r="H4" s="2"/>
      <c r="I4" s="2"/>
      <c r="J4" s="2"/>
      <c r="K4" s="2">
        <v>3</v>
      </c>
      <c r="L4" s="8">
        <f t="shared" ref="L4:L35" si="0">SUM(B4:K4)</f>
        <v>18</v>
      </c>
      <c r="M4" s="2">
        <v>2</v>
      </c>
      <c r="N4" s="2"/>
      <c r="O4" s="2"/>
      <c r="P4" s="2">
        <v>110</v>
      </c>
      <c r="Q4" s="2"/>
      <c r="R4" s="2"/>
      <c r="S4" s="2"/>
      <c r="T4" s="2"/>
      <c r="U4" s="2">
        <v>100</v>
      </c>
      <c r="V4" s="2"/>
      <c r="W4" s="2"/>
      <c r="X4" s="8">
        <f t="shared" ref="X4:X57" si="1">SUM(M4:W4)</f>
        <v>212</v>
      </c>
      <c r="Y4" s="2"/>
      <c r="Z4" s="2"/>
      <c r="AA4" s="2"/>
      <c r="AB4" s="2"/>
      <c r="AC4" s="2"/>
      <c r="AD4" s="2"/>
      <c r="AE4" s="2">
        <v>8</v>
      </c>
      <c r="AF4" s="2"/>
      <c r="AG4" s="2"/>
      <c r="AH4" s="8">
        <f t="shared" ref="AH4:AH57" si="2">SUM(Y4:AG4)</f>
        <v>8</v>
      </c>
      <c r="AI4" s="2"/>
      <c r="AJ4" s="2"/>
      <c r="AK4" s="2"/>
      <c r="AL4" s="2"/>
      <c r="AM4" s="8">
        <f t="shared" ref="AM4:AM57" si="3">SUM(AI4:AL4)</f>
        <v>0</v>
      </c>
      <c r="AN4" s="2">
        <v>7</v>
      </c>
      <c r="AO4" s="2"/>
      <c r="AP4" s="2"/>
      <c r="AQ4" s="2"/>
      <c r="AR4" s="2"/>
      <c r="AS4" s="8">
        <f t="shared" ref="AS4:AS35" si="4">SUM(AN4:AQ4)</f>
        <v>7</v>
      </c>
      <c r="AT4" s="2"/>
      <c r="AU4" s="2"/>
      <c r="AV4" s="2"/>
      <c r="AW4" s="8">
        <f t="shared" ref="AW4:AW57" si="5">SUM(AT4:AV4)</f>
        <v>0</v>
      </c>
      <c r="AX4" s="2"/>
      <c r="AY4" s="2"/>
      <c r="AZ4" s="2"/>
      <c r="BA4" s="2"/>
      <c r="BB4" s="2"/>
      <c r="BC4" s="2"/>
      <c r="BD4" s="8">
        <f t="shared" ref="BD4:BD57" si="6">SUM(AX4:BC4)</f>
        <v>0</v>
      </c>
      <c r="BE4" s="2"/>
      <c r="BF4" s="2"/>
      <c r="BG4" s="8">
        <f t="shared" ref="BG4:BG57" si="7">SUM(BE4:BF4)</f>
        <v>0</v>
      </c>
      <c r="BH4" s="2">
        <f t="shared" ref="BH4:BH35" si="8">SUM(BD4,AH4,L4,X4,AS4,AW4,AM4,BG4)</f>
        <v>245</v>
      </c>
    </row>
    <row r="5" spans="1:60">
      <c r="A5" s="5" t="s">
        <v>85</v>
      </c>
      <c r="B5" s="2"/>
      <c r="C5" s="2">
        <v>16</v>
      </c>
      <c r="D5" s="2"/>
      <c r="E5" s="2"/>
      <c r="F5" s="2"/>
      <c r="G5" s="2"/>
      <c r="H5" s="2"/>
      <c r="I5" s="2">
        <v>8</v>
      </c>
      <c r="J5" s="2"/>
      <c r="K5" s="2">
        <v>6</v>
      </c>
      <c r="L5" s="8">
        <f t="shared" si="0"/>
        <v>30</v>
      </c>
      <c r="M5" s="2">
        <v>3</v>
      </c>
      <c r="N5" s="2"/>
      <c r="O5" s="2">
        <v>1</v>
      </c>
      <c r="P5" s="2">
        <v>37</v>
      </c>
      <c r="Q5" s="2"/>
      <c r="R5" s="2"/>
      <c r="S5" s="2"/>
      <c r="T5" s="2"/>
      <c r="U5" s="2">
        <v>63</v>
      </c>
      <c r="V5" s="2"/>
      <c r="W5" s="2"/>
      <c r="X5" s="8">
        <f t="shared" si="1"/>
        <v>104</v>
      </c>
      <c r="Y5" s="2"/>
      <c r="Z5" s="2"/>
      <c r="AA5" s="2"/>
      <c r="AB5" s="2"/>
      <c r="AC5" s="2"/>
      <c r="AD5" s="2"/>
      <c r="AE5" s="2">
        <v>22</v>
      </c>
      <c r="AF5" s="2"/>
      <c r="AG5" s="2"/>
      <c r="AH5" s="8">
        <f t="shared" si="2"/>
        <v>22</v>
      </c>
      <c r="AI5" s="2"/>
      <c r="AJ5" s="2"/>
      <c r="AK5" s="2"/>
      <c r="AL5" s="2"/>
      <c r="AM5" s="8">
        <f t="shared" si="3"/>
        <v>0</v>
      </c>
      <c r="AN5" s="2">
        <v>13</v>
      </c>
      <c r="AO5" s="2"/>
      <c r="AP5" s="2"/>
      <c r="AQ5" s="2"/>
      <c r="AR5" s="2"/>
      <c r="AS5" s="8">
        <f t="shared" si="4"/>
        <v>13</v>
      </c>
      <c r="AT5" s="2"/>
      <c r="AU5" s="2"/>
      <c r="AV5" s="2"/>
      <c r="AW5" s="8">
        <f t="shared" si="5"/>
        <v>0</v>
      </c>
      <c r="AX5" s="2"/>
      <c r="AY5" s="2"/>
      <c r="AZ5" s="2"/>
      <c r="BA5" s="2"/>
      <c r="BB5" s="2"/>
      <c r="BC5" s="2"/>
      <c r="BD5" s="8">
        <f t="shared" si="6"/>
        <v>0</v>
      </c>
      <c r="BE5" s="2"/>
      <c r="BF5" s="2"/>
      <c r="BG5" s="8">
        <f t="shared" si="7"/>
        <v>0</v>
      </c>
      <c r="BH5" s="2">
        <f t="shared" si="8"/>
        <v>169</v>
      </c>
    </row>
    <row r="6" spans="1:60">
      <c r="A6" s="5" t="s">
        <v>146</v>
      </c>
      <c r="B6" s="2"/>
      <c r="C6" s="2"/>
      <c r="D6" s="2"/>
      <c r="E6" s="2"/>
      <c r="F6" s="2"/>
      <c r="G6" s="2"/>
      <c r="H6" s="2"/>
      <c r="I6" s="2">
        <v>5</v>
      </c>
      <c r="J6" s="2"/>
      <c r="K6" s="2">
        <v>19</v>
      </c>
      <c r="L6" s="8">
        <f t="shared" si="0"/>
        <v>24</v>
      </c>
      <c r="M6" s="2"/>
      <c r="N6" s="2"/>
      <c r="O6" s="2"/>
      <c r="P6" s="2">
        <v>5</v>
      </c>
      <c r="Q6" s="2"/>
      <c r="R6" s="2"/>
      <c r="S6" s="2"/>
      <c r="T6" s="2"/>
      <c r="U6" s="2">
        <v>31</v>
      </c>
      <c r="V6" s="2"/>
      <c r="W6" s="2"/>
      <c r="X6" s="8">
        <f t="shared" si="1"/>
        <v>36</v>
      </c>
      <c r="Y6" s="2"/>
      <c r="Z6" s="2"/>
      <c r="AA6" s="2"/>
      <c r="AB6" s="2"/>
      <c r="AC6" s="2"/>
      <c r="AD6" s="2"/>
      <c r="AE6" s="2">
        <v>6</v>
      </c>
      <c r="AF6" s="2"/>
      <c r="AG6" s="2"/>
      <c r="AH6" s="8">
        <f t="shared" si="2"/>
        <v>6</v>
      </c>
      <c r="AI6" s="2"/>
      <c r="AJ6" s="2"/>
      <c r="AK6" s="2"/>
      <c r="AL6" s="2"/>
      <c r="AM6" s="8">
        <f t="shared" si="3"/>
        <v>0</v>
      </c>
      <c r="AN6" s="2"/>
      <c r="AO6" s="2"/>
      <c r="AP6" s="2"/>
      <c r="AQ6" s="2"/>
      <c r="AR6" s="2"/>
      <c r="AS6" s="8">
        <f t="shared" si="4"/>
        <v>0</v>
      </c>
      <c r="AT6" s="2"/>
      <c r="AU6" s="2"/>
      <c r="AV6" s="2"/>
      <c r="AW6" s="8">
        <f t="shared" si="5"/>
        <v>0</v>
      </c>
      <c r="AX6" s="2"/>
      <c r="AY6" s="2"/>
      <c r="AZ6" s="2"/>
      <c r="BA6" s="2"/>
      <c r="BB6" s="2"/>
      <c r="BC6" s="2"/>
      <c r="BD6" s="8">
        <f t="shared" si="6"/>
        <v>0</v>
      </c>
      <c r="BE6" s="2"/>
      <c r="BF6" s="2"/>
      <c r="BG6" s="8">
        <f t="shared" si="7"/>
        <v>0</v>
      </c>
      <c r="BH6" s="2">
        <f t="shared" si="8"/>
        <v>66</v>
      </c>
    </row>
    <row r="7" spans="1:60">
      <c r="A7" s="5" t="s">
        <v>84</v>
      </c>
      <c r="B7" s="2"/>
      <c r="C7" s="2">
        <v>19</v>
      </c>
      <c r="D7" s="2"/>
      <c r="E7" s="2"/>
      <c r="F7" s="2"/>
      <c r="G7" s="2"/>
      <c r="H7" s="2"/>
      <c r="I7" s="2"/>
      <c r="J7" s="2"/>
      <c r="K7" s="2">
        <v>6</v>
      </c>
      <c r="L7" s="8">
        <f t="shared" si="0"/>
        <v>25</v>
      </c>
      <c r="M7" s="2"/>
      <c r="N7" s="2"/>
      <c r="O7" s="2"/>
      <c r="P7" s="2">
        <v>37</v>
      </c>
      <c r="Q7" s="2"/>
      <c r="R7" s="2"/>
      <c r="S7" s="2"/>
      <c r="T7" s="2"/>
      <c r="U7" s="2">
        <v>116</v>
      </c>
      <c r="V7" s="2"/>
      <c r="W7" s="2"/>
      <c r="X7" s="8">
        <f t="shared" si="1"/>
        <v>153</v>
      </c>
      <c r="Y7" s="2"/>
      <c r="Z7" s="2"/>
      <c r="AA7" s="2"/>
      <c r="AB7" s="2"/>
      <c r="AC7" s="2"/>
      <c r="AD7" s="2"/>
      <c r="AE7" s="2"/>
      <c r="AF7" s="2"/>
      <c r="AG7" s="2"/>
      <c r="AH7" s="8">
        <f t="shared" si="2"/>
        <v>0</v>
      </c>
      <c r="AI7" s="2"/>
      <c r="AJ7" s="2"/>
      <c r="AK7" s="2"/>
      <c r="AL7" s="2"/>
      <c r="AM7" s="8">
        <f t="shared" si="3"/>
        <v>0</v>
      </c>
      <c r="AN7" s="2">
        <v>5</v>
      </c>
      <c r="AO7" s="2"/>
      <c r="AP7" s="2"/>
      <c r="AQ7" s="2"/>
      <c r="AR7" s="2"/>
      <c r="AS7" s="8">
        <f t="shared" si="4"/>
        <v>5</v>
      </c>
      <c r="AT7" s="2"/>
      <c r="AU7" s="2"/>
      <c r="AV7" s="2"/>
      <c r="AW7" s="8">
        <f t="shared" si="5"/>
        <v>0</v>
      </c>
      <c r="AX7" s="2"/>
      <c r="AY7" s="2">
        <v>2</v>
      </c>
      <c r="AZ7" s="2"/>
      <c r="BA7" s="2"/>
      <c r="BB7" s="2"/>
      <c r="BC7" s="2"/>
      <c r="BD7" s="8">
        <f t="shared" si="6"/>
        <v>2</v>
      </c>
      <c r="BE7" s="2"/>
      <c r="BF7" s="2"/>
      <c r="BG7" s="8">
        <f t="shared" si="7"/>
        <v>0</v>
      </c>
      <c r="BH7" s="2">
        <f t="shared" si="8"/>
        <v>185</v>
      </c>
    </row>
    <row r="8" spans="1:60">
      <c r="A8" s="5" t="s">
        <v>86</v>
      </c>
      <c r="B8" s="2"/>
      <c r="C8" s="2">
        <v>12</v>
      </c>
      <c r="D8" s="2"/>
      <c r="E8" s="2"/>
      <c r="F8" s="2"/>
      <c r="G8" s="2"/>
      <c r="H8" s="2"/>
      <c r="I8" s="2"/>
      <c r="J8" s="2"/>
      <c r="K8" s="2">
        <v>66</v>
      </c>
      <c r="L8" s="8">
        <f t="shared" si="0"/>
        <v>78</v>
      </c>
      <c r="M8" s="2">
        <v>2</v>
      </c>
      <c r="N8" s="2"/>
      <c r="O8" s="2">
        <v>1</v>
      </c>
      <c r="P8" s="2">
        <v>47</v>
      </c>
      <c r="Q8" s="2"/>
      <c r="R8" s="2"/>
      <c r="S8" s="2"/>
      <c r="T8" s="2"/>
      <c r="U8" s="2">
        <v>74</v>
      </c>
      <c r="V8" s="2"/>
      <c r="W8" s="2"/>
      <c r="X8" s="8">
        <f t="shared" si="1"/>
        <v>124</v>
      </c>
      <c r="Y8" s="2"/>
      <c r="Z8" s="2"/>
      <c r="AA8" s="2"/>
      <c r="AB8" s="2"/>
      <c r="AC8" s="2"/>
      <c r="AD8" s="2"/>
      <c r="AE8" s="2"/>
      <c r="AF8" s="2"/>
      <c r="AG8" s="2"/>
      <c r="AH8" s="8">
        <f t="shared" si="2"/>
        <v>0</v>
      </c>
      <c r="AI8" s="2"/>
      <c r="AJ8" s="2"/>
      <c r="AK8" s="2"/>
      <c r="AL8" s="2"/>
      <c r="AM8" s="8">
        <f t="shared" si="3"/>
        <v>0</v>
      </c>
      <c r="AN8" s="2">
        <v>10</v>
      </c>
      <c r="AO8" s="2"/>
      <c r="AP8" s="2"/>
      <c r="AQ8" s="2"/>
      <c r="AR8" s="2"/>
      <c r="AS8" s="8">
        <f t="shared" si="4"/>
        <v>10</v>
      </c>
      <c r="AT8" s="2"/>
      <c r="AU8" s="2"/>
      <c r="AV8" s="2"/>
      <c r="AW8" s="8">
        <f t="shared" si="5"/>
        <v>0</v>
      </c>
      <c r="AX8" s="2"/>
      <c r="AY8" s="2"/>
      <c r="AZ8" s="2"/>
      <c r="BA8" s="2"/>
      <c r="BB8" s="2"/>
      <c r="BC8" s="2"/>
      <c r="BD8" s="8">
        <f t="shared" si="6"/>
        <v>0</v>
      </c>
      <c r="BE8" s="2"/>
      <c r="BF8" s="2"/>
      <c r="BG8" s="8">
        <f t="shared" si="7"/>
        <v>0</v>
      </c>
      <c r="BH8" s="2">
        <f t="shared" si="8"/>
        <v>212</v>
      </c>
    </row>
    <row r="9" spans="1:60">
      <c r="A9" s="5" t="s">
        <v>87</v>
      </c>
      <c r="B9" s="2"/>
      <c r="C9" s="2">
        <v>10</v>
      </c>
      <c r="D9" s="2"/>
      <c r="E9" s="2"/>
      <c r="F9" s="2"/>
      <c r="G9" s="2"/>
      <c r="H9" s="2"/>
      <c r="I9" s="2">
        <v>6</v>
      </c>
      <c r="J9" s="2"/>
      <c r="K9" s="2">
        <v>20</v>
      </c>
      <c r="L9" s="8">
        <f t="shared" si="0"/>
        <v>36</v>
      </c>
      <c r="M9" s="2"/>
      <c r="N9" s="2"/>
      <c r="O9" s="2">
        <v>1</v>
      </c>
      <c r="P9" s="2">
        <v>36</v>
      </c>
      <c r="Q9" s="2"/>
      <c r="R9" s="2"/>
      <c r="S9" s="2"/>
      <c r="T9" s="2"/>
      <c r="U9" s="2">
        <v>67</v>
      </c>
      <c r="V9" s="2"/>
      <c r="W9" s="2"/>
      <c r="X9" s="8">
        <f t="shared" si="1"/>
        <v>104</v>
      </c>
      <c r="Y9" s="2"/>
      <c r="Z9" s="2"/>
      <c r="AA9" s="2"/>
      <c r="AB9" s="2"/>
      <c r="AC9" s="2"/>
      <c r="AD9" s="2"/>
      <c r="AE9" s="2">
        <v>6</v>
      </c>
      <c r="AF9" s="2"/>
      <c r="AG9" s="2"/>
      <c r="AH9" s="8">
        <f t="shared" si="2"/>
        <v>6</v>
      </c>
      <c r="AI9" s="2"/>
      <c r="AJ9" s="2"/>
      <c r="AK9" s="2"/>
      <c r="AL9" s="2"/>
      <c r="AM9" s="8">
        <f t="shared" si="3"/>
        <v>0</v>
      </c>
      <c r="AN9" s="2">
        <v>2</v>
      </c>
      <c r="AO9" s="2"/>
      <c r="AP9" s="2"/>
      <c r="AQ9" s="2"/>
      <c r="AR9" s="2"/>
      <c r="AS9" s="8">
        <f t="shared" si="4"/>
        <v>2</v>
      </c>
      <c r="AT9" s="2"/>
      <c r="AU9" s="2"/>
      <c r="AV9" s="2">
        <v>2</v>
      </c>
      <c r="AW9" s="8">
        <f t="shared" si="5"/>
        <v>2</v>
      </c>
      <c r="AX9" s="2"/>
      <c r="AY9" s="2">
        <v>1</v>
      </c>
      <c r="AZ9" s="2"/>
      <c r="BA9" s="2"/>
      <c r="BB9" s="2"/>
      <c r="BC9" s="2"/>
      <c r="BD9" s="8">
        <f t="shared" si="6"/>
        <v>1</v>
      </c>
      <c r="BE9" s="2"/>
      <c r="BF9" s="2"/>
      <c r="BG9" s="8">
        <f t="shared" si="7"/>
        <v>0</v>
      </c>
      <c r="BH9" s="2">
        <f t="shared" si="8"/>
        <v>151</v>
      </c>
    </row>
    <row r="10" spans="1:60">
      <c r="A10" s="5" t="s">
        <v>11</v>
      </c>
      <c r="B10" s="2"/>
      <c r="C10" s="2">
        <v>99</v>
      </c>
      <c r="D10" s="2"/>
      <c r="E10" s="2"/>
      <c r="F10" s="2"/>
      <c r="G10" s="2"/>
      <c r="H10" s="2"/>
      <c r="I10" s="2"/>
      <c r="J10" s="2"/>
      <c r="K10" s="2">
        <v>132</v>
      </c>
      <c r="L10" s="8">
        <f t="shared" si="0"/>
        <v>231</v>
      </c>
      <c r="M10" s="2"/>
      <c r="N10" s="2">
        <v>19</v>
      </c>
      <c r="O10" s="2"/>
      <c r="P10" s="2"/>
      <c r="Q10" s="2"/>
      <c r="R10" s="2">
        <v>27</v>
      </c>
      <c r="S10" s="2">
        <v>6</v>
      </c>
      <c r="T10" s="2">
        <v>13</v>
      </c>
      <c r="U10" s="2">
        <v>387</v>
      </c>
      <c r="V10" s="2"/>
      <c r="W10" s="2"/>
      <c r="X10" s="8">
        <f t="shared" si="1"/>
        <v>452</v>
      </c>
      <c r="Y10" s="2">
        <v>6</v>
      </c>
      <c r="Z10" s="2">
        <v>3</v>
      </c>
      <c r="AA10" s="2"/>
      <c r="AB10" s="2"/>
      <c r="AC10" s="2"/>
      <c r="AD10" s="2"/>
      <c r="AE10" s="2"/>
      <c r="AF10" s="2">
        <v>31</v>
      </c>
      <c r="AG10" s="2">
        <v>16</v>
      </c>
      <c r="AH10" s="8">
        <f t="shared" si="2"/>
        <v>56</v>
      </c>
      <c r="AI10" s="2"/>
      <c r="AJ10" s="2"/>
      <c r="AK10" s="2"/>
      <c r="AL10" s="2"/>
      <c r="AM10" s="8">
        <f t="shared" si="3"/>
        <v>0</v>
      </c>
      <c r="AN10" s="2">
        <v>68</v>
      </c>
      <c r="AO10" s="2"/>
      <c r="AP10" s="2"/>
      <c r="AQ10" s="2">
        <v>2</v>
      </c>
      <c r="AR10" s="2"/>
      <c r="AS10" s="8">
        <f t="shared" si="4"/>
        <v>70</v>
      </c>
      <c r="AT10" s="2"/>
      <c r="AU10" s="2"/>
      <c r="AV10" s="2"/>
      <c r="AW10" s="8">
        <f t="shared" si="5"/>
        <v>0</v>
      </c>
      <c r="AX10" s="2">
        <v>1</v>
      </c>
      <c r="AY10" s="2"/>
      <c r="AZ10" s="2">
        <v>2</v>
      </c>
      <c r="BA10" s="2"/>
      <c r="BB10" s="2"/>
      <c r="BC10" s="2">
        <v>21</v>
      </c>
      <c r="BD10" s="8">
        <f t="shared" si="6"/>
        <v>24</v>
      </c>
      <c r="BE10" s="2"/>
      <c r="BF10" s="2"/>
      <c r="BG10" s="8">
        <f t="shared" si="7"/>
        <v>0</v>
      </c>
      <c r="BH10" s="2">
        <f t="shared" si="8"/>
        <v>833</v>
      </c>
    </row>
    <row r="11" spans="1:60">
      <c r="A11" s="5" t="s">
        <v>12</v>
      </c>
      <c r="B11" s="2"/>
      <c r="C11" s="2">
        <v>69</v>
      </c>
      <c r="D11" s="2"/>
      <c r="E11" s="2"/>
      <c r="F11" s="2"/>
      <c r="G11" s="2"/>
      <c r="H11" s="2"/>
      <c r="I11" s="2"/>
      <c r="J11" s="2"/>
      <c r="K11" s="2">
        <v>163</v>
      </c>
      <c r="L11" s="8">
        <f t="shared" si="0"/>
        <v>232</v>
      </c>
      <c r="M11" s="2"/>
      <c r="N11" s="2">
        <v>21</v>
      </c>
      <c r="O11" s="2"/>
      <c r="P11" s="2">
        <v>1</v>
      </c>
      <c r="Q11" s="2"/>
      <c r="R11" s="2">
        <v>17</v>
      </c>
      <c r="S11" s="2">
        <v>14</v>
      </c>
      <c r="T11" s="2">
        <v>13</v>
      </c>
      <c r="U11" s="2">
        <v>396</v>
      </c>
      <c r="V11" s="2">
        <v>1</v>
      </c>
      <c r="W11" s="2"/>
      <c r="X11" s="8">
        <f t="shared" si="1"/>
        <v>463</v>
      </c>
      <c r="Y11" s="2">
        <v>1</v>
      </c>
      <c r="Z11" s="2">
        <v>2</v>
      </c>
      <c r="AA11" s="2"/>
      <c r="AB11" s="2"/>
      <c r="AC11" s="2"/>
      <c r="AD11" s="2"/>
      <c r="AE11" s="2"/>
      <c r="AF11" s="2">
        <v>12</v>
      </c>
      <c r="AG11" s="2">
        <v>9</v>
      </c>
      <c r="AH11" s="8">
        <f t="shared" si="2"/>
        <v>24</v>
      </c>
      <c r="AI11" s="2"/>
      <c r="AJ11" s="2"/>
      <c r="AK11" s="2"/>
      <c r="AL11" s="2"/>
      <c r="AM11" s="8">
        <f t="shared" si="3"/>
        <v>0</v>
      </c>
      <c r="AN11" s="2">
        <v>47</v>
      </c>
      <c r="AO11" s="2"/>
      <c r="AP11" s="2"/>
      <c r="AQ11" s="2">
        <v>2</v>
      </c>
      <c r="AR11" s="2"/>
      <c r="AS11" s="8">
        <f t="shared" si="4"/>
        <v>49</v>
      </c>
      <c r="AT11" s="2"/>
      <c r="AU11" s="2"/>
      <c r="AV11" s="2"/>
      <c r="AW11" s="8">
        <f t="shared" si="5"/>
        <v>0</v>
      </c>
      <c r="AX11" s="2">
        <v>2</v>
      </c>
      <c r="AY11" s="2"/>
      <c r="AZ11" s="2">
        <v>2</v>
      </c>
      <c r="BA11" s="2"/>
      <c r="BB11" s="2"/>
      <c r="BC11" s="2">
        <v>30</v>
      </c>
      <c r="BD11" s="8">
        <f t="shared" si="6"/>
        <v>34</v>
      </c>
      <c r="BE11" s="2"/>
      <c r="BF11" s="2"/>
      <c r="BG11" s="8">
        <f t="shared" si="7"/>
        <v>0</v>
      </c>
      <c r="BH11" s="2">
        <f t="shared" si="8"/>
        <v>802</v>
      </c>
    </row>
    <row r="12" spans="1:60">
      <c r="A12" s="5" t="s">
        <v>13</v>
      </c>
      <c r="B12" s="2"/>
      <c r="C12" s="2">
        <v>60</v>
      </c>
      <c r="D12" s="2"/>
      <c r="E12" s="2"/>
      <c r="F12" s="2"/>
      <c r="G12" s="2"/>
      <c r="H12" s="2"/>
      <c r="I12" s="2"/>
      <c r="J12" s="2"/>
      <c r="K12" s="2">
        <v>107</v>
      </c>
      <c r="L12" s="8">
        <f t="shared" si="0"/>
        <v>167</v>
      </c>
      <c r="M12" s="2"/>
      <c r="N12" s="2">
        <v>7</v>
      </c>
      <c r="O12" s="2"/>
      <c r="P12" s="2"/>
      <c r="Q12" s="2"/>
      <c r="R12" s="2">
        <v>14</v>
      </c>
      <c r="S12" s="2">
        <v>7</v>
      </c>
      <c r="T12" s="2">
        <v>13</v>
      </c>
      <c r="U12" s="2">
        <v>320</v>
      </c>
      <c r="V12" s="2"/>
      <c r="W12" s="2"/>
      <c r="X12" s="8">
        <f t="shared" si="1"/>
        <v>361</v>
      </c>
      <c r="Y12" s="2">
        <v>3</v>
      </c>
      <c r="Z12" s="2">
        <v>1</v>
      </c>
      <c r="AA12" s="2"/>
      <c r="AB12" s="2"/>
      <c r="AC12" s="2"/>
      <c r="AD12" s="2"/>
      <c r="AE12" s="2"/>
      <c r="AF12" s="2">
        <v>12</v>
      </c>
      <c r="AG12" s="2">
        <v>8</v>
      </c>
      <c r="AH12" s="8">
        <f t="shared" si="2"/>
        <v>24</v>
      </c>
      <c r="AI12" s="2"/>
      <c r="AJ12" s="2"/>
      <c r="AK12" s="2"/>
      <c r="AL12" s="2"/>
      <c r="AM12" s="8">
        <f t="shared" si="3"/>
        <v>0</v>
      </c>
      <c r="AN12" s="2">
        <v>21</v>
      </c>
      <c r="AO12" s="2"/>
      <c r="AP12" s="2"/>
      <c r="AQ12" s="2">
        <v>2</v>
      </c>
      <c r="AR12" s="2"/>
      <c r="AS12" s="8">
        <f t="shared" si="4"/>
        <v>23</v>
      </c>
      <c r="AT12" s="2"/>
      <c r="AU12" s="2"/>
      <c r="AV12" s="2"/>
      <c r="AW12" s="8">
        <f t="shared" si="5"/>
        <v>0</v>
      </c>
      <c r="AX12" s="2"/>
      <c r="AY12" s="2"/>
      <c r="AZ12" s="2">
        <v>1</v>
      </c>
      <c r="BA12" s="2"/>
      <c r="BB12" s="2"/>
      <c r="BC12" s="2">
        <v>23</v>
      </c>
      <c r="BD12" s="8">
        <f t="shared" si="6"/>
        <v>24</v>
      </c>
      <c r="BE12" s="2"/>
      <c r="BF12" s="2"/>
      <c r="BG12" s="8">
        <f t="shared" si="7"/>
        <v>0</v>
      </c>
      <c r="BH12" s="2">
        <f t="shared" si="8"/>
        <v>599</v>
      </c>
    </row>
    <row r="13" spans="1:60">
      <c r="A13" s="5" t="s">
        <v>14</v>
      </c>
      <c r="B13" s="2"/>
      <c r="C13" s="2">
        <v>252</v>
      </c>
      <c r="D13" s="2"/>
      <c r="E13" s="2"/>
      <c r="F13" s="2"/>
      <c r="G13" s="2"/>
      <c r="H13" s="2"/>
      <c r="I13" s="2"/>
      <c r="J13" s="2"/>
      <c r="K13" s="2">
        <v>336</v>
      </c>
      <c r="L13" s="8">
        <f t="shared" si="0"/>
        <v>588</v>
      </c>
      <c r="M13" s="2"/>
      <c r="N13" s="2">
        <v>2</v>
      </c>
      <c r="O13" s="2"/>
      <c r="P13" s="2">
        <v>2</v>
      </c>
      <c r="Q13" s="2"/>
      <c r="R13" s="2">
        <v>67</v>
      </c>
      <c r="S13" s="2">
        <v>37</v>
      </c>
      <c r="T13" s="2">
        <v>46</v>
      </c>
      <c r="U13" s="2">
        <v>923</v>
      </c>
      <c r="V13" s="2"/>
      <c r="W13" s="2"/>
      <c r="X13" s="8">
        <f t="shared" si="1"/>
        <v>1077</v>
      </c>
      <c r="Y13" s="2">
        <v>11</v>
      </c>
      <c r="Z13" s="2">
        <v>6</v>
      </c>
      <c r="AA13" s="2"/>
      <c r="AB13" s="2"/>
      <c r="AC13" s="2"/>
      <c r="AD13" s="2">
        <v>3</v>
      </c>
      <c r="AE13" s="2"/>
      <c r="AF13" s="2">
        <v>63</v>
      </c>
      <c r="AG13" s="2">
        <v>31</v>
      </c>
      <c r="AH13" s="8">
        <f t="shared" si="2"/>
        <v>114</v>
      </c>
      <c r="AI13" s="2"/>
      <c r="AJ13" s="2"/>
      <c r="AK13" s="2"/>
      <c r="AL13" s="2"/>
      <c r="AM13" s="8">
        <f t="shared" si="3"/>
        <v>0</v>
      </c>
      <c r="AN13" s="2">
        <v>130</v>
      </c>
      <c r="AO13" s="2"/>
      <c r="AP13" s="2"/>
      <c r="AQ13" s="2">
        <v>8</v>
      </c>
      <c r="AR13" s="2"/>
      <c r="AS13" s="8">
        <f t="shared" si="4"/>
        <v>138</v>
      </c>
      <c r="AT13" s="2"/>
      <c r="AU13" s="2"/>
      <c r="AV13" s="2"/>
      <c r="AW13" s="8">
        <f t="shared" si="5"/>
        <v>0</v>
      </c>
      <c r="AX13" s="2"/>
      <c r="AY13" s="2"/>
      <c r="AZ13" s="2">
        <v>3</v>
      </c>
      <c r="BA13" s="2"/>
      <c r="BB13" s="2"/>
      <c r="BC13" s="2">
        <v>102</v>
      </c>
      <c r="BD13" s="8">
        <f t="shared" si="6"/>
        <v>105</v>
      </c>
      <c r="BE13" s="2"/>
      <c r="BF13" s="2"/>
      <c r="BG13" s="8">
        <f t="shared" si="7"/>
        <v>0</v>
      </c>
      <c r="BH13" s="2">
        <f t="shared" si="8"/>
        <v>2022</v>
      </c>
    </row>
    <row r="14" spans="1:60">
      <c r="A14" s="5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>
        <v>1</v>
      </c>
      <c r="L14" s="8">
        <f t="shared" si="0"/>
        <v>1</v>
      </c>
      <c r="M14" s="2"/>
      <c r="N14" s="2"/>
      <c r="O14" s="2"/>
      <c r="P14" s="2"/>
      <c r="Q14" s="2"/>
      <c r="R14" s="2"/>
      <c r="S14" s="2"/>
      <c r="T14" s="2"/>
      <c r="U14" s="2">
        <v>1</v>
      </c>
      <c r="V14" s="2"/>
      <c r="W14" s="2"/>
      <c r="X14" s="8">
        <f t="shared" si="1"/>
        <v>1</v>
      </c>
      <c r="Y14" s="2"/>
      <c r="Z14" s="2"/>
      <c r="AA14" s="2"/>
      <c r="AB14" s="2"/>
      <c r="AC14" s="2"/>
      <c r="AD14" s="2"/>
      <c r="AE14" s="2"/>
      <c r="AF14" s="2"/>
      <c r="AG14" s="2"/>
      <c r="AH14" s="8">
        <f t="shared" si="2"/>
        <v>0</v>
      </c>
      <c r="AI14" s="2"/>
      <c r="AJ14" s="2"/>
      <c r="AK14" s="2"/>
      <c r="AL14" s="2"/>
      <c r="AM14" s="8">
        <f t="shared" si="3"/>
        <v>0</v>
      </c>
      <c r="AN14" s="2"/>
      <c r="AO14" s="2"/>
      <c r="AP14" s="2"/>
      <c r="AQ14" s="2"/>
      <c r="AR14" s="2"/>
      <c r="AS14" s="8">
        <f t="shared" si="4"/>
        <v>0</v>
      </c>
      <c r="AT14" s="2"/>
      <c r="AU14" s="2"/>
      <c r="AV14" s="2"/>
      <c r="AW14" s="8">
        <f t="shared" si="5"/>
        <v>0</v>
      </c>
      <c r="AX14" s="2"/>
      <c r="AY14" s="2"/>
      <c r="AZ14" s="2"/>
      <c r="BA14" s="2"/>
      <c r="BB14" s="2"/>
      <c r="BC14" s="2"/>
      <c r="BD14" s="8">
        <f t="shared" si="6"/>
        <v>0</v>
      </c>
      <c r="BE14" s="2"/>
      <c r="BF14" s="2"/>
      <c r="BG14" s="8">
        <f t="shared" si="7"/>
        <v>0</v>
      </c>
      <c r="BH14" s="2">
        <f t="shared" si="8"/>
        <v>2</v>
      </c>
    </row>
    <row r="15" spans="1:60">
      <c r="A15" s="5" t="s">
        <v>15</v>
      </c>
      <c r="B15" s="2"/>
      <c r="C15" s="2">
        <v>291</v>
      </c>
      <c r="D15" s="2"/>
      <c r="E15" s="2"/>
      <c r="F15" s="2"/>
      <c r="G15" s="2"/>
      <c r="H15" s="2"/>
      <c r="I15" s="2">
        <v>8</v>
      </c>
      <c r="J15" s="2">
        <v>1962</v>
      </c>
      <c r="K15" s="2"/>
      <c r="L15" s="8">
        <f t="shared" si="0"/>
        <v>2261</v>
      </c>
      <c r="M15" s="2">
        <v>8</v>
      </c>
      <c r="N15" s="2">
        <v>2</v>
      </c>
      <c r="O15" s="2">
        <v>1</v>
      </c>
      <c r="P15" s="2">
        <v>1</v>
      </c>
      <c r="Q15" s="2"/>
      <c r="R15" s="2"/>
      <c r="S15" s="2"/>
      <c r="T15" s="2"/>
      <c r="U15" s="2">
        <v>2276</v>
      </c>
      <c r="V15" s="2"/>
      <c r="W15" s="2"/>
      <c r="X15" s="8">
        <f t="shared" si="1"/>
        <v>2288</v>
      </c>
      <c r="Y15" s="2">
        <v>4</v>
      </c>
      <c r="Z15" s="2">
        <v>24</v>
      </c>
      <c r="AA15" s="2"/>
      <c r="AB15" s="2">
        <v>24</v>
      </c>
      <c r="AC15" s="2"/>
      <c r="AD15" s="2">
        <v>16</v>
      </c>
      <c r="AE15" s="2"/>
      <c r="AF15" s="2">
        <v>2</v>
      </c>
      <c r="AG15" s="2">
        <v>15</v>
      </c>
      <c r="AH15" s="8">
        <f t="shared" si="2"/>
        <v>85</v>
      </c>
      <c r="AI15" s="2"/>
      <c r="AJ15" s="2"/>
      <c r="AK15" s="2"/>
      <c r="AL15" s="2"/>
      <c r="AM15" s="8">
        <f t="shared" si="3"/>
        <v>0</v>
      </c>
      <c r="AN15" s="2">
        <v>44</v>
      </c>
      <c r="AO15" s="2">
        <v>72</v>
      </c>
      <c r="AP15" s="2">
        <v>18</v>
      </c>
      <c r="AQ15" s="2">
        <v>3</v>
      </c>
      <c r="AR15" s="2"/>
      <c r="AS15" s="8">
        <f t="shared" si="4"/>
        <v>137</v>
      </c>
      <c r="AT15" s="2"/>
      <c r="AU15" s="2"/>
      <c r="AV15" s="2">
        <v>1</v>
      </c>
      <c r="AW15" s="8">
        <f t="shared" si="5"/>
        <v>1</v>
      </c>
      <c r="AX15" s="2"/>
      <c r="AY15" s="2"/>
      <c r="AZ15" s="2">
        <v>3</v>
      </c>
      <c r="BA15" s="2">
        <v>1</v>
      </c>
      <c r="BB15" s="2"/>
      <c r="BC15" s="2">
        <v>7</v>
      </c>
      <c r="BD15" s="8">
        <f t="shared" si="6"/>
        <v>11</v>
      </c>
      <c r="BE15" s="2"/>
      <c r="BF15" s="2"/>
      <c r="BG15" s="8">
        <f t="shared" si="7"/>
        <v>0</v>
      </c>
      <c r="BH15" s="2">
        <f t="shared" si="8"/>
        <v>4783</v>
      </c>
    </row>
    <row r="16" spans="1:60">
      <c r="A16" s="5" t="s">
        <v>16</v>
      </c>
      <c r="B16" s="2"/>
      <c r="C16" s="2">
        <v>280</v>
      </c>
      <c r="D16" s="2"/>
      <c r="E16" s="2"/>
      <c r="F16" s="2"/>
      <c r="G16" s="2"/>
      <c r="H16" s="2"/>
      <c r="I16" s="2"/>
      <c r="J16" s="2">
        <v>168</v>
      </c>
      <c r="K16" s="2">
        <v>112</v>
      </c>
      <c r="L16" s="8">
        <f t="shared" si="0"/>
        <v>560</v>
      </c>
      <c r="M16" s="2"/>
      <c r="N16" s="2"/>
      <c r="O16" s="2"/>
      <c r="P16" s="2">
        <v>1048</v>
      </c>
      <c r="Q16" s="2"/>
      <c r="R16" s="2"/>
      <c r="S16" s="2"/>
      <c r="T16" s="2"/>
      <c r="U16" s="2">
        <v>1733</v>
      </c>
      <c r="V16" s="2"/>
      <c r="W16" s="2"/>
      <c r="X16" s="8">
        <f t="shared" si="1"/>
        <v>2781</v>
      </c>
      <c r="Y16" s="2">
        <v>7</v>
      </c>
      <c r="Z16" s="2">
        <v>55</v>
      </c>
      <c r="AA16" s="2"/>
      <c r="AB16" s="2">
        <v>72</v>
      </c>
      <c r="AC16" s="2"/>
      <c r="AD16" s="2">
        <v>41</v>
      </c>
      <c r="AE16" s="2"/>
      <c r="AF16" s="2">
        <v>2</v>
      </c>
      <c r="AG16" s="2">
        <v>23</v>
      </c>
      <c r="AH16" s="8">
        <f t="shared" si="2"/>
        <v>200</v>
      </c>
      <c r="AI16" s="2"/>
      <c r="AJ16" s="2"/>
      <c r="AK16" s="2"/>
      <c r="AL16" s="2"/>
      <c r="AM16" s="8">
        <f t="shared" si="3"/>
        <v>0</v>
      </c>
      <c r="AN16" s="2">
        <v>39</v>
      </c>
      <c r="AO16" s="2">
        <v>54</v>
      </c>
      <c r="AP16" s="2">
        <v>18</v>
      </c>
      <c r="AQ16" s="2">
        <v>3</v>
      </c>
      <c r="AR16" s="2"/>
      <c r="AS16" s="8">
        <f t="shared" si="4"/>
        <v>114</v>
      </c>
      <c r="AT16" s="2"/>
      <c r="AU16" s="2"/>
      <c r="AV16" s="2"/>
      <c r="AW16" s="8">
        <f t="shared" si="5"/>
        <v>0</v>
      </c>
      <c r="AX16" s="2"/>
      <c r="AY16" s="2"/>
      <c r="AZ16" s="2">
        <v>21</v>
      </c>
      <c r="BA16" s="2">
        <v>1</v>
      </c>
      <c r="BB16" s="2"/>
      <c r="BC16" s="2"/>
      <c r="BD16" s="8">
        <f t="shared" si="6"/>
        <v>22</v>
      </c>
      <c r="BE16" s="2"/>
      <c r="BF16" s="2"/>
      <c r="BG16" s="8">
        <f t="shared" si="7"/>
        <v>0</v>
      </c>
      <c r="BH16" s="2">
        <f t="shared" si="8"/>
        <v>3677</v>
      </c>
    </row>
    <row r="17" spans="1:60">
      <c r="A17" s="5" t="s">
        <v>17</v>
      </c>
      <c r="B17" s="2"/>
      <c r="C17" s="2">
        <v>84</v>
      </c>
      <c r="D17" s="2"/>
      <c r="E17" s="2"/>
      <c r="F17" s="2"/>
      <c r="G17" s="2"/>
      <c r="H17" s="2"/>
      <c r="I17" s="2"/>
      <c r="J17" s="2"/>
      <c r="K17" s="2">
        <v>195</v>
      </c>
      <c r="L17" s="8">
        <f t="shared" si="0"/>
        <v>279</v>
      </c>
      <c r="M17" s="2"/>
      <c r="N17" s="2">
        <v>4</v>
      </c>
      <c r="O17" s="2"/>
      <c r="P17" s="2">
        <v>7</v>
      </c>
      <c r="Q17" s="2"/>
      <c r="R17" s="2"/>
      <c r="S17" s="2"/>
      <c r="T17" s="2"/>
      <c r="U17" s="2">
        <v>300</v>
      </c>
      <c r="V17" s="2"/>
      <c r="W17" s="2"/>
      <c r="X17" s="8">
        <f t="shared" si="1"/>
        <v>311</v>
      </c>
      <c r="Y17" s="2">
        <v>1</v>
      </c>
      <c r="Z17" s="2">
        <v>7</v>
      </c>
      <c r="AA17" s="2"/>
      <c r="AB17" s="2">
        <v>18</v>
      </c>
      <c r="AC17" s="2"/>
      <c r="AD17" s="2">
        <v>8</v>
      </c>
      <c r="AE17" s="2"/>
      <c r="AF17" s="2"/>
      <c r="AG17" s="2">
        <v>3</v>
      </c>
      <c r="AH17" s="8">
        <f t="shared" si="2"/>
        <v>37</v>
      </c>
      <c r="AI17" s="2"/>
      <c r="AJ17" s="2"/>
      <c r="AK17" s="2"/>
      <c r="AL17" s="2"/>
      <c r="AM17" s="8">
        <f t="shared" si="3"/>
        <v>0</v>
      </c>
      <c r="AN17" s="2">
        <v>14</v>
      </c>
      <c r="AO17" s="2">
        <v>36</v>
      </c>
      <c r="AP17" s="2">
        <v>6</v>
      </c>
      <c r="AQ17" s="2"/>
      <c r="AR17" s="2"/>
      <c r="AS17" s="8">
        <f t="shared" si="4"/>
        <v>56</v>
      </c>
      <c r="AT17" s="2"/>
      <c r="AU17" s="2"/>
      <c r="AV17" s="2"/>
      <c r="AW17" s="8">
        <f t="shared" si="5"/>
        <v>0</v>
      </c>
      <c r="AX17" s="2"/>
      <c r="AY17" s="2"/>
      <c r="AZ17" s="2">
        <v>5</v>
      </c>
      <c r="BA17" s="2"/>
      <c r="BB17" s="2"/>
      <c r="BC17" s="2"/>
      <c r="BD17" s="8">
        <f t="shared" si="6"/>
        <v>5</v>
      </c>
      <c r="BE17" s="2"/>
      <c r="BF17" s="2"/>
      <c r="BG17" s="8">
        <f t="shared" si="7"/>
        <v>0</v>
      </c>
      <c r="BH17" s="2">
        <f t="shared" si="8"/>
        <v>688</v>
      </c>
    </row>
    <row r="18" spans="1:60">
      <c r="A18" s="5" t="s">
        <v>18</v>
      </c>
      <c r="B18" s="2"/>
      <c r="C18" s="2">
        <v>28</v>
      </c>
      <c r="D18" s="2"/>
      <c r="E18" s="2"/>
      <c r="F18" s="2"/>
      <c r="G18" s="2"/>
      <c r="H18" s="2"/>
      <c r="I18" s="2"/>
      <c r="J18" s="2"/>
      <c r="K18" s="2">
        <v>415</v>
      </c>
      <c r="L18" s="8">
        <f t="shared" si="0"/>
        <v>443</v>
      </c>
      <c r="M18" s="2"/>
      <c r="N18" s="2"/>
      <c r="O18" s="2"/>
      <c r="P18" s="2">
        <v>159</v>
      </c>
      <c r="Q18" s="2"/>
      <c r="R18" s="2"/>
      <c r="S18" s="2"/>
      <c r="T18" s="2"/>
      <c r="U18" s="2">
        <v>300</v>
      </c>
      <c r="V18" s="2"/>
      <c r="W18" s="2"/>
      <c r="X18" s="8">
        <f t="shared" si="1"/>
        <v>459</v>
      </c>
      <c r="Y18" s="2">
        <v>1</v>
      </c>
      <c r="Z18" s="2">
        <v>12</v>
      </c>
      <c r="AA18" s="2"/>
      <c r="AB18" s="2"/>
      <c r="AC18" s="2"/>
      <c r="AD18" s="2">
        <v>7</v>
      </c>
      <c r="AE18" s="2"/>
      <c r="AF18" s="2"/>
      <c r="AG18" s="2">
        <v>3</v>
      </c>
      <c r="AH18" s="8">
        <f t="shared" si="2"/>
        <v>23</v>
      </c>
      <c r="AI18" s="2"/>
      <c r="AJ18" s="2"/>
      <c r="AK18" s="2"/>
      <c r="AL18" s="2"/>
      <c r="AM18" s="8">
        <f t="shared" si="3"/>
        <v>0</v>
      </c>
      <c r="AN18" s="2">
        <v>7</v>
      </c>
      <c r="AO18" s="2">
        <v>18</v>
      </c>
      <c r="AP18" s="2"/>
      <c r="AQ18" s="2"/>
      <c r="AR18" s="2"/>
      <c r="AS18" s="8">
        <f t="shared" si="4"/>
        <v>25</v>
      </c>
      <c r="AT18" s="2"/>
      <c r="AU18" s="2"/>
      <c r="AV18" s="2"/>
      <c r="AW18" s="8">
        <f t="shared" si="5"/>
        <v>0</v>
      </c>
      <c r="AX18" s="2"/>
      <c r="AY18" s="2"/>
      <c r="AZ18" s="2">
        <v>6</v>
      </c>
      <c r="BA18" s="2"/>
      <c r="BB18" s="2"/>
      <c r="BC18" s="2">
        <v>4</v>
      </c>
      <c r="BD18" s="8">
        <f t="shared" si="6"/>
        <v>10</v>
      </c>
      <c r="BE18" s="2"/>
      <c r="BF18" s="2"/>
      <c r="BG18" s="8">
        <f t="shared" si="7"/>
        <v>0</v>
      </c>
      <c r="BH18" s="2">
        <f t="shared" si="8"/>
        <v>960</v>
      </c>
    </row>
    <row r="19" spans="1:60">
      <c r="A19" s="5" t="s">
        <v>19</v>
      </c>
      <c r="B19" s="2"/>
      <c r="C19" s="2">
        <v>20</v>
      </c>
      <c r="D19" s="2"/>
      <c r="E19" s="2"/>
      <c r="F19" s="2"/>
      <c r="G19" s="2">
        <v>2</v>
      </c>
      <c r="H19" s="2"/>
      <c r="I19" s="2">
        <v>5</v>
      </c>
      <c r="J19" s="2"/>
      <c r="K19" s="2">
        <v>13</v>
      </c>
      <c r="L19" s="8">
        <f t="shared" si="0"/>
        <v>40</v>
      </c>
      <c r="M19" s="2"/>
      <c r="N19" s="2"/>
      <c r="O19" s="2"/>
      <c r="P19" s="2"/>
      <c r="Q19" s="2"/>
      <c r="R19" s="2"/>
      <c r="S19" s="2"/>
      <c r="T19" s="2"/>
      <c r="U19" s="2">
        <v>439</v>
      </c>
      <c r="V19" s="2">
        <v>50</v>
      </c>
      <c r="W19" s="2"/>
      <c r="X19" s="8">
        <f t="shared" si="1"/>
        <v>489</v>
      </c>
      <c r="Y19" s="2"/>
      <c r="Z19" s="2">
        <v>1</v>
      </c>
      <c r="AA19" s="2"/>
      <c r="AB19" s="2"/>
      <c r="AC19" s="2"/>
      <c r="AD19" s="2"/>
      <c r="AE19" s="2">
        <v>1</v>
      </c>
      <c r="AF19" s="2"/>
      <c r="AG19" s="2">
        <v>10</v>
      </c>
      <c r="AH19" s="8">
        <f t="shared" si="2"/>
        <v>12</v>
      </c>
      <c r="AI19" s="2"/>
      <c r="AJ19" s="2"/>
      <c r="AK19" s="2"/>
      <c r="AL19" s="2"/>
      <c r="AM19" s="8">
        <f t="shared" si="3"/>
        <v>0</v>
      </c>
      <c r="AN19" s="2">
        <v>13</v>
      </c>
      <c r="AO19" s="2"/>
      <c r="AP19" s="2"/>
      <c r="AQ19" s="2">
        <v>4</v>
      </c>
      <c r="AR19" s="2"/>
      <c r="AS19" s="8">
        <f t="shared" si="4"/>
        <v>17</v>
      </c>
      <c r="AT19" s="2"/>
      <c r="AU19" s="2"/>
      <c r="AV19" s="2">
        <v>5</v>
      </c>
      <c r="AW19" s="8">
        <f t="shared" si="5"/>
        <v>5</v>
      </c>
      <c r="AX19" s="2"/>
      <c r="AY19" s="2"/>
      <c r="AZ19" s="2">
        <v>2</v>
      </c>
      <c r="BA19" s="2"/>
      <c r="BB19" s="2"/>
      <c r="BC19" s="2">
        <v>3</v>
      </c>
      <c r="BD19" s="8">
        <f t="shared" si="6"/>
        <v>5</v>
      </c>
      <c r="BE19" s="2"/>
      <c r="BF19" s="2"/>
      <c r="BG19" s="8">
        <f t="shared" si="7"/>
        <v>0</v>
      </c>
      <c r="BH19" s="2">
        <f t="shared" si="8"/>
        <v>568</v>
      </c>
    </row>
    <row r="20" spans="1:60">
      <c r="A20" s="5" t="s">
        <v>20</v>
      </c>
      <c r="B20" s="2"/>
      <c r="C20" s="2">
        <v>13</v>
      </c>
      <c r="D20" s="2"/>
      <c r="E20" s="2"/>
      <c r="F20" s="2"/>
      <c r="G20" s="2">
        <v>5</v>
      </c>
      <c r="H20" s="2"/>
      <c r="I20" s="2">
        <v>2</v>
      </c>
      <c r="J20" s="2"/>
      <c r="K20" s="2">
        <v>15</v>
      </c>
      <c r="L20" s="8">
        <f t="shared" si="0"/>
        <v>35</v>
      </c>
      <c r="M20" s="2"/>
      <c r="N20" s="2"/>
      <c r="O20" s="2"/>
      <c r="P20" s="2">
        <v>1</v>
      </c>
      <c r="Q20" s="2"/>
      <c r="R20" s="2"/>
      <c r="S20" s="2"/>
      <c r="T20" s="2"/>
      <c r="U20" s="2">
        <v>166</v>
      </c>
      <c r="V20" s="2">
        <v>60</v>
      </c>
      <c r="W20" s="2"/>
      <c r="X20" s="8">
        <f t="shared" si="1"/>
        <v>227</v>
      </c>
      <c r="Y20" s="2"/>
      <c r="Z20" s="2"/>
      <c r="AA20" s="2"/>
      <c r="AB20" s="2"/>
      <c r="AC20" s="2"/>
      <c r="AD20" s="2"/>
      <c r="AE20" s="2">
        <v>2</v>
      </c>
      <c r="AF20" s="2"/>
      <c r="AG20" s="2">
        <v>4</v>
      </c>
      <c r="AH20" s="8">
        <f t="shared" si="2"/>
        <v>6</v>
      </c>
      <c r="AI20" s="2"/>
      <c r="AJ20" s="2"/>
      <c r="AK20" s="2"/>
      <c r="AL20" s="2"/>
      <c r="AM20" s="8">
        <f t="shared" si="3"/>
        <v>0</v>
      </c>
      <c r="AN20" s="2">
        <v>16</v>
      </c>
      <c r="AO20" s="2"/>
      <c r="AP20" s="2"/>
      <c r="AQ20" s="2">
        <v>11</v>
      </c>
      <c r="AR20" s="2"/>
      <c r="AS20" s="8">
        <f t="shared" si="4"/>
        <v>27</v>
      </c>
      <c r="AT20" s="2">
        <v>1</v>
      </c>
      <c r="AU20" s="2"/>
      <c r="AV20" s="2">
        <v>5</v>
      </c>
      <c r="AW20" s="8">
        <f t="shared" si="5"/>
        <v>6</v>
      </c>
      <c r="AX20" s="2"/>
      <c r="AY20" s="2">
        <v>1</v>
      </c>
      <c r="AZ20" s="2">
        <v>2</v>
      </c>
      <c r="BA20" s="2"/>
      <c r="BB20" s="2"/>
      <c r="BC20" s="2">
        <v>2</v>
      </c>
      <c r="BD20" s="8">
        <f t="shared" si="6"/>
        <v>5</v>
      </c>
      <c r="BE20" s="2"/>
      <c r="BF20" s="2"/>
      <c r="BG20" s="8">
        <f t="shared" si="7"/>
        <v>0</v>
      </c>
      <c r="BH20" s="2">
        <f t="shared" si="8"/>
        <v>306</v>
      </c>
    </row>
    <row r="21" spans="1:60">
      <c r="A21" s="5" t="s">
        <v>21</v>
      </c>
      <c r="B21" s="2"/>
      <c r="C21" s="2">
        <v>27</v>
      </c>
      <c r="D21" s="2"/>
      <c r="E21" s="2"/>
      <c r="F21" s="2"/>
      <c r="G21" s="2">
        <v>12</v>
      </c>
      <c r="H21" s="2"/>
      <c r="I21" s="2">
        <v>2</v>
      </c>
      <c r="J21" s="2"/>
      <c r="K21" s="2">
        <v>47</v>
      </c>
      <c r="L21" s="8">
        <f t="shared" si="0"/>
        <v>88</v>
      </c>
      <c r="M21" s="2"/>
      <c r="N21" s="2"/>
      <c r="O21" s="2"/>
      <c r="P21" s="2"/>
      <c r="Q21" s="2"/>
      <c r="R21" s="2"/>
      <c r="S21" s="2"/>
      <c r="T21" s="2"/>
      <c r="U21" s="2">
        <v>170</v>
      </c>
      <c r="V21" s="2">
        <v>42</v>
      </c>
      <c r="W21" s="2"/>
      <c r="X21" s="8">
        <f t="shared" si="1"/>
        <v>212</v>
      </c>
      <c r="Y21" s="2"/>
      <c r="Z21" s="2"/>
      <c r="AA21" s="2"/>
      <c r="AB21" s="2"/>
      <c r="AC21" s="2"/>
      <c r="AD21" s="2"/>
      <c r="AE21" s="2">
        <v>4</v>
      </c>
      <c r="AF21" s="2"/>
      <c r="AG21" s="2">
        <v>23</v>
      </c>
      <c r="AH21" s="8">
        <f t="shared" si="2"/>
        <v>27</v>
      </c>
      <c r="AI21" s="2"/>
      <c r="AJ21" s="2"/>
      <c r="AK21" s="2"/>
      <c r="AL21" s="2"/>
      <c r="AM21" s="8">
        <f t="shared" si="3"/>
        <v>0</v>
      </c>
      <c r="AN21" s="2">
        <v>35</v>
      </c>
      <c r="AO21" s="2"/>
      <c r="AP21" s="2"/>
      <c r="AQ21" s="2">
        <v>15</v>
      </c>
      <c r="AR21" s="2"/>
      <c r="AS21" s="8">
        <f t="shared" si="4"/>
        <v>50</v>
      </c>
      <c r="AT21" s="2"/>
      <c r="AU21" s="2"/>
      <c r="AV21" s="2">
        <v>2</v>
      </c>
      <c r="AW21" s="8">
        <f t="shared" si="5"/>
        <v>2</v>
      </c>
      <c r="AX21" s="2"/>
      <c r="AY21" s="2"/>
      <c r="AZ21" s="2">
        <v>2</v>
      </c>
      <c r="BA21" s="2"/>
      <c r="BB21" s="2"/>
      <c r="BC21" s="2">
        <v>5</v>
      </c>
      <c r="BD21" s="8">
        <f t="shared" si="6"/>
        <v>7</v>
      </c>
      <c r="BE21" s="2"/>
      <c r="BF21" s="2"/>
      <c r="BG21" s="8">
        <f t="shared" si="7"/>
        <v>0</v>
      </c>
      <c r="BH21" s="2">
        <f t="shared" si="8"/>
        <v>386</v>
      </c>
    </row>
    <row r="22" spans="1:60">
      <c r="A22" s="5" t="s">
        <v>22</v>
      </c>
      <c r="B22" s="2"/>
      <c r="C22" s="2">
        <v>87</v>
      </c>
      <c r="D22" s="2"/>
      <c r="E22" s="2"/>
      <c r="F22" s="2"/>
      <c r="G22" s="2">
        <v>56</v>
      </c>
      <c r="H22" s="2"/>
      <c r="I22" s="2">
        <v>3</v>
      </c>
      <c r="J22" s="2"/>
      <c r="K22" s="2">
        <v>112</v>
      </c>
      <c r="L22" s="8">
        <f t="shared" si="0"/>
        <v>258</v>
      </c>
      <c r="M22" s="2"/>
      <c r="N22" s="2"/>
      <c r="O22" s="2"/>
      <c r="P22" s="2">
        <v>1</v>
      </c>
      <c r="Q22" s="2"/>
      <c r="R22" s="2"/>
      <c r="S22" s="2"/>
      <c r="T22" s="2"/>
      <c r="U22" s="2">
        <v>851</v>
      </c>
      <c r="V22" s="2">
        <v>226</v>
      </c>
      <c r="W22" s="2"/>
      <c r="X22" s="8">
        <f t="shared" si="1"/>
        <v>1078</v>
      </c>
      <c r="Y22" s="2"/>
      <c r="Z22" s="2"/>
      <c r="AA22" s="2"/>
      <c r="AB22" s="2"/>
      <c r="AC22" s="2"/>
      <c r="AD22" s="2"/>
      <c r="AE22" s="2">
        <v>6</v>
      </c>
      <c r="AF22" s="2">
        <v>1</v>
      </c>
      <c r="AG22" s="2">
        <v>58</v>
      </c>
      <c r="AH22" s="8">
        <f t="shared" si="2"/>
        <v>65</v>
      </c>
      <c r="AI22" s="2"/>
      <c r="AJ22" s="2"/>
      <c r="AK22" s="2"/>
      <c r="AL22" s="2"/>
      <c r="AM22" s="8">
        <f t="shared" si="3"/>
        <v>0</v>
      </c>
      <c r="AN22" s="2">
        <v>101</v>
      </c>
      <c r="AO22" s="2"/>
      <c r="AP22" s="2"/>
      <c r="AQ22" s="2">
        <v>47</v>
      </c>
      <c r="AR22" s="2"/>
      <c r="AS22" s="8">
        <f t="shared" si="4"/>
        <v>148</v>
      </c>
      <c r="AT22" s="2">
        <v>5</v>
      </c>
      <c r="AU22" s="2"/>
      <c r="AV22" s="2">
        <v>9</v>
      </c>
      <c r="AW22" s="8">
        <f t="shared" si="5"/>
        <v>14</v>
      </c>
      <c r="AX22" s="2">
        <v>2</v>
      </c>
      <c r="AY22" s="2"/>
      <c r="AZ22" s="2">
        <v>1</v>
      </c>
      <c r="BA22" s="2"/>
      <c r="BB22" s="2"/>
      <c r="BC22" s="2">
        <v>15</v>
      </c>
      <c r="BD22" s="8">
        <f t="shared" si="6"/>
        <v>18</v>
      </c>
      <c r="BE22" s="2"/>
      <c r="BF22" s="2"/>
      <c r="BG22" s="8">
        <f t="shared" si="7"/>
        <v>0</v>
      </c>
      <c r="BH22" s="2">
        <f t="shared" si="8"/>
        <v>1581</v>
      </c>
    </row>
    <row r="23" spans="1:60">
      <c r="A23" s="5" t="s">
        <v>23</v>
      </c>
      <c r="B23" s="2"/>
      <c r="C23" s="2">
        <v>36</v>
      </c>
      <c r="D23" s="2"/>
      <c r="E23" s="2"/>
      <c r="F23" s="2"/>
      <c r="G23" s="2">
        <v>2</v>
      </c>
      <c r="H23" s="2"/>
      <c r="I23" s="2">
        <v>1</v>
      </c>
      <c r="J23" s="2"/>
      <c r="K23" s="2">
        <v>80</v>
      </c>
      <c r="L23" s="8">
        <f t="shared" si="0"/>
        <v>119</v>
      </c>
      <c r="M23" s="2"/>
      <c r="N23" s="2"/>
      <c r="O23" s="2"/>
      <c r="P23" s="2"/>
      <c r="Q23" s="2"/>
      <c r="R23" s="2"/>
      <c r="S23" s="2"/>
      <c r="T23" s="2"/>
      <c r="U23" s="2">
        <v>425</v>
      </c>
      <c r="V23" s="2">
        <v>284</v>
      </c>
      <c r="W23" s="2"/>
      <c r="X23" s="8">
        <f t="shared" si="1"/>
        <v>709</v>
      </c>
      <c r="Y23" s="2"/>
      <c r="Z23" s="2"/>
      <c r="AA23" s="2"/>
      <c r="AB23" s="2"/>
      <c r="AC23" s="2"/>
      <c r="AD23" s="2"/>
      <c r="AE23" s="2">
        <v>6</v>
      </c>
      <c r="AF23" s="2"/>
      <c r="AG23" s="2">
        <v>52</v>
      </c>
      <c r="AH23" s="8">
        <f t="shared" si="2"/>
        <v>58</v>
      </c>
      <c r="AI23" s="2"/>
      <c r="AJ23" s="2"/>
      <c r="AK23" s="2"/>
      <c r="AL23" s="2"/>
      <c r="AM23" s="8">
        <f t="shared" si="3"/>
        <v>0</v>
      </c>
      <c r="AN23" s="2">
        <v>32</v>
      </c>
      <c r="AO23" s="2"/>
      <c r="AP23" s="2"/>
      <c r="AQ23" s="2">
        <v>23</v>
      </c>
      <c r="AR23" s="2"/>
      <c r="AS23" s="8">
        <f t="shared" si="4"/>
        <v>55</v>
      </c>
      <c r="AT23" s="2">
        <v>3</v>
      </c>
      <c r="AU23" s="2"/>
      <c r="AV23" s="2">
        <v>7</v>
      </c>
      <c r="AW23" s="8">
        <f t="shared" si="5"/>
        <v>10</v>
      </c>
      <c r="AX23" s="2">
        <v>1</v>
      </c>
      <c r="AY23" s="2">
        <v>1</v>
      </c>
      <c r="AZ23" s="2">
        <v>3</v>
      </c>
      <c r="BA23" s="2"/>
      <c r="BB23" s="2"/>
      <c r="BC23" s="2">
        <v>6</v>
      </c>
      <c r="BD23" s="8">
        <f t="shared" si="6"/>
        <v>11</v>
      </c>
      <c r="BE23" s="2"/>
      <c r="BF23" s="2"/>
      <c r="BG23" s="8">
        <f t="shared" si="7"/>
        <v>0</v>
      </c>
      <c r="BH23" s="2">
        <f t="shared" si="8"/>
        <v>962</v>
      </c>
    </row>
    <row r="24" spans="1:60">
      <c r="A24" s="5" t="s">
        <v>24</v>
      </c>
      <c r="B24" s="2"/>
      <c r="C24" s="2">
        <v>48</v>
      </c>
      <c r="D24" s="2"/>
      <c r="E24" s="2"/>
      <c r="F24" s="2"/>
      <c r="G24" s="2">
        <v>16</v>
      </c>
      <c r="H24" s="2"/>
      <c r="I24" s="2">
        <v>2</v>
      </c>
      <c r="J24" s="2"/>
      <c r="K24" s="2">
        <v>97</v>
      </c>
      <c r="L24" s="8">
        <f t="shared" si="0"/>
        <v>163</v>
      </c>
      <c r="M24" s="2"/>
      <c r="N24" s="2">
        <v>1</v>
      </c>
      <c r="O24" s="2"/>
      <c r="P24" s="2"/>
      <c r="Q24" s="2"/>
      <c r="R24" s="2"/>
      <c r="S24" s="2"/>
      <c r="T24" s="2"/>
      <c r="U24" s="2">
        <v>1237</v>
      </c>
      <c r="V24" s="2">
        <v>256</v>
      </c>
      <c r="W24" s="2"/>
      <c r="X24" s="8">
        <f t="shared" si="1"/>
        <v>1494</v>
      </c>
      <c r="Y24" s="2"/>
      <c r="Z24" s="2"/>
      <c r="AA24" s="2"/>
      <c r="AB24" s="2"/>
      <c r="AC24" s="2"/>
      <c r="AD24" s="2"/>
      <c r="AE24" s="2">
        <v>6</v>
      </c>
      <c r="AF24" s="2"/>
      <c r="AG24" s="2">
        <v>33</v>
      </c>
      <c r="AH24" s="8">
        <f t="shared" si="2"/>
        <v>39</v>
      </c>
      <c r="AI24" s="2"/>
      <c r="AJ24" s="2"/>
      <c r="AK24" s="2"/>
      <c r="AL24" s="2"/>
      <c r="AM24" s="8">
        <f t="shared" si="3"/>
        <v>0</v>
      </c>
      <c r="AN24" s="2">
        <v>53</v>
      </c>
      <c r="AO24" s="2"/>
      <c r="AP24" s="2"/>
      <c r="AQ24" s="2">
        <v>25</v>
      </c>
      <c r="AR24" s="2"/>
      <c r="AS24" s="8">
        <f t="shared" si="4"/>
        <v>78</v>
      </c>
      <c r="AT24" s="2">
        <v>3</v>
      </c>
      <c r="AU24" s="2"/>
      <c r="AV24" s="2">
        <v>14</v>
      </c>
      <c r="AW24" s="8">
        <f t="shared" si="5"/>
        <v>17</v>
      </c>
      <c r="AX24" s="2">
        <v>1</v>
      </c>
      <c r="AY24" s="2"/>
      <c r="AZ24" s="2">
        <v>2</v>
      </c>
      <c r="BA24" s="2"/>
      <c r="BB24" s="2"/>
      <c r="BC24" s="2">
        <v>9</v>
      </c>
      <c r="BD24" s="8">
        <f t="shared" si="6"/>
        <v>12</v>
      </c>
      <c r="BE24" s="2"/>
      <c r="BF24" s="2"/>
      <c r="BG24" s="8">
        <f t="shared" si="7"/>
        <v>0</v>
      </c>
      <c r="BH24" s="2">
        <f t="shared" si="8"/>
        <v>1803</v>
      </c>
    </row>
    <row r="25" spans="1:60">
      <c r="A25" s="5" t="s">
        <v>25</v>
      </c>
      <c r="B25" s="2"/>
      <c r="C25" s="2">
        <v>18</v>
      </c>
      <c r="D25" s="2"/>
      <c r="E25" s="2"/>
      <c r="F25" s="2"/>
      <c r="G25" s="2">
        <v>5</v>
      </c>
      <c r="H25" s="2"/>
      <c r="I25" s="2">
        <v>2</v>
      </c>
      <c r="J25" s="2"/>
      <c r="K25" s="2">
        <v>24</v>
      </c>
      <c r="L25" s="8">
        <f t="shared" si="0"/>
        <v>49</v>
      </c>
      <c r="M25" s="2"/>
      <c r="N25" s="2"/>
      <c r="O25" s="2"/>
      <c r="P25" s="2"/>
      <c r="Q25" s="2"/>
      <c r="R25" s="2"/>
      <c r="S25" s="2"/>
      <c r="T25" s="2"/>
      <c r="U25" s="2">
        <v>209</v>
      </c>
      <c r="V25" s="2">
        <v>84</v>
      </c>
      <c r="W25" s="2"/>
      <c r="X25" s="8">
        <f t="shared" si="1"/>
        <v>293</v>
      </c>
      <c r="Y25" s="2"/>
      <c r="Z25" s="2"/>
      <c r="AA25" s="2"/>
      <c r="AB25" s="2"/>
      <c r="AC25" s="2"/>
      <c r="AD25" s="2"/>
      <c r="AE25" s="2">
        <v>1</v>
      </c>
      <c r="AF25" s="2"/>
      <c r="AG25" s="2">
        <v>11</v>
      </c>
      <c r="AH25" s="8">
        <f t="shared" si="2"/>
        <v>12</v>
      </c>
      <c r="AI25" s="2"/>
      <c r="AJ25" s="2"/>
      <c r="AK25" s="2"/>
      <c r="AL25" s="2"/>
      <c r="AM25" s="8">
        <f t="shared" si="3"/>
        <v>0</v>
      </c>
      <c r="AN25" s="2">
        <v>12</v>
      </c>
      <c r="AO25" s="2"/>
      <c r="AP25" s="2"/>
      <c r="AQ25" s="2">
        <v>6</v>
      </c>
      <c r="AR25" s="2"/>
      <c r="AS25" s="8">
        <f t="shared" si="4"/>
        <v>18</v>
      </c>
      <c r="AT25" s="2">
        <v>1</v>
      </c>
      <c r="AU25" s="2"/>
      <c r="AV25" s="2">
        <v>7</v>
      </c>
      <c r="AW25" s="8">
        <f t="shared" si="5"/>
        <v>8</v>
      </c>
      <c r="AX25" s="2">
        <v>1</v>
      </c>
      <c r="AY25" s="2"/>
      <c r="AZ25" s="2">
        <v>1</v>
      </c>
      <c r="BA25" s="2"/>
      <c r="BB25" s="2"/>
      <c r="BC25" s="2">
        <v>2</v>
      </c>
      <c r="BD25" s="8">
        <f t="shared" si="6"/>
        <v>4</v>
      </c>
      <c r="BE25" s="2"/>
      <c r="BF25" s="2"/>
      <c r="BG25" s="8">
        <f t="shared" si="7"/>
        <v>0</v>
      </c>
      <c r="BH25" s="2">
        <f t="shared" si="8"/>
        <v>384</v>
      </c>
    </row>
    <row r="26" spans="1:60">
      <c r="A26" s="5" t="s">
        <v>64</v>
      </c>
      <c r="B26" s="2"/>
      <c r="C26" s="2">
        <v>28</v>
      </c>
      <c r="D26" s="2"/>
      <c r="E26" s="2"/>
      <c r="F26" s="2"/>
      <c r="G26" s="2"/>
      <c r="H26" s="2"/>
      <c r="I26" s="2">
        <v>26</v>
      </c>
      <c r="J26" s="2"/>
      <c r="K26" s="2">
        <v>53</v>
      </c>
      <c r="L26" s="8">
        <f t="shared" si="0"/>
        <v>107</v>
      </c>
      <c r="M26" s="2"/>
      <c r="N26" s="2">
        <v>1</v>
      </c>
      <c r="O26" s="2"/>
      <c r="P26" s="2">
        <v>3</v>
      </c>
      <c r="Q26" s="2"/>
      <c r="R26" s="2"/>
      <c r="S26" s="2"/>
      <c r="T26" s="2"/>
      <c r="U26" s="2">
        <v>187</v>
      </c>
      <c r="V26" s="2">
        <v>1</v>
      </c>
      <c r="W26" s="2"/>
      <c r="X26" s="8">
        <f t="shared" si="1"/>
        <v>192</v>
      </c>
      <c r="Y26" s="2"/>
      <c r="Z26" s="2"/>
      <c r="AA26" s="2"/>
      <c r="AB26" s="2"/>
      <c r="AC26" s="2"/>
      <c r="AD26" s="2"/>
      <c r="AE26" s="2">
        <v>4</v>
      </c>
      <c r="AF26" s="2">
        <v>2</v>
      </c>
      <c r="AG26" s="2">
        <v>21</v>
      </c>
      <c r="AH26" s="8">
        <f t="shared" si="2"/>
        <v>27</v>
      </c>
      <c r="AI26" s="2"/>
      <c r="AJ26" s="2"/>
      <c r="AK26" s="2"/>
      <c r="AL26" s="2"/>
      <c r="AM26" s="8">
        <f t="shared" si="3"/>
        <v>0</v>
      </c>
      <c r="AN26" s="2">
        <v>25</v>
      </c>
      <c r="AO26" s="2"/>
      <c r="AP26" s="2"/>
      <c r="AQ26" s="2">
        <v>18</v>
      </c>
      <c r="AR26" s="2"/>
      <c r="AS26" s="8">
        <f t="shared" si="4"/>
        <v>43</v>
      </c>
      <c r="AT26" s="2"/>
      <c r="AU26" s="2">
        <v>1</v>
      </c>
      <c r="AV26" s="2">
        <v>2</v>
      </c>
      <c r="AW26" s="8">
        <f t="shared" si="5"/>
        <v>3</v>
      </c>
      <c r="AX26" s="2"/>
      <c r="AY26" s="2"/>
      <c r="AZ26" s="2">
        <v>1</v>
      </c>
      <c r="BA26" s="2"/>
      <c r="BB26" s="2"/>
      <c r="BC26" s="2">
        <v>14</v>
      </c>
      <c r="BD26" s="8">
        <f t="shared" si="6"/>
        <v>15</v>
      </c>
      <c r="BE26" s="2"/>
      <c r="BF26" s="2"/>
      <c r="BG26" s="8">
        <f t="shared" si="7"/>
        <v>0</v>
      </c>
      <c r="BH26" s="2">
        <f t="shared" si="8"/>
        <v>387</v>
      </c>
    </row>
    <row r="27" spans="1:60">
      <c r="A27" s="5" t="s">
        <v>72</v>
      </c>
      <c r="B27" s="2"/>
      <c r="C27" s="2">
        <v>14</v>
      </c>
      <c r="D27" s="2"/>
      <c r="E27" s="2"/>
      <c r="F27" s="2"/>
      <c r="G27" s="2"/>
      <c r="H27" s="2"/>
      <c r="I27" s="2">
        <v>19</v>
      </c>
      <c r="J27" s="2"/>
      <c r="K27" s="2">
        <v>31</v>
      </c>
      <c r="L27" s="8">
        <f t="shared" si="0"/>
        <v>64</v>
      </c>
      <c r="M27" s="2"/>
      <c r="N27" s="2"/>
      <c r="O27" s="2"/>
      <c r="P27" s="2">
        <v>14</v>
      </c>
      <c r="Q27" s="2"/>
      <c r="R27" s="2"/>
      <c r="S27" s="2"/>
      <c r="T27" s="2"/>
      <c r="U27" s="2">
        <v>141</v>
      </c>
      <c r="V27" s="2"/>
      <c r="W27" s="2"/>
      <c r="X27" s="8">
        <f t="shared" si="1"/>
        <v>155</v>
      </c>
      <c r="Y27" s="2"/>
      <c r="Z27" s="2"/>
      <c r="AA27" s="2"/>
      <c r="AB27" s="2"/>
      <c r="AC27" s="2"/>
      <c r="AD27" s="2"/>
      <c r="AE27" s="2">
        <v>10</v>
      </c>
      <c r="AF27" s="2">
        <v>2</v>
      </c>
      <c r="AG27" s="2">
        <v>12</v>
      </c>
      <c r="AH27" s="8">
        <f t="shared" si="2"/>
        <v>24</v>
      </c>
      <c r="AI27" s="2"/>
      <c r="AJ27" s="2"/>
      <c r="AK27" s="2"/>
      <c r="AL27" s="2"/>
      <c r="AM27" s="8">
        <f t="shared" si="3"/>
        <v>0</v>
      </c>
      <c r="AN27" s="2">
        <v>5</v>
      </c>
      <c r="AO27" s="2"/>
      <c r="AP27" s="2"/>
      <c r="AQ27" s="2">
        <v>13</v>
      </c>
      <c r="AR27" s="2"/>
      <c r="AS27" s="8">
        <f t="shared" si="4"/>
        <v>18</v>
      </c>
      <c r="AT27" s="2"/>
      <c r="AU27" s="2"/>
      <c r="AV27" s="2">
        <v>1</v>
      </c>
      <c r="AW27" s="8">
        <f t="shared" si="5"/>
        <v>1</v>
      </c>
      <c r="AX27" s="2"/>
      <c r="AY27" s="2"/>
      <c r="AZ27" s="2">
        <v>3</v>
      </c>
      <c r="BA27" s="2"/>
      <c r="BB27" s="2"/>
      <c r="BC27" s="2">
        <v>14</v>
      </c>
      <c r="BD27" s="8">
        <f t="shared" si="6"/>
        <v>17</v>
      </c>
      <c r="BE27" s="2"/>
      <c r="BF27" s="2"/>
      <c r="BG27" s="8">
        <f t="shared" si="7"/>
        <v>0</v>
      </c>
      <c r="BH27" s="2">
        <f t="shared" si="8"/>
        <v>279</v>
      </c>
    </row>
    <row r="28" spans="1:60">
      <c r="A28" s="5" t="s">
        <v>26</v>
      </c>
      <c r="B28" s="2"/>
      <c r="C28" s="2">
        <v>16</v>
      </c>
      <c r="D28" s="2"/>
      <c r="E28" s="2"/>
      <c r="F28" s="2"/>
      <c r="G28" s="2"/>
      <c r="H28" s="2"/>
      <c r="I28" s="2">
        <v>51</v>
      </c>
      <c r="J28" s="2"/>
      <c r="K28" s="2">
        <v>70</v>
      </c>
      <c r="L28" s="8">
        <f t="shared" si="0"/>
        <v>137</v>
      </c>
      <c r="M28" s="2"/>
      <c r="N28" s="2"/>
      <c r="O28" s="2"/>
      <c r="P28" s="2">
        <v>4</v>
      </c>
      <c r="Q28" s="2"/>
      <c r="R28" s="2"/>
      <c r="S28" s="2"/>
      <c r="T28" s="2"/>
      <c r="U28" s="2">
        <v>294</v>
      </c>
      <c r="V28" s="2"/>
      <c r="W28" s="2"/>
      <c r="X28" s="8">
        <f t="shared" si="1"/>
        <v>298</v>
      </c>
      <c r="Y28" s="2">
        <v>2</v>
      </c>
      <c r="Z28" s="2">
        <v>1</v>
      </c>
      <c r="AA28" s="2"/>
      <c r="AB28" s="2"/>
      <c r="AC28" s="2"/>
      <c r="AD28" s="2"/>
      <c r="AE28" s="2">
        <v>11</v>
      </c>
      <c r="AF28" s="2">
        <v>3</v>
      </c>
      <c r="AG28" s="2">
        <v>21</v>
      </c>
      <c r="AH28" s="8">
        <f t="shared" si="2"/>
        <v>38</v>
      </c>
      <c r="AI28" s="2"/>
      <c r="AJ28" s="2"/>
      <c r="AK28" s="2"/>
      <c r="AL28" s="2"/>
      <c r="AM28" s="8">
        <f t="shared" si="3"/>
        <v>0</v>
      </c>
      <c r="AN28" s="2">
        <v>18</v>
      </c>
      <c r="AO28" s="2"/>
      <c r="AP28" s="2"/>
      <c r="AQ28" s="2">
        <v>20</v>
      </c>
      <c r="AR28" s="2"/>
      <c r="AS28" s="8">
        <f t="shared" si="4"/>
        <v>38</v>
      </c>
      <c r="AT28" s="2"/>
      <c r="AU28" s="2">
        <v>1</v>
      </c>
      <c r="AV28" s="2">
        <v>3</v>
      </c>
      <c r="AW28" s="8">
        <f t="shared" si="5"/>
        <v>4</v>
      </c>
      <c r="AX28" s="2"/>
      <c r="AY28" s="2"/>
      <c r="AZ28" s="2">
        <v>6</v>
      </c>
      <c r="BA28" s="2"/>
      <c r="BB28" s="2"/>
      <c r="BC28" s="2">
        <v>29</v>
      </c>
      <c r="BD28" s="8">
        <f t="shared" si="6"/>
        <v>35</v>
      </c>
      <c r="BE28" s="2"/>
      <c r="BF28" s="2"/>
      <c r="BG28" s="8">
        <f t="shared" si="7"/>
        <v>0</v>
      </c>
      <c r="BH28" s="2">
        <f t="shared" si="8"/>
        <v>550</v>
      </c>
    </row>
    <row r="29" spans="1:60">
      <c r="A29" s="5" t="s">
        <v>57</v>
      </c>
      <c r="B29" s="2"/>
      <c r="C29" s="2">
        <v>37</v>
      </c>
      <c r="D29" s="2"/>
      <c r="E29" s="2">
        <v>1</v>
      </c>
      <c r="F29" s="2"/>
      <c r="G29" s="2"/>
      <c r="H29" s="2"/>
      <c r="I29" s="2">
        <v>31</v>
      </c>
      <c r="J29" s="2"/>
      <c r="K29" s="2">
        <v>122</v>
      </c>
      <c r="L29" s="8">
        <f t="shared" si="0"/>
        <v>191</v>
      </c>
      <c r="M29" s="2"/>
      <c r="N29" s="2">
        <v>1</v>
      </c>
      <c r="O29" s="2"/>
      <c r="P29" s="2"/>
      <c r="Q29" s="2"/>
      <c r="R29" s="2"/>
      <c r="S29" s="2"/>
      <c r="T29" s="2"/>
      <c r="U29" s="2">
        <v>266</v>
      </c>
      <c r="V29" s="2"/>
      <c r="W29" s="2"/>
      <c r="X29" s="8">
        <f t="shared" si="1"/>
        <v>267</v>
      </c>
      <c r="Y29" s="2"/>
      <c r="Z29" s="2">
        <v>1</v>
      </c>
      <c r="AA29" s="2"/>
      <c r="AB29" s="2"/>
      <c r="AC29" s="2"/>
      <c r="AD29" s="2"/>
      <c r="AE29" s="2">
        <v>5</v>
      </c>
      <c r="AF29" s="2">
        <v>4</v>
      </c>
      <c r="AG29" s="2">
        <v>33</v>
      </c>
      <c r="AH29" s="8">
        <f t="shared" si="2"/>
        <v>43</v>
      </c>
      <c r="AI29" s="2"/>
      <c r="AJ29" s="2"/>
      <c r="AK29" s="2"/>
      <c r="AL29" s="2"/>
      <c r="AM29" s="8">
        <f t="shared" si="3"/>
        <v>0</v>
      </c>
      <c r="AN29" s="2">
        <v>14</v>
      </c>
      <c r="AO29" s="2"/>
      <c r="AP29" s="2"/>
      <c r="AQ29" s="2">
        <v>39</v>
      </c>
      <c r="AR29" s="2"/>
      <c r="AS29" s="8">
        <f t="shared" si="4"/>
        <v>53</v>
      </c>
      <c r="AT29" s="2"/>
      <c r="AU29" s="2">
        <v>2</v>
      </c>
      <c r="AV29" s="2">
        <v>2</v>
      </c>
      <c r="AW29" s="8">
        <f t="shared" si="5"/>
        <v>4</v>
      </c>
      <c r="AX29" s="2">
        <v>1</v>
      </c>
      <c r="AY29" s="2">
        <v>1</v>
      </c>
      <c r="AZ29" s="2">
        <v>2</v>
      </c>
      <c r="BA29" s="2"/>
      <c r="BB29" s="2"/>
      <c r="BC29" s="2">
        <v>53</v>
      </c>
      <c r="BD29" s="8">
        <f t="shared" si="6"/>
        <v>57</v>
      </c>
      <c r="BE29" s="2"/>
      <c r="BF29" s="2"/>
      <c r="BG29" s="8">
        <f t="shared" si="7"/>
        <v>0</v>
      </c>
      <c r="BH29" s="2">
        <f t="shared" si="8"/>
        <v>615</v>
      </c>
    </row>
    <row r="30" spans="1:60">
      <c r="A30" s="5" t="s">
        <v>74</v>
      </c>
      <c r="B30" s="2"/>
      <c r="C30" s="2">
        <v>13</v>
      </c>
      <c r="D30" s="2"/>
      <c r="E30" s="2"/>
      <c r="F30" s="2"/>
      <c r="G30" s="2"/>
      <c r="H30" s="2"/>
      <c r="I30" s="2">
        <v>32</v>
      </c>
      <c r="J30" s="2"/>
      <c r="K30" s="2">
        <v>41</v>
      </c>
      <c r="L30" s="8">
        <f t="shared" si="0"/>
        <v>86</v>
      </c>
      <c r="M30" s="2"/>
      <c r="N30" s="2"/>
      <c r="O30" s="2"/>
      <c r="P30" s="2">
        <v>1</v>
      </c>
      <c r="Q30" s="2"/>
      <c r="R30" s="2"/>
      <c r="S30" s="2"/>
      <c r="T30" s="2"/>
      <c r="U30" s="2">
        <v>196</v>
      </c>
      <c r="V30" s="2"/>
      <c r="W30" s="2"/>
      <c r="X30" s="8">
        <f t="shared" si="1"/>
        <v>197</v>
      </c>
      <c r="Y30" s="2"/>
      <c r="Z30" s="2">
        <v>1</v>
      </c>
      <c r="AA30" s="2"/>
      <c r="AB30" s="2"/>
      <c r="AC30" s="2"/>
      <c r="AD30" s="2">
        <v>1</v>
      </c>
      <c r="AE30" s="2">
        <v>6</v>
      </c>
      <c r="AF30" s="2">
        <v>3</v>
      </c>
      <c r="AG30" s="2">
        <v>17</v>
      </c>
      <c r="AH30" s="8">
        <f t="shared" si="2"/>
        <v>28</v>
      </c>
      <c r="AI30" s="2"/>
      <c r="AJ30" s="2"/>
      <c r="AK30" s="2"/>
      <c r="AL30" s="2"/>
      <c r="AM30" s="8">
        <f t="shared" si="3"/>
        <v>0</v>
      </c>
      <c r="AN30" s="2">
        <v>19</v>
      </c>
      <c r="AO30" s="2"/>
      <c r="AP30" s="2"/>
      <c r="AQ30" s="2">
        <v>11</v>
      </c>
      <c r="AR30" s="2"/>
      <c r="AS30" s="8">
        <f t="shared" si="4"/>
        <v>30</v>
      </c>
      <c r="AT30" s="2"/>
      <c r="AU30" s="2"/>
      <c r="AV30" s="2">
        <v>2</v>
      </c>
      <c r="AW30" s="8">
        <f t="shared" si="5"/>
        <v>2</v>
      </c>
      <c r="AX30" s="2"/>
      <c r="AY30" s="2"/>
      <c r="AZ30" s="2">
        <v>2</v>
      </c>
      <c r="BA30" s="2"/>
      <c r="BB30" s="2"/>
      <c r="BC30" s="2">
        <v>19</v>
      </c>
      <c r="BD30" s="8">
        <f t="shared" si="6"/>
        <v>21</v>
      </c>
      <c r="BE30" s="2"/>
      <c r="BF30" s="2"/>
      <c r="BG30" s="8">
        <f t="shared" si="7"/>
        <v>0</v>
      </c>
      <c r="BH30" s="2">
        <f t="shared" si="8"/>
        <v>364</v>
      </c>
    </row>
    <row r="31" spans="1:60">
      <c r="A31" s="5" t="s">
        <v>27</v>
      </c>
      <c r="B31" s="2"/>
      <c r="C31" s="2">
        <v>4</v>
      </c>
      <c r="D31" s="2"/>
      <c r="E31" s="2"/>
      <c r="F31" s="2"/>
      <c r="G31" s="2"/>
      <c r="H31" s="2"/>
      <c r="I31" s="2"/>
      <c r="J31" s="2"/>
      <c r="K31" s="2">
        <v>30</v>
      </c>
      <c r="L31" s="8">
        <f t="shared" si="0"/>
        <v>34</v>
      </c>
      <c r="M31" s="2"/>
      <c r="N31" s="2"/>
      <c r="O31" s="2"/>
      <c r="P31" s="2"/>
      <c r="Q31" s="2"/>
      <c r="R31" s="2"/>
      <c r="S31" s="2"/>
      <c r="T31" s="2"/>
      <c r="U31" s="2">
        <v>30</v>
      </c>
      <c r="V31" s="2"/>
      <c r="W31" s="2"/>
      <c r="X31" s="8">
        <f t="shared" si="1"/>
        <v>30</v>
      </c>
      <c r="Y31" s="2"/>
      <c r="Z31" s="2"/>
      <c r="AA31" s="2"/>
      <c r="AB31" s="2"/>
      <c r="AC31" s="2"/>
      <c r="AD31" s="2"/>
      <c r="AE31" s="2"/>
      <c r="AF31" s="2"/>
      <c r="AG31" s="2">
        <v>2</v>
      </c>
      <c r="AH31" s="8">
        <f t="shared" si="2"/>
        <v>2</v>
      </c>
      <c r="AI31" s="2"/>
      <c r="AJ31" s="2"/>
      <c r="AK31" s="2"/>
      <c r="AL31" s="2"/>
      <c r="AM31" s="8">
        <f t="shared" si="3"/>
        <v>0</v>
      </c>
      <c r="AN31" s="2">
        <v>1</v>
      </c>
      <c r="AO31" s="2"/>
      <c r="AP31" s="2"/>
      <c r="AQ31" s="2"/>
      <c r="AR31" s="2"/>
      <c r="AS31" s="8">
        <f t="shared" si="4"/>
        <v>1</v>
      </c>
      <c r="AT31" s="2"/>
      <c r="AU31" s="2">
        <v>1</v>
      </c>
      <c r="AV31" s="2"/>
      <c r="AW31" s="8">
        <f t="shared" si="5"/>
        <v>1</v>
      </c>
      <c r="AX31" s="2"/>
      <c r="AY31" s="2"/>
      <c r="AZ31" s="2"/>
      <c r="BA31" s="2"/>
      <c r="BB31" s="2"/>
      <c r="BC31" s="2">
        <v>25</v>
      </c>
      <c r="BD31" s="8">
        <f t="shared" si="6"/>
        <v>25</v>
      </c>
      <c r="BE31" s="2"/>
      <c r="BF31" s="2"/>
      <c r="BG31" s="8">
        <f t="shared" si="7"/>
        <v>0</v>
      </c>
      <c r="BH31" s="2">
        <f t="shared" si="8"/>
        <v>93</v>
      </c>
    </row>
    <row r="32" spans="1:60">
      <c r="A32" s="5" t="s">
        <v>28</v>
      </c>
      <c r="B32" s="2"/>
      <c r="C32" s="2">
        <v>66</v>
      </c>
      <c r="D32" s="2"/>
      <c r="E32" s="2"/>
      <c r="F32" s="2"/>
      <c r="G32" s="2"/>
      <c r="H32" s="2"/>
      <c r="I32" s="2"/>
      <c r="J32" s="2"/>
      <c r="K32" s="2">
        <v>196</v>
      </c>
      <c r="L32" s="8">
        <f t="shared" si="0"/>
        <v>262</v>
      </c>
      <c r="M32" s="2"/>
      <c r="N32" s="2"/>
      <c r="O32" s="2"/>
      <c r="P32" s="2"/>
      <c r="Q32" s="2"/>
      <c r="R32" s="2"/>
      <c r="S32" s="2"/>
      <c r="T32" s="2"/>
      <c r="U32" s="2">
        <v>368</v>
      </c>
      <c r="V32" s="2"/>
      <c r="W32" s="2"/>
      <c r="X32" s="8">
        <f t="shared" si="1"/>
        <v>368</v>
      </c>
      <c r="Y32" s="2"/>
      <c r="Z32" s="2"/>
      <c r="AA32" s="2"/>
      <c r="AB32" s="2"/>
      <c r="AC32" s="2"/>
      <c r="AD32" s="2"/>
      <c r="AE32" s="2"/>
      <c r="AF32" s="2">
        <v>1</v>
      </c>
      <c r="AG32" s="2">
        <v>6</v>
      </c>
      <c r="AH32" s="8">
        <f t="shared" si="2"/>
        <v>7</v>
      </c>
      <c r="AI32" s="2"/>
      <c r="AJ32" s="2"/>
      <c r="AK32" s="2"/>
      <c r="AL32" s="2"/>
      <c r="AM32" s="8">
        <f t="shared" si="3"/>
        <v>0</v>
      </c>
      <c r="AN32" s="2">
        <v>24</v>
      </c>
      <c r="AO32" s="2"/>
      <c r="AP32" s="2"/>
      <c r="AQ32" s="2"/>
      <c r="AR32" s="2"/>
      <c r="AS32" s="8">
        <f t="shared" si="4"/>
        <v>24</v>
      </c>
      <c r="AT32" s="2"/>
      <c r="AU32" s="2"/>
      <c r="AV32" s="2">
        <v>1</v>
      </c>
      <c r="AW32" s="8">
        <f t="shared" si="5"/>
        <v>1</v>
      </c>
      <c r="AX32" s="2"/>
      <c r="AY32" s="2">
        <v>1</v>
      </c>
      <c r="AZ32" s="2"/>
      <c r="BA32" s="2"/>
      <c r="BB32" s="2"/>
      <c r="BC32" s="2">
        <v>25</v>
      </c>
      <c r="BD32" s="8">
        <f t="shared" si="6"/>
        <v>26</v>
      </c>
      <c r="BE32" s="2"/>
      <c r="BF32" s="2"/>
      <c r="BG32" s="8">
        <f t="shared" si="7"/>
        <v>0</v>
      </c>
      <c r="BH32" s="2">
        <f t="shared" si="8"/>
        <v>688</v>
      </c>
    </row>
    <row r="33" spans="1:60">
      <c r="A33" s="5" t="s">
        <v>29</v>
      </c>
      <c r="B33" s="2"/>
      <c r="C33" s="2">
        <v>18</v>
      </c>
      <c r="D33" s="2"/>
      <c r="E33" s="2"/>
      <c r="F33" s="2"/>
      <c r="G33" s="2"/>
      <c r="H33" s="2"/>
      <c r="I33" s="2"/>
      <c r="J33" s="2"/>
      <c r="K33" s="2">
        <v>31</v>
      </c>
      <c r="L33" s="8">
        <f t="shared" si="0"/>
        <v>49</v>
      </c>
      <c r="M33" s="2"/>
      <c r="N33" s="2"/>
      <c r="O33" s="2"/>
      <c r="P33" s="2"/>
      <c r="Q33" s="2"/>
      <c r="R33" s="2"/>
      <c r="S33" s="2"/>
      <c r="T33" s="2"/>
      <c r="U33" s="2">
        <v>153</v>
      </c>
      <c r="V33" s="2"/>
      <c r="W33" s="2"/>
      <c r="X33" s="8">
        <f t="shared" si="1"/>
        <v>153</v>
      </c>
      <c r="Y33" s="2"/>
      <c r="Z33" s="2"/>
      <c r="AA33" s="2"/>
      <c r="AB33" s="2"/>
      <c r="AC33" s="2"/>
      <c r="AD33" s="2"/>
      <c r="AE33" s="2"/>
      <c r="AF33" s="2">
        <v>2</v>
      </c>
      <c r="AG33" s="2">
        <v>10</v>
      </c>
      <c r="AH33" s="8">
        <f t="shared" si="2"/>
        <v>12</v>
      </c>
      <c r="AI33" s="2"/>
      <c r="AJ33" s="2"/>
      <c r="AK33" s="2"/>
      <c r="AL33" s="2"/>
      <c r="AM33" s="8">
        <f t="shared" si="3"/>
        <v>0</v>
      </c>
      <c r="AN33" s="2">
        <v>25</v>
      </c>
      <c r="AO33" s="2"/>
      <c r="AP33" s="2"/>
      <c r="AQ33" s="2"/>
      <c r="AR33" s="2"/>
      <c r="AS33" s="8">
        <f t="shared" si="4"/>
        <v>25</v>
      </c>
      <c r="AT33" s="2"/>
      <c r="AU33" s="2"/>
      <c r="AV33" s="2"/>
      <c r="AW33" s="8">
        <f t="shared" si="5"/>
        <v>0</v>
      </c>
      <c r="AX33" s="2"/>
      <c r="AY33" s="2"/>
      <c r="AZ33" s="2"/>
      <c r="BA33" s="2"/>
      <c r="BB33" s="2"/>
      <c r="BC33" s="2">
        <v>13</v>
      </c>
      <c r="BD33" s="8">
        <f t="shared" si="6"/>
        <v>13</v>
      </c>
      <c r="BE33" s="2"/>
      <c r="BF33" s="2"/>
      <c r="BG33" s="8">
        <f t="shared" si="7"/>
        <v>0</v>
      </c>
      <c r="BH33" s="2">
        <f t="shared" si="8"/>
        <v>252</v>
      </c>
    </row>
    <row r="34" spans="1:60">
      <c r="A34" s="5" t="s">
        <v>30</v>
      </c>
      <c r="B34" s="2"/>
      <c r="C34" s="2">
        <v>31</v>
      </c>
      <c r="D34" s="2"/>
      <c r="E34" s="2"/>
      <c r="F34" s="2"/>
      <c r="G34" s="2"/>
      <c r="H34" s="2"/>
      <c r="I34" s="2"/>
      <c r="J34" s="2"/>
      <c r="K34" s="2">
        <v>45</v>
      </c>
      <c r="L34" s="8">
        <f t="shared" si="0"/>
        <v>76</v>
      </c>
      <c r="M34" s="2"/>
      <c r="N34" s="2"/>
      <c r="O34" s="2"/>
      <c r="P34" s="2"/>
      <c r="Q34" s="2"/>
      <c r="R34" s="2"/>
      <c r="S34" s="2"/>
      <c r="T34" s="2"/>
      <c r="U34" s="2">
        <v>275</v>
      </c>
      <c r="V34" s="2"/>
      <c r="W34" s="2"/>
      <c r="X34" s="8">
        <f t="shared" si="1"/>
        <v>275</v>
      </c>
      <c r="Y34" s="2"/>
      <c r="Z34" s="2"/>
      <c r="AA34" s="2"/>
      <c r="AB34" s="2"/>
      <c r="AC34" s="2"/>
      <c r="AD34" s="2"/>
      <c r="AE34" s="2"/>
      <c r="AF34" s="2">
        <v>3</v>
      </c>
      <c r="AG34" s="2">
        <v>9</v>
      </c>
      <c r="AH34" s="8">
        <f t="shared" si="2"/>
        <v>12</v>
      </c>
      <c r="AI34" s="2"/>
      <c r="AJ34" s="2"/>
      <c r="AK34" s="2"/>
      <c r="AL34" s="2"/>
      <c r="AM34" s="8">
        <f t="shared" si="3"/>
        <v>0</v>
      </c>
      <c r="AN34" s="2">
        <v>45</v>
      </c>
      <c r="AO34" s="2"/>
      <c r="AP34" s="2"/>
      <c r="AQ34" s="2"/>
      <c r="AR34" s="2"/>
      <c r="AS34" s="8">
        <f t="shared" si="4"/>
        <v>45</v>
      </c>
      <c r="AT34" s="2"/>
      <c r="AU34" s="2">
        <v>3</v>
      </c>
      <c r="AV34" s="2">
        <v>3</v>
      </c>
      <c r="AW34" s="8">
        <f t="shared" si="5"/>
        <v>6</v>
      </c>
      <c r="AX34" s="2"/>
      <c r="AY34" s="2"/>
      <c r="AZ34" s="2"/>
      <c r="BA34" s="2"/>
      <c r="BB34" s="2"/>
      <c r="BC34" s="2">
        <v>24</v>
      </c>
      <c r="BD34" s="8">
        <f t="shared" si="6"/>
        <v>24</v>
      </c>
      <c r="BE34" s="2"/>
      <c r="BF34" s="2"/>
      <c r="BG34" s="8">
        <f t="shared" si="7"/>
        <v>0</v>
      </c>
      <c r="BH34" s="2">
        <f t="shared" si="8"/>
        <v>438</v>
      </c>
    </row>
    <row r="35" spans="1:60">
      <c r="A35" s="5" t="s">
        <v>31</v>
      </c>
      <c r="B35" s="2"/>
      <c r="C35" s="2">
        <v>6</v>
      </c>
      <c r="D35" s="2"/>
      <c r="E35" s="2"/>
      <c r="F35" s="2"/>
      <c r="G35" s="2"/>
      <c r="H35" s="2"/>
      <c r="I35" s="2"/>
      <c r="J35" s="2"/>
      <c r="K35" s="2">
        <v>25</v>
      </c>
      <c r="L35" s="8">
        <f t="shared" si="0"/>
        <v>31</v>
      </c>
      <c r="M35" s="2"/>
      <c r="N35" s="2"/>
      <c r="O35" s="2"/>
      <c r="P35" s="2"/>
      <c r="Q35" s="2"/>
      <c r="R35" s="2"/>
      <c r="S35" s="2"/>
      <c r="T35" s="2"/>
      <c r="U35" s="2">
        <v>31</v>
      </c>
      <c r="V35" s="2"/>
      <c r="W35" s="2"/>
      <c r="X35" s="8">
        <f t="shared" si="1"/>
        <v>31</v>
      </c>
      <c r="Y35" s="2"/>
      <c r="Z35" s="2"/>
      <c r="AA35" s="2"/>
      <c r="AB35" s="2"/>
      <c r="AC35" s="2"/>
      <c r="AD35" s="2"/>
      <c r="AE35" s="2"/>
      <c r="AF35" s="2"/>
      <c r="AG35" s="2">
        <v>2</v>
      </c>
      <c r="AH35" s="8">
        <f t="shared" si="2"/>
        <v>2</v>
      </c>
      <c r="AI35" s="2"/>
      <c r="AJ35" s="2"/>
      <c r="AK35" s="2"/>
      <c r="AL35" s="2"/>
      <c r="AM35" s="8">
        <f t="shared" si="3"/>
        <v>0</v>
      </c>
      <c r="AN35" s="2"/>
      <c r="AO35" s="2"/>
      <c r="AP35" s="2"/>
      <c r="AQ35" s="2"/>
      <c r="AR35" s="2"/>
      <c r="AS35" s="8">
        <f t="shared" si="4"/>
        <v>0</v>
      </c>
      <c r="AT35" s="2"/>
      <c r="AU35" s="2"/>
      <c r="AV35" s="2"/>
      <c r="AW35" s="8">
        <f t="shared" si="5"/>
        <v>0</v>
      </c>
      <c r="AX35" s="2"/>
      <c r="AY35" s="2">
        <v>1</v>
      </c>
      <c r="AZ35" s="2"/>
      <c r="BA35" s="2"/>
      <c r="BB35" s="2"/>
      <c r="BC35" s="2">
        <v>22</v>
      </c>
      <c r="BD35" s="8">
        <f t="shared" si="6"/>
        <v>23</v>
      </c>
      <c r="BE35" s="2"/>
      <c r="BF35" s="2"/>
      <c r="BG35" s="8">
        <f t="shared" si="7"/>
        <v>0</v>
      </c>
      <c r="BH35" s="2">
        <f t="shared" si="8"/>
        <v>87</v>
      </c>
    </row>
    <row r="36" spans="1:60">
      <c r="A36" s="5" t="s">
        <v>32</v>
      </c>
      <c r="B36" s="2"/>
      <c r="C36" s="2">
        <v>20</v>
      </c>
      <c r="D36" s="2"/>
      <c r="E36" s="2"/>
      <c r="F36" s="2"/>
      <c r="G36" s="2"/>
      <c r="H36" s="2"/>
      <c r="I36" s="2"/>
      <c r="J36" s="2">
        <v>166</v>
      </c>
      <c r="K36" s="2"/>
      <c r="L36" s="8">
        <f t="shared" ref="L36:L67" si="9">SUM(B36:K36)</f>
        <v>186</v>
      </c>
      <c r="M36" s="2"/>
      <c r="N36" s="2"/>
      <c r="O36" s="2"/>
      <c r="P36" s="2"/>
      <c r="Q36" s="2"/>
      <c r="R36" s="2"/>
      <c r="S36" s="2"/>
      <c r="T36" s="2"/>
      <c r="U36" s="2">
        <v>8</v>
      </c>
      <c r="V36" s="2"/>
      <c r="W36" s="2"/>
      <c r="X36" s="8">
        <f t="shared" si="1"/>
        <v>8</v>
      </c>
      <c r="Y36" s="2"/>
      <c r="Z36" s="2"/>
      <c r="AA36" s="2"/>
      <c r="AB36" s="2"/>
      <c r="AC36" s="2">
        <v>23</v>
      </c>
      <c r="AD36" s="2"/>
      <c r="AE36" s="2">
        <v>10</v>
      </c>
      <c r="AF36" s="2">
        <v>4</v>
      </c>
      <c r="AG36" s="2">
        <v>29</v>
      </c>
      <c r="AH36" s="8">
        <f t="shared" si="2"/>
        <v>66</v>
      </c>
      <c r="AI36" s="2"/>
      <c r="AJ36" s="2"/>
      <c r="AK36" s="2"/>
      <c r="AL36" s="2"/>
      <c r="AM36" s="8">
        <f t="shared" si="3"/>
        <v>0</v>
      </c>
      <c r="AN36" s="2">
        <v>27</v>
      </c>
      <c r="AO36" s="2"/>
      <c r="AP36" s="2"/>
      <c r="AQ36" s="2">
        <v>4</v>
      </c>
      <c r="AR36" s="2"/>
      <c r="AS36" s="8">
        <f t="shared" ref="AS36:AS67" si="10">SUM(AN36:AQ36)</f>
        <v>31</v>
      </c>
      <c r="AT36" s="2"/>
      <c r="AU36" s="2"/>
      <c r="AV36" s="2">
        <v>4</v>
      </c>
      <c r="AW36" s="8">
        <f t="shared" si="5"/>
        <v>4</v>
      </c>
      <c r="AX36" s="2"/>
      <c r="AY36" s="2"/>
      <c r="AZ36" s="2">
        <v>6</v>
      </c>
      <c r="BA36" s="2"/>
      <c r="BB36" s="2"/>
      <c r="BC36" s="2">
        <v>171</v>
      </c>
      <c r="BD36" s="8">
        <f t="shared" si="6"/>
        <v>177</v>
      </c>
      <c r="BE36" s="2"/>
      <c r="BF36" s="2"/>
      <c r="BG36" s="8">
        <f t="shared" si="7"/>
        <v>0</v>
      </c>
      <c r="BH36" s="2">
        <f t="shared" ref="BH36:BH67" si="11">SUM(BD36,AH36,L36,X36,AS36,AW36,AM36,BG36)</f>
        <v>472</v>
      </c>
    </row>
    <row r="37" spans="1:60">
      <c r="A37" s="5" t="s">
        <v>33</v>
      </c>
      <c r="B37" s="2"/>
      <c r="C37" s="2">
        <v>9</v>
      </c>
      <c r="D37" s="2"/>
      <c r="E37" s="2"/>
      <c r="F37" s="2"/>
      <c r="G37" s="2"/>
      <c r="H37" s="2">
        <v>1</v>
      </c>
      <c r="I37" s="2">
        <v>1</v>
      </c>
      <c r="J37" s="2">
        <v>101</v>
      </c>
      <c r="K37" s="2"/>
      <c r="L37" s="8">
        <f t="shared" si="9"/>
        <v>112</v>
      </c>
      <c r="M37" s="2"/>
      <c r="N37" s="2"/>
      <c r="O37" s="2"/>
      <c r="P37" s="2">
        <v>1</v>
      </c>
      <c r="Q37" s="2"/>
      <c r="R37" s="2"/>
      <c r="S37" s="2"/>
      <c r="T37" s="2"/>
      <c r="U37" s="2">
        <v>31</v>
      </c>
      <c r="V37" s="2"/>
      <c r="W37" s="2"/>
      <c r="X37" s="8">
        <f t="shared" si="1"/>
        <v>32</v>
      </c>
      <c r="Y37" s="2"/>
      <c r="Z37" s="2"/>
      <c r="AA37" s="2"/>
      <c r="AB37" s="2"/>
      <c r="AC37" s="2">
        <v>10</v>
      </c>
      <c r="AD37" s="2"/>
      <c r="AE37" s="2">
        <v>2</v>
      </c>
      <c r="AF37" s="2">
        <v>2</v>
      </c>
      <c r="AG37" s="2">
        <v>19</v>
      </c>
      <c r="AH37" s="8">
        <f t="shared" si="2"/>
        <v>33</v>
      </c>
      <c r="AI37" s="2"/>
      <c r="AJ37" s="2"/>
      <c r="AK37" s="2"/>
      <c r="AL37" s="2"/>
      <c r="AM37" s="8">
        <f t="shared" si="3"/>
        <v>0</v>
      </c>
      <c r="AN37" s="2">
        <v>15</v>
      </c>
      <c r="AO37" s="2"/>
      <c r="AP37" s="2"/>
      <c r="AQ37" s="2">
        <v>2</v>
      </c>
      <c r="AR37" s="2">
        <v>2</v>
      </c>
      <c r="AS37" s="8">
        <f t="shared" si="10"/>
        <v>17</v>
      </c>
      <c r="AT37" s="2"/>
      <c r="AU37" s="2"/>
      <c r="AV37" s="2"/>
      <c r="AW37" s="8">
        <f t="shared" si="5"/>
        <v>0</v>
      </c>
      <c r="AX37" s="2"/>
      <c r="AY37" s="2"/>
      <c r="AZ37" s="2">
        <v>8</v>
      </c>
      <c r="BA37" s="2"/>
      <c r="BB37" s="2"/>
      <c r="BC37" s="2">
        <v>104</v>
      </c>
      <c r="BD37" s="8">
        <f t="shared" si="6"/>
        <v>112</v>
      </c>
      <c r="BE37" s="2"/>
      <c r="BF37" s="2"/>
      <c r="BG37" s="8">
        <f t="shared" si="7"/>
        <v>0</v>
      </c>
      <c r="BH37" s="2">
        <f t="shared" si="11"/>
        <v>306</v>
      </c>
    </row>
    <row r="38" spans="1:60">
      <c r="A38" s="5" t="s">
        <v>34</v>
      </c>
      <c r="B38" s="2"/>
      <c r="C38" s="2">
        <v>55</v>
      </c>
      <c r="D38" s="2"/>
      <c r="E38" s="2">
        <v>1</v>
      </c>
      <c r="F38" s="2"/>
      <c r="G38" s="2"/>
      <c r="H38" s="2">
        <v>2</v>
      </c>
      <c r="I38" s="2">
        <v>7</v>
      </c>
      <c r="J38" s="2">
        <v>404</v>
      </c>
      <c r="K38" s="2"/>
      <c r="L38" s="8">
        <f t="shared" si="9"/>
        <v>469</v>
      </c>
      <c r="M38" s="2"/>
      <c r="N38" s="2"/>
      <c r="O38" s="2"/>
      <c r="P38" s="2">
        <v>2</v>
      </c>
      <c r="Q38" s="2"/>
      <c r="R38" s="2"/>
      <c r="S38" s="2"/>
      <c r="T38" s="2"/>
      <c r="U38" s="2">
        <v>91</v>
      </c>
      <c r="V38" s="2"/>
      <c r="W38" s="2"/>
      <c r="X38" s="8">
        <f t="shared" si="1"/>
        <v>93</v>
      </c>
      <c r="Y38" s="2"/>
      <c r="Z38" s="2">
        <v>4</v>
      </c>
      <c r="AA38" s="2"/>
      <c r="AB38" s="2"/>
      <c r="AC38" s="2">
        <v>37</v>
      </c>
      <c r="AD38" s="2"/>
      <c r="AE38" s="2">
        <v>34</v>
      </c>
      <c r="AF38" s="2">
        <v>9</v>
      </c>
      <c r="AG38" s="2">
        <v>59</v>
      </c>
      <c r="AH38" s="8">
        <f t="shared" si="2"/>
        <v>143</v>
      </c>
      <c r="AI38" s="2"/>
      <c r="AJ38" s="2"/>
      <c r="AK38" s="2"/>
      <c r="AL38" s="2"/>
      <c r="AM38" s="8">
        <f t="shared" si="3"/>
        <v>0</v>
      </c>
      <c r="AN38" s="2">
        <v>88</v>
      </c>
      <c r="AO38" s="2"/>
      <c r="AP38" s="2"/>
      <c r="AQ38" s="2">
        <v>5</v>
      </c>
      <c r="AR38" s="2">
        <v>3</v>
      </c>
      <c r="AS38" s="8">
        <f t="shared" si="10"/>
        <v>93</v>
      </c>
      <c r="AT38" s="2"/>
      <c r="AU38" s="2">
        <v>1</v>
      </c>
      <c r="AV38" s="2">
        <v>20</v>
      </c>
      <c r="AW38" s="8">
        <f t="shared" si="5"/>
        <v>21</v>
      </c>
      <c r="AX38" s="2">
        <v>1</v>
      </c>
      <c r="AY38" s="2"/>
      <c r="AZ38" s="2">
        <v>12</v>
      </c>
      <c r="BA38" s="2"/>
      <c r="BB38" s="2"/>
      <c r="BC38" s="2">
        <v>330</v>
      </c>
      <c r="BD38" s="8">
        <f t="shared" si="6"/>
        <v>343</v>
      </c>
      <c r="BE38" s="2"/>
      <c r="BF38" s="2"/>
      <c r="BG38" s="8">
        <f t="shared" si="7"/>
        <v>0</v>
      </c>
      <c r="BH38" s="2">
        <f t="shared" si="11"/>
        <v>1162</v>
      </c>
    </row>
    <row r="39" spans="1:60">
      <c r="A39" s="5" t="s">
        <v>35</v>
      </c>
      <c r="B39" s="2"/>
      <c r="C39" s="2">
        <v>4</v>
      </c>
      <c r="D39" s="2"/>
      <c r="E39" s="2"/>
      <c r="F39" s="2"/>
      <c r="G39" s="2"/>
      <c r="H39" s="2"/>
      <c r="I39" s="2"/>
      <c r="J39" s="2">
        <v>92</v>
      </c>
      <c r="K39" s="2"/>
      <c r="L39" s="8">
        <f t="shared" si="9"/>
        <v>96</v>
      </c>
      <c r="M39" s="2"/>
      <c r="N39" s="2"/>
      <c r="O39" s="2"/>
      <c r="P39" s="2"/>
      <c r="Q39" s="2"/>
      <c r="R39" s="2"/>
      <c r="S39" s="2"/>
      <c r="T39" s="2"/>
      <c r="U39" s="2">
        <v>15</v>
      </c>
      <c r="V39" s="2"/>
      <c r="W39" s="2"/>
      <c r="X39" s="8">
        <f t="shared" si="1"/>
        <v>15</v>
      </c>
      <c r="Y39" s="2"/>
      <c r="Z39" s="2"/>
      <c r="AA39" s="2"/>
      <c r="AB39" s="2"/>
      <c r="AC39" s="2">
        <v>2</v>
      </c>
      <c r="AD39" s="2"/>
      <c r="AE39" s="2"/>
      <c r="AF39" s="2">
        <v>1</v>
      </c>
      <c r="AG39" s="2">
        <v>3</v>
      </c>
      <c r="AH39" s="8">
        <f t="shared" si="2"/>
        <v>6</v>
      </c>
      <c r="AI39" s="2"/>
      <c r="AJ39" s="2"/>
      <c r="AK39" s="2"/>
      <c r="AL39" s="2"/>
      <c r="AM39" s="8">
        <f t="shared" si="3"/>
        <v>0</v>
      </c>
      <c r="AN39" s="2">
        <v>8</v>
      </c>
      <c r="AO39" s="2"/>
      <c r="AP39" s="2"/>
      <c r="AQ39" s="2">
        <v>3</v>
      </c>
      <c r="AR39" s="2">
        <v>1</v>
      </c>
      <c r="AS39" s="8">
        <f t="shared" si="10"/>
        <v>11</v>
      </c>
      <c r="AT39" s="2"/>
      <c r="AU39" s="2"/>
      <c r="AV39" s="2"/>
      <c r="AW39" s="8">
        <f t="shared" si="5"/>
        <v>0</v>
      </c>
      <c r="AX39" s="2">
        <v>1</v>
      </c>
      <c r="AY39" s="2"/>
      <c r="AZ39" s="2">
        <v>4</v>
      </c>
      <c r="BA39" s="2"/>
      <c r="BB39" s="2"/>
      <c r="BC39" s="2">
        <v>78</v>
      </c>
      <c r="BD39" s="8">
        <f t="shared" si="6"/>
        <v>83</v>
      </c>
      <c r="BE39" s="2"/>
      <c r="BF39" s="2"/>
      <c r="BG39" s="8">
        <f t="shared" si="7"/>
        <v>0</v>
      </c>
      <c r="BH39" s="2">
        <f t="shared" si="11"/>
        <v>211</v>
      </c>
    </row>
    <row r="40" spans="1:60">
      <c r="A40" s="5" t="s">
        <v>36</v>
      </c>
      <c r="B40" s="2"/>
      <c r="C40" s="2">
        <v>13</v>
      </c>
      <c r="D40" s="2"/>
      <c r="E40" s="2"/>
      <c r="F40" s="2"/>
      <c r="G40" s="2"/>
      <c r="H40" s="2">
        <v>1</v>
      </c>
      <c r="I40" s="2">
        <v>3</v>
      </c>
      <c r="J40" s="2">
        <v>68</v>
      </c>
      <c r="K40" s="2"/>
      <c r="L40" s="8">
        <f t="shared" si="9"/>
        <v>85</v>
      </c>
      <c r="M40" s="2"/>
      <c r="N40" s="2"/>
      <c r="O40" s="2"/>
      <c r="P40" s="2"/>
      <c r="Q40" s="2"/>
      <c r="R40" s="2"/>
      <c r="S40" s="2"/>
      <c r="T40" s="2"/>
      <c r="U40" s="2">
        <v>9</v>
      </c>
      <c r="V40" s="2"/>
      <c r="W40" s="2"/>
      <c r="X40" s="8">
        <f t="shared" si="1"/>
        <v>9</v>
      </c>
      <c r="Y40" s="2"/>
      <c r="Z40" s="2"/>
      <c r="AA40" s="2"/>
      <c r="AB40" s="2"/>
      <c r="AC40" s="2">
        <v>4</v>
      </c>
      <c r="AD40" s="2"/>
      <c r="AE40" s="2">
        <v>4</v>
      </c>
      <c r="AF40" s="2"/>
      <c r="AG40" s="2">
        <v>4</v>
      </c>
      <c r="AH40" s="8">
        <f t="shared" si="2"/>
        <v>12</v>
      </c>
      <c r="AI40" s="2"/>
      <c r="AJ40" s="2"/>
      <c r="AK40" s="2"/>
      <c r="AL40" s="2"/>
      <c r="AM40" s="8">
        <f t="shared" si="3"/>
        <v>0</v>
      </c>
      <c r="AN40" s="2">
        <v>2</v>
      </c>
      <c r="AO40" s="2"/>
      <c r="AP40" s="2"/>
      <c r="AQ40" s="2">
        <v>2</v>
      </c>
      <c r="AR40" s="2">
        <v>1</v>
      </c>
      <c r="AS40" s="8">
        <f t="shared" si="10"/>
        <v>4</v>
      </c>
      <c r="AT40" s="2"/>
      <c r="AU40" s="2"/>
      <c r="AV40" s="2">
        <v>1</v>
      </c>
      <c r="AW40" s="8">
        <f t="shared" si="5"/>
        <v>1</v>
      </c>
      <c r="AX40" s="2"/>
      <c r="AY40" s="2"/>
      <c r="AZ40" s="2">
        <v>2</v>
      </c>
      <c r="BA40" s="2"/>
      <c r="BB40" s="2"/>
      <c r="BC40" s="2">
        <v>50</v>
      </c>
      <c r="BD40" s="8">
        <f t="shared" si="6"/>
        <v>52</v>
      </c>
      <c r="BE40" s="2"/>
      <c r="BF40" s="2"/>
      <c r="BG40" s="8">
        <f t="shared" si="7"/>
        <v>0</v>
      </c>
      <c r="BH40" s="2">
        <f t="shared" si="11"/>
        <v>163</v>
      </c>
    </row>
    <row r="41" spans="1:60">
      <c r="A41" s="5" t="s">
        <v>37</v>
      </c>
      <c r="B41" s="2"/>
      <c r="C41" s="2">
        <v>10</v>
      </c>
      <c r="D41" s="2"/>
      <c r="E41" s="2"/>
      <c r="F41" s="2"/>
      <c r="G41" s="2"/>
      <c r="H41" s="2">
        <v>1</v>
      </c>
      <c r="I41" s="2">
        <v>1</v>
      </c>
      <c r="J41" s="2">
        <v>91</v>
      </c>
      <c r="K41" s="2"/>
      <c r="L41" s="8">
        <f t="shared" si="9"/>
        <v>103</v>
      </c>
      <c r="M41" s="2"/>
      <c r="N41" s="2"/>
      <c r="O41" s="2"/>
      <c r="P41" s="2"/>
      <c r="Q41" s="2"/>
      <c r="R41" s="2"/>
      <c r="S41" s="2"/>
      <c r="T41" s="2"/>
      <c r="U41" s="2">
        <v>6</v>
      </c>
      <c r="V41" s="2"/>
      <c r="W41" s="2"/>
      <c r="X41" s="8">
        <f t="shared" si="1"/>
        <v>6</v>
      </c>
      <c r="Y41" s="2"/>
      <c r="Z41" s="2"/>
      <c r="AA41" s="2"/>
      <c r="AB41" s="2"/>
      <c r="AC41" s="2">
        <v>8</v>
      </c>
      <c r="AD41" s="2"/>
      <c r="AE41" s="2">
        <v>15</v>
      </c>
      <c r="AF41" s="2">
        <v>2</v>
      </c>
      <c r="AG41" s="2">
        <v>17</v>
      </c>
      <c r="AH41" s="8">
        <f t="shared" si="2"/>
        <v>42</v>
      </c>
      <c r="AI41" s="2"/>
      <c r="AJ41" s="2"/>
      <c r="AK41" s="2"/>
      <c r="AL41" s="2"/>
      <c r="AM41" s="8">
        <f t="shared" si="3"/>
        <v>0</v>
      </c>
      <c r="AN41" s="2">
        <v>19</v>
      </c>
      <c r="AO41" s="2"/>
      <c r="AP41" s="2"/>
      <c r="AQ41" s="2">
        <v>2</v>
      </c>
      <c r="AR41" s="2">
        <v>1</v>
      </c>
      <c r="AS41" s="8">
        <f t="shared" si="10"/>
        <v>21</v>
      </c>
      <c r="AT41" s="2"/>
      <c r="AU41" s="2"/>
      <c r="AV41" s="2"/>
      <c r="AW41" s="8">
        <f t="shared" si="5"/>
        <v>0</v>
      </c>
      <c r="AX41" s="2"/>
      <c r="AY41" s="2"/>
      <c r="AZ41" s="2">
        <v>12</v>
      </c>
      <c r="BA41" s="2"/>
      <c r="BB41" s="2"/>
      <c r="BC41" s="2">
        <v>75</v>
      </c>
      <c r="BD41" s="8">
        <f t="shared" si="6"/>
        <v>87</v>
      </c>
      <c r="BE41" s="2"/>
      <c r="BF41" s="2"/>
      <c r="BG41" s="8">
        <f t="shared" si="7"/>
        <v>0</v>
      </c>
      <c r="BH41" s="2">
        <f t="shared" si="11"/>
        <v>259</v>
      </c>
    </row>
    <row r="42" spans="1:60">
      <c r="A42" s="5" t="s">
        <v>38</v>
      </c>
      <c r="B42" s="2"/>
      <c r="C42" s="2">
        <v>7</v>
      </c>
      <c r="D42" s="2"/>
      <c r="E42" s="2"/>
      <c r="F42" s="2"/>
      <c r="G42" s="2"/>
      <c r="H42" s="2"/>
      <c r="I42" s="2">
        <v>22</v>
      </c>
      <c r="J42" s="2"/>
      <c r="K42" s="2">
        <v>24</v>
      </c>
      <c r="L42" s="8">
        <f t="shared" si="9"/>
        <v>53</v>
      </c>
      <c r="M42" s="2"/>
      <c r="N42" s="2"/>
      <c r="O42" s="2"/>
      <c r="P42" s="2">
        <v>3</v>
      </c>
      <c r="Q42" s="2"/>
      <c r="R42" s="2"/>
      <c r="S42" s="2"/>
      <c r="T42" s="2"/>
      <c r="U42" s="2">
        <v>92</v>
      </c>
      <c r="V42" s="2"/>
      <c r="W42" s="2"/>
      <c r="X42" s="8">
        <f t="shared" si="1"/>
        <v>95</v>
      </c>
      <c r="Y42" s="2"/>
      <c r="Z42" s="2"/>
      <c r="AA42" s="2"/>
      <c r="AB42" s="2"/>
      <c r="AC42" s="2"/>
      <c r="AD42" s="2"/>
      <c r="AE42" s="2"/>
      <c r="AF42" s="2">
        <v>6</v>
      </c>
      <c r="AG42" s="2">
        <v>2</v>
      </c>
      <c r="AH42" s="8">
        <f t="shared" si="2"/>
        <v>8</v>
      </c>
      <c r="AI42" s="2"/>
      <c r="AJ42" s="2">
        <v>173</v>
      </c>
      <c r="AK42" s="2"/>
      <c r="AL42" s="2"/>
      <c r="AM42" s="8">
        <f t="shared" si="3"/>
        <v>173</v>
      </c>
      <c r="AN42" s="2">
        <v>4</v>
      </c>
      <c r="AO42" s="2"/>
      <c r="AP42" s="2"/>
      <c r="AQ42" s="2">
        <v>54</v>
      </c>
      <c r="AR42" s="2"/>
      <c r="AS42" s="8">
        <f t="shared" si="10"/>
        <v>58</v>
      </c>
      <c r="AT42" s="2"/>
      <c r="AU42" s="2">
        <v>1</v>
      </c>
      <c r="AV42" s="2"/>
      <c r="AW42" s="8">
        <f t="shared" si="5"/>
        <v>1</v>
      </c>
      <c r="AX42" s="2"/>
      <c r="AY42" s="2"/>
      <c r="AZ42" s="2"/>
      <c r="BA42" s="2"/>
      <c r="BB42" s="2"/>
      <c r="BC42" s="2">
        <v>11</v>
      </c>
      <c r="BD42" s="8">
        <f t="shared" si="6"/>
        <v>11</v>
      </c>
      <c r="BE42" s="2"/>
      <c r="BF42" s="2"/>
      <c r="BG42" s="8">
        <f t="shared" si="7"/>
        <v>0</v>
      </c>
      <c r="BH42" s="2">
        <f t="shared" si="11"/>
        <v>399</v>
      </c>
    </row>
    <row r="43" spans="1:60">
      <c r="A43" s="5" t="s">
        <v>39</v>
      </c>
      <c r="B43" s="2"/>
      <c r="C43" s="2">
        <v>9</v>
      </c>
      <c r="D43" s="2"/>
      <c r="E43" s="2"/>
      <c r="F43" s="2"/>
      <c r="G43" s="2"/>
      <c r="H43" s="2"/>
      <c r="I43" s="2">
        <v>23</v>
      </c>
      <c r="J43" s="2"/>
      <c r="K43" s="2">
        <v>36</v>
      </c>
      <c r="L43" s="8">
        <f t="shared" si="9"/>
        <v>68</v>
      </c>
      <c r="M43" s="2"/>
      <c r="N43" s="2"/>
      <c r="O43" s="2"/>
      <c r="P43" s="2">
        <v>2</v>
      </c>
      <c r="Q43" s="2"/>
      <c r="R43" s="2"/>
      <c r="S43" s="2"/>
      <c r="T43" s="2"/>
      <c r="U43" s="2">
        <v>101</v>
      </c>
      <c r="V43" s="2"/>
      <c r="W43" s="2"/>
      <c r="X43" s="8">
        <f t="shared" si="1"/>
        <v>103</v>
      </c>
      <c r="Y43" s="2"/>
      <c r="Z43" s="2"/>
      <c r="AA43" s="2"/>
      <c r="AB43" s="2"/>
      <c r="AC43" s="2"/>
      <c r="AD43" s="2"/>
      <c r="AE43" s="2"/>
      <c r="AF43" s="2">
        <v>4</v>
      </c>
      <c r="AG43" s="2">
        <v>2</v>
      </c>
      <c r="AH43" s="8">
        <f t="shared" si="2"/>
        <v>6</v>
      </c>
      <c r="AI43" s="2"/>
      <c r="AJ43" s="2">
        <v>156</v>
      </c>
      <c r="AK43" s="2"/>
      <c r="AL43" s="2"/>
      <c r="AM43" s="8">
        <f t="shared" si="3"/>
        <v>156</v>
      </c>
      <c r="AN43" s="2">
        <v>11</v>
      </c>
      <c r="AO43" s="2"/>
      <c r="AP43" s="2"/>
      <c r="AQ43" s="2">
        <v>58</v>
      </c>
      <c r="AR43" s="2"/>
      <c r="AS43" s="8">
        <f t="shared" si="10"/>
        <v>69</v>
      </c>
      <c r="AT43" s="2"/>
      <c r="AU43" s="2">
        <v>1</v>
      </c>
      <c r="AV43" s="2"/>
      <c r="AW43" s="8">
        <f t="shared" si="5"/>
        <v>1</v>
      </c>
      <c r="AX43" s="2"/>
      <c r="AY43" s="2"/>
      <c r="AZ43" s="2"/>
      <c r="BA43" s="2"/>
      <c r="BB43" s="2"/>
      <c r="BC43" s="2">
        <v>20</v>
      </c>
      <c r="BD43" s="8">
        <f t="shared" si="6"/>
        <v>20</v>
      </c>
      <c r="BE43" s="2"/>
      <c r="BF43" s="2"/>
      <c r="BG43" s="8">
        <f t="shared" si="7"/>
        <v>0</v>
      </c>
      <c r="BH43" s="2">
        <f t="shared" si="11"/>
        <v>423</v>
      </c>
    </row>
    <row r="44" spans="1:60">
      <c r="A44" s="5" t="s">
        <v>40</v>
      </c>
      <c r="B44" s="2"/>
      <c r="C44" s="2">
        <v>12</v>
      </c>
      <c r="D44" s="2"/>
      <c r="E44" s="2"/>
      <c r="F44" s="2"/>
      <c r="G44" s="2"/>
      <c r="H44" s="2"/>
      <c r="I44" s="2">
        <v>40</v>
      </c>
      <c r="J44" s="2"/>
      <c r="K44" s="2">
        <v>24</v>
      </c>
      <c r="L44" s="8">
        <f t="shared" si="9"/>
        <v>76</v>
      </c>
      <c r="M44" s="2"/>
      <c r="N44" s="2"/>
      <c r="O44" s="2"/>
      <c r="P44" s="2">
        <v>1</v>
      </c>
      <c r="Q44" s="2"/>
      <c r="R44" s="2"/>
      <c r="S44" s="2"/>
      <c r="T44" s="2"/>
      <c r="U44" s="2">
        <v>115</v>
      </c>
      <c r="V44" s="2"/>
      <c r="W44" s="2"/>
      <c r="X44" s="8">
        <f t="shared" si="1"/>
        <v>116</v>
      </c>
      <c r="Y44" s="2"/>
      <c r="Z44" s="2"/>
      <c r="AA44" s="2"/>
      <c r="AB44" s="2"/>
      <c r="AC44" s="2"/>
      <c r="AD44" s="2"/>
      <c r="AE44" s="2"/>
      <c r="AF44" s="2">
        <v>3</v>
      </c>
      <c r="AG44" s="2">
        <v>3</v>
      </c>
      <c r="AH44" s="8">
        <f t="shared" si="2"/>
        <v>6</v>
      </c>
      <c r="AI44" s="2"/>
      <c r="AJ44" s="2">
        <v>142</v>
      </c>
      <c r="AK44" s="2"/>
      <c r="AL44" s="2"/>
      <c r="AM44" s="8">
        <f t="shared" si="3"/>
        <v>142</v>
      </c>
      <c r="AN44" s="2">
        <v>13</v>
      </c>
      <c r="AO44" s="2"/>
      <c r="AP44" s="2"/>
      <c r="AQ44" s="2">
        <v>16</v>
      </c>
      <c r="AR44" s="2"/>
      <c r="AS44" s="8">
        <f t="shared" si="10"/>
        <v>29</v>
      </c>
      <c r="AT44" s="2"/>
      <c r="AU44" s="2"/>
      <c r="AV44" s="2"/>
      <c r="AW44" s="8">
        <f t="shared" si="5"/>
        <v>0</v>
      </c>
      <c r="AX44" s="2"/>
      <c r="AY44" s="2"/>
      <c r="AZ44" s="2"/>
      <c r="BA44" s="2"/>
      <c r="BB44" s="2"/>
      <c r="BC44" s="2">
        <v>20</v>
      </c>
      <c r="BD44" s="8">
        <f t="shared" si="6"/>
        <v>20</v>
      </c>
      <c r="BE44" s="2"/>
      <c r="BF44" s="2"/>
      <c r="BG44" s="8">
        <f t="shared" si="7"/>
        <v>0</v>
      </c>
      <c r="BH44" s="2">
        <f t="shared" si="11"/>
        <v>389</v>
      </c>
    </row>
    <row r="45" spans="1:60">
      <c r="A45" s="5" t="s">
        <v>41</v>
      </c>
      <c r="B45" s="2"/>
      <c r="C45" s="2">
        <v>4</v>
      </c>
      <c r="D45" s="2"/>
      <c r="E45" s="2"/>
      <c r="F45" s="2"/>
      <c r="G45" s="2"/>
      <c r="H45" s="2"/>
      <c r="I45" s="2">
        <v>6</v>
      </c>
      <c r="J45" s="2"/>
      <c r="K45" s="2">
        <v>15</v>
      </c>
      <c r="L45" s="8">
        <f t="shared" si="9"/>
        <v>25</v>
      </c>
      <c r="M45" s="2"/>
      <c r="N45" s="2">
        <v>1</v>
      </c>
      <c r="O45" s="2"/>
      <c r="P45" s="2">
        <v>3</v>
      </c>
      <c r="Q45" s="2"/>
      <c r="R45" s="2"/>
      <c r="S45" s="2"/>
      <c r="T45" s="2"/>
      <c r="U45" s="2">
        <v>23</v>
      </c>
      <c r="V45" s="2"/>
      <c r="W45" s="2"/>
      <c r="X45" s="8">
        <f t="shared" si="1"/>
        <v>27</v>
      </c>
      <c r="Y45" s="2"/>
      <c r="Z45" s="2"/>
      <c r="AA45" s="2"/>
      <c r="AB45" s="2"/>
      <c r="AC45" s="2"/>
      <c r="AD45" s="2"/>
      <c r="AE45" s="2"/>
      <c r="AF45" s="2">
        <v>4</v>
      </c>
      <c r="AG45" s="2"/>
      <c r="AH45" s="8">
        <f t="shared" si="2"/>
        <v>4</v>
      </c>
      <c r="AI45" s="2"/>
      <c r="AJ45" s="2">
        <v>326</v>
      </c>
      <c r="AK45" s="2"/>
      <c r="AL45" s="2"/>
      <c r="AM45" s="8">
        <f t="shared" si="3"/>
        <v>326</v>
      </c>
      <c r="AN45" s="2">
        <v>4</v>
      </c>
      <c r="AO45" s="2"/>
      <c r="AP45" s="2"/>
      <c r="AQ45" s="2">
        <v>4</v>
      </c>
      <c r="AR45" s="2"/>
      <c r="AS45" s="8">
        <f t="shared" si="10"/>
        <v>8</v>
      </c>
      <c r="AT45" s="2"/>
      <c r="AU45" s="2">
        <v>2</v>
      </c>
      <c r="AV45" s="2"/>
      <c r="AW45" s="8">
        <f t="shared" si="5"/>
        <v>2</v>
      </c>
      <c r="AX45" s="2"/>
      <c r="AY45" s="2"/>
      <c r="AZ45" s="2"/>
      <c r="BA45" s="2"/>
      <c r="BB45" s="2"/>
      <c r="BC45" s="2">
        <v>10</v>
      </c>
      <c r="BD45" s="8">
        <f t="shared" si="6"/>
        <v>10</v>
      </c>
      <c r="BE45" s="2"/>
      <c r="BF45" s="2"/>
      <c r="BG45" s="8">
        <f t="shared" si="7"/>
        <v>0</v>
      </c>
      <c r="BH45" s="2">
        <f t="shared" si="11"/>
        <v>402</v>
      </c>
    </row>
    <row r="46" spans="1:60">
      <c r="A46" s="5" t="s">
        <v>42</v>
      </c>
      <c r="B46" s="2"/>
      <c r="C46" s="2">
        <v>23</v>
      </c>
      <c r="D46" s="2"/>
      <c r="E46" s="2"/>
      <c r="F46" s="2"/>
      <c r="G46" s="2"/>
      <c r="H46" s="2"/>
      <c r="I46" s="2">
        <v>33</v>
      </c>
      <c r="J46" s="2"/>
      <c r="K46" s="2">
        <v>99</v>
      </c>
      <c r="L46" s="8">
        <f t="shared" si="9"/>
        <v>155</v>
      </c>
      <c r="M46" s="2"/>
      <c r="N46" s="2"/>
      <c r="O46" s="2"/>
      <c r="P46" s="2">
        <v>2</v>
      </c>
      <c r="Q46" s="2"/>
      <c r="R46" s="2"/>
      <c r="S46" s="2"/>
      <c r="T46" s="2"/>
      <c r="U46" s="2">
        <v>238</v>
      </c>
      <c r="V46" s="2"/>
      <c r="W46" s="2"/>
      <c r="X46" s="8">
        <f t="shared" si="1"/>
        <v>240</v>
      </c>
      <c r="Y46" s="2"/>
      <c r="Z46" s="2"/>
      <c r="AA46" s="2"/>
      <c r="AB46" s="2"/>
      <c r="AC46" s="2"/>
      <c r="AD46" s="2"/>
      <c r="AE46" s="2"/>
      <c r="AF46" s="2">
        <v>19</v>
      </c>
      <c r="AG46" s="2">
        <v>13</v>
      </c>
      <c r="AH46" s="8">
        <f t="shared" si="2"/>
        <v>32</v>
      </c>
      <c r="AI46" s="2"/>
      <c r="AJ46" s="2">
        <v>933</v>
      </c>
      <c r="AK46" s="2"/>
      <c r="AL46" s="2"/>
      <c r="AM46" s="8">
        <f t="shared" si="3"/>
        <v>933</v>
      </c>
      <c r="AN46" s="2">
        <v>43</v>
      </c>
      <c r="AO46" s="2"/>
      <c r="AP46" s="2"/>
      <c r="AQ46" s="2">
        <v>10</v>
      </c>
      <c r="AR46" s="2"/>
      <c r="AS46" s="8">
        <f t="shared" si="10"/>
        <v>53</v>
      </c>
      <c r="AT46" s="2"/>
      <c r="AU46" s="2">
        <v>6</v>
      </c>
      <c r="AV46" s="2"/>
      <c r="AW46" s="8">
        <f t="shared" si="5"/>
        <v>6</v>
      </c>
      <c r="AX46" s="2"/>
      <c r="AY46" s="2"/>
      <c r="AZ46" s="2"/>
      <c r="BA46" s="2"/>
      <c r="BB46" s="2"/>
      <c r="BC46" s="2">
        <v>63</v>
      </c>
      <c r="BD46" s="8">
        <f t="shared" si="6"/>
        <v>63</v>
      </c>
      <c r="BE46" s="2"/>
      <c r="BF46" s="2"/>
      <c r="BG46" s="8">
        <f t="shared" si="7"/>
        <v>0</v>
      </c>
      <c r="BH46" s="2">
        <f t="shared" si="11"/>
        <v>1482</v>
      </c>
    </row>
    <row r="47" spans="1:60">
      <c r="A47" s="5" t="s">
        <v>43</v>
      </c>
      <c r="B47" s="2"/>
      <c r="C47" s="2">
        <v>14</v>
      </c>
      <c r="D47" s="2"/>
      <c r="E47" s="2"/>
      <c r="F47" s="2"/>
      <c r="G47" s="2"/>
      <c r="H47" s="2"/>
      <c r="I47" s="2">
        <v>1</v>
      </c>
      <c r="J47" s="2"/>
      <c r="K47" s="2">
        <v>24</v>
      </c>
      <c r="L47" s="8">
        <f t="shared" si="9"/>
        <v>39</v>
      </c>
      <c r="M47" s="2"/>
      <c r="N47" s="2"/>
      <c r="O47" s="2"/>
      <c r="P47" s="2">
        <v>1</v>
      </c>
      <c r="Q47" s="2"/>
      <c r="R47" s="2"/>
      <c r="S47" s="2"/>
      <c r="T47" s="2"/>
      <c r="U47" s="2">
        <v>56</v>
      </c>
      <c r="V47" s="2"/>
      <c r="W47" s="2"/>
      <c r="X47" s="8">
        <f t="shared" si="1"/>
        <v>57</v>
      </c>
      <c r="Y47" s="2"/>
      <c r="Z47" s="2"/>
      <c r="AA47" s="2"/>
      <c r="AB47" s="2"/>
      <c r="AC47" s="2"/>
      <c r="AD47" s="2"/>
      <c r="AE47" s="2"/>
      <c r="AF47" s="2">
        <v>10</v>
      </c>
      <c r="AG47" s="2">
        <v>5</v>
      </c>
      <c r="AH47" s="8">
        <f t="shared" si="2"/>
        <v>15</v>
      </c>
      <c r="AI47" s="2"/>
      <c r="AJ47" s="2">
        <v>100</v>
      </c>
      <c r="AK47" s="2"/>
      <c r="AL47" s="2"/>
      <c r="AM47" s="8">
        <f t="shared" si="3"/>
        <v>100</v>
      </c>
      <c r="AN47" s="2">
        <v>11</v>
      </c>
      <c r="AO47" s="2"/>
      <c r="AP47" s="2"/>
      <c r="AQ47" s="2">
        <v>9</v>
      </c>
      <c r="AR47" s="2"/>
      <c r="AS47" s="8">
        <f t="shared" si="10"/>
        <v>20</v>
      </c>
      <c r="AT47" s="2"/>
      <c r="AU47" s="2"/>
      <c r="AV47" s="2"/>
      <c r="AW47" s="8">
        <f t="shared" si="5"/>
        <v>0</v>
      </c>
      <c r="AX47" s="2"/>
      <c r="AY47" s="2"/>
      <c r="AZ47" s="2"/>
      <c r="BA47" s="2"/>
      <c r="BB47" s="2"/>
      <c r="BC47" s="2">
        <v>32</v>
      </c>
      <c r="BD47" s="8">
        <f t="shared" si="6"/>
        <v>32</v>
      </c>
      <c r="BE47" s="2"/>
      <c r="BF47" s="2"/>
      <c r="BG47" s="8">
        <f t="shared" si="7"/>
        <v>0</v>
      </c>
      <c r="BH47" s="2">
        <f t="shared" si="11"/>
        <v>263</v>
      </c>
    </row>
    <row r="48" spans="1:60">
      <c r="A48" s="5" t="s">
        <v>77</v>
      </c>
      <c r="B48" s="2"/>
      <c r="C48" s="2">
        <v>22</v>
      </c>
      <c r="D48" s="2"/>
      <c r="E48" s="2"/>
      <c r="F48" s="2"/>
      <c r="G48" s="2"/>
      <c r="H48" s="2"/>
      <c r="I48" s="2">
        <v>80</v>
      </c>
      <c r="J48" s="2"/>
      <c r="K48" s="2">
        <v>163</v>
      </c>
      <c r="L48" s="8">
        <f t="shared" si="9"/>
        <v>265</v>
      </c>
      <c r="M48" s="2"/>
      <c r="N48" s="2"/>
      <c r="O48" s="2"/>
      <c r="P48" s="2">
        <v>4</v>
      </c>
      <c r="Q48" s="2"/>
      <c r="R48" s="2"/>
      <c r="S48" s="2"/>
      <c r="T48" s="2"/>
      <c r="U48" s="2">
        <v>100</v>
      </c>
      <c r="V48" s="2"/>
      <c r="W48" s="2"/>
      <c r="X48" s="8">
        <f t="shared" si="1"/>
        <v>104</v>
      </c>
      <c r="Y48" s="2"/>
      <c r="Z48" s="2"/>
      <c r="AA48" s="2"/>
      <c r="AB48" s="2"/>
      <c r="AC48" s="2"/>
      <c r="AD48" s="2">
        <v>7</v>
      </c>
      <c r="AE48" s="2"/>
      <c r="AF48" s="2">
        <v>4</v>
      </c>
      <c r="AG48" s="2">
        <v>35</v>
      </c>
      <c r="AH48" s="8">
        <f t="shared" si="2"/>
        <v>46</v>
      </c>
      <c r="AI48" s="2"/>
      <c r="AJ48" s="2"/>
      <c r="AK48" s="2"/>
      <c r="AL48" s="2"/>
      <c r="AM48" s="8">
        <f t="shared" si="3"/>
        <v>0</v>
      </c>
      <c r="AN48" s="2">
        <v>6</v>
      </c>
      <c r="AO48" s="2"/>
      <c r="AP48" s="2"/>
      <c r="AQ48" s="2">
        <v>14</v>
      </c>
      <c r="AR48" s="2"/>
      <c r="AS48" s="8">
        <f t="shared" si="10"/>
        <v>20</v>
      </c>
      <c r="AT48" s="2"/>
      <c r="AU48" s="2">
        <v>14</v>
      </c>
      <c r="AV48" s="2">
        <v>3</v>
      </c>
      <c r="AW48" s="8">
        <f t="shared" si="5"/>
        <v>17</v>
      </c>
      <c r="AX48" s="2"/>
      <c r="AY48" s="2"/>
      <c r="AZ48" s="2"/>
      <c r="BA48" s="2"/>
      <c r="BB48" s="2"/>
      <c r="BC48" s="2">
        <v>76</v>
      </c>
      <c r="BD48" s="8">
        <f t="shared" si="6"/>
        <v>76</v>
      </c>
      <c r="BE48" s="2"/>
      <c r="BF48" s="2"/>
      <c r="BG48" s="8">
        <f t="shared" si="7"/>
        <v>0</v>
      </c>
      <c r="BH48" s="2">
        <f t="shared" si="11"/>
        <v>528</v>
      </c>
    </row>
    <row r="49" spans="1:60">
      <c r="A49" s="5" t="s">
        <v>78</v>
      </c>
      <c r="B49" s="2"/>
      <c r="C49" s="2">
        <v>17</v>
      </c>
      <c r="D49" s="2"/>
      <c r="E49" s="2"/>
      <c r="F49" s="2"/>
      <c r="G49" s="2"/>
      <c r="H49" s="2"/>
      <c r="I49" s="2">
        <v>11</v>
      </c>
      <c r="J49" s="2"/>
      <c r="K49" s="2">
        <v>12</v>
      </c>
      <c r="L49" s="8">
        <f t="shared" si="9"/>
        <v>40</v>
      </c>
      <c r="M49" s="2"/>
      <c r="N49" s="2"/>
      <c r="O49" s="2"/>
      <c r="P49" s="2"/>
      <c r="Q49" s="2"/>
      <c r="R49" s="2"/>
      <c r="S49" s="2"/>
      <c r="T49" s="2"/>
      <c r="U49" s="2">
        <v>13</v>
      </c>
      <c r="V49" s="2"/>
      <c r="W49" s="2"/>
      <c r="X49" s="8">
        <f t="shared" si="1"/>
        <v>13</v>
      </c>
      <c r="Y49" s="2"/>
      <c r="Z49" s="2"/>
      <c r="AA49" s="2"/>
      <c r="AB49" s="2"/>
      <c r="AC49" s="2"/>
      <c r="AD49" s="2"/>
      <c r="AE49" s="2"/>
      <c r="AF49" s="2"/>
      <c r="AG49" s="2">
        <v>3</v>
      </c>
      <c r="AH49" s="8">
        <f t="shared" si="2"/>
        <v>3</v>
      </c>
      <c r="AI49" s="2"/>
      <c r="AJ49" s="2"/>
      <c r="AK49" s="2"/>
      <c r="AL49" s="2"/>
      <c r="AM49" s="8">
        <f t="shared" si="3"/>
        <v>0</v>
      </c>
      <c r="AN49" s="2"/>
      <c r="AO49" s="2"/>
      <c r="AP49" s="2"/>
      <c r="AQ49" s="2">
        <v>3</v>
      </c>
      <c r="AR49" s="2"/>
      <c r="AS49" s="8">
        <f t="shared" si="10"/>
        <v>3</v>
      </c>
      <c r="AT49" s="2"/>
      <c r="AU49" s="2">
        <v>1</v>
      </c>
      <c r="AV49" s="2"/>
      <c r="AW49" s="8">
        <f t="shared" si="5"/>
        <v>1</v>
      </c>
      <c r="AX49" s="2"/>
      <c r="AY49" s="2"/>
      <c r="AZ49" s="2"/>
      <c r="BA49" s="2"/>
      <c r="BB49" s="2"/>
      <c r="BC49" s="2">
        <v>18</v>
      </c>
      <c r="BD49" s="8">
        <f t="shared" si="6"/>
        <v>18</v>
      </c>
      <c r="BE49" s="2"/>
      <c r="BF49" s="2"/>
      <c r="BG49" s="8">
        <f t="shared" si="7"/>
        <v>0</v>
      </c>
      <c r="BH49" s="2">
        <f t="shared" si="11"/>
        <v>78</v>
      </c>
    </row>
    <row r="50" spans="1:60">
      <c r="A50" s="5" t="s">
        <v>79</v>
      </c>
      <c r="B50" s="2"/>
      <c r="C50" s="2">
        <v>12</v>
      </c>
      <c r="D50" s="2"/>
      <c r="E50" s="2"/>
      <c r="F50" s="2"/>
      <c r="G50" s="2"/>
      <c r="H50" s="2"/>
      <c r="I50" s="2">
        <v>26</v>
      </c>
      <c r="J50" s="2"/>
      <c r="K50" s="2">
        <v>37</v>
      </c>
      <c r="L50" s="8">
        <f t="shared" si="9"/>
        <v>75</v>
      </c>
      <c r="M50" s="2"/>
      <c r="N50" s="2"/>
      <c r="O50" s="2"/>
      <c r="P50" s="2"/>
      <c r="Q50" s="2"/>
      <c r="R50" s="2"/>
      <c r="S50" s="2"/>
      <c r="T50" s="2"/>
      <c r="U50" s="2">
        <v>26</v>
      </c>
      <c r="V50" s="2"/>
      <c r="W50" s="2"/>
      <c r="X50" s="8">
        <f t="shared" si="1"/>
        <v>26</v>
      </c>
      <c r="Y50" s="2"/>
      <c r="Z50" s="2">
        <v>1</v>
      </c>
      <c r="AA50" s="2"/>
      <c r="AB50" s="2"/>
      <c r="AC50" s="2"/>
      <c r="AD50" s="2"/>
      <c r="AE50" s="2"/>
      <c r="AF50" s="2">
        <v>2</v>
      </c>
      <c r="AG50" s="2">
        <v>12</v>
      </c>
      <c r="AH50" s="8">
        <f t="shared" si="2"/>
        <v>15</v>
      </c>
      <c r="AI50" s="2"/>
      <c r="AJ50" s="2">
        <v>1</v>
      </c>
      <c r="AK50" s="2"/>
      <c r="AL50" s="2"/>
      <c r="AM50" s="8">
        <f t="shared" si="3"/>
        <v>1</v>
      </c>
      <c r="AN50" s="2">
        <v>2</v>
      </c>
      <c r="AO50" s="2"/>
      <c r="AP50" s="2"/>
      <c r="AQ50" s="2">
        <v>75</v>
      </c>
      <c r="AR50" s="2"/>
      <c r="AS50" s="8">
        <f t="shared" si="10"/>
        <v>77</v>
      </c>
      <c r="AT50" s="2"/>
      <c r="AU50" s="2">
        <v>1</v>
      </c>
      <c r="AV50" s="2">
        <v>1</v>
      </c>
      <c r="AW50" s="8">
        <f t="shared" si="5"/>
        <v>2</v>
      </c>
      <c r="AX50" s="2"/>
      <c r="AY50" s="2"/>
      <c r="AZ50" s="2"/>
      <c r="BA50" s="2"/>
      <c r="BB50" s="2"/>
      <c r="BC50" s="2">
        <v>44</v>
      </c>
      <c r="BD50" s="8">
        <f t="shared" si="6"/>
        <v>44</v>
      </c>
      <c r="BE50" s="2"/>
      <c r="BF50" s="2"/>
      <c r="BG50" s="8">
        <f t="shared" si="7"/>
        <v>0</v>
      </c>
      <c r="BH50" s="2">
        <f t="shared" si="11"/>
        <v>240</v>
      </c>
    </row>
    <row r="51" spans="1:60">
      <c r="A51" s="5" t="s">
        <v>80</v>
      </c>
      <c r="B51" s="2"/>
      <c r="C51" s="2">
        <v>4</v>
      </c>
      <c r="D51" s="2"/>
      <c r="E51" s="2"/>
      <c r="F51" s="2"/>
      <c r="G51" s="2"/>
      <c r="H51" s="2"/>
      <c r="I51" s="2">
        <v>6</v>
      </c>
      <c r="J51" s="2"/>
      <c r="K51" s="2">
        <v>7</v>
      </c>
      <c r="L51" s="8">
        <f t="shared" si="9"/>
        <v>17</v>
      </c>
      <c r="M51" s="2"/>
      <c r="N51" s="2"/>
      <c r="O51" s="2"/>
      <c r="P51" s="2"/>
      <c r="Q51" s="2"/>
      <c r="R51" s="2"/>
      <c r="S51" s="2"/>
      <c r="T51" s="2"/>
      <c r="U51" s="2">
        <v>3</v>
      </c>
      <c r="V51" s="2"/>
      <c r="W51" s="2"/>
      <c r="X51" s="8">
        <f t="shared" si="1"/>
        <v>3</v>
      </c>
      <c r="Y51" s="2"/>
      <c r="Z51" s="2"/>
      <c r="AA51" s="2"/>
      <c r="AB51" s="2"/>
      <c r="AC51" s="2"/>
      <c r="AD51" s="2"/>
      <c r="AE51" s="2"/>
      <c r="AF51" s="2"/>
      <c r="AG51" s="2">
        <v>2</v>
      </c>
      <c r="AH51" s="8">
        <f t="shared" si="2"/>
        <v>2</v>
      </c>
      <c r="AI51" s="2"/>
      <c r="AJ51" s="2"/>
      <c r="AK51" s="2"/>
      <c r="AL51" s="2"/>
      <c r="AM51" s="8">
        <f t="shared" si="3"/>
        <v>0</v>
      </c>
      <c r="AN51" s="2"/>
      <c r="AO51" s="2"/>
      <c r="AP51" s="2"/>
      <c r="AQ51" s="2">
        <v>1</v>
      </c>
      <c r="AR51" s="2"/>
      <c r="AS51" s="8">
        <f t="shared" si="10"/>
        <v>1</v>
      </c>
      <c r="AT51" s="2"/>
      <c r="AU51" s="2"/>
      <c r="AV51" s="2"/>
      <c r="AW51" s="8">
        <f t="shared" si="5"/>
        <v>0</v>
      </c>
      <c r="AX51" s="2"/>
      <c r="AY51" s="2"/>
      <c r="AZ51" s="2"/>
      <c r="BA51" s="2"/>
      <c r="BB51" s="2"/>
      <c r="BC51" s="2">
        <v>4</v>
      </c>
      <c r="BD51" s="8">
        <f t="shared" si="6"/>
        <v>4</v>
      </c>
      <c r="BE51" s="2"/>
      <c r="BF51" s="2"/>
      <c r="BG51" s="8">
        <f t="shared" si="7"/>
        <v>0</v>
      </c>
      <c r="BH51" s="2">
        <f t="shared" si="11"/>
        <v>27</v>
      </c>
    </row>
    <row r="52" spans="1:60">
      <c r="A52" s="5" t="s">
        <v>44</v>
      </c>
      <c r="B52" s="2"/>
      <c r="C52" s="2"/>
      <c r="D52" s="2"/>
      <c r="E52" s="2"/>
      <c r="F52" s="2"/>
      <c r="G52" s="2"/>
      <c r="H52" s="2"/>
      <c r="I52" s="2">
        <v>6</v>
      </c>
      <c r="J52" s="2"/>
      <c r="K52" s="2">
        <v>24</v>
      </c>
      <c r="L52" s="8">
        <f t="shared" si="9"/>
        <v>30</v>
      </c>
      <c r="M52" s="2"/>
      <c r="N52" s="2"/>
      <c r="O52" s="2"/>
      <c r="P52" s="2">
        <v>1</v>
      </c>
      <c r="Q52" s="2"/>
      <c r="R52" s="2"/>
      <c r="S52" s="2"/>
      <c r="T52" s="2"/>
      <c r="U52" s="2">
        <v>30</v>
      </c>
      <c r="V52" s="2"/>
      <c r="W52" s="2"/>
      <c r="X52" s="8">
        <f t="shared" si="1"/>
        <v>31</v>
      </c>
      <c r="Y52" s="2"/>
      <c r="Z52" s="2"/>
      <c r="AA52" s="2"/>
      <c r="AB52" s="2"/>
      <c r="AC52" s="2"/>
      <c r="AD52" s="2"/>
      <c r="AE52" s="2"/>
      <c r="AF52" s="2"/>
      <c r="AG52" s="2">
        <v>2</v>
      </c>
      <c r="AH52" s="8">
        <f t="shared" si="2"/>
        <v>2</v>
      </c>
      <c r="AI52" s="2"/>
      <c r="AJ52" s="2"/>
      <c r="AK52" s="2"/>
      <c r="AL52" s="2"/>
      <c r="AM52" s="8">
        <f t="shared" si="3"/>
        <v>0</v>
      </c>
      <c r="AN52" s="2"/>
      <c r="AO52" s="2"/>
      <c r="AP52" s="2"/>
      <c r="AQ52" s="2">
        <v>3</v>
      </c>
      <c r="AR52" s="2"/>
      <c r="AS52" s="8">
        <f t="shared" si="10"/>
        <v>3</v>
      </c>
      <c r="AT52" s="2"/>
      <c r="AU52" s="2">
        <v>1</v>
      </c>
      <c r="AV52" s="2"/>
      <c r="AW52" s="8">
        <f t="shared" si="5"/>
        <v>1</v>
      </c>
      <c r="AX52" s="2"/>
      <c r="AY52" s="2"/>
      <c r="AZ52" s="2"/>
      <c r="BA52" s="2"/>
      <c r="BB52" s="2"/>
      <c r="BC52" s="2">
        <v>16</v>
      </c>
      <c r="BD52" s="8">
        <f t="shared" si="6"/>
        <v>16</v>
      </c>
      <c r="BE52" s="2"/>
      <c r="BF52" s="2"/>
      <c r="BG52" s="8">
        <f t="shared" si="7"/>
        <v>0</v>
      </c>
      <c r="BH52" s="2">
        <f t="shared" si="11"/>
        <v>83</v>
      </c>
    </row>
    <row r="53" spans="1:60">
      <c r="A53" s="5" t="s">
        <v>92</v>
      </c>
      <c r="B53" s="2"/>
      <c r="C53" s="2">
        <v>5</v>
      </c>
      <c r="D53" s="2"/>
      <c r="E53" s="2"/>
      <c r="F53" s="2"/>
      <c r="G53" s="2"/>
      <c r="H53" s="2"/>
      <c r="I53" s="2">
        <v>12</v>
      </c>
      <c r="J53" s="2"/>
      <c r="K53" s="2">
        <v>80</v>
      </c>
      <c r="L53" s="8">
        <f t="shared" si="9"/>
        <v>97</v>
      </c>
      <c r="M53" s="2"/>
      <c r="N53" s="2"/>
      <c r="O53" s="2"/>
      <c r="P53" s="2">
        <v>3</v>
      </c>
      <c r="Q53" s="2"/>
      <c r="R53" s="2"/>
      <c r="S53" s="2"/>
      <c r="T53" s="2"/>
      <c r="U53" s="2">
        <v>116</v>
      </c>
      <c r="V53" s="2"/>
      <c r="W53" s="2"/>
      <c r="X53" s="8">
        <f t="shared" si="1"/>
        <v>119</v>
      </c>
      <c r="Y53" s="2"/>
      <c r="Z53" s="2"/>
      <c r="AA53" s="2"/>
      <c r="AB53" s="2"/>
      <c r="AC53" s="2"/>
      <c r="AD53" s="2"/>
      <c r="AE53" s="2"/>
      <c r="AF53" s="2"/>
      <c r="AG53" s="2">
        <v>5</v>
      </c>
      <c r="AH53" s="8">
        <f t="shared" si="2"/>
        <v>5</v>
      </c>
      <c r="AI53" s="2"/>
      <c r="AJ53" s="2"/>
      <c r="AK53" s="2"/>
      <c r="AL53" s="2"/>
      <c r="AM53" s="8">
        <f t="shared" si="3"/>
        <v>0</v>
      </c>
      <c r="AN53" s="2">
        <v>2</v>
      </c>
      <c r="AO53" s="2"/>
      <c r="AP53" s="2"/>
      <c r="AQ53" s="2">
        <v>11</v>
      </c>
      <c r="AR53" s="2"/>
      <c r="AS53" s="8">
        <f t="shared" si="10"/>
        <v>13</v>
      </c>
      <c r="AT53" s="2"/>
      <c r="AU53" s="2">
        <v>23</v>
      </c>
      <c r="AV53" s="2"/>
      <c r="AW53" s="8">
        <f t="shared" si="5"/>
        <v>23</v>
      </c>
      <c r="AX53" s="2"/>
      <c r="AY53" s="2"/>
      <c r="AZ53" s="2"/>
      <c r="BA53" s="2"/>
      <c r="BB53" s="2"/>
      <c r="BC53" s="2">
        <v>41</v>
      </c>
      <c r="BD53" s="8">
        <f t="shared" si="6"/>
        <v>41</v>
      </c>
      <c r="BE53" s="2"/>
      <c r="BF53" s="2"/>
      <c r="BG53" s="8">
        <f t="shared" si="7"/>
        <v>0</v>
      </c>
      <c r="BH53" s="2">
        <f t="shared" si="11"/>
        <v>298</v>
      </c>
    </row>
    <row r="54" spans="1:60">
      <c r="A54" s="5" t="s">
        <v>91</v>
      </c>
      <c r="B54" s="2"/>
      <c r="C54" s="2">
        <v>26</v>
      </c>
      <c r="D54" s="2"/>
      <c r="E54" s="2"/>
      <c r="F54" s="2"/>
      <c r="G54" s="2"/>
      <c r="H54" s="2"/>
      <c r="I54" s="2">
        <v>19</v>
      </c>
      <c r="J54" s="2"/>
      <c r="K54" s="2">
        <v>111</v>
      </c>
      <c r="L54" s="8">
        <f t="shared" si="9"/>
        <v>156</v>
      </c>
      <c r="M54" s="2"/>
      <c r="N54" s="2"/>
      <c r="O54" s="2"/>
      <c r="P54" s="2">
        <v>8</v>
      </c>
      <c r="Q54" s="2"/>
      <c r="R54" s="2"/>
      <c r="S54" s="2"/>
      <c r="T54" s="2"/>
      <c r="U54" s="2">
        <v>244</v>
      </c>
      <c r="V54" s="2"/>
      <c r="W54" s="2"/>
      <c r="X54" s="8">
        <f t="shared" si="1"/>
        <v>252</v>
      </c>
      <c r="Y54" s="2"/>
      <c r="Z54" s="2"/>
      <c r="AA54" s="2"/>
      <c r="AB54" s="2"/>
      <c r="AC54" s="2"/>
      <c r="AD54" s="2"/>
      <c r="AE54" s="2"/>
      <c r="AF54" s="2"/>
      <c r="AG54" s="2">
        <v>13</v>
      </c>
      <c r="AH54" s="8">
        <f t="shared" si="2"/>
        <v>13</v>
      </c>
      <c r="AI54" s="2"/>
      <c r="AJ54" s="2"/>
      <c r="AK54" s="2"/>
      <c r="AL54" s="2"/>
      <c r="AM54" s="8">
        <f t="shared" si="3"/>
        <v>0</v>
      </c>
      <c r="AN54" s="2">
        <v>11</v>
      </c>
      <c r="AO54" s="2"/>
      <c r="AP54" s="2"/>
      <c r="AQ54" s="2">
        <v>27</v>
      </c>
      <c r="AR54" s="2"/>
      <c r="AS54" s="8">
        <f t="shared" si="10"/>
        <v>38</v>
      </c>
      <c r="AT54" s="2"/>
      <c r="AU54" s="2">
        <v>9</v>
      </c>
      <c r="AV54" s="2"/>
      <c r="AW54" s="8">
        <f t="shared" si="5"/>
        <v>9</v>
      </c>
      <c r="AX54" s="2"/>
      <c r="AY54" s="2"/>
      <c r="AZ54" s="2"/>
      <c r="BA54" s="2"/>
      <c r="BB54" s="2"/>
      <c r="BC54" s="2">
        <v>67</v>
      </c>
      <c r="BD54" s="8">
        <f t="shared" si="6"/>
        <v>67</v>
      </c>
      <c r="BE54" s="2"/>
      <c r="BF54" s="2"/>
      <c r="BG54" s="8">
        <f t="shared" si="7"/>
        <v>0</v>
      </c>
      <c r="BH54" s="2">
        <f t="shared" si="11"/>
        <v>535</v>
      </c>
    </row>
    <row r="55" spans="1:60">
      <c r="A55" s="5" t="s">
        <v>94</v>
      </c>
      <c r="B55" s="2"/>
      <c r="C55" s="2">
        <v>5</v>
      </c>
      <c r="D55" s="2"/>
      <c r="E55" s="2"/>
      <c r="F55" s="2"/>
      <c r="G55" s="2"/>
      <c r="H55" s="2"/>
      <c r="I55" s="2">
        <v>12</v>
      </c>
      <c r="J55" s="2"/>
      <c r="K55" s="2">
        <v>177</v>
      </c>
      <c r="L55" s="8">
        <f t="shared" si="9"/>
        <v>194</v>
      </c>
      <c r="M55" s="2"/>
      <c r="N55" s="2"/>
      <c r="O55" s="2"/>
      <c r="P55" s="2">
        <v>5</v>
      </c>
      <c r="Q55" s="2"/>
      <c r="R55" s="2"/>
      <c r="S55" s="2"/>
      <c r="T55" s="2"/>
      <c r="U55" s="2">
        <v>146</v>
      </c>
      <c r="V55" s="2"/>
      <c r="W55" s="2"/>
      <c r="X55" s="8">
        <f t="shared" si="1"/>
        <v>151</v>
      </c>
      <c r="Y55" s="2"/>
      <c r="Z55" s="2"/>
      <c r="AA55" s="2"/>
      <c r="AB55" s="2"/>
      <c r="AC55" s="2"/>
      <c r="AD55" s="2"/>
      <c r="AE55" s="2"/>
      <c r="AF55" s="2"/>
      <c r="AG55" s="2">
        <v>13</v>
      </c>
      <c r="AH55" s="8">
        <f t="shared" si="2"/>
        <v>13</v>
      </c>
      <c r="AI55" s="2"/>
      <c r="AJ55" s="2"/>
      <c r="AK55" s="2"/>
      <c r="AL55" s="2"/>
      <c r="AM55" s="8">
        <f t="shared" si="3"/>
        <v>0</v>
      </c>
      <c r="AN55" s="2">
        <v>2</v>
      </c>
      <c r="AO55" s="2"/>
      <c r="AP55" s="2"/>
      <c r="AQ55" s="2">
        <v>28</v>
      </c>
      <c r="AR55" s="2"/>
      <c r="AS55" s="8">
        <f t="shared" si="10"/>
        <v>30</v>
      </c>
      <c r="AT55" s="2"/>
      <c r="AU55" s="2">
        <v>12</v>
      </c>
      <c r="AV55" s="2"/>
      <c r="AW55" s="8">
        <f t="shared" si="5"/>
        <v>12</v>
      </c>
      <c r="AX55" s="2"/>
      <c r="AY55" s="2"/>
      <c r="AZ55" s="2">
        <v>1</v>
      </c>
      <c r="BA55" s="2"/>
      <c r="BB55" s="2"/>
      <c r="BC55" s="2">
        <v>64</v>
      </c>
      <c r="BD55" s="8">
        <f t="shared" si="6"/>
        <v>65</v>
      </c>
      <c r="BE55" s="2"/>
      <c r="BF55" s="2"/>
      <c r="BG55" s="8">
        <f t="shared" si="7"/>
        <v>0</v>
      </c>
      <c r="BH55" s="2">
        <f t="shared" si="11"/>
        <v>465</v>
      </c>
    </row>
    <row r="56" spans="1:60">
      <c r="A56" s="5" t="s">
        <v>45</v>
      </c>
      <c r="B56" s="2"/>
      <c r="C56" s="2">
        <v>7</v>
      </c>
      <c r="D56" s="2"/>
      <c r="E56" s="2"/>
      <c r="F56" s="2"/>
      <c r="G56" s="2"/>
      <c r="H56" s="2"/>
      <c r="I56" s="2">
        <v>14</v>
      </c>
      <c r="J56" s="2"/>
      <c r="K56" s="2">
        <v>135</v>
      </c>
      <c r="L56" s="8">
        <f t="shared" si="9"/>
        <v>156</v>
      </c>
      <c r="M56" s="2"/>
      <c r="N56" s="2"/>
      <c r="O56" s="2"/>
      <c r="P56" s="2">
        <v>2</v>
      </c>
      <c r="Q56" s="2"/>
      <c r="R56" s="2"/>
      <c r="S56" s="2"/>
      <c r="T56" s="2"/>
      <c r="U56" s="2">
        <v>134</v>
      </c>
      <c r="V56" s="2"/>
      <c r="W56" s="2"/>
      <c r="X56" s="8">
        <f t="shared" si="1"/>
        <v>136</v>
      </c>
      <c r="Y56" s="2"/>
      <c r="Z56" s="2"/>
      <c r="AA56" s="2"/>
      <c r="AB56" s="2"/>
      <c r="AC56" s="2"/>
      <c r="AD56" s="2"/>
      <c r="AE56" s="2"/>
      <c r="AF56" s="2"/>
      <c r="AG56" s="2">
        <v>6</v>
      </c>
      <c r="AH56" s="8">
        <f t="shared" si="2"/>
        <v>6</v>
      </c>
      <c r="AI56" s="2"/>
      <c r="AJ56" s="2"/>
      <c r="AK56" s="2"/>
      <c r="AL56" s="2"/>
      <c r="AM56" s="8">
        <f t="shared" si="3"/>
        <v>0</v>
      </c>
      <c r="AN56" s="2">
        <v>2</v>
      </c>
      <c r="AO56" s="2"/>
      <c r="AP56" s="2"/>
      <c r="AQ56" s="2">
        <v>12</v>
      </c>
      <c r="AR56" s="2"/>
      <c r="AS56" s="8">
        <f t="shared" si="10"/>
        <v>14</v>
      </c>
      <c r="AT56" s="2"/>
      <c r="AU56" s="2">
        <v>13</v>
      </c>
      <c r="AV56" s="2"/>
      <c r="AW56" s="8">
        <f t="shared" si="5"/>
        <v>13</v>
      </c>
      <c r="AX56" s="2"/>
      <c r="AY56" s="2"/>
      <c r="AZ56" s="2"/>
      <c r="BA56" s="2"/>
      <c r="BB56" s="2"/>
      <c r="BC56" s="2">
        <v>68</v>
      </c>
      <c r="BD56" s="8">
        <f t="shared" si="6"/>
        <v>68</v>
      </c>
      <c r="BE56" s="2"/>
      <c r="BF56" s="2"/>
      <c r="BG56" s="8">
        <f t="shared" si="7"/>
        <v>0</v>
      </c>
      <c r="BH56" s="2">
        <f t="shared" si="11"/>
        <v>393</v>
      </c>
    </row>
    <row r="57" spans="1:60">
      <c r="A57" s="5" t="s">
        <v>46</v>
      </c>
      <c r="B57" s="2"/>
      <c r="C57" s="2">
        <v>2</v>
      </c>
      <c r="D57" s="2"/>
      <c r="E57" s="2"/>
      <c r="F57" s="2"/>
      <c r="G57" s="2"/>
      <c r="H57" s="2"/>
      <c r="I57" s="2">
        <v>9</v>
      </c>
      <c r="J57" s="2"/>
      <c r="K57" s="2">
        <v>27</v>
      </c>
      <c r="L57" s="8">
        <f t="shared" si="9"/>
        <v>38</v>
      </c>
      <c r="M57" s="2"/>
      <c r="N57" s="2"/>
      <c r="O57" s="2"/>
      <c r="P57" s="2">
        <v>3</v>
      </c>
      <c r="Q57" s="2"/>
      <c r="R57" s="2"/>
      <c r="S57" s="2"/>
      <c r="T57" s="2"/>
      <c r="U57" s="2">
        <v>57</v>
      </c>
      <c r="V57" s="2"/>
      <c r="W57" s="2"/>
      <c r="X57" s="8">
        <f t="shared" si="1"/>
        <v>60</v>
      </c>
      <c r="Y57" s="2"/>
      <c r="Z57" s="2"/>
      <c r="AA57" s="2"/>
      <c r="AB57" s="2"/>
      <c r="AC57" s="2"/>
      <c r="AD57" s="2"/>
      <c r="AE57" s="2"/>
      <c r="AF57" s="2"/>
      <c r="AG57" s="2">
        <v>6</v>
      </c>
      <c r="AH57" s="8">
        <f t="shared" si="2"/>
        <v>6</v>
      </c>
      <c r="AI57" s="2"/>
      <c r="AJ57" s="2"/>
      <c r="AK57" s="2"/>
      <c r="AL57" s="2"/>
      <c r="AM57" s="8">
        <f t="shared" si="3"/>
        <v>0</v>
      </c>
      <c r="AN57" s="2">
        <v>1</v>
      </c>
      <c r="AO57" s="2"/>
      <c r="AP57" s="2"/>
      <c r="AQ57" s="2">
        <v>18</v>
      </c>
      <c r="AR57" s="2"/>
      <c r="AS57" s="8">
        <f t="shared" si="10"/>
        <v>19</v>
      </c>
      <c r="AT57" s="2"/>
      <c r="AU57" s="2">
        <v>2</v>
      </c>
      <c r="AV57" s="2"/>
      <c r="AW57" s="8">
        <f t="shared" si="5"/>
        <v>2</v>
      </c>
      <c r="AX57" s="2"/>
      <c r="AY57" s="2"/>
      <c r="AZ57" s="2"/>
      <c r="BA57" s="2"/>
      <c r="BB57" s="2"/>
      <c r="BC57" s="2">
        <v>12</v>
      </c>
      <c r="BD57" s="8">
        <f t="shared" si="6"/>
        <v>12</v>
      </c>
      <c r="BE57" s="2"/>
      <c r="BF57" s="2"/>
      <c r="BG57" s="8">
        <f t="shared" si="7"/>
        <v>0</v>
      </c>
      <c r="BH57" s="2">
        <f t="shared" si="11"/>
        <v>137</v>
      </c>
    </row>
    <row r="58" spans="1:60">
      <c r="A58" s="5" t="s">
        <v>210</v>
      </c>
      <c r="B58" s="2"/>
      <c r="C58" s="2">
        <v>23</v>
      </c>
      <c r="D58" s="2"/>
      <c r="E58" s="2"/>
      <c r="F58" s="2"/>
      <c r="G58" s="2"/>
      <c r="H58" s="2"/>
      <c r="I58" s="2">
        <v>29</v>
      </c>
      <c r="J58" s="2"/>
      <c r="K58" s="2">
        <v>10</v>
      </c>
      <c r="L58" s="8">
        <f t="shared" si="9"/>
        <v>62</v>
      </c>
      <c r="M58" s="2"/>
      <c r="N58" s="2"/>
      <c r="O58" s="2"/>
      <c r="P58" s="2"/>
      <c r="Q58" s="2">
        <v>1</v>
      </c>
      <c r="R58" s="2"/>
      <c r="S58" s="2"/>
      <c r="T58" s="2"/>
      <c r="U58" s="2">
        <v>45</v>
      </c>
      <c r="V58" s="2"/>
      <c r="W58" s="2">
        <v>27</v>
      </c>
      <c r="X58" s="8">
        <f t="shared" ref="X58:X82" si="12">SUM(M58:W58)</f>
        <v>73</v>
      </c>
      <c r="Y58" s="2"/>
      <c r="Z58" s="2"/>
      <c r="AA58" s="2"/>
      <c r="AB58" s="2"/>
      <c r="AC58" s="2"/>
      <c r="AD58" s="2"/>
      <c r="AE58" s="2">
        <v>7</v>
      </c>
      <c r="AF58" s="2">
        <v>5</v>
      </c>
      <c r="AG58" s="2">
        <v>6</v>
      </c>
      <c r="AH58" s="8">
        <f t="shared" ref="AH58:AH82" si="13">SUM(Y58:AG58)</f>
        <v>18</v>
      </c>
      <c r="AI58" s="2"/>
      <c r="AJ58" s="2"/>
      <c r="AK58" s="2"/>
      <c r="AL58" s="2"/>
      <c r="AM58" s="8">
        <f t="shared" ref="AM58:AM82" si="14">SUM(AI58:AL58)</f>
        <v>0</v>
      </c>
      <c r="AN58" s="2">
        <v>15</v>
      </c>
      <c r="AO58" s="2"/>
      <c r="AP58" s="2"/>
      <c r="AQ58" s="2">
        <v>19</v>
      </c>
      <c r="AR58" s="2"/>
      <c r="AS58" s="8">
        <f t="shared" si="10"/>
        <v>34</v>
      </c>
      <c r="AT58" s="2"/>
      <c r="AU58" s="2"/>
      <c r="AV58" s="2"/>
      <c r="AW58" s="8">
        <f t="shared" ref="AW58:AW82" si="15">SUM(AT58:AV58)</f>
        <v>0</v>
      </c>
      <c r="AX58" s="2"/>
      <c r="AY58" s="2"/>
      <c r="AZ58" s="2">
        <v>1</v>
      </c>
      <c r="BA58" s="2"/>
      <c r="BB58" s="2"/>
      <c r="BC58" s="2">
        <v>44</v>
      </c>
      <c r="BD58" s="8">
        <f t="shared" ref="BD58:BD82" si="16">SUM(AX58:BC58)</f>
        <v>45</v>
      </c>
      <c r="BE58" s="2"/>
      <c r="BF58" s="2"/>
      <c r="BG58" s="8">
        <f t="shared" ref="BG58:BG82" si="17">SUM(BE58:BF58)</f>
        <v>0</v>
      </c>
      <c r="BH58" s="2">
        <f t="shared" si="11"/>
        <v>232</v>
      </c>
    </row>
    <row r="59" spans="1:60">
      <c r="A59" s="5" t="s">
        <v>211</v>
      </c>
      <c r="B59" s="2"/>
      <c r="C59" s="2">
        <v>22</v>
      </c>
      <c r="D59" s="2"/>
      <c r="E59" s="2"/>
      <c r="F59" s="2"/>
      <c r="G59" s="2"/>
      <c r="H59" s="2"/>
      <c r="I59" s="2">
        <v>66</v>
      </c>
      <c r="J59" s="2"/>
      <c r="K59" s="2">
        <v>5</v>
      </c>
      <c r="L59" s="8">
        <f t="shared" si="9"/>
        <v>93</v>
      </c>
      <c r="M59" s="2"/>
      <c r="N59" s="2"/>
      <c r="O59" s="2"/>
      <c r="P59" s="2"/>
      <c r="Q59" s="2">
        <v>13</v>
      </c>
      <c r="R59" s="2"/>
      <c r="S59" s="2"/>
      <c r="T59" s="2"/>
      <c r="U59" s="2">
        <v>34</v>
      </c>
      <c r="V59" s="2"/>
      <c r="W59" s="2">
        <v>12</v>
      </c>
      <c r="X59" s="8">
        <f t="shared" si="12"/>
        <v>59</v>
      </c>
      <c r="Y59" s="2"/>
      <c r="Z59" s="2"/>
      <c r="AA59" s="2"/>
      <c r="AB59" s="2"/>
      <c r="AC59" s="2"/>
      <c r="AD59" s="2"/>
      <c r="AE59" s="2">
        <v>33</v>
      </c>
      <c r="AF59" s="2">
        <v>12</v>
      </c>
      <c r="AG59" s="2">
        <v>21</v>
      </c>
      <c r="AH59" s="8">
        <f t="shared" si="13"/>
        <v>66</v>
      </c>
      <c r="AI59" s="2"/>
      <c r="AJ59" s="2"/>
      <c r="AK59" s="2"/>
      <c r="AL59" s="2"/>
      <c r="AM59" s="8">
        <f t="shared" si="14"/>
        <v>0</v>
      </c>
      <c r="AN59" s="2">
        <v>24</v>
      </c>
      <c r="AO59" s="2"/>
      <c r="AP59" s="2"/>
      <c r="AQ59" s="2">
        <v>23</v>
      </c>
      <c r="AR59" s="2"/>
      <c r="AS59" s="8">
        <f t="shared" si="10"/>
        <v>47</v>
      </c>
      <c r="AT59" s="2">
        <v>2</v>
      </c>
      <c r="AU59" s="2"/>
      <c r="AV59" s="2">
        <v>1</v>
      </c>
      <c r="AW59" s="8">
        <f t="shared" si="15"/>
        <v>3</v>
      </c>
      <c r="AX59" s="2"/>
      <c r="AY59" s="2"/>
      <c r="AZ59" s="2">
        <v>1</v>
      </c>
      <c r="BA59" s="2"/>
      <c r="BB59" s="2"/>
      <c r="BC59" s="2">
        <v>78</v>
      </c>
      <c r="BD59" s="8">
        <f t="shared" si="16"/>
        <v>79</v>
      </c>
      <c r="BE59" s="2"/>
      <c r="BF59" s="2"/>
      <c r="BG59" s="8">
        <f t="shared" si="17"/>
        <v>0</v>
      </c>
      <c r="BH59" s="2">
        <f t="shared" si="11"/>
        <v>347</v>
      </c>
    </row>
    <row r="60" spans="1:60">
      <c r="A60" s="5" t="s">
        <v>47</v>
      </c>
      <c r="B60" s="2"/>
      <c r="C60" s="2">
        <v>9</v>
      </c>
      <c r="D60" s="2"/>
      <c r="E60" s="2"/>
      <c r="F60" s="2"/>
      <c r="G60" s="2"/>
      <c r="H60" s="2"/>
      <c r="I60" s="2">
        <v>50</v>
      </c>
      <c r="J60" s="2"/>
      <c r="K60" s="2">
        <v>2</v>
      </c>
      <c r="L60" s="8">
        <f t="shared" si="9"/>
        <v>61</v>
      </c>
      <c r="M60" s="2"/>
      <c r="N60" s="2">
        <v>1</v>
      </c>
      <c r="O60" s="2"/>
      <c r="P60" s="2"/>
      <c r="Q60" s="2"/>
      <c r="R60" s="2"/>
      <c r="S60" s="2"/>
      <c r="T60" s="2"/>
      <c r="U60" s="2">
        <v>9</v>
      </c>
      <c r="V60" s="2"/>
      <c r="W60" s="2">
        <v>10</v>
      </c>
      <c r="X60" s="8">
        <f t="shared" si="12"/>
        <v>20</v>
      </c>
      <c r="Y60" s="2"/>
      <c r="Z60" s="2"/>
      <c r="AA60" s="2"/>
      <c r="AB60" s="2"/>
      <c r="AC60" s="2"/>
      <c r="AD60" s="2"/>
      <c r="AE60" s="2">
        <v>19</v>
      </c>
      <c r="AF60" s="2">
        <v>2</v>
      </c>
      <c r="AG60" s="2">
        <v>9</v>
      </c>
      <c r="AH60" s="8">
        <f t="shared" si="13"/>
        <v>30</v>
      </c>
      <c r="AI60" s="2"/>
      <c r="AJ60" s="2"/>
      <c r="AK60" s="2"/>
      <c r="AL60" s="2"/>
      <c r="AM60" s="8">
        <f t="shared" si="14"/>
        <v>0</v>
      </c>
      <c r="AN60" s="2">
        <v>9</v>
      </c>
      <c r="AO60" s="2"/>
      <c r="AP60" s="2"/>
      <c r="AQ60" s="2">
        <v>21</v>
      </c>
      <c r="AR60" s="2"/>
      <c r="AS60" s="8">
        <f t="shared" si="10"/>
        <v>30</v>
      </c>
      <c r="AT60" s="2"/>
      <c r="AU60" s="2"/>
      <c r="AV60" s="2"/>
      <c r="AW60" s="8">
        <f t="shared" si="15"/>
        <v>0</v>
      </c>
      <c r="AX60" s="2"/>
      <c r="AY60" s="2"/>
      <c r="AZ60" s="2"/>
      <c r="BA60" s="2"/>
      <c r="BB60" s="2"/>
      <c r="BC60" s="2">
        <v>57</v>
      </c>
      <c r="BD60" s="8">
        <f t="shared" si="16"/>
        <v>57</v>
      </c>
      <c r="BE60" s="2"/>
      <c r="BF60" s="2"/>
      <c r="BG60" s="8">
        <f t="shared" si="17"/>
        <v>0</v>
      </c>
      <c r="BH60" s="2">
        <f t="shared" si="11"/>
        <v>198</v>
      </c>
    </row>
    <row r="61" spans="1:60">
      <c r="A61" s="5" t="s">
        <v>55</v>
      </c>
      <c r="B61" s="2"/>
      <c r="C61" s="2">
        <v>96</v>
      </c>
      <c r="D61" s="2"/>
      <c r="E61" s="2"/>
      <c r="F61" s="2"/>
      <c r="G61" s="2"/>
      <c r="H61" s="2"/>
      <c r="I61" s="2">
        <v>93</v>
      </c>
      <c r="J61" s="2"/>
      <c r="K61" s="2">
        <v>22</v>
      </c>
      <c r="L61" s="8">
        <f t="shared" si="9"/>
        <v>211</v>
      </c>
      <c r="M61" s="2"/>
      <c r="N61" s="2"/>
      <c r="O61" s="2"/>
      <c r="P61" s="2">
        <v>11</v>
      </c>
      <c r="Q61" s="2"/>
      <c r="R61" s="2"/>
      <c r="S61" s="2"/>
      <c r="T61" s="2"/>
      <c r="U61" s="2">
        <v>278</v>
      </c>
      <c r="V61" s="2"/>
      <c r="W61" s="2"/>
      <c r="X61" s="8">
        <f t="shared" si="12"/>
        <v>289</v>
      </c>
      <c r="Y61" s="2"/>
      <c r="Z61" s="2">
        <v>6</v>
      </c>
      <c r="AA61" s="2"/>
      <c r="AB61" s="2"/>
      <c r="AC61" s="2"/>
      <c r="AD61" s="2">
        <v>3</v>
      </c>
      <c r="AE61" s="2">
        <v>109</v>
      </c>
      <c r="AF61" s="2">
        <v>13</v>
      </c>
      <c r="AG61" s="2">
        <v>98</v>
      </c>
      <c r="AH61" s="8">
        <f t="shared" si="13"/>
        <v>229</v>
      </c>
      <c r="AI61" s="2"/>
      <c r="AJ61" s="2"/>
      <c r="AK61" s="2"/>
      <c r="AL61" s="2"/>
      <c r="AM61" s="8">
        <f t="shared" si="14"/>
        <v>0</v>
      </c>
      <c r="AN61" s="2">
        <v>50</v>
      </c>
      <c r="AO61" s="2"/>
      <c r="AP61" s="2"/>
      <c r="AQ61" s="2">
        <v>65</v>
      </c>
      <c r="AR61" s="2"/>
      <c r="AS61" s="8">
        <f t="shared" si="10"/>
        <v>115</v>
      </c>
      <c r="AT61" s="2">
        <v>5</v>
      </c>
      <c r="AU61" s="2"/>
      <c r="AV61" s="2">
        <v>2</v>
      </c>
      <c r="AW61" s="8">
        <f t="shared" si="15"/>
        <v>7</v>
      </c>
      <c r="AX61" s="2">
        <v>1</v>
      </c>
      <c r="AY61" s="2"/>
      <c r="AZ61" s="2">
        <v>10</v>
      </c>
      <c r="BA61" s="2">
        <v>1</v>
      </c>
      <c r="BB61" s="2"/>
      <c r="BC61" s="2">
        <v>90</v>
      </c>
      <c r="BD61" s="8">
        <f t="shared" si="16"/>
        <v>102</v>
      </c>
      <c r="BE61" s="2"/>
      <c r="BF61" s="2"/>
      <c r="BG61" s="8">
        <f t="shared" si="17"/>
        <v>0</v>
      </c>
      <c r="BH61" s="2">
        <f t="shared" si="11"/>
        <v>953</v>
      </c>
    </row>
    <row r="62" spans="1:60">
      <c r="A62" s="5" t="s">
        <v>48</v>
      </c>
      <c r="B62" s="2"/>
      <c r="C62" s="2">
        <v>1</v>
      </c>
      <c r="D62" s="2"/>
      <c r="E62" s="2"/>
      <c r="F62" s="2"/>
      <c r="G62" s="2"/>
      <c r="H62" s="2"/>
      <c r="I62" s="2">
        <v>1</v>
      </c>
      <c r="J62" s="2"/>
      <c r="K62" s="2"/>
      <c r="L62" s="8">
        <f t="shared" si="9"/>
        <v>2</v>
      </c>
      <c r="M62" s="2"/>
      <c r="N62" s="2"/>
      <c r="O62" s="2"/>
      <c r="P62" s="2"/>
      <c r="Q62" s="2"/>
      <c r="R62" s="2"/>
      <c r="S62" s="2"/>
      <c r="T62" s="2"/>
      <c r="U62" s="2">
        <v>9</v>
      </c>
      <c r="V62" s="2"/>
      <c r="W62" s="2"/>
      <c r="X62" s="8">
        <f t="shared" si="12"/>
        <v>9</v>
      </c>
      <c r="Y62" s="2"/>
      <c r="Z62" s="2"/>
      <c r="AA62" s="2"/>
      <c r="AB62" s="2"/>
      <c r="AC62" s="2"/>
      <c r="AD62" s="2"/>
      <c r="AE62" s="2"/>
      <c r="AF62" s="2"/>
      <c r="AG62" s="2"/>
      <c r="AH62" s="8">
        <f t="shared" si="13"/>
        <v>0</v>
      </c>
      <c r="AI62" s="2"/>
      <c r="AJ62" s="2"/>
      <c r="AK62" s="2"/>
      <c r="AL62" s="2"/>
      <c r="AM62" s="8">
        <f t="shared" si="14"/>
        <v>0</v>
      </c>
      <c r="AN62" s="2"/>
      <c r="AO62" s="2"/>
      <c r="AP62" s="2"/>
      <c r="AQ62" s="2">
        <v>1</v>
      </c>
      <c r="AR62" s="2"/>
      <c r="AS62" s="8">
        <f t="shared" si="10"/>
        <v>1</v>
      </c>
      <c r="AT62" s="2"/>
      <c r="AU62" s="2"/>
      <c r="AV62" s="2"/>
      <c r="AW62" s="8">
        <f t="shared" si="15"/>
        <v>0</v>
      </c>
      <c r="AX62" s="2"/>
      <c r="AY62" s="2"/>
      <c r="AZ62" s="2"/>
      <c r="BA62" s="2"/>
      <c r="BB62" s="2"/>
      <c r="BC62" s="2">
        <v>2</v>
      </c>
      <c r="BD62" s="8">
        <f t="shared" si="16"/>
        <v>2</v>
      </c>
      <c r="BE62" s="2"/>
      <c r="BF62" s="2"/>
      <c r="BG62" s="8">
        <f t="shared" si="17"/>
        <v>0</v>
      </c>
      <c r="BH62" s="2">
        <f t="shared" si="11"/>
        <v>14</v>
      </c>
    </row>
    <row r="63" spans="1:60">
      <c r="A63" s="5" t="s">
        <v>209</v>
      </c>
      <c r="B63" s="2"/>
      <c r="C63" s="2">
        <v>42</v>
      </c>
      <c r="D63" s="2"/>
      <c r="E63" s="2"/>
      <c r="F63" s="2"/>
      <c r="G63" s="2"/>
      <c r="H63" s="2"/>
      <c r="I63" s="2">
        <v>22</v>
      </c>
      <c r="J63" s="2"/>
      <c r="K63" s="2">
        <v>25</v>
      </c>
      <c r="L63" s="8">
        <f t="shared" si="9"/>
        <v>89</v>
      </c>
      <c r="M63" s="2"/>
      <c r="N63" s="2"/>
      <c r="O63" s="2"/>
      <c r="P63" s="2">
        <v>7</v>
      </c>
      <c r="Q63" s="2"/>
      <c r="R63" s="2"/>
      <c r="S63" s="2"/>
      <c r="T63" s="2"/>
      <c r="U63" s="2">
        <v>143</v>
      </c>
      <c r="V63" s="2"/>
      <c r="W63" s="2"/>
      <c r="X63" s="8">
        <f t="shared" si="12"/>
        <v>150</v>
      </c>
      <c r="Y63" s="2"/>
      <c r="Z63" s="2">
        <v>1</v>
      </c>
      <c r="AA63" s="2"/>
      <c r="AB63" s="2"/>
      <c r="AC63" s="2"/>
      <c r="AD63" s="2"/>
      <c r="AE63" s="2"/>
      <c r="AF63" s="2">
        <v>9</v>
      </c>
      <c r="AG63" s="2">
        <v>19</v>
      </c>
      <c r="AH63" s="8">
        <f t="shared" si="13"/>
        <v>29</v>
      </c>
      <c r="AI63" s="2"/>
      <c r="AJ63" s="2"/>
      <c r="AK63" s="2"/>
      <c r="AL63" s="2"/>
      <c r="AM63" s="8">
        <f t="shared" si="14"/>
        <v>0</v>
      </c>
      <c r="AN63" s="2">
        <v>32</v>
      </c>
      <c r="AO63" s="2"/>
      <c r="AP63" s="2"/>
      <c r="AQ63" s="2">
        <v>11</v>
      </c>
      <c r="AR63" s="2"/>
      <c r="AS63" s="8">
        <f t="shared" si="10"/>
        <v>43</v>
      </c>
      <c r="AT63" s="2"/>
      <c r="AU63" s="2"/>
      <c r="AV63" s="2">
        <v>2</v>
      </c>
      <c r="AW63" s="8">
        <f t="shared" si="15"/>
        <v>2</v>
      </c>
      <c r="AX63" s="2"/>
      <c r="AY63" s="2"/>
      <c r="AZ63" s="2"/>
      <c r="BA63" s="2"/>
      <c r="BB63" s="2"/>
      <c r="BC63" s="2">
        <v>23</v>
      </c>
      <c r="BD63" s="8">
        <f t="shared" si="16"/>
        <v>23</v>
      </c>
      <c r="BE63" s="2"/>
      <c r="BF63" s="2"/>
      <c r="BG63" s="8">
        <f t="shared" si="17"/>
        <v>0</v>
      </c>
      <c r="BH63" s="2">
        <f t="shared" si="11"/>
        <v>336</v>
      </c>
    </row>
    <row r="64" spans="1:60">
      <c r="A64" s="5" t="s">
        <v>59</v>
      </c>
      <c r="B64" s="2"/>
      <c r="C64" s="2">
        <v>56</v>
      </c>
      <c r="D64" s="2"/>
      <c r="E64" s="2"/>
      <c r="F64" s="2"/>
      <c r="G64" s="2"/>
      <c r="H64" s="2"/>
      <c r="I64" s="2">
        <v>46</v>
      </c>
      <c r="J64" s="2"/>
      <c r="K64" s="2">
        <v>8</v>
      </c>
      <c r="L64" s="8">
        <f t="shared" si="9"/>
        <v>110</v>
      </c>
      <c r="M64" s="2"/>
      <c r="N64" s="2"/>
      <c r="O64" s="2"/>
      <c r="P64" s="2">
        <v>7</v>
      </c>
      <c r="Q64" s="2"/>
      <c r="R64" s="2"/>
      <c r="S64" s="2"/>
      <c r="T64" s="2"/>
      <c r="U64" s="2">
        <v>116</v>
      </c>
      <c r="V64" s="2"/>
      <c r="W64" s="2"/>
      <c r="X64" s="8">
        <f t="shared" si="12"/>
        <v>123</v>
      </c>
      <c r="Y64" s="2"/>
      <c r="Z64" s="2">
        <v>1</v>
      </c>
      <c r="AA64" s="2"/>
      <c r="AB64" s="2"/>
      <c r="AC64" s="2"/>
      <c r="AD64" s="2">
        <v>2</v>
      </c>
      <c r="AE64" s="2"/>
      <c r="AF64" s="2">
        <v>13</v>
      </c>
      <c r="AG64" s="2">
        <v>33</v>
      </c>
      <c r="AH64" s="8">
        <f t="shared" si="13"/>
        <v>49</v>
      </c>
      <c r="AI64" s="2"/>
      <c r="AJ64" s="2"/>
      <c r="AK64" s="2"/>
      <c r="AL64" s="2"/>
      <c r="AM64" s="8">
        <f t="shared" si="14"/>
        <v>0</v>
      </c>
      <c r="AN64" s="2">
        <v>38</v>
      </c>
      <c r="AO64" s="2"/>
      <c r="AP64" s="2"/>
      <c r="AQ64" s="2">
        <v>25</v>
      </c>
      <c r="AR64" s="2"/>
      <c r="AS64" s="8">
        <f t="shared" si="10"/>
        <v>63</v>
      </c>
      <c r="AT64" s="2"/>
      <c r="AU64" s="2"/>
      <c r="AV64" s="2">
        <v>1</v>
      </c>
      <c r="AW64" s="8">
        <f t="shared" si="15"/>
        <v>1</v>
      </c>
      <c r="AX64" s="2"/>
      <c r="AY64" s="2"/>
      <c r="AZ64" s="2"/>
      <c r="BA64" s="2"/>
      <c r="BB64" s="2"/>
      <c r="BC64" s="2">
        <v>30</v>
      </c>
      <c r="BD64" s="8">
        <f t="shared" si="16"/>
        <v>30</v>
      </c>
      <c r="BE64" s="2"/>
      <c r="BF64" s="2"/>
      <c r="BG64" s="8">
        <f t="shared" si="17"/>
        <v>0</v>
      </c>
      <c r="BH64" s="2">
        <f t="shared" si="11"/>
        <v>376</v>
      </c>
    </row>
    <row r="65" spans="1:60">
      <c r="A65" s="5" t="s">
        <v>81</v>
      </c>
      <c r="B65" s="2"/>
      <c r="C65" s="2">
        <v>26</v>
      </c>
      <c r="D65" s="2"/>
      <c r="E65" s="2"/>
      <c r="F65" s="2"/>
      <c r="G65" s="2"/>
      <c r="H65" s="2"/>
      <c r="I65" s="2">
        <v>49</v>
      </c>
      <c r="J65" s="2"/>
      <c r="K65" s="2">
        <v>7</v>
      </c>
      <c r="L65" s="8">
        <f t="shared" si="9"/>
        <v>82</v>
      </c>
      <c r="M65" s="2"/>
      <c r="N65" s="2"/>
      <c r="O65" s="2"/>
      <c r="P65" s="2"/>
      <c r="Q65" s="2"/>
      <c r="R65" s="2"/>
      <c r="S65" s="2"/>
      <c r="T65" s="2"/>
      <c r="U65" s="2">
        <v>140</v>
      </c>
      <c r="V65" s="2"/>
      <c r="W65" s="2"/>
      <c r="X65" s="8">
        <f t="shared" si="12"/>
        <v>140</v>
      </c>
      <c r="Y65" s="2"/>
      <c r="Z65" s="2"/>
      <c r="AA65" s="2"/>
      <c r="AB65" s="2"/>
      <c r="AC65" s="2"/>
      <c r="AD65" s="2"/>
      <c r="AE65" s="2"/>
      <c r="AF65" s="2">
        <v>1</v>
      </c>
      <c r="AG65" s="2">
        <v>9</v>
      </c>
      <c r="AH65" s="8">
        <f t="shared" si="13"/>
        <v>10</v>
      </c>
      <c r="AI65" s="2"/>
      <c r="AJ65" s="2"/>
      <c r="AK65" s="2"/>
      <c r="AL65" s="2"/>
      <c r="AM65" s="8">
        <f t="shared" si="14"/>
        <v>0</v>
      </c>
      <c r="AN65" s="2">
        <v>10</v>
      </c>
      <c r="AO65" s="2"/>
      <c r="AP65" s="2"/>
      <c r="AQ65" s="2">
        <v>20</v>
      </c>
      <c r="AR65" s="2"/>
      <c r="AS65" s="8">
        <f t="shared" si="10"/>
        <v>30</v>
      </c>
      <c r="AT65" s="2"/>
      <c r="AU65" s="2"/>
      <c r="AV65" s="2">
        <v>2</v>
      </c>
      <c r="AW65" s="8">
        <f t="shared" si="15"/>
        <v>2</v>
      </c>
      <c r="AX65" s="2"/>
      <c r="AY65" s="2"/>
      <c r="AZ65" s="2"/>
      <c r="BA65" s="2"/>
      <c r="BB65" s="2"/>
      <c r="BC65" s="2">
        <v>28</v>
      </c>
      <c r="BD65" s="8">
        <f t="shared" si="16"/>
        <v>28</v>
      </c>
      <c r="BE65" s="2"/>
      <c r="BF65" s="2"/>
      <c r="BG65" s="8">
        <f t="shared" si="17"/>
        <v>0</v>
      </c>
      <c r="BH65" s="2">
        <f t="shared" si="11"/>
        <v>292</v>
      </c>
    </row>
    <row r="66" spans="1:60">
      <c r="A66" s="5" t="s">
        <v>207</v>
      </c>
      <c r="B66" s="2"/>
      <c r="C66" s="2">
        <v>16</v>
      </c>
      <c r="D66" s="2"/>
      <c r="E66" s="2"/>
      <c r="F66" s="2"/>
      <c r="G66" s="2"/>
      <c r="H66" s="2"/>
      <c r="I66" s="2">
        <v>21</v>
      </c>
      <c r="J66" s="2"/>
      <c r="K66" s="2">
        <v>28</v>
      </c>
      <c r="L66" s="8">
        <f t="shared" si="9"/>
        <v>65</v>
      </c>
      <c r="M66" s="2"/>
      <c r="N66" s="2"/>
      <c r="O66" s="2"/>
      <c r="P66" s="2">
        <v>2</v>
      </c>
      <c r="Q66" s="2"/>
      <c r="R66" s="2"/>
      <c r="S66" s="2"/>
      <c r="T66" s="2"/>
      <c r="U66" s="2">
        <v>62</v>
      </c>
      <c r="V66" s="2"/>
      <c r="W66" s="2"/>
      <c r="X66" s="8">
        <f t="shared" si="12"/>
        <v>64</v>
      </c>
      <c r="Y66" s="2"/>
      <c r="Z66" s="2">
        <v>1</v>
      </c>
      <c r="AA66" s="2"/>
      <c r="AB66" s="2"/>
      <c r="AC66" s="2"/>
      <c r="AD66" s="2"/>
      <c r="AE66" s="2">
        <v>11</v>
      </c>
      <c r="AF66" s="2">
        <v>4</v>
      </c>
      <c r="AG66" s="2">
        <v>21</v>
      </c>
      <c r="AH66" s="8">
        <f t="shared" si="13"/>
        <v>37</v>
      </c>
      <c r="AI66" s="2"/>
      <c r="AJ66" s="2"/>
      <c r="AK66" s="2"/>
      <c r="AL66" s="2"/>
      <c r="AM66" s="8">
        <f t="shared" si="14"/>
        <v>0</v>
      </c>
      <c r="AN66" s="2">
        <v>29</v>
      </c>
      <c r="AO66" s="2"/>
      <c r="AP66" s="2"/>
      <c r="AQ66" s="2">
        <v>6</v>
      </c>
      <c r="AR66" s="2"/>
      <c r="AS66" s="8">
        <f t="shared" si="10"/>
        <v>35</v>
      </c>
      <c r="AT66" s="2"/>
      <c r="AU66" s="2"/>
      <c r="AV66" s="2">
        <v>1</v>
      </c>
      <c r="AW66" s="8">
        <f t="shared" si="15"/>
        <v>1</v>
      </c>
      <c r="AX66" s="2"/>
      <c r="AY66" s="2"/>
      <c r="AZ66" s="2">
        <v>2</v>
      </c>
      <c r="BA66" s="2"/>
      <c r="BB66" s="2"/>
      <c r="BC66" s="2">
        <v>8</v>
      </c>
      <c r="BD66" s="8">
        <f t="shared" si="16"/>
        <v>10</v>
      </c>
      <c r="BE66" s="2"/>
      <c r="BF66" s="2"/>
      <c r="BG66" s="8">
        <f t="shared" si="17"/>
        <v>0</v>
      </c>
      <c r="BH66" s="2">
        <f t="shared" si="11"/>
        <v>212</v>
      </c>
    </row>
    <row r="67" spans="1:60">
      <c r="A67" s="5" t="s">
        <v>208</v>
      </c>
      <c r="B67" s="2"/>
      <c r="C67" s="2">
        <v>24</v>
      </c>
      <c r="D67" s="2"/>
      <c r="E67" s="2"/>
      <c r="F67" s="2"/>
      <c r="G67" s="2"/>
      <c r="H67" s="2"/>
      <c r="I67" s="2">
        <v>28</v>
      </c>
      <c r="J67" s="2"/>
      <c r="K67" s="2">
        <v>48</v>
      </c>
      <c r="L67" s="8">
        <f t="shared" si="9"/>
        <v>100</v>
      </c>
      <c r="M67" s="2"/>
      <c r="N67" s="2"/>
      <c r="O67" s="2"/>
      <c r="P67" s="2">
        <v>4</v>
      </c>
      <c r="Q67" s="2"/>
      <c r="R67" s="2"/>
      <c r="S67" s="2"/>
      <c r="T67" s="2"/>
      <c r="U67" s="2">
        <v>137</v>
      </c>
      <c r="V67" s="2"/>
      <c r="W67" s="2"/>
      <c r="X67" s="8">
        <f t="shared" si="12"/>
        <v>141</v>
      </c>
      <c r="Y67" s="2"/>
      <c r="Z67" s="2"/>
      <c r="AA67" s="2"/>
      <c r="AB67" s="2"/>
      <c r="AC67" s="2"/>
      <c r="AD67" s="2"/>
      <c r="AE67" s="2">
        <v>6</v>
      </c>
      <c r="AF67" s="2">
        <v>3</v>
      </c>
      <c r="AG67" s="2">
        <v>21</v>
      </c>
      <c r="AH67" s="8">
        <f t="shared" si="13"/>
        <v>30</v>
      </c>
      <c r="AI67" s="2"/>
      <c r="AJ67" s="2"/>
      <c r="AK67" s="2"/>
      <c r="AL67" s="2">
        <v>1</v>
      </c>
      <c r="AM67" s="8">
        <f t="shared" si="14"/>
        <v>1</v>
      </c>
      <c r="AN67" s="2">
        <v>22</v>
      </c>
      <c r="AO67" s="2"/>
      <c r="AP67" s="2"/>
      <c r="AQ67" s="2">
        <v>4</v>
      </c>
      <c r="AR67" s="2"/>
      <c r="AS67" s="8">
        <f t="shared" si="10"/>
        <v>26</v>
      </c>
      <c r="AT67" s="2"/>
      <c r="AU67" s="2"/>
      <c r="AV67" s="2">
        <v>1</v>
      </c>
      <c r="AW67" s="8">
        <f t="shared" si="15"/>
        <v>1</v>
      </c>
      <c r="AX67" s="2"/>
      <c r="AY67" s="2">
        <v>2</v>
      </c>
      <c r="AZ67" s="2"/>
      <c r="BA67" s="2"/>
      <c r="BB67" s="2"/>
      <c r="BC67" s="2">
        <v>10</v>
      </c>
      <c r="BD67" s="8">
        <f t="shared" si="16"/>
        <v>12</v>
      </c>
      <c r="BE67" s="2"/>
      <c r="BF67" s="2"/>
      <c r="BG67" s="8">
        <f t="shared" si="17"/>
        <v>0</v>
      </c>
      <c r="BH67" s="2">
        <f t="shared" si="11"/>
        <v>311</v>
      </c>
    </row>
    <row r="68" spans="1:60">
      <c r="A68" s="5" t="s">
        <v>83</v>
      </c>
      <c r="B68" s="2"/>
      <c r="C68" s="2">
        <v>7</v>
      </c>
      <c r="D68" s="2"/>
      <c r="E68" s="2"/>
      <c r="F68" s="2"/>
      <c r="G68" s="2"/>
      <c r="H68" s="2"/>
      <c r="I68" s="2">
        <v>6</v>
      </c>
      <c r="J68" s="2"/>
      <c r="K68" s="2">
        <v>8</v>
      </c>
      <c r="L68" s="8">
        <f t="shared" ref="L68:L82" si="18">SUM(B68:K68)</f>
        <v>21</v>
      </c>
      <c r="M68" s="2"/>
      <c r="N68" s="2"/>
      <c r="O68" s="2"/>
      <c r="P68" s="2">
        <v>1</v>
      </c>
      <c r="Q68" s="2"/>
      <c r="R68" s="2"/>
      <c r="S68" s="2"/>
      <c r="T68" s="2"/>
      <c r="U68" s="2">
        <v>13</v>
      </c>
      <c r="V68" s="2"/>
      <c r="W68" s="2"/>
      <c r="X68" s="8">
        <f t="shared" si="12"/>
        <v>14</v>
      </c>
      <c r="Y68" s="2"/>
      <c r="Z68" s="2"/>
      <c r="AA68" s="2"/>
      <c r="AB68" s="2"/>
      <c r="AC68" s="2"/>
      <c r="AD68" s="2"/>
      <c r="AE68" s="2">
        <v>5</v>
      </c>
      <c r="AF68" s="2">
        <v>2</v>
      </c>
      <c r="AG68" s="2"/>
      <c r="AH68" s="8">
        <f t="shared" si="13"/>
        <v>7</v>
      </c>
      <c r="AI68" s="2"/>
      <c r="AJ68" s="2"/>
      <c r="AK68" s="2"/>
      <c r="AL68" s="2"/>
      <c r="AM68" s="8">
        <f t="shared" si="14"/>
        <v>0</v>
      </c>
      <c r="AN68" s="2">
        <v>1</v>
      </c>
      <c r="AO68" s="2"/>
      <c r="AP68" s="2"/>
      <c r="AQ68" s="2">
        <v>2</v>
      </c>
      <c r="AR68" s="2"/>
      <c r="AS68" s="8">
        <f t="shared" ref="AS68:AS82" si="19">SUM(AN68:AQ68)</f>
        <v>3</v>
      </c>
      <c r="AT68" s="2"/>
      <c r="AU68" s="2"/>
      <c r="AV68" s="2">
        <v>1</v>
      </c>
      <c r="AW68" s="8">
        <f t="shared" si="15"/>
        <v>1</v>
      </c>
      <c r="AX68" s="2"/>
      <c r="AY68" s="2"/>
      <c r="AZ68" s="2">
        <v>1</v>
      </c>
      <c r="BA68" s="2"/>
      <c r="BB68" s="2"/>
      <c r="BC68" s="2">
        <v>7</v>
      </c>
      <c r="BD68" s="8">
        <f t="shared" si="16"/>
        <v>8</v>
      </c>
      <c r="BE68" s="2"/>
      <c r="BF68" s="2"/>
      <c r="BG68" s="8">
        <f t="shared" si="17"/>
        <v>0</v>
      </c>
      <c r="BH68" s="2">
        <f t="shared" ref="BH68:BH82" si="20">SUM(BD68,AH68,L68,X68,AS68,AW68,AM68,BG68)</f>
        <v>54</v>
      </c>
    </row>
    <row r="69" spans="1:60">
      <c r="A69" s="5" t="s">
        <v>96</v>
      </c>
      <c r="B69" s="2"/>
      <c r="C69" s="2">
        <v>11</v>
      </c>
      <c r="D69" s="2"/>
      <c r="E69" s="2"/>
      <c r="F69" s="2"/>
      <c r="G69" s="2"/>
      <c r="H69" s="2"/>
      <c r="I69" s="2">
        <v>43</v>
      </c>
      <c r="J69" s="2"/>
      <c r="K69" s="2">
        <v>29</v>
      </c>
      <c r="L69" s="8">
        <f t="shared" si="18"/>
        <v>83</v>
      </c>
      <c r="M69" s="2"/>
      <c r="N69" s="2"/>
      <c r="O69" s="2"/>
      <c r="P69" s="2">
        <v>2</v>
      </c>
      <c r="Q69" s="2"/>
      <c r="R69" s="2"/>
      <c r="S69" s="2"/>
      <c r="T69" s="2"/>
      <c r="U69" s="2">
        <v>39</v>
      </c>
      <c r="V69" s="2"/>
      <c r="W69" s="2"/>
      <c r="X69" s="8">
        <f t="shared" si="12"/>
        <v>41</v>
      </c>
      <c r="Y69" s="2"/>
      <c r="Z69" s="2"/>
      <c r="AA69" s="2"/>
      <c r="AB69" s="2"/>
      <c r="AC69" s="2"/>
      <c r="AD69" s="2"/>
      <c r="AE69" s="2">
        <v>10</v>
      </c>
      <c r="AF69" s="2"/>
      <c r="AG69" s="2">
        <v>8</v>
      </c>
      <c r="AH69" s="8">
        <f t="shared" si="13"/>
        <v>18</v>
      </c>
      <c r="AI69" s="2"/>
      <c r="AJ69" s="2"/>
      <c r="AK69" s="2"/>
      <c r="AL69" s="2">
        <v>3</v>
      </c>
      <c r="AM69" s="8">
        <f t="shared" si="14"/>
        <v>3</v>
      </c>
      <c r="AN69" s="2">
        <v>9</v>
      </c>
      <c r="AO69" s="2"/>
      <c r="AP69" s="2"/>
      <c r="AQ69" s="2">
        <v>5</v>
      </c>
      <c r="AR69" s="2"/>
      <c r="AS69" s="8">
        <f t="shared" si="19"/>
        <v>14</v>
      </c>
      <c r="AT69" s="2"/>
      <c r="AU69" s="2"/>
      <c r="AV69" s="2">
        <v>1</v>
      </c>
      <c r="AW69" s="8">
        <f t="shared" si="15"/>
        <v>1</v>
      </c>
      <c r="AX69" s="2"/>
      <c r="AY69" s="2"/>
      <c r="AZ69" s="2">
        <v>2</v>
      </c>
      <c r="BA69" s="2"/>
      <c r="BB69" s="2"/>
      <c r="BC69" s="2">
        <v>25</v>
      </c>
      <c r="BD69" s="8">
        <f t="shared" si="16"/>
        <v>27</v>
      </c>
      <c r="BE69" s="2"/>
      <c r="BF69" s="2"/>
      <c r="BG69" s="8">
        <f t="shared" si="17"/>
        <v>0</v>
      </c>
      <c r="BH69" s="2">
        <f t="shared" si="20"/>
        <v>187</v>
      </c>
    </row>
    <row r="70" spans="1:60">
      <c r="A70" s="5" t="s">
        <v>212</v>
      </c>
      <c r="B70" s="2"/>
      <c r="C70" s="2">
        <v>17</v>
      </c>
      <c r="D70" s="2"/>
      <c r="E70" s="2"/>
      <c r="F70" s="2"/>
      <c r="G70" s="2"/>
      <c r="H70" s="2"/>
      <c r="I70" s="2">
        <v>10</v>
      </c>
      <c r="J70" s="2"/>
      <c r="K70" s="2">
        <v>29</v>
      </c>
      <c r="L70" s="8">
        <f t="shared" si="18"/>
        <v>56</v>
      </c>
      <c r="M70" s="2"/>
      <c r="N70" s="2"/>
      <c r="O70" s="2"/>
      <c r="P70" s="2">
        <v>1</v>
      </c>
      <c r="Q70" s="2"/>
      <c r="R70" s="2"/>
      <c r="S70" s="2"/>
      <c r="T70" s="2"/>
      <c r="U70" s="2">
        <v>48</v>
      </c>
      <c r="V70" s="2"/>
      <c r="W70" s="2"/>
      <c r="X70" s="8">
        <f t="shared" si="12"/>
        <v>49</v>
      </c>
      <c r="Y70" s="2"/>
      <c r="Z70" s="2"/>
      <c r="AA70" s="2"/>
      <c r="AB70" s="2"/>
      <c r="AC70" s="2"/>
      <c r="AD70" s="2"/>
      <c r="AE70" s="2">
        <v>10</v>
      </c>
      <c r="AF70" s="2">
        <v>1</v>
      </c>
      <c r="AG70" s="2">
        <v>3</v>
      </c>
      <c r="AH70" s="8">
        <f t="shared" si="13"/>
        <v>14</v>
      </c>
      <c r="AI70" s="2"/>
      <c r="AJ70" s="2"/>
      <c r="AK70" s="2"/>
      <c r="AL70" s="2"/>
      <c r="AM70" s="8">
        <f t="shared" si="14"/>
        <v>0</v>
      </c>
      <c r="AN70" s="2">
        <v>11</v>
      </c>
      <c r="AO70" s="2"/>
      <c r="AP70" s="2"/>
      <c r="AQ70" s="2">
        <v>1</v>
      </c>
      <c r="AR70" s="2"/>
      <c r="AS70" s="8">
        <f t="shared" si="19"/>
        <v>12</v>
      </c>
      <c r="AT70" s="2"/>
      <c r="AU70" s="2"/>
      <c r="AV70" s="2">
        <v>5</v>
      </c>
      <c r="AW70" s="8">
        <f t="shared" si="15"/>
        <v>5</v>
      </c>
      <c r="AX70" s="2"/>
      <c r="AY70" s="2">
        <v>1</v>
      </c>
      <c r="AZ70" s="2">
        <v>3</v>
      </c>
      <c r="BA70" s="2"/>
      <c r="BB70" s="2"/>
      <c r="BC70" s="2">
        <v>7</v>
      </c>
      <c r="BD70" s="8">
        <f t="shared" si="16"/>
        <v>11</v>
      </c>
      <c r="BE70" s="2"/>
      <c r="BF70" s="2"/>
      <c r="BG70" s="8">
        <f t="shared" si="17"/>
        <v>0</v>
      </c>
      <c r="BH70" s="2">
        <f t="shared" si="20"/>
        <v>147</v>
      </c>
    </row>
    <row r="71" spans="1:60">
      <c r="A71" s="5" t="s">
        <v>49</v>
      </c>
      <c r="B71" s="2"/>
      <c r="C71" s="2">
        <v>19</v>
      </c>
      <c r="D71" s="2"/>
      <c r="E71" s="2"/>
      <c r="F71" s="2"/>
      <c r="G71" s="2"/>
      <c r="H71" s="2"/>
      <c r="I71" s="2">
        <v>19</v>
      </c>
      <c r="J71" s="2"/>
      <c r="K71" s="2">
        <v>1</v>
      </c>
      <c r="L71" s="8">
        <f t="shared" si="18"/>
        <v>39</v>
      </c>
      <c r="M71" s="2"/>
      <c r="N71" s="2"/>
      <c r="O71" s="2"/>
      <c r="P71" s="2">
        <v>27</v>
      </c>
      <c r="Q71" s="2"/>
      <c r="R71" s="2"/>
      <c r="S71" s="2"/>
      <c r="T71" s="2"/>
      <c r="U71" s="2">
        <v>9</v>
      </c>
      <c r="V71" s="2"/>
      <c r="W71" s="2"/>
      <c r="X71" s="8">
        <f t="shared" si="12"/>
        <v>36</v>
      </c>
      <c r="Y71" s="2"/>
      <c r="Z71" s="2"/>
      <c r="AA71" s="2"/>
      <c r="AB71" s="2"/>
      <c r="AC71" s="2"/>
      <c r="AD71" s="2"/>
      <c r="AE71" s="2">
        <v>2</v>
      </c>
      <c r="AF71" s="2"/>
      <c r="AG71" s="2">
        <v>4</v>
      </c>
      <c r="AH71" s="8">
        <f t="shared" si="13"/>
        <v>6</v>
      </c>
      <c r="AI71" s="2">
        <v>43</v>
      </c>
      <c r="AJ71" s="2"/>
      <c r="AK71" s="2"/>
      <c r="AL71" s="2"/>
      <c r="AM71" s="8">
        <f t="shared" si="14"/>
        <v>43</v>
      </c>
      <c r="AN71" s="2">
        <v>9</v>
      </c>
      <c r="AO71" s="2"/>
      <c r="AP71" s="2"/>
      <c r="AQ71" s="2"/>
      <c r="AR71" s="2"/>
      <c r="AS71" s="8">
        <f t="shared" si="19"/>
        <v>9</v>
      </c>
      <c r="AT71" s="2"/>
      <c r="AU71" s="2"/>
      <c r="AV71" s="2"/>
      <c r="AW71" s="8">
        <f t="shared" si="15"/>
        <v>0</v>
      </c>
      <c r="AX71" s="2"/>
      <c r="AY71" s="2"/>
      <c r="AZ71" s="2">
        <v>5</v>
      </c>
      <c r="BA71" s="2"/>
      <c r="BB71" s="2"/>
      <c r="BC71" s="2">
        <v>51</v>
      </c>
      <c r="BD71" s="8">
        <f t="shared" si="16"/>
        <v>56</v>
      </c>
      <c r="BE71" s="2"/>
      <c r="BF71" s="2"/>
      <c r="BG71" s="8">
        <f t="shared" si="17"/>
        <v>0</v>
      </c>
      <c r="BH71" s="2">
        <f t="shared" si="20"/>
        <v>189</v>
      </c>
    </row>
    <row r="72" spans="1:60">
      <c r="A72" s="5" t="s">
        <v>50</v>
      </c>
      <c r="B72" s="2"/>
      <c r="C72" s="2">
        <v>42</v>
      </c>
      <c r="D72" s="2"/>
      <c r="E72" s="2"/>
      <c r="F72" s="2"/>
      <c r="G72" s="2"/>
      <c r="H72" s="2"/>
      <c r="I72" s="2">
        <v>36</v>
      </c>
      <c r="J72" s="2"/>
      <c r="K72" s="2">
        <v>3</v>
      </c>
      <c r="L72" s="8">
        <f t="shared" si="18"/>
        <v>81</v>
      </c>
      <c r="M72" s="2"/>
      <c r="N72" s="2"/>
      <c r="O72" s="2"/>
      <c r="P72" s="2">
        <v>74</v>
      </c>
      <c r="Q72" s="2"/>
      <c r="R72" s="2"/>
      <c r="S72" s="2"/>
      <c r="T72" s="2"/>
      <c r="U72" s="2">
        <v>73</v>
      </c>
      <c r="V72" s="2"/>
      <c r="W72" s="2"/>
      <c r="X72" s="8">
        <f t="shared" si="12"/>
        <v>147</v>
      </c>
      <c r="Y72" s="2"/>
      <c r="Z72" s="2"/>
      <c r="AA72" s="2"/>
      <c r="AB72" s="2"/>
      <c r="AC72" s="2"/>
      <c r="AD72" s="2"/>
      <c r="AE72" s="2">
        <v>6</v>
      </c>
      <c r="AF72" s="2">
        <v>1</v>
      </c>
      <c r="AG72" s="2">
        <v>29</v>
      </c>
      <c r="AH72" s="8">
        <f t="shared" si="13"/>
        <v>36</v>
      </c>
      <c r="AI72" s="2">
        <v>57</v>
      </c>
      <c r="AJ72" s="2"/>
      <c r="AK72" s="2"/>
      <c r="AL72" s="2"/>
      <c r="AM72" s="8">
        <f t="shared" si="14"/>
        <v>57</v>
      </c>
      <c r="AN72" s="2">
        <v>46</v>
      </c>
      <c r="AO72" s="2"/>
      <c r="AP72" s="2"/>
      <c r="AQ72" s="2">
        <v>4</v>
      </c>
      <c r="AR72" s="2"/>
      <c r="AS72" s="8">
        <f t="shared" si="19"/>
        <v>50</v>
      </c>
      <c r="AT72" s="2"/>
      <c r="AU72" s="2"/>
      <c r="AV72" s="2"/>
      <c r="AW72" s="8">
        <f t="shared" si="15"/>
        <v>0</v>
      </c>
      <c r="AX72" s="2"/>
      <c r="AY72" s="2"/>
      <c r="AZ72" s="2">
        <v>5</v>
      </c>
      <c r="BA72" s="2"/>
      <c r="BB72" s="2"/>
      <c r="BC72" s="2">
        <v>37</v>
      </c>
      <c r="BD72" s="8">
        <f t="shared" si="16"/>
        <v>42</v>
      </c>
      <c r="BE72" s="2"/>
      <c r="BF72" s="2"/>
      <c r="BG72" s="8">
        <f t="shared" si="17"/>
        <v>0</v>
      </c>
      <c r="BH72" s="2">
        <f t="shared" si="20"/>
        <v>413</v>
      </c>
    </row>
    <row r="73" spans="1:60">
      <c r="A73" s="5" t="s">
        <v>51</v>
      </c>
      <c r="B73" s="2"/>
      <c r="C73" s="2">
        <v>41</v>
      </c>
      <c r="D73" s="2"/>
      <c r="E73" s="2"/>
      <c r="F73" s="2"/>
      <c r="G73" s="2"/>
      <c r="H73" s="2"/>
      <c r="I73" s="2">
        <v>52</v>
      </c>
      <c r="J73" s="2"/>
      <c r="K73" s="2">
        <v>3</v>
      </c>
      <c r="L73" s="8">
        <f t="shared" si="18"/>
        <v>96</v>
      </c>
      <c r="M73" s="2"/>
      <c r="N73" s="2"/>
      <c r="O73" s="2"/>
      <c r="P73" s="2">
        <v>80</v>
      </c>
      <c r="Q73" s="2"/>
      <c r="R73" s="2"/>
      <c r="S73" s="2"/>
      <c r="T73" s="2"/>
      <c r="U73" s="2">
        <v>343</v>
      </c>
      <c r="V73" s="2"/>
      <c r="W73" s="2"/>
      <c r="X73" s="8">
        <f t="shared" si="12"/>
        <v>423</v>
      </c>
      <c r="Y73" s="2"/>
      <c r="Z73" s="2">
        <v>1</v>
      </c>
      <c r="AA73" s="2"/>
      <c r="AB73" s="2"/>
      <c r="AC73" s="2"/>
      <c r="AD73" s="2"/>
      <c r="AE73" s="2">
        <v>6</v>
      </c>
      <c r="AF73" s="2">
        <v>3</v>
      </c>
      <c r="AG73" s="2">
        <v>34</v>
      </c>
      <c r="AH73" s="8">
        <f t="shared" si="13"/>
        <v>44</v>
      </c>
      <c r="AI73" s="2">
        <v>74</v>
      </c>
      <c r="AJ73" s="2"/>
      <c r="AK73" s="2"/>
      <c r="AL73" s="2"/>
      <c r="AM73" s="8">
        <f t="shared" si="14"/>
        <v>74</v>
      </c>
      <c r="AN73" s="2">
        <v>46</v>
      </c>
      <c r="AO73" s="2"/>
      <c r="AP73" s="2"/>
      <c r="AQ73" s="2">
        <v>4</v>
      </c>
      <c r="AR73" s="2"/>
      <c r="AS73" s="8">
        <f t="shared" si="19"/>
        <v>50</v>
      </c>
      <c r="AT73" s="2"/>
      <c r="AU73" s="2"/>
      <c r="AV73" s="2">
        <v>1</v>
      </c>
      <c r="AW73" s="8">
        <f t="shared" si="15"/>
        <v>1</v>
      </c>
      <c r="AX73" s="2"/>
      <c r="AY73" s="2"/>
      <c r="AZ73" s="2">
        <v>4</v>
      </c>
      <c r="BA73" s="2"/>
      <c r="BB73" s="2"/>
      <c r="BC73" s="2">
        <v>47</v>
      </c>
      <c r="BD73" s="8">
        <f t="shared" si="16"/>
        <v>51</v>
      </c>
      <c r="BE73" s="2"/>
      <c r="BF73" s="2"/>
      <c r="BG73" s="8">
        <f t="shared" si="17"/>
        <v>0</v>
      </c>
      <c r="BH73" s="2">
        <f t="shared" si="20"/>
        <v>739</v>
      </c>
    </row>
    <row r="74" spans="1:60">
      <c r="A74" s="5" t="s">
        <v>213</v>
      </c>
      <c r="B74" s="2"/>
      <c r="C74" s="2">
        <v>78</v>
      </c>
      <c r="D74" s="2"/>
      <c r="E74" s="2"/>
      <c r="F74" s="2"/>
      <c r="G74" s="2"/>
      <c r="H74" s="2"/>
      <c r="I74" s="2">
        <v>68</v>
      </c>
      <c r="J74" s="2"/>
      <c r="K74" s="2">
        <v>7</v>
      </c>
      <c r="L74" s="8">
        <f t="shared" si="18"/>
        <v>153</v>
      </c>
      <c r="M74" s="2"/>
      <c r="N74" s="2"/>
      <c r="O74" s="2"/>
      <c r="P74" s="2">
        <v>224</v>
      </c>
      <c r="Q74" s="2"/>
      <c r="R74" s="2"/>
      <c r="S74" s="2"/>
      <c r="T74" s="2"/>
      <c r="U74" s="2">
        <v>249</v>
      </c>
      <c r="V74" s="2"/>
      <c r="W74" s="2"/>
      <c r="X74" s="8">
        <f t="shared" si="12"/>
        <v>473</v>
      </c>
      <c r="Y74" s="2"/>
      <c r="Z74" s="2"/>
      <c r="AA74" s="2">
        <v>1</v>
      </c>
      <c r="AB74" s="2"/>
      <c r="AC74" s="2"/>
      <c r="AD74" s="2"/>
      <c r="AE74" s="2">
        <v>5</v>
      </c>
      <c r="AF74" s="2"/>
      <c r="AG74" s="2">
        <v>42</v>
      </c>
      <c r="AH74" s="8">
        <f t="shared" si="13"/>
        <v>48</v>
      </c>
      <c r="AI74" s="2">
        <v>185</v>
      </c>
      <c r="AJ74" s="2"/>
      <c r="AK74" s="2"/>
      <c r="AL74" s="2"/>
      <c r="AM74" s="8">
        <f t="shared" si="14"/>
        <v>185</v>
      </c>
      <c r="AN74" s="2">
        <v>68</v>
      </c>
      <c r="AO74" s="2"/>
      <c r="AP74" s="2"/>
      <c r="AQ74" s="2">
        <v>7</v>
      </c>
      <c r="AR74" s="2"/>
      <c r="AS74" s="8">
        <f t="shared" si="19"/>
        <v>75</v>
      </c>
      <c r="AT74" s="2"/>
      <c r="AU74" s="2"/>
      <c r="AV74" s="2">
        <v>1</v>
      </c>
      <c r="AW74" s="8">
        <f t="shared" si="15"/>
        <v>1</v>
      </c>
      <c r="AX74" s="2"/>
      <c r="AY74" s="2">
        <v>3</v>
      </c>
      <c r="AZ74" s="2">
        <v>12</v>
      </c>
      <c r="BA74" s="2"/>
      <c r="BB74" s="2"/>
      <c r="BC74" s="2">
        <v>66</v>
      </c>
      <c r="BD74" s="8">
        <f t="shared" si="16"/>
        <v>81</v>
      </c>
      <c r="BE74" s="2">
        <v>1</v>
      </c>
      <c r="BF74" s="2"/>
      <c r="BG74" s="8">
        <f t="shared" si="17"/>
        <v>1</v>
      </c>
      <c r="BH74" s="2">
        <f t="shared" si="20"/>
        <v>1017</v>
      </c>
    </row>
    <row r="75" spans="1:60">
      <c r="A75" s="5" t="s">
        <v>145</v>
      </c>
      <c r="B75" s="2">
        <v>1</v>
      </c>
      <c r="C75" s="2">
        <v>19</v>
      </c>
      <c r="D75" s="2">
        <v>1</v>
      </c>
      <c r="E75" s="2"/>
      <c r="F75" s="2"/>
      <c r="G75" s="2"/>
      <c r="H75" s="2"/>
      <c r="I75" s="2">
        <v>62</v>
      </c>
      <c r="J75" s="2"/>
      <c r="K75" s="2">
        <v>18</v>
      </c>
      <c r="L75" s="8">
        <f t="shared" si="18"/>
        <v>101</v>
      </c>
      <c r="M75" s="2"/>
      <c r="N75" s="2"/>
      <c r="O75" s="2"/>
      <c r="P75" s="2">
        <v>5</v>
      </c>
      <c r="Q75" s="2"/>
      <c r="R75" s="2"/>
      <c r="S75" s="2"/>
      <c r="T75" s="2"/>
      <c r="U75" s="2">
        <v>256</v>
      </c>
      <c r="V75" s="2"/>
      <c r="W75" s="2"/>
      <c r="X75" s="8">
        <f t="shared" si="12"/>
        <v>261</v>
      </c>
      <c r="Y75" s="2">
        <v>1</v>
      </c>
      <c r="Z75" s="2"/>
      <c r="AA75" s="2"/>
      <c r="AB75" s="2"/>
      <c r="AC75" s="2"/>
      <c r="AD75" s="2"/>
      <c r="AE75" s="2"/>
      <c r="AF75" s="2">
        <v>6</v>
      </c>
      <c r="AG75" s="2">
        <v>70</v>
      </c>
      <c r="AH75" s="8">
        <f t="shared" si="13"/>
        <v>77</v>
      </c>
      <c r="AI75" s="2"/>
      <c r="AJ75" s="2"/>
      <c r="AK75" s="2">
        <v>9</v>
      </c>
      <c r="AL75" s="2"/>
      <c r="AM75" s="8">
        <f t="shared" si="14"/>
        <v>9</v>
      </c>
      <c r="AN75" s="2">
        <v>51</v>
      </c>
      <c r="AO75" s="2"/>
      <c r="AP75" s="2"/>
      <c r="AQ75" s="2">
        <v>37</v>
      </c>
      <c r="AR75" s="2"/>
      <c r="AS75" s="8">
        <f t="shared" si="19"/>
        <v>88</v>
      </c>
      <c r="AT75" s="2"/>
      <c r="AU75" s="2">
        <v>1</v>
      </c>
      <c r="AV75" s="2"/>
      <c r="AW75" s="8">
        <f t="shared" si="15"/>
        <v>1</v>
      </c>
      <c r="AX75" s="2"/>
      <c r="AY75" s="2">
        <v>1</v>
      </c>
      <c r="AZ75" s="2">
        <v>2</v>
      </c>
      <c r="BA75" s="2"/>
      <c r="BB75" s="2">
        <v>4</v>
      </c>
      <c r="BC75" s="2">
        <v>59</v>
      </c>
      <c r="BD75" s="8">
        <f t="shared" si="16"/>
        <v>66</v>
      </c>
      <c r="BE75" s="2"/>
      <c r="BF75" s="2"/>
      <c r="BG75" s="8">
        <f t="shared" si="17"/>
        <v>0</v>
      </c>
      <c r="BH75" s="2">
        <f t="shared" si="20"/>
        <v>603</v>
      </c>
    </row>
    <row r="76" spans="1:60">
      <c r="A76" s="5" t="s">
        <v>204</v>
      </c>
      <c r="B76" s="2"/>
      <c r="C76" s="2">
        <v>41</v>
      </c>
      <c r="D76" s="2">
        <v>1</v>
      </c>
      <c r="E76" s="2"/>
      <c r="F76" s="2"/>
      <c r="G76" s="2"/>
      <c r="H76" s="2"/>
      <c r="I76" s="2">
        <v>78</v>
      </c>
      <c r="J76" s="2"/>
      <c r="K76" s="2">
        <v>50</v>
      </c>
      <c r="L76" s="8">
        <f t="shared" si="18"/>
        <v>170</v>
      </c>
      <c r="M76" s="2"/>
      <c r="N76" s="2"/>
      <c r="O76" s="2"/>
      <c r="P76" s="2">
        <v>8</v>
      </c>
      <c r="Q76" s="2"/>
      <c r="R76" s="2"/>
      <c r="S76" s="2"/>
      <c r="T76" s="2"/>
      <c r="U76" s="2">
        <v>330</v>
      </c>
      <c r="V76" s="2"/>
      <c r="W76" s="2"/>
      <c r="X76" s="8">
        <f t="shared" si="12"/>
        <v>338</v>
      </c>
      <c r="Y76" s="2"/>
      <c r="Z76" s="2"/>
      <c r="AA76" s="2"/>
      <c r="AB76" s="2"/>
      <c r="AC76" s="2"/>
      <c r="AD76" s="2"/>
      <c r="AE76" s="2"/>
      <c r="AF76" s="2">
        <v>9</v>
      </c>
      <c r="AG76" s="2">
        <v>89</v>
      </c>
      <c r="AH76" s="8">
        <f t="shared" si="13"/>
        <v>98</v>
      </c>
      <c r="AI76" s="2"/>
      <c r="AJ76" s="2"/>
      <c r="AK76" s="2">
        <v>20</v>
      </c>
      <c r="AL76" s="2"/>
      <c r="AM76" s="8">
        <f t="shared" si="14"/>
        <v>20</v>
      </c>
      <c r="AN76" s="2">
        <v>74</v>
      </c>
      <c r="AO76" s="2"/>
      <c r="AP76" s="2"/>
      <c r="AQ76" s="2">
        <v>25</v>
      </c>
      <c r="AR76" s="2"/>
      <c r="AS76" s="8">
        <f t="shared" si="19"/>
        <v>99</v>
      </c>
      <c r="AT76" s="2">
        <v>2</v>
      </c>
      <c r="AU76" s="2"/>
      <c r="AV76" s="2"/>
      <c r="AW76" s="8">
        <f t="shared" si="15"/>
        <v>2</v>
      </c>
      <c r="AX76" s="2"/>
      <c r="AY76" s="2">
        <v>3</v>
      </c>
      <c r="AZ76" s="2">
        <v>1</v>
      </c>
      <c r="BA76" s="2"/>
      <c r="BB76" s="2">
        <v>2</v>
      </c>
      <c r="BC76" s="2">
        <v>71</v>
      </c>
      <c r="BD76" s="8">
        <f t="shared" si="16"/>
        <v>77</v>
      </c>
      <c r="BE76" s="2"/>
      <c r="BF76" s="2"/>
      <c r="BG76" s="8">
        <f t="shared" si="17"/>
        <v>0</v>
      </c>
      <c r="BH76" s="2">
        <f t="shared" si="20"/>
        <v>804</v>
      </c>
    </row>
    <row r="77" spans="1:60">
      <c r="A77" s="5" t="s">
        <v>52</v>
      </c>
      <c r="B77" s="2"/>
      <c r="C77" s="2">
        <v>4</v>
      </c>
      <c r="D77" s="2"/>
      <c r="E77" s="2"/>
      <c r="F77" s="2"/>
      <c r="G77" s="2"/>
      <c r="H77" s="2"/>
      <c r="I77" s="2">
        <v>14</v>
      </c>
      <c r="J77" s="2"/>
      <c r="K77" s="2">
        <v>14</v>
      </c>
      <c r="L77" s="8">
        <f t="shared" si="18"/>
        <v>32</v>
      </c>
      <c r="M77" s="2"/>
      <c r="N77" s="2"/>
      <c r="O77" s="2"/>
      <c r="P77" s="2"/>
      <c r="Q77" s="2"/>
      <c r="R77" s="2"/>
      <c r="S77" s="2"/>
      <c r="T77" s="2"/>
      <c r="U77" s="2">
        <v>62</v>
      </c>
      <c r="V77" s="2"/>
      <c r="W77" s="2"/>
      <c r="X77" s="8">
        <f t="shared" si="12"/>
        <v>62</v>
      </c>
      <c r="Y77" s="2"/>
      <c r="Z77" s="2"/>
      <c r="AA77" s="2"/>
      <c r="AB77" s="2"/>
      <c r="AC77" s="2"/>
      <c r="AD77" s="2"/>
      <c r="AE77" s="2"/>
      <c r="AF77" s="2"/>
      <c r="AG77" s="2">
        <v>8</v>
      </c>
      <c r="AH77" s="8">
        <f t="shared" si="13"/>
        <v>8</v>
      </c>
      <c r="AI77" s="2"/>
      <c r="AJ77" s="2"/>
      <c r="AK77" s="2">
        <v>1</v>
      </c>
      <c r="AL77" s="2"/>
      <c r="AM77" s="8">
        <f t="shared" si="14"/>
        <v>1</v>
      </c>
      <c r="AN77" s="2">
        <v>3</v>
      </c>
      <c r="AO77" s="2"/>
      <c r="AP77" s="2"/>
      <c r="AQ77" s="2">
        <v>16</v>
      </c>
      <c r="AR77" s="2"/>
      <c r="AS77" s="8">
        <f t="shared" si="19"/>
        <v>19</v>
      </c>
      <c r="AT77" s="2"/>
      <c r="AU77" s="2">
        <v>1</v>
      </c>
      <c r="AV77" s="2"/>
      <c r="AW77" s="8">
        <f t="shared" si="15"/>
        <v>1</v>
      </c>
      <c r="AX77" s="2"/>
      <c r="AY77" s="2"/>
      <c r="AZ77" s="2">
        <v>2</v>
      </c>
      <c r="BA77" s="2"/>
      <c r="BB77" s="2">
        <v>1</v>
      </c>
      <c r="BC77" s="2">
        <v>16</v>
      </c>
      <c r="BD77" s="8">
        <f t="shared" si="16"/>
        <v>19</v>
      </c>
      <c r="BE77" s="2"/>
      <c r="BF77" s="2"/>
      <c r="BG77" s="8">
        <f t="shared" si="17"/>
        <v>0</v>
      </c>
      <c r="BH77" s="2">
        <f t="shared" si="20"/>
        <v>142</v>
      </c>
    </row>
    <row r="78" spans="1:60">
      <c r="A78" s="5" t="s">
        <v>205</v>
      </c>
      <c r="B78" s="2"/>
      <c r="C78" s="2">
        <v>12</v>
      </c>
      <c r="D78" s="2">
        <v>1</v>
      </c>
      <c r="E78" s="2"/>
      <c r="F78" s="2"/>
      <c r="G78" s="2"/>
      <c r="H78" s="2"/>
      <c r="I78" s="2">
        <v>28</v>
      </c>
      <c r="J78" s="2"/>
      <c r="K78" s="2">
        <v>14</v>
      </c>
      <c r="L78" s="8">
        <f t="shared" si="18"/>
        <v>55</v>
      </c>
      <c r="M78" s="2"/>
      <c r="N78" s="2"/>
      <c r="O78" s="2"/>
      <c r="P78" s="2">
        <v>2</v>
      </c>
      <c r="Q78" s="2"/>
      <c r="R78" s="2"/>
      <c r="S78" s="2"/>
      <c r="T78" s="2"/>
      <c r="U78" s="2">
        <v>176</v>
      </c>
      <c r="V78" s="2"/>
      <c r="W78" s="2"/>
      <c r="X78" s="8">
        <f t="shared" si="12"/>
        <v>178</v>
      </c>
      <c r="Y78" s="2"/>
      <c r="Z78" s="2"/>
      <c r="AA78" s="2"/>
      <c r="AB78" s="2"/>
      <c r="AC78" s="2"/>
      <c r="AD78" s="2"/>
      <c r="AE78" s="2"/>
      <c r="AF78" s="2"/>
      <c r="AG78" s="2">
        <v>23</v>
      </c>
      <c r="AH78" s="8">
        <f t="shared" si="13"/>
        <v>23</v>
      </c>
      <c r="AI78" s="2"/>
      <c r="AJ78" s="2"/>
      <c r="AK78" s="2">
        <v>16</v>
      </c>
      <c r="AL78" s="2"/>
      <c r="AM78" s="8">
        <f t="shared" si="14"/>
        <v>16</v>
      </c>
      <c r="AN78" s="2">
        <v>18</v>
      </c>
      <c r="AO78" s="2"/>
      <c r="AP78" s="2"/>
      <c r="AQ78" s="2">
        <v>19</v>
      </c>
      <c r="AR78" s="2"/>
      <c r="AS78" s="8">
        <f t="shared" si="19"/>
        <v>37</v>
      </c>
      <c r="AT78" s="2"/>
      <c r="AU78" s="2">
        <v>2</v>
      </c>
      <c r="AV78" s="2"/>
      <c r="AW78" s="8">
        <f t="shared" si="15"/>
        <v>2</v>
      </c>
      <c r="AX78" s="2"/>
      <c r="AY78" s="2"/>
      <c r="AZ78" s="2">
        <v>5</v>
      </c>
      <c r="BA78" s="2"/>
      <c r="BB78" s="2">
        <v>1</v>
      </c>
      <c r="BC78" s="2">
        <v>37</v>
      </c>
      <c r="BD78" s="8">
        <f t="shared" si="16"/>
        <v>43</v>
      </c>
      <c r="BE78" s="2"/>
      <c r="BF78" s="2"/>
      <c r="BG78" s="8">
        <f t="shared" si="17"/>
        <v>0</v>
      </c>
      <c r="BH78" s="2">
        <f t="shared" si="20"/>
        <v>354</v>
      </c>
    </row>
    <row r="79" spans="1:60">
      <c r="A79" s="5" t="s">
        <v>206</v>
      </c>
      <c r="B79" s="2"/>
      <c r="C79" s="2">
        <v>14</v>
      </c>
      <c r="D79" s="2">
        <v>2</v>
      </c>
      <c r="E79" s="2"/>
      <c r="F79" s="2">
        <v>2</v>
      </c>
      <c r="G79" s="2"/>
      <c r="H79" s="2"/>
      <c r="I79" s="2">
        <v>34</v>
      </c>
      <c r="J79" s="2"/>
      <c r="K79" s="2">
        <v>31</v>
      </c>
      <c r="L79" s="8">
        <f t="shared" si="18"/>
        <v>83</v>
      </c>
      <c r="M79" s="2"/>
      <c r="N79" s="2">
        <v>4</v>
      </c>
      <c r="O79" s="2"/>
      <c r="P79" s="2">
        <v>5</v>
      </c>
      <c r="Q79" s="2"/>
      <c r="R79" s="2"/>
      <c r="S79" s="2"/>
      <c r="T79" s="2"/>
      <c r="U79" s="2">
        <v>126</v>
      </c>
      <c r="V79" s="2"/>
      <c r="W79" s="2"/>
      <c r="X79" s="8">
        <f t="shared" si="12"/>
        <v>135</v>
      </c>
      <c r="Y79" s="2"/>
      <c r="Z79" s="2"/>
      <c r="AA79" s="2"/>
      <c r="AB79" s="2"/>
      <c r="AC79" s="2"/>
      <c r="AD79" s="2"/>
      <c r="AE79" s="2"/>
      <c r="AF79" s="2">
        <v>7</v>
      </c>
      <c r="AG79" s="2">
        <v>40</v>
      </c>
      <c r="AH79" s="8">
        <f t="shared" si="13"/>
        <v>47</v>
      </c>
      <c r="AI79" s="2"/>
      <c r="AJ79" s="2"/>
      <c r="AK79" s="2">
        <v>1</v>
      </c>
      <c r="AL79" s="2"/>
      <c r="AM79" s="8">
        <f t="shared" si="14"/>
        <v>1</v>
      </c>
      <c r="AN79" s="2">
        <v>33</v>
      </c>
      <c r="AO79" s="2"/>
      <c r="AP79" s="2"/>
      <c r="AQ79" s="2">
        <v>22</v>
      </c>
      <c r="AR79" s="2"/>
      <c r="AS79" s="8">
        <f t="shared" si="19"/>
        <v>55</v>
      </c>
      <c r="AT79" s="2"/>
      <c r="AU79" s="2">
        <v>1</v>
      </c>
      <c r="AV79" s="2"/>
      <c r="AW79" s="8">
        <f t="shared" si="15"/>
        <v>1</v>
      </c>
      <c r="AX79" s="2"/>
      <c r="AY79" s="2">
        <v>4</v>
      </c>
      <c r="AZ79" s="2">
        <v>4</v>
      </c>
      <c r="BA79" s="2"/>
      <c r="BB79" s="2">
        <v>1</v>
      </c>
      <c r="BC79" s="2">
        <v>31</v>
      </c>
      <c r="BD79" s="8">
        <f t="shared" si="16"/>
        <v>40</v>
      </c>
      <c r="BE79" s="2"/>
      <c r="BF79" s="2"/>
      <c r="BG79" s="8">
        <f t="shared" si="17"/>
        <v>0</v>
      </c>
      <c r="BH79" s="2">
        <f t="shared" si="20"/>
        <v>362</v>
      </c>
    </row>
    <row r="80" spans="1:60">
      <c r="A80" s="5" t="s">
        <v>160</v>
      </c>
      <c r="B80" s="2"/>
      <c r="C80" s="2">
        <v>4</v>
      </c>
      <c r="D80" s="2"/>
      <c r="E80" s="2"/>
      <c r="F80" s="2"/>
      <c r="G80" s="2"/>
      <c r="H80" s="2"/>
      <c r="I80" s="2"/>
      <c r="J80" s="2"/>
      <c r="K80" s="2"/>
      <c r="L80" s="8">
        <f t="shared" si="18"/>
        <v>4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8">
        <f t="shared" si="12"/>
        <v>0</v>
      </c>
      <c r="Y80" s="2"/>
      <c r="Z80" s="2"/>
      <c r="AA80" s="2"/>
      <c r="AB80" s="2"/>
      <c r="AC80" s="2"/>
      <c r="AD80" s="2"/>
      <c r="AE80" s="2"/>
      <c r="AF80" s="2"/>
      <c r="AG80" s="2"/>
      <c r="AH80" s="8">
        <f t="shared" si="13"/>
        <v>0</v>
      </c>
      <c r="AI80" s="2"/>
      <c r="AJ80" s="2"/>
      <c r="AK80" s="2"/>
      <c r="AL80" s="2"/>
      <c r="AM80" s="8">
        <f t="shared" si="14"/>
        <v>0</v>
      </c>
      <c r="AN80" s="2"/>
      <c r="AO80" s="2"/>
      <c r="AP80" s="2"/>
      <c r="AQ80" s="2"/>
      <c r="AR80" s="2"/>
      <c r="AS80" s="8">
        <f t="shared" si="19"/>
        <v>0</v>
      </c>
      <c r="AT80" s="2"/>
      <c r="AU80" s="2"/>
      <c r="AV80" s="2"/>
      <c r="AW80" s="8">
        <f t="shared" si="15"/>
        <v>0</v>
      </c>
      <c r="AX80" s="2"/>
      <c r="AY80" s="2"/>
      <c r="AZ80" s="2"/>
      <c r="BA80" s="2"/>
      <c r="BB80" s="2"/>
      <c r="BC80" s="2"/>
      <c r="BD80" s="8">
        <f t="shared" si="16"/>
        <v>0</v>
      </c>
      <c r="BE80" s="2"/>
      <c r="BF80" s="2"/>
      <c r="BG80" s="8">
        <f t="shared" si="17"/>
        <v>0</v>
      </c>
      <c r="BH80" s="2">
        <f t="shared" si="20"/>
        <v>4</v>
      </c>
    </row>
    <row r="81" spans="1:60">
      <c r="A81" s="5" t="s">
        <v>203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8">
        <f t="shared" si="18"/>
        <v>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8">
        <f t="shared" si="12"/>
        <v>0</v>
      </c>
      <c r="Y81" s="2"/>
      <c r="Z81" s="2"/>
      <c r="AA81" s="2"/>
      <c r="AB81" s="2"/>
      <c r="AC81" s="2"/>
      <c r="AD81" s="2"/>
      <c r="AE81" s="2"/>
      <c r="AF81" s="2"/>
      <c r="AG81" s="2"/>
      <c r="AH81" s="8">
        <f t="shared" si="13"/>
        <v>0</v>
      </c>
      <c r="AI81" s="2"/>
      <c r="AJ81" s="2"/>
      <c r="AK81" s="2"/>
      <c r="AL81" s="2"/>
      <c r="AM81" s="8">
        <f t="shared" si="14"/>
        <v>0</v>
      </c>
      <c r="AN81" s="2"/>
      <c r="AO81" s="2"/>
      <c r="AP81" s="2"/>
      <c r="AQ81" s="2"/>
      <c r="AR81" s="2"/>
      <c r="AS81" s="8">
        <f t="shared" si="19"/>
        <v>0</v>
      </c>
      <c r="AT81" s="2"/>
      <c r="AU81" s="2"/>
      <c r="AV81" s="2"/>
      <c r="AW81" s="8">
        <f t="shared" si="15"/>
        <v>0</v>
      </c>
      <c r="AX81" s="2"/>
      <c r="AY81" s="2"/>
      <c r="AZ81" s="2"/>
      <c r="BA81" s="2"/>
      <c r="BB81" s="2"/>
      <c r="BC81" s="2"/>
      <c r="BD81" s="8">
        <f t="shared" si="16"/>
        <v>0</v>
      </c>
      <c r="BE81" s="2"/>
      <c r="BF81" s="2"/>
      <c r="BG81" s="8">
        <f t="shared" si="17"/>
        <v>0</v>
      </c>
      <c r="BH81" s="2">
        <f t="shared" si="20"/>
        <v>0</v>
      </c>
    </row>
    <row r="82" spans="1:60">
      <c r="A82" s="5" t="s">
        <v>53</v>
      </c>
      <c r="B82" s="2"/>
      <c r="C82" s="2">
        <v>1</v>
      </c>
      <c r="D82" s="2"/>
      <c r="E82" s="2"/>
      <c r="F82" s="2"/>
      <c r="G82" s="2"/>
      <c r="H82" s="2"/>
      <c r="I82" s="2"/>
      <c r="J82" s="2"/>
      <c r="K82" s="2"/>
      <c r="L82" s="8">
        <f t="shared" si="18"/>
        <v>1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8">
        <f t="shared" si="12"/>
        <v>0</v>
      </c>
      <c r="Y82" s="2"/>
      <c r="Z82" s="2"/>
      <c r="AA82" s="2"/>
      <c r="AB82" s="2"/>
      <c r="AC82" s="2"/>
      <c r="AD82" s="2"/>
      <c r="AE82" s="2"/>
      <c r="AF82" s="2"/>
      <c r="AG82" s="2"/>
      <c r="AH82" s="8">
        <f t="shared" si="13"/>
        <v>0</v>
      </c>
      <c r="AI82" s="2"/>
      <c r="AJ82" s="2"/>
      <c r="AK82" s="2"/>
      <c r="AL82" s="2"/>
      <c r="AM82" s="8">
        <f t="shared" si="14"/>
        <v>0</v>
      </c>
      <c r="AN82" s="2"/>
      <c r="AO82" s="2"/>
      <c r="AP82" s="2"/>
      <c r="AQ82" s="2"/>
      <c r="AR82" s="2"/>
      <c r="AS82" s="8">
        <f t="shared" si="19"/>
        <v>0</v>
      </c>
      <c r="AT82" s="2"/>
      <c r="AU82" s="2"/>
      <c r="AV82" s="2"/>
      <c r="AW82" s="8">
        <f t="shared" si="15"/>
        <v>0</v>
      </c>
      <c r="AX82" s="2"/>
      <c r="AY82" s="2"/>
      <c r="AZ82" s="2"/>
      <c r="BA82" s="2"/>
      <c r="BB82" s="2"/>
      <c r="BC82" s="2">
        <v>3</v>
      </c>
      <c r="BD82" s="8">
        <f t="shared" si="16"/>
        <v>3</v>
      </c>
      <c r="BE82" s="2"/>
      <c r="BF82" s="2"/>
      <c r="BG82" s="8">
        <f t="shared" si="17"/>
        <v>0</v>
      </c>
      <c r="BH82" s="2">
        <f t="shared" si="20"/>
        <v>4</v>
      </c>
    </row>
    <row r="83" spans="1:60">
      <c r="C83">
        <f>SUM(C4:C82)</f>
        <v>2622</v>
      </c>
    </row>
  </sheetData>
  <mergeCells count="9">
    <mergeCell ref="AX2:BD2"/>
    <mergeCell ref="BE2:BG2"/>
    <mergeCell ref="BH2:BH3"/>
    <mergeCell ref="B2:L2"/>
    <mergeCell ref="M2:X2"/>
    <mergeCell ref="Y2:AH2"/>
    <mergeCell ref="AI2:AM2"/>
    <mergeCell ref="AN2:AS2"/>
    <mergeCell ref="AT2:AW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2"/>
  <sheetViews>
    <sheetView workbookViewId="0">
      <pane xSplit="1" ySplit="3" topLeftCell="B66" activePane="bottomRight" state="frozen"/>
      <selection pane="topRight"/>
      <selection pane="bottomLeft"/>
      <selection pane="bottomRight" activeCell="A64" sqref="A64"/>
    </sheetView>
  </sheetViews>
  <sheetFormatPr defaultColWidth="8.77734375" defaultRowHeight="14.4"/>
  <cols>
    <col min="1" max="1" width="20.77734375" style="26" customWidth="1"/>
    <col min="2" max="13" width="20.77734375" style="14" customWidth="1"/>
    <col min="14" max="16384" width="8.77734375" style="24"/>
  </cols>
  <sheetData>
    <row r="1" spans="1:13" s="22" customFormat="1" ht="28.8">
      <c r="A1" s="25"/>
      <c r="B1" s="593" t="s">
        <v>6</v>
      </c>
      <c r="C1" s="593"/>
      <c r="D1" s="16" t="s">
        <v>5</v>
      </c>
      <c r="E1" s="593" t="s">
        <v>7</v>
      </c>
      <c r="F1" s="593"/>
      <c r="G1" s="593"/>
      <c r="H1" s="16" t="s">
        <v>1</v>
      </c>
      <c r="I1" s="593" t="s">
        <v>3</v>
      </c>
      <c r="J1" s="593"/>
      <c r="K1" s="16" t="s">
        <v>2</v>
      </c>
      <c r="L1" s="16" t="s">
        <v>8</v>
      </c>
      <c r="M1" s="16" t="s">
        <v>248</v>
      </c>
    </row>
    <row r="2" spans="1:13" s="29" customFormat="1" ht="43.2">
      <c r="A2" s="28" t="s">
        <v>249</v>
      </c>
      <c r="B2" s="16">
        <f>'Assumptions&amp;Calculations'!H12</f>
        <v>1760</v>
      </c>
      <c r="C2" s="16">
        <f>'Assumptions&amp;Calculations'!H13</f>
        <v>176</v>
      </c>
      <c r="D2" s="16">
        <f>'Assumptions&amp;Calculations'!H14</f>
        <v>300</v>
      </c>
      <c r="E2" s="16">
        <f>'Assumptions&amp;Calculations'!H17</f>
        <v>105.60000000000001</v>
      </c>
      <c r="F2" s="16">
        <f>'Assumptions&amp;Calculations'!H16</f>
        <v>176</v>
      </c>
      <c r="G2" s="16">
        <f>'Assumptions&amp;Calculations'!H15</f>
        <v>140.80000000000001</v>
      </c>
      <c r="H2" s="16">
        <f>'Assumptions&amp;Calculations'!H18</f>
        <v>64</v>
      </c>
      <c r="I2" s="16">
        <f>'Assumptions&amp;Calculations'!H19</f>
        <v>96</v>
      </c>
      <c r="J2" s="16">
        <f>'Assumptions&amp;Calculations'!H20</f>
        <v>3200</v>
      </c>
      <c r="K2" s="16">
        <f>'Assumptions&amp;Calculations'!H22</f>
        <v>2160</v>
      </c>
      <c r="L2" s="16">
        <f>'Assumptions&amp;Calculations'!H21</f>
        <v>176</v>
      </c>
      <c r="M2" s="16">
        <f>'Assumptions&amp;Calculations'!H23</f>
        <v>360</v>
      </c>
    </row>
    <row r="3" spans="1:13" s="22" customFormat="1" ht="28.8">
      <c r="A3" s="19" t="s">
        <v>202</v>
      </c>
      <c r="B3" s="16" t="s">
        <v>214</v>
      </c>
      <c r="C3" s="16" t="s">
        <v>215</v>
      </c>
      <c r="D3" s="16" t="s">
        <v>216</v>
      </c>
      <c r="E3" s="16" t="s">
        <v>217</v>
      </c>
      <c r="F3" s="16" t="s">
        <v>218</v>
      </c>
      <c r="G3" s="16" t="s">
        <v>219</v>
      </c>
      <c r="H3" s="16" t="s">
        <v>220</v>
      </c>
      <c r="I3" s="16" t="s">
        <v>167</v>
      </c>
      <c r="J3" s="16" t="s">
        <v>221</v>
      </c>
      <c r="K3" s="16" t="s">
        <v>222</v>
      </c>
      <c r="L3" s="16" t="s">
        <v>8</v>
      </c>
      <c r="M3" s="16" t="s">
        <v>223</v>
      </c>
    </row>
    <row r="4" spans="1:13">
      <c r="A4" s="23" t="s">
        <v>88</v>
      </c>
      <c r="B4" s="20">
        <v>29</v>
      </c>
      <c r="C4" s="20">
        <v>3</v>
      </c>
      <c r="D4" s="20">
        <v>212</v>
      </c>
      <c r="E4" s="20">
        <v>8</v>
      </c>
      <c r="F4" s="20">
        <v>0</v>
      </c>
      <c r="G4" s="20">
        <v>0</v>
      </c>
      <c r="H4" s="20">
        <v>0</v>
      </c>
      <c r="I4" s="20">
        <v>0</v>
      </c>
      <c r="J4" s="20">
        <v>7</v>
      </c>
      <c r="K4" s="20">
        <v>0</v>
      </c>
      <c r="L4" s="20">
        <v>0</v>
      </c>
      <c r="M4" s="20">
        <v>0</v>
      </c>
    </row>
    <row r="5" spans="1:13">
      <c r="A5" s="23" t="s">
        <v>85</v>
      </c>
      <c r="B5" s="20">
        <v>31</v>
      </c>
      <c r="C5" s="20">
        <v>14</v>
      </c>
      <c r="D5" s="20">
        <v>104</v>
      </c>
      <c r="E5" s="20">
        <v>22</v>
      </c>
      <c r="F5" s="20">
        <v>0</v>
      </c>
      <c r="G5" s="20">
        <v>0</v>
      </c>
      <c r="H5" s="20">
        <v>0</v>
      </c>
      <c r="I5" s="20">
        <v>0</v>
      </c>
      <c r="J5" s="20">
        <v>13</v>
      </c>
      <c r="K5" s="20">
        <v>0</v>
      </c>
      <c r="L5" s="20">
        <v>0</v>
      </c>
      <c r="M5" s="20">
        <v>0</v>
      </c>
    </row>
    <row r="6" spans="1:13">
      <c r="A6" s="23" t="s">
        <v>146</v>
      </c>
      <c r="B6" s="20">
        <v>0</v>
      </c>
      <c r="C6" s="20">
        <v>24</v>
      </c>
      <c r="D6" s="20">
        <v>36</v>
      </c>
      <c r="E6" s="20">
        <v>6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</row>
    <row r="7" spans="1:13">
      <c r="A7" s="23" t="s">
        <v>84</v>
      </c>
      <c r="B7" s="20">
        <v>38</v>
      </c>
      <c r="C7" s="20">
        <v>6</v>
      </c>
      <c r="D7" s="20">
        <v>153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5</v>
      </c>
      <c r="K7" s="20">
        <v>0</v>
      </c>
      <c r="L7" s="20">
        <v>2</v>
      </c>
      <c r="M7" s="20">
        <v>0</v>
      </c>
    </row>
    <row r="8" spans="1:13">
      <c r="A8" s="23" t="s">
        <v>86</v>
      </c>
      <c r="B8" s="20">
        <v>23</v>
      </c>
      <c r="C8" s="20">
        <v>66</v>
      </c>
      <c r="D8" s="20">
        <v>124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10</v>
      </c>
      <c r="K8" s="20">
        <v>0</v>
      </c>
      <c r="L8" s="20">
        <v>0</v>
      </c>
      <c r="M8" s="20">
        <v>0</v>
      </c>
    </row>
    <row r="9" spans="1:13">
      <c r="A9" s="23" t="s">
        <v>87</v>
      </c>
      <c r="B9" s="20">
        <v>20</v>
      </c>
      <c r="C9" s="20">
        <v>26</v>
      </c>
      <c r="D9" s="20">
        <v>104</v>
      </c>
      <c r="E9" s="20">
        <v>6</v>
      </c>
      <c r="F9" s="20">
        <v>0</v>
      </c>
      <c r="G9" s="20">
        <v>0</v>
      </c>
      <c r="H9" s="20">
        <v>0</v>
      </c>
      <c r="I9" s="20">
        <v>0</v>
      </c>
      <c r="J9" s="20">
        <v>2</v>
      </c>
      <c r="K9" s="20">
        <v>2</v>
      </c>
      <c r="L9" s="20">
        <v>1</v>
      </c>
      <c r="M9" s="20">
        <v>0</v>
      </c>
    </row>
    <row r="10" spans="1:13">
      <c r="A10" s="23" t="s">
        <v>11</v>
      </c>
      <c r="B10" s="20">
        <v>197</v>
      </c>
      <c r="C10" s="20">
        <v>132</v>
      </c>
      <c r="D10" s="20">
        <v>452</v>
      </c>
      <c r="E10" s="20">
        <v>9</v>
      </c>
      <c r="F10" s="20">
        <v>31</v>
      </c>
      <c r="G10" s="20">
        <v>16</v>
      </c>
      <c r="H10" s="20">
        <v>0</v>
      </c>
      <c r="I10" s="20">
        <v>2</v>
      </c>
      <c r="J10" s="20">
        <v>68</v>
      </c>
      <c r="K10" s="20">
        <v>0</v>
      </c>
      <c r="L10" s="20">
        <v>24</v>
      </c>
      <c r="M10" s="20">
        <v>0</v>
      </c>
    </row>
    <row r="11" spans="1:13">
      <c r="A11" s="23" t="s">
        <v>12</v>
      </c>
      <c r="B11" s="20">
        <v>138</v>
      </c>
      <c r="C11" s="20">
        <v>163</v>
      </c>
      <c r="D11" s="20">
        <v>463</v>
      </c>
      <c r="E11" s="20">
        <v>3</v>
      </c>
      <c r="F11" s="20">
        <v>12</v>
      </c>
      <c r="G11" s="20">
        <v>9</v>
      </c>
      <c r="H11" s="20">
        <v>0</v>
      </c>
      <c r="I11" s="20">
        <v>2</v>
      </c>
      <c r="J11" s="20">
        <v>47</v>
      </c>
      <c r="K11" s="20">
        <v>0</v>
      </c>
      <c r="L11" s="20">
        <v>34</v>
      </c>
      <c r="M11" s="20">
        <v>0</v>
      </c>
    </row>
    <row r="12" spans="1:13">
      <c r="A12" s="23" t="s">
        <v>13</v>
      </c>
      <c r="B12" s="20">
        <v>120</v>
      </c>
      <c r="C12" s="20">
        <v>107</v>
      </c>
      <c r="D12" s="20">
        <v>361</v>
      </c>
      <c r="E12" s="20">
        <v>4</v>
      </c>
      <c r="F12" s="20">
        <v>12</v>
      </c>
      <c r="G12" s="20">
        <v>8</v>
      </c>
      <c r="H12" s="20">
        <v>0</v>
      </c>
      <c r="I12" s="20">
        <v>2</v>
      </c>
      <c r="J12" s="20">
        <v>21</v>
      </c>
      <c r="K12" s="20">
        <v>0</v>
      </c>
      <c r="L12" s="20">
        <v>24</v>
      </c>
      <c r="M12" s="20">
        <v>0</v>
      </c>
    </row>
    <row r="13" spans="1:13">
      <c r="A13" s="23" t="s">
        <v>14</v>
      </c>
      <c r="B13" s="20">
        <v>504</v>
      </c>
      <c r="C13" s="20">
        <v>336</v>
      </c>
      <c r="D13" s="20">
        <v>1077</v>
      </c>
      <c r="E13" s="20">
        <v>17</v>
      </c>
      <c r="F13" s="20">
        <v>66</v>
      </c>
      <c r="G13" s="20">
        <v>31</v>
      </c>
      <c r="H13" s="20">
        <v>0</v>
      </c>
      <c r="I13" s="20">
        <v>8</v>
      </c>
      <c r="J13" s="20">
        <v>130</v>
      </c>
      <c r="K13" s="20">
        <v>0</v>
      </c>
      <c r="L13" s="20">
        <v>105</v>
      </c>
      <c r="M13" s="20">
        <v>0</v>
      </c>
    </row>
    <row r="14" spans="1:13">
      <c r="A14" s="23" t="s">
        <v>10</v>
      </c>
      <c r="B14" s="20">
        <v>0</v>
      </c>
      <c r="C14" s="20">
        <v>1</v>
      </c>
      <c r="D14" s="20">
        <v>1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</row>
    <row r="15" spans="1:13">
      <c r="A15" s="23" t="s">
        <v>15</v>
      </c>
      <c r="B15" s="20">
        <v>582</v>
      </c>
      <c r="C15" s="20">
        <v>1970</v>
      </c>
      <c r="D15" s="20">
        <v>2288</v>
      </c>
      <c r="E15" s="20">
        <v>28</v>
      </c>
      <c r="F15" s="20">
        <v>42</v>
      </c>
      <c r="G15" s="20">
        <v>15</v>
      </c>
      <c r="H15" s="20">
        <v>0</v>
      </c>
      <c r="I15" s="20">
        <v>21</v>
      </c>
      <c r="J15" s="20">
        <v>116</v>
      </c>
      <c r="K15" s="20">
        <v>1</v>
      </c>
      <c r="L15" s="20">
        <v>11</v>
      </c>
      <c r="M15" s="20">
        <v>0</v>
      </c>
    </row>
    <row r="16" spans="1:13">
      <c r="A16" s="23" t="s">
        <v>16</v>
      </c>
      <c r="B16" s="20">
        <v>560</v>
      </c>
      <c r="C16" s="20">
        <v>280</v>
      </c>
      <c r="D16" s="20">
        <v>2781</v>
      </c>
      <c r="E16" s="20">
        <v>62</v>
      </c>
      <c r="F16" s="20">
        <v>115</v>
      </c>
      <c r="G16" s="20">
        <v>23</v>
      </c>
      <c r="H16" s="20">
        <v>0</v>
      </c>
      <c r="I16" s="20">
        <v>21</v>
      </c>
      <c r="J16" s="20">
        <v>93</v>
      </c>
      <c r="K16" s="20">
        <v>0</v>
      </c>
      <c r="L16" s="20">
        <v>22</v>
      </c>
      <c r="M16" s="20">
        <v>0</v>
      </c>
    </row>
    <row r="17" spans="1:13">
      <c r="A17" s="23" t="s">
        <v>17</v>
      </c>
      <c r="B17" s="20">
        <v>168</v>
      </c>
      <c r="C17" s="20">
        <v>195</v>
      </c>
      <c r="D17" s="20">
        <v>311</v>
      </c>
      <c r="E17" s="20">
        <v>8</v>
      </c>
      <c r="F17" s="20">
        <v>26</v>
      </c>
      <c r="G17" s="20">
        <v>3</v>
      </c>
      <c r="H17" s="20">
        <v>0</v>
      </c>
      <c r="I17" s="20">
        <v>6</v>
      </c>
      <c r="J17" s="20">
        <v>50</v>
      </c>
      <c r="K17" s="20">
        <v>0</v>
      </c>
      <c r="L17" s="20">
        <v>5</v>
      </c>
      <c r="M17" s="20">
        <v>0</v>
      </c>
    </row>
    <row r="18" spans="1:13">
      <c r="A18" s="23" t="s">
        <v>18</v>
      </c>
      <c r="B18" s="20">
        <v>55</v>
      </c>
      <c r="C18" s="20">
        <v>415</v>
      </c>
      <c r="D18" s="20">
        <v>459</v>
      </c>
      <c r="E18" s="20">
        <v>13</v>
      </c>
      <c r="F18" s="20">
        <v>7</v>
      </c>
      <c r="G18" s="20">
        <v>3</v>
      </c>
      <c r="H18" s="20">
        <v>0</v>
      </c>
      <c r="I18" s="20">
        <v>0</v>
      </c>
      <c r="J18" s="20">
        <v>25</v>
      </c>
      <c r="K18" s="20">
        <v>0</v>
      </c>
      <c r="L18" s="20">
        <v>10</v>
      </c>
      <c r="M18" s="20">
        <v>0</v>
      </c>
    </row>
    <row r="19" spans="1:13">
      <c r="A19" s="23" t="s">
        <v>19</v>
      </c>
      <c r="B19" s="20">
        <v>40</v>
      </c>
      <c r="C19" s="20">
        <v>20</v>
      </c>
      <c r="D19" s="20">
        <v>489</v>
      </c>
      <c r="E19" s="20">
        <v>2</v>
      </c>
      <c r="F19" s="20">
        <v>0</v>
      </c>
      <c r="G19" s="20">
        <v>10</v>
      </c>
      <c r="H19" s="20">
        <v>0</v>
      </c>
      <c r="I19" s="20">
        <v>4</v>
      </c>
      <c r="J19" s="20">
        <v>13</v>
      </c>
      <c r="K19" s="20">
        <v>5</v>
      </c>
      <c r="L19" s="20">
        <v>5</v>
      </c>
      <c r="M19" s="20">
        <v>0</v>
      </c>
    </row>
    <row r="20" spans="1:13">
      <c r="A20" s="23" t="s">
        <v>20</v>
      </c>
      <c r="B20" s="20">
        <v>26</v>
      </c>
      <c r="C20" s="20">
        <v>22</v>
      </c>
      <c r="D20" s="20">
        <v>227</v>
      </c>
      <c r="E20" s="20">
        <v>2</v>
      </c>
      <c r="F20" s="20">
        <v>0</v>
      </c>
      <c r="G20" s="20">
        <v>4</v>
      </c>
      <c r="H20" s="20">
        <v>0</v>
      </c>
      <c r="I20" s="20">
        <v>11</v>
      </c>
      <c r="J20" s="20">
        <v>16</v>
      </c>
      <c r="K20" s="20">
        <v>6</v>
      </c>
      <c r="L20" s="20">
        <v>5</v>
      </c>
      <c r="M20" s="20">
        <v>0</v>
      </c>
    </row>
    <row r="21" spans="1:13">
      <c r="A21" s="23" t="s">
        <v>21</v>
      </c>
      <c r="B21" s="20">
        <v>53</v>
      </c>
      <c r="C21" s="20">
        <v>61</v>
      </c>
      <c r="D21" s="20">
        <v>212</v>
      </c>
      <c r="E21" s="20">
        <v>4</v>
      </c>
      <c r="F21" s="20">
        <v>0</v>
      </c>
      <c r="G21" s="20">
        <v>23</v>
      </c>
      <c r="H21" s="20">
        <v>0</v>
      </c>
      <c r="I21" s="20">
        <v>15</v>
      </c>
      <c r="J21" s="20">
        <v>35</v>
      </c>
      <c r="K21" s="20">
        <v>2</v>
      </c>
      <c r="L21" s="20">
        <v>7</v>
      </c>
      <c r="M21" s="20">
        <v>0</v>
      </c>
    </row>
    <row r="22" spans="1:13">
      <c r="A22" s="23" t="s">
        <v>22</v>
      </c>
      <c r="B22" s="20">
        <v>173</v>
      </c>
      <c r="C22" s="20">
        <v>171</v>
      </c>
      <c r="D22" s="20">
        <v>1078</v>
      </c>
      <c r="E22" s="20">
        <v>6</v>
      </c>
      <c r="F22" s="20">
        <v>1</v>
      </c>
      <c r="G22" s="20">
        <v>58</v>
      </c>
      <c r="H22" s="20">
        <v>0</v>
      </c>
      <c r="I22" s="20">
        <v>47</v>
      </c>
      <c r="J22" s="20">
        <v>101</v>
      </c>
      <c r="K22" s="20">
        <v>14</v>
      </c>
      <c r="L22" s="20">
        <v>18</v>
      </c>
      <c r="M22" s="20">
        <v>0</v>
      </c>
    </row>
    <row r="23" spans="1:13">
      <c r="A23" s="23" t="s">
        <v>23</v>
      </c>
      <c r="B23" s="20">
        <v>72</v>
      </c>
      <c r="C23" s="20">
        <v>83</v>
      </c>
      <c r="D23" s="20">
        <v>709</v>
      </c>
      <c r="E23" s="20">
        <v>6</v>
      </c>
      <c r="F23" s="20">
        <v>0</v>
      </c>
      <c r="G23" s="20">
        <v>52</v>
      </c>
      <c r="H23" s="20">
        <v>0</v>
      </c>
      <c r="I23" s="20">
        <v>23</v>
      </c>
      <c r="J23" s="20">
        <v>32</v>
      </c>
      <c r="K23" s="20">
        <v>10</v>
      </c>
      <c r="L23" s="20">
        <v>11</v>
      </c>
      <c r="M23" s="20">
        <v>0</v>
      </c>
    </row>
    <row r="24" spans="1:13">
      <c r="A24" s="23" t="s">
        <v>24</v>
      </c>
      <c r="B24" s="20">
        <v>95</v>
      </c>
      <c r="C24" s="20">
        <v>115</v>
      </c>
      <c r="D24" s="20">
        <v>1494</v>
      </c>
      <c r="E24" s="20">
        <v>6</v>
      </c>
      <c r="F24" s="20">
        <v>0</v>
      </c>
      <c r="G24" s="20">
        <v>33</v>
      </c>
      <c r="H24" s="20">
        <v>0</v>
      </c>
      <c r="I24" s="20">
        <v>25</v>
      </c>
      <c r="J24" s="20">
        <v>53</v>
      </c>
      <c r="K24" s="20">
        <v>17</v>
      </c>
      <c r="L24" s="20">
        <v>12</v>
      </c>
      <c r="M24" s="20">
        <v>0</v>
      </c>
    </row>
    <row r="25" spans="1:13">
      <c r="A25" s="23" t="s">
        <v>25</v>
      </c>
      <c r="B25" s="20">
        <v>36</v>
      </c>
      <c r="C25" s="20">
        <v>31</v>
      </c>
      <c r="D25" s="20">
        <v>293</v>
      </c>
      <c r="E25" s="20">
        <v>1</v>
      </c>
      <c r="F25" s="20">
        <v>0</v>
      </c>
      <c r="G25" s="20">
        <v>11</v>
      </c>
      <c r="H25" s="20">
        <v>0</v>
      </c>
      <c r="I25" s="20">
        <v>6</v>
      </c>
      <c r="J25" s="20">
        <v>12</v>
      </c>
      <c r="K25" s="20">
        <v>8</v>
      </c>
      <c r="L25" s="20">
        <v>4</v>
      </c>
      <c r="M25" s="20">
        <v>0</v>
      </c>
    </row>
    <row r="26" spans="1:13">
      <c r="A26" s="23" t="s">
        <v>64</v>
      </c>
      <c r="B26" s="20">
        <v>55</v>
      </c>
      <c r="C26" s="20">
        <v>79</v>
      </c>
      <c r="D26" s="20">
        <v>192</v>
      </c>
      <c r="E26" s="20">
        <v>4</v>
      </c>
      <c r="F26" s="20">
        <v>2</v>
      </c>
      <c r="G26" s="20">
        <v>21</v>
      </c>
      <c r="H26" s="20">
        <v>0</v>
      </c>
      <c r="I26" s="20">
        <v>18</v>
      </c>
      <c r="J26" s="20">
        <v>25</v>
      </c>
      <c r="K26" s="20">
        <v>3</v>
      </c>
      <c r="L26" s="20">
        <v>15</v>
      </c>
      <c r="M26" s="20">
        <v>0</v>
      </c>
    </row>
    <row r="27" spans="1:13">
      <c r="A27" s="23" t="s">
        <v>72</v>
      </c>
      <c r="B27" s="20">
        <v>27</v>
      </c>
      <c r="C27" s="20">
        <v>50</v>
      </c>
      <c r="D27" s="20">
        <v>155</v>
      </c>
      <c r="E27" s="20">
        <v>10</v>
      </c>
      <c r="F27" s="20">
        <v>2</v>
      </c>
      <c r="G27" s="20">
        <v>12</v>
      </c>
      <c r="H27" s="20">
        <v>0</v>
      </c>
      <c r="I27" s="20">
        <v>13</v>
      </c>
      <c r="J27" s="20">
        <v>5</v>
      </c>
      <c r="K27" s="20">
        <v>1</v>
      </c>
      <c r="L27" s="20">
        <v>17</v>
      </c>
      <c r="M27" s="20">
        <v>0</v>
      </c>
    </row>
    <row r="28" spans="1:13">
      <c r="A28" s="23" t="s">
        <v>26</v>
      </c>
      <c r="B28" s="20">
        <v>31</v>
      </c>
      <c r="C28" s="20">
        <v>121</v>
      </c>
      <c r="D28" s="20">
        <v>298</v>
      </c>
      <c r="E28" s="20">
        <v>14</v>
      </c>
      <c r="F28" s="20">
        <v>3</v>
      </c>
      <c r="G28" s="20">
        <v>21</v>
      </c>
      <c r="H28" s="20">
        <v>0</v>
      </c>
      <c r="I28" s="20">
        <v>20</v>
      </c>
      <c r="J28" s="20">
        <v>18</v>
      </c>
      <c r="K28" s="20">
        <v>4</v>
      </c>
      <c r="L28" s="20">
        <v>35</v>
      </c>
      <c r="M28" s="20">
        <v>0</v>
      </c>
    </row>
    <row r="29" spans="1:13">
      <c r="A29" s="23" t="s">
        <v>57</v>
      </c>
      <c r="B29" s="20">
        <v>73</v>
      </c>
      <c r="C29" s="20">
        <v>154</v>
      </c>
      <c r="D29" s="20">
        <v>267</v>
      </c>
      <c r="E29" s="20">
        <v>6</v>
      </c>
      <c r="F29" s="20">
        <v>4</v>
      </c>
      <c r="G29" s="20">
        <v>33</v>
      </c>
      <c r="H29" s="20">
        <v>0</v>
      </c>
      <c r="I29" s="20">
        <v>39</v>
      </c>
      <c r="J29" s="20">
        <v>14</v>
      </c>
      <c r="K29" s="20">
        <v>4</v>
      </c>
      <c r="L29" s="20">
        <v>57</v>
      </c>
      <c r="M29" s="20">
        <v>0</v>
      </c>
    </row>
    <row r="30" spans="1:13">
      <c r="A30" s="23" t="s">
        <v>74</v>
      </c>
      <c r="B30" s="20">
        <v>25</v>
      </c>
      <c r="C30" s="20">
        <v>73</v>
      </c>
      <c r="D30" s="20">
        <v>197</v>
      </c>
      <c r="E30" s="20">
        <v>7</v>
      </c>
      <c r="F30" s="20">
        <v>4</v>
      </c>
      <c r="G30" s="20">
        <v>17</v>
      </c>
      <c r="H30" s="20">
        <v>0</v>
      </c>
      <c r="I30" s="20">
        <v>11</v>
      </c>
      <c r="J30" s="20">
        <v>19</v>
      </c>
      <c r="K30" s="20">
        <v>2</v>
      </c>
      <c r="L30" s="20">
        <v>21</v>
      </c>
      <c r="M30" s="20">
        <v>0</v>
      </c>
    </row>
    <row r="31" spans="1:13">
      <c r="A31" s="23" t="s">
        <v>27</v>
      </c>
      <c r="B31" s="20">
        <v>7</v>
      </c>
      <c r="C31" s="20">
        <v>30</v>
      </c>
      <c r="D31" s="20">
        <v>30</v>
      </c>
      <c r="E31" s="20">
        <v>0</v>
      </c>
      <c r="F31" s="20">
        <v>0</v>
      </c>
      <c r="G31" s="20">
        <v>2</v>
      </c>
      <c r="H31" s="20">
        <v>0</v>
      </c>
      <c r="I31" s="20">
        <v>0</v>
      </c>
      <c r="J31" s="20">
        <v>1</v>
      </c>
      <c r="K31" s="20">
        <v>1</v>
      </c>
      <c r="L31" s="20">
        <v>25</v>
      </c>
      <c r="M31" s="20">
        <v>0</v>
      </c>
    </row>
    <row r="32" spans="1:13">
      <c r="A32" s="23" t="s">
        <v>28</v>
      </c>
      <c r="B32" s="20">
        <v>131</v>
      </c>
      <c r="C32" s="20">
        <v>196</v>
      </c>
      <c r="D32" s="20">
        <v>368</v>
      </c>
      <c r="E32" s="20">
        <v>0</v>
      </c>
      <c r="F32" s="20">
        <v>1</v>
      </c>
      <c r="G32" s="20">
        <v>6</v>
      </c>
      <c r="H32" s="20">
        <v>0</v>
      </c>
      <c r="I32" s="20">
        <v>0</v>
      </c>
      <c r="J32" s="20">
        <v>24</v>
      </c>
      <c r="K32" s="20">
        <v>1</v>
      </c>
      <c r="L32" s="20">
        <v>26</v>
      </c>
      <c r="M32" s="20">
        <v>0</v>
      </c>
    </row>
    <row r="33" spans="1:13">
      <c r="A33" s="23" t="s">
        <v>29</v>
      </c>
      <c r="B33" s="20">
        <v>36</v>
      </c>
      <c r="C33" s="20">
        <v>31</v>
      </c>
      <c r="D33" s="20">
        <v>153</v>
      </c>
      <c r="E33" s="20">
        <v>0</v>
      </c>
      <c r="F33" s="20">
        <v>2</v>
      </c>
      <c r="G33" s="20">
        <v>10</v>
      </c>
      <c r="H33" s="20">
        <v>0</v>
      </c>
      <c r="I33" s="20">
        <v>0</v>
      </c>
      <c r="J33" s="20">
        <v>25</v>
      </c>
      <c r="K33" s="20">
        <v>0</v>
      </c>
      <c r="L33" s="20">
        <v>13</v>
      </c>
      <c r="M33" s="20">
        <v>0</v>
      </c>
    </row>
    <row r="34" spans="1:13">
      <c r="A34" s="23" t="s">
        <v>30</v>
      </c>
      <c r="B34" s="20">
        <v>62</v>
      </c>
      <c r="C34" s="20">
        <v>45</v>
      </c>
      <c r="D34" s="20">
        <v>275</v>
      </c>
      <c r="E34" s="20">
        <v>0</v>
      </c>
      <c r="F34" s="20">
        <v>3</v>
      </c>
      <c r="G34" s="20">
        <v>9</v>
      </c>
      <c r="H34" s="20">
        <v>0</v>
      </c>
      <c r="I34" s="20">
        <v>0</v>
      </c>
      <c r="J34" s="20">
        <v>45</v>
      </c>
      <c r="K34" s="20">
        <v>6</v>
      </c>
      <c r="L34" s="20">
        <v>24</v>
      </c>
      <c r="M34" s="20">
        <v>0</v>
      </c>
    </row>
    <row r="35" spans="1:13">
      <c r="A35" s="23" t="s">
        <v>31</v>
      </c>
      <c r="B35" s="20">
        <v>11</v>
      </c>
      <c r="C35" s="20">
        <v>25</v>
      </c>
      <c r="D35" s="20">
        <v>31</v>
      </c>
      <c r="E35" s="20">
        <v>0</v>
      </c>
      <c r="F35" s="20">
        <v>0</v>
      </c>
      <c r="G35" s="20">
        <v>2</v>
      </c>
      <c r="H35" s="20">
        <v>0</v>
      </c>
      <c r="I35" s="20">
        <v>0</v>
      </c>
      <c r="J35" s="20">
        <v>0</v>
      </c>
      <c r="K35" s="20">
        <v>0</v>
      </c>
      <c r="L35" s="20">
        <v>23</v>
      </c>
      <c r="M35" s="20">
        <v>0</v>
      </c>
    </row>
    <row r="36" spans="1:13">
      <c r="A36" s="23" t="s">
        <v>32</v>
      </c>
      <c r="B36" s="20">
        <v>40</v>
      </c>
      <c r="C36" s="20">
        <v>166</v>
      </c>
      <c r="D36" s="20">
        <v>8</v>
      </c>
      <c r="E36" s="20">
        <v>10</v>
      </c>
      <c r="F36" s="20">
        <v>4</v>
      </c>
      <c r="G36" s="20">
        <v>52</v>
      </c>
      <c r="H36" s="20">
        <v>0</v>
      </c>
      <c r="I36" s="20">
        <v>4</v>
      </c>
      <c r="J36" s="20">
        <v>27</v>
      </c>
      <c r="K36" s="20">
        <v>4</v>
      </c>
      <c r="L36" s="20">
        <v>177</v>
      </c>
      <c r="M36" s="20">
        <v>0</v>
      </c>
    </row>
    <row r="37" spans="1:13">
      <c r="A37" s="23" t="s">
        <v>33</v>
      </c>
      <c r="B37" s="20">
        <v>18</v>
      </c>
      <c r="C37" s="20">
        <v>103</v>
      </c>
      <c r="D37" s="20">
        <v>32</v>
      </c>
      <c r="E37" s="20">
        <v>2</v>
      </c>
      <c r="F37" s="20">
        <v>2</v>
      </c>
      <c r="G37" s="20">
        <v>29</v>
      </c>
      <c r="H37" s="20">
        <v>0</v>
      </c>
      <c r="I37" s="20">
        <v>4</v>
      </c>
      <c r="J37" s="20">
        <v>15</v>
      </c>
      <c r="K37" s="20">
        <v>0</v>
      </c>
      <c r="L37" s="20">
        <v>112</v>
      </c>
      <c r="M37" s="20">
        <v>0</v>
      </c>
    </row>
    <row r="38" spans="1:13">
      <c r="A38" s="23" t="s">
        <v>34</v>
      </c>
      <c r="B38" s="20">
        <v>109</v>
      </c>
      <c r="C38" s="20">
        <v>414</v>
      </c>
      <c r="D38" s="20">
        <v>93</v>
      </c>
      <c r="E38" s="20">
        <v>38</v>
      </c>
      <c r="F38" s="20">
        <v>9</v>
      </c>
      <c r="G38" s="20">
        <v>96</v>
      </c>
      <c r="H38" s="20">
        <v>0</v>
      </c>
      <c r="I38" s="20">
        <v>8</v>
      </c>
      <c r="J38" s="20">
        <v>88</v>
      </c>
      <c r="K38" s="20">
        <v>21</v>
      </c>
      <c r="L38" s="20">
        <v>343</v>
      </c>
      <c r="M38" s="20">
        <v>0</v>
      </c>
    </row>
    <row r="39" spans="1:13">
      <c r="A39" s="23" t="s">
        <v>35</v>
      </c>
      <c r="B39" s="20">
        <v>7</v>
      </c>
      <c r="C39" s="20">
        <v>92</v>
      </c>
      <c r="D39" s="20">
        <v>15</v>
      </c>
      <c r="E39" s="20">
        <v>0</v>
      </c>
      <c r="F39" s="20">
        <v>1</v>
      </c>
      <c r="G39" s="20">
        <v>5</v>
      </c>
      <c r="H39" s="20">
        <v>0</v>
      </c>
      <c r="I39" s="20">
        <v>4</v>
      </c>
      <c r="J39" s="20">
        <v>8</v>
      </c>
      <c r="K39" s="20">
        <v>0</v>
      </c>
      <c r="L39" s="20">
        <v>83</v>
      </c>
      <c r="M39" s="20">
        <v>0</v>
      </c>
    </row>
    <row r="40" spans="1:13">
      <c r="A40" s="23" t="s">
        <v>36</v>
      </c>
      <c r="B40" s="20">
        <v>25</v>
      </c>
      <c r="C40" s="20">
        <v>72</v>
      </c>
      <c r="D40" s="20">
        <v>9</v>
      </c>
      <c r="E40" s="20">
        <v>4</v>
      </c>
      <c r="F40" s="20">
        <v>0</v>
      </c>
      <c r="G40" s="20">
        <v>8</v>
      </c>
      <c r="H40" s="20">
        <v>0</v>
      </c>
      <c r="I40" s="20">
        <v>3</v>
      </c>
      <c r="J40" s="20">
        <v>2</v>
      </c>
      <c r="K40" s="20">
        <v>1</v>
      </c>
      <c r="L40" s="20">
        <v>52</v>
      </c>
      <c r="M40" s="20">
        <v>0</v>
      </c>
    </row>
    <row r="41" spans="1:13">
      <c r="A41" s="23" t="s">
        <v>37</v>
      </c>
      <c r="B41" s="20">
        <v>20</v>
      </c>
      <c r="C41" s="20">
        <v>93</v>
      </c>
      <c r="D41" s="20">
        <v>6</v>
      </c>
      <c r="E41" s="20">
        <v>15</v>
      </c>
      <c r="F41" s="20">
        <v>2</v>
      </c>
      <c r="G41" s="20">
        <v>25</v>
      </c>
      <c r="H41" s="20">
        <v>0</v>
      </c>
      <c r="I41" s="20">
        <v>3</v>
      </c>
      <c r="J41" s="20">
        <v>19</v>
      </c>
      <c r="K41" s="20">
        <v>0</v>
      </c>
      <c r="L41" s="20">
        <v>87</v>
      </c>
      <c r="M41" s="20">
        <v>0</v>
      </c>
    </row>
    <row r="42" spans="1:13">
      <c r="A42" s="23" t="s">
        <v>38</v>
      </c>
      <c r="B42" s="20">
        <v>13</v>
      </c>
      <c r="C42" s="20">
        <v>46</v>
      </c>
      <c r="D42" s="20">
        <v>95</v>
      </c>
      <c r="E42" s="20">
        <v>0</v>
      </c>
      <c r="F42" s="20">
        <v>6</v>
      </c>
      <c r="G42" s="20">
        <v>2</v>
      </c>
      <c r="H42" s="20">
        <v>173</v>
      </c>
      <c r="I42" s="20">
        <v>54</v>
      </c>
      <c r="J42" s="20">
        <v>4</v>
      </c>
      <c r="K42" s="20">
        <v>1</v>
      </c>
      <c r="L42" s="20">
        <v>11</v>
      </c>
      <c r="M42" s="20">
        <v>0</v>
      </c>
    </row>
    <row r="43" spans="1:13">
      <c r="A43" s="23" t="s">
        <v>39</v>
      </c>
      <c r="B43" s="20">
        <v>18</v>
      </c>
      <c r="C43" s="20">
        <v>59</v>
      </c>
      <c r="D43" s="20">
        <v>103</v>
      </c>
      <c r="E43" s="20">
        <v>0</v>
      </c>
      <c r="F43" s="20">
        <v>4</v>
      </c>
      <c r="G43" s="20">
        <v>2</v>
      </c>
      <c r="H43" s="20">
        <v>156</v>
      </c>
      <c r="I43" s="20">
        <v>58</v>
      </c>
      <c r="J43" s="20">
        <v>11</v>
      </c>
      <c r="K43" s="20">
        <v>1</v>
      </c>
      <c r="L43" s="20">
        <v>20</v>
      </c>
      <c r="M43" s="20">
        <v>0</v>
      </c>
    </row>
    <row r="44" spans="1:13">
      <c r="A44" s="23" t="s">
        <v>40</v>
      </c>
      <c r="B44" s="20">
        <v>23</v>
      </c>
      <c r="C44" s="20">
        <v>64</v>
      </c>
      <c r="D44" s="20">
        <v>116</v>
      </c>
      <c r="E44" s="20">
        <v>0</v>
      </c>
      <c r="F44" s="20">
        <v>3</v>
      </c>
      <c r="G44" s="20">
        <v>3</v>
      </c>
      <c r="H44" s="20">
        <v>142</v>
      </c>
      <c r="I44" s="20">
        <v>16</v>
      </c>
      <c r="J44" s="20">
        <v>13</v>
      </c>
      <c r="K44" s="20">
        <v>0</v>
      </c>
      <c r="L44" s="20">
        <v>20</v>
      </c>
      <c r="M44" s="20">
        <v>0</v>
      </c>
    </row>
    <row r="45" spans="1:13">
      <c r="A45" s="23" t="s">
        <v>41</v>
      </c>
      <c r="B45" s="20">
        <v>8</v>
      </c>
      <c r="C45" s="20">
        <v>21</v>
      </c>
      <c r="D45" s="20">
        <v>27</v>
      </c>
      <c r="E45" s="20">
        <v>0</v>
      </c>
      <c r="F45" s="20">
        <v>4</v>
      </c>
      <c r="G45" s="20">
        <v>0</v>
      </c>
      <c r="H45" s="20">
        <v>326</v>
      </c>
      <c r="I45" s="20">
        <v>4</v>
      </c>
      <c r="J45" s="20">
        <v>4</v>
      </c>
      <c r="K45" s="20">
        <v>2</v>
      </c>
      <c r="L45" s="20">
        <v>10</v>
      </c>
      <c r="M45" s="20">
        <v>0</v>
      </c>
    </row>
    <row r="46" spans="1:13">
      <c r="A46" s="23" t="s">
        <v>42</v>
      </c>
      <c r="B46" s="20">
        <v>46</v>
      </c>
      <c r="C46" s="20">
        <v>132</v>
      </c>
      <c r="D46" s="20">
        <v>240</v>
      </c>
      <c r="E46" s="20">
        <v>0</v>
      </c>
      <c r="F46" s="20">
        <v>19</v>
      </c>
      <c r="G46" s="20">
        <v>13</v>
      </c>
      <c r="H46" s="20">
        <v>933</v>
      </c>
      <c r="I46" s="20">
        <v>10</v>
      </c>
      <c r="J46" s="20">
        <v>43</v>
      </c>
      <c r="K46" s="20">
        <v>6</v>
      </c>
      <c r="L46" s="20">
        <v>63</v>
      </c>
      <c r="M46" s="20">
        <v>0</v>
      </c>
    </row>
    <row r="47" spans="1:13">
      <c r="A47" s="23" t="s">
        <v>43</v>
      </c>
      <c r="B47" s="20">
        <v>28</v>
      </c>
      <c r="C47" s="20">
        <v>25</v>
      </c>
      <c r="D47" s="20">
        <v>57</v>
      </c>
      <c r="E47" s="20">
        <v>0</v>
      </c>
      <c r="F47" s="20">
        <v>10</v>
      </c>
      <c r="G47" s="20">
        <v>5</v>
      </c>
      <c r="H47" s="20">
        <v>100</v>
      </c>
      <c r="I47" s="20">
        <v>9</v>
      </c>
      <c r="J47" s="20">
        <v>11</v>
      </c>
      <c r="K47" s="20">
        <v>0</v>
      </c>
      <c r="L47" s="20">
        <v>32</v>
      </c>
      <c r="M47" s="20">
        <v>0</v>
      </c>
    </row>
    <row r="48" spans="1:13">
      <c r="A48" s="23" t="s">
        <v>77</v>
      </c>
      <c r="B48" s="20">
        <v>43</v>
      </c>
      <c r="C48" s="20">
        <v>243</v>
      </c>
      <c r="D48" s="20">
        <v>104</v>
      </c>
      <c r="E48" s="20">
        <v>0</v>
      </c>
      <c r="F48" s="20">
        <v>11</v>
      </c>
      <c r="G48" s="20">
        <v>35</v>
      </c>
      <c r="H48" s="20">
        <v>0</v>
      </c>
      <c r="I48" s="20">
        <v>14</v>
      </c>
      <c r="J48" s="20">
        <v>6</v>
      </c>
      <c r="K48" s="20">
        <v>17</v>
      </c>
      <c r="L48" s="20">
        <v>76</v>
      </c>
      <c r="M48" s="20">
        <v>0</v>
      </c>
    </row>
    <row r="49" spans="1:13">
      <c r="A49" s="23" t="s">
        <v>78</v>
      </c>
      <c r="B49" s="20">
        <v>33</v>
      </c>
      <c r="C49" s="20">
        <v>23</v>
      </c>
      <c r="D49" s="20">
        <v>13</v>
      </c>
      <c r="E49" s="20">
        <v>0</v>
      </c>
      <c r="F49" s="20">
        <v>0</v>
      </c>
      <c r="G49" s="20">
        <v>3</v>
      </c>
      <c r="H49" s="20">
        <v>0</v>
      </c>
      <c r="I49" s="20">
        <v>3</v>
      </c>
      <c r="J49" s="20">
        <v>0</v>
      </c>
      <c r="K49" s="20">
        <v>1</v>
      </c>
      <c r="L49" s="20">
        <v>18</v>
      </c>
      <c r="M49" s="20">
        <v>0</v>
      </c>
    </row>
    <row r="50" spans="1:13">
      <c r="A50" s="23" t="s">
        <v>79</v>
      </c>
      <c r="B50" s="20">
        <v>24</v>
      </c>
      <c r="C50" s="20">
        <v>63</v>
      </c>
      <c r="D50" s="20">
        <v>26</v>
      </c>
      <c r="E50" s="20">
        <v>1</v>
      </c>
      <c r="F50" s="20">
        <v>2</v>
      </c>
      <c r="G50" s="20">
        <v>12</v>
      </c>
      <c r="H50" s="20">
        <v>1</v>
      </c>
      <c r="I50" s="20">
        <v>75</v>
      </c>
      <c r="J50" s="20">
        <v>2</v>
      </c>
      <c r="K50" s="20">
        <v>2</v>
      </c>
      <c r="L50" s="20">
        <v>44</v>
      </c>
      <c r="M50" s="20">
        <v>0</v>
      </c>
    </row>
    <row r="51" spans="1:13">
      <c r="A51" s="23" t="s">
        <v>80</v>
      </c>
      <c r="B51" s="20">
        <v>7</v>
      </c>
      <c r="C51" s="20">
        <v>13</v>
      </c>
      <c r="D51" s="20">
        <v>3</v>
      </c>
      <c r="E51" s="20">
        <v>0</v>
      </c>
      <c r="F51" s="20">
        <v>0</v>
      </c>
      <c r="G51" s="20">
        <v>2</v>
      </c>
      <c r="H51" s="20">
        <v>0</v>
      </c>
      <c r="I51" s="20">
        <v>1</v>
      </c>
      <c r="J51" s="20">
        <v>0</v>
      </c>
      <c r="K51" s="20">
        <v>0</v>
      </c>
      <c r="L51" s="20">
        <v>4</v>
      </c>
      <c r="M51" s="20">
        <v>0</v>
      </c>
    </row>
    <row r="52" spans="1:13">
      <c r="A52" s="23" t="s">
        <v>44</v>
      </c>
      <c r="B52" s="20">
        <v>0</v>
      </c>
      <c r="C52" s="20">
        <v>30</v>
      </c>
      <c r="D52" s="20">
        <v>31</v>
      </c>
      <c r="E52" s="20">
        <v>0</v>
      </c>
      <c r="F52" s="20">
        <v>0</v>
      </c>
      <c r="G52" s="20">
        <v>2</v>
      </c>
      <c r="H52" s="20">
        <v>0</v>
      </c>
      <c r="I52" s="20">
        <v>3</v>
      </c>
      <c r="J52" s="20">
        <v>0</v>
      </c>
      <c r="K52" s="20">
        <v>1</v>
      </c>
      <c r="L52" s="20">
        <v>16</v>
      </c>
      <c r="M52" s="20">
        <v>0</v>
      </c>
    </row>
    <row r="53" spans="1:13">
      <c r="A53" s="23" t="s">
        <v>92</v>
      </c>
      <c r="B53" s="20">
        <v>9</v>
      </c>
      <c r="C53" s="20">
        <v>92</v>
      </c>
      <c r="D53" s="20">
        <v>119</v>
      </c>
      <c r="E53" s="20">
        <v>0</v>
      </c>
      <c r="F53" s="20">
        <v>0</v>
      </c>
      <c r="G53" s="20">
        <v>5</v>
      </c>
      <c r="H53" s="20">
        <v>0</v>
      </c>
      <c r="I53" s="20">
        <v>11</v>
      </c>
      <c r="J53" s="20">
        <v>2</v>
      </c>
      <c r="K53" s="20">
        <v>23</v>
      </c>
      <c r="L53" s="20">
        <v>41</v>
      </c>
      <c r="M53" s="20">
        <v>0</v>
      </c>
    </row>
    <row r="54" spans="1:13">
      <c r="A54" s="23" t="s">
        <v>91</v>
      </c>
      <c r="B54" s="20">
        <v>52</v>
      </c>
      <c r="C54" s="20">
        <v>130</v>
      </c>
      <c r="D54" s="20">
        <v>252</v>
      </c>
      <c r="E54" s="20">
        <v>0</v>
      </c>
      <c r="F54" s="20">
        <v>0</v>
      </c>
      <c r="G54" s="20">
        <v>13</v>
      </c>
      <c r="H54" s="20">
        <v>0</v>
      </c>
      <c r="I54" s="20">
        <v>27</v>
      </c>
      <c r="J54" s="20">
        <v>11</v>
      </c>
      <c r="K54" s="20">
        <v>9</v>
      </c>
      <c r="L54" s="20">
        <v>67</v>
      </c>
      <c r="M54" s="20">
        <v>0</v>
      </c>
    </row>
    <row r="55" spans="1:13">
      <c r="A55" s="23" t="s">
        <v>94</v>
      </c>
      <c r="B55" s="20">
        <v>9</v>
      </c>
      <c r="C55" s="20">
        <v>189</v>
      </c>
      <c r="D55" s="20">
        <v>151</v>
      </c>
      <c r="E55" s="20">
        <v>0</v>
      </c>
      <c r="F55" s="20">
        <v>0</v>
      </c>
      <c r="G55" s="20">
        <v>13</v>
      </c>
      <c r="H55" s="20">
        <v>0</v>
      </c>
      <c r="I55" s="20">
        <v>28</v>
      </c>
      <c r="J55" s="20">
        <v>2</v>
      </c>
      <c r="K55" s="20">
        <v>12</v>
      </c>
      <c r="L55" s="20">
        <v>65</v>
      </c>
      <c r="M55" s="20">
        <v>0</v>
      </c>
    </row>
    <row r="56" spans="1:13">
      <c r="A56" s="23" t="s">
        <v>45</v>
      </c>
      <c r="B56" s="20">
        <v>13</v>
      </c>
      <c r="C56" s="20">
        <v>149</v>
      </c>
      <c r="D56" s="20">
        <v>136</v>
      </c>
      <c r="E56" s="20">
        <v>0</v>
      </c>
      <c r="F56" s="20">
        <v>0</v>
      </c>
      <c r="G56" s="20">
        <v>6</v>
      </c>
      <c r="H56" s="20">
        <v>0</v>
      </c>
      <c r="I56" s="20">
        <v>12</v>
      </c>
      <c r="J56" s="20">
        <v>2</v>
      </c>
      <c r="K56" s="20">
        <v>13</v>
      </c>
      <c r="L56" s="20">
        <v>68</v>
      </c>
      <c r="M56" s="20">
        <v>0</v>
      </c>
    </row>
    <row r="57" spans="1:13">
      <c r="A57" s="23" t="s">
        <v>46</v>
      </c>
      <c r="B57" s="20">
        <v>3</v>
      </c>
      <c r="C57" s="20">
        <v>36</v>
      </c>
      <c r="D57" s="20">
        <v>60</v>
      </c>
      <c r="E57" s="20">
        <v>0</v>
      </c>
      <c r="F57" s="20">
        <v>0</v>
      </c>
      <c r="G57" s="20">
        <v>6</v>
      </c>
      <c r="H57" s="20">
        <v>0</v>
      </c>
      <c r="I57" s="20">
        <v>18</v>
      </c>
      <c r="J57" s="20">
        <v>1</v>
      </c>
      <c r="K57" s="20">
        <v>2</v>
      </c>
      <c r="L57" s="20">
        <v>12</v>
      </c>
      <c r="M57" s="20">
        <v>0</v>
      </c>
    </row>
    <row r="58" spans="1:13">
      <c r="A58" s="23" t="s">
        <v>210</v>
      </c>
      <c r="B58" s="20">
        <v>45</v>
      </c>
      <c r="C58" s="20">
        <v>39</v>
      </c>
      <c r="D58" s="20">
        <v>73</v>
      </c>
      <c r="E58" s="20">
        <v>7</v>
      </c>
      <c r="F58" s="20">
        <v>5</v>
      </c>
      <c r="G58" s="20">
        <v>6</v>
      </c>
      <c r="H58" s="20">
        <v>0</v>
      </c>
      <c r="I58" s="20">
        <v>19</v>
      </c>
      <c r="J58" s="20">
        <v>15</v>
      </c>
      <c r="K58" s="20">
        <v>0</v>
      </c>
      <c r="L58" s="20">
        <v>45</v>
      </c>
      <c r="M58" s="20">
        <v>0</v>
      </c>
    </row>
    <row r="59" spans="1:13">
      <c r="A59" s="23" t="s">
        <v>211</v>
      </c>
      <c r="B59" s="20">
        <v>44</v>
      </c>
      <c r="C59" s="20">
        <v>71</v>
      </c>
      <c r="D59" s="20">
        <v>59</v>
      </c>
      <c r="E59" s="20">
        <v>33</v>
      </c>
      <c r="F59" s="20">
        <v>12</v>
      </c>
      <c r="G59" s="20">
        <v>21</v>
      </c>
      <c r="H59" s="20">
        <v>0</v>
      </c>
      <c r="I59" s="20">
        <v>23</v>
      </c>
      <c r="J59" s="20">
        <v>24</v>
      </c>
      <c r="K59" s="20">
        <v>3</v>
      </c>
      <c r="L59" s="20">
        <v>79</v>
      </c>
      <c r="M59" s="20">
        <v>0</v>
      </c>
    </row>
    <row r="60" spans="1:13">
      <c r="A60" s="23" t="s">
        <v>47</v>
      </c>
      <c r="B60" s="20">
        <v>18</v>
      </c>
      <c r="C60" s="20">
        <v>52</v>
      </c>
      <c r="D60" s="20">
        <v>20</v>
      </c>
      <c r="E60" s="20">
        <v>19</v>
      </c>
      <c r="F60" s="20">
        <v>2</v>
      </c>
      <c r="G60" s="20">
        <v>9</v>
      </c>
      <c r="H60" s="20">
        <v>0</v>
      </c>
      <c r="I60" s="20">
        <v>21</v>
      </c>
      <c r="J60" s="20">
        <v>9</v>
      </c>
      <c r="K60" s="20">
        <v>0</v>
      </c>
      <c r="L60" s="20">
        <v>57</v>
      </c>
      <c r="M60" s="20">
        <v>0</v>
      </c>
    </row>
    <row r="61" spans="1:13">
      <c r="A61" s="23" t="s">
        <v>55</v>
      </c>
      <c r="B61" s="20">
        <v>192</v>
      </c>
      <c r="C61" s="20">
        <v>115</v>
      </c>
      <c r="D61" s="20">
        <v>289</v>
      </c>
      <c r="E61" s="20">
        <v>115</v>
      </c>
      <c r="F61" s="20">
        <v>16</v>
      </c>
      <c r="G61" s="20">
        <v>98</v>
      </c>
      <c r="H61" s="20">
        <v>0</v>
      </c>
      <c r="I61" s="20">
        <v>65</v>
      </c>
      <c r="J61" s="20">
        <v>50</v>
      </c>
      <c r="K61" s="20">
        <v>7</v>
      </c>
      <c r="L61" s="20">
        <v>102</v>
      </c>
      <c r="M61" s="20">
        <v>0</v>
      </c>
    </row>
    <row r="62" spans="1:13">
      <c r="A62" s="23" t="s">
        <v>48</v>
      </c>
      <c r="B62" s="20">
        <v>1</v>
      </c>
      <c r="C62" s="20">
        <v>1</v>
      </c>
      <c r="D62" s="20">
        <v>9</v>
      </c>
      <c r="E62" s="20">
        <v>0</v>
      </c>
      <c r="F62" s="20">
        <v>0</v>
      </c>
      <c r="G62" s="20">
        <v>0</v>
      </c>
      <c r="H62" s="20">
        <v>0</v>
      </c>
      <c r="I62" s="20">
        <v>1</v>
      </c>
      <c r="J62" s="20">
        <v>0</v>
      </c>
      <c r="K62" s="20">
        <v>0</v>
      </c>
      <c r="L62" s="20">
        <v>2</v>
      </c>
      <c r="M62" s="20">
        <v>0</v>
      </c>
    </row>
    <row r="63" spans="1:13">
      <c r="A63" s="23" t="s">
        <v>209</v>
      </c>
      <c r="B63" s="20">
        <v>84</v>
      </c>
      <c r="C63" s="20">
        <v>47</v>
      </c>
      <c r="D63" s="20">
        <v>150</v>
      </c>
      <c r="E63" s="20">
        <v>1</v>
      </c>
      <c r="F63" s="20">
        <v>9</v>
      </c>
      <c r="G63" s="20">
        <v>19</v>
      </c>
      <c r="H63" s="20">
        <v>0</v>
      </c>
      <c r="I63" s="20">
        <v>11</v>
      </c>
      <c r="J63" s="20">
        <v>32</v>
      </c>
      <c r="K63" s="20">
        <v>2</v>
      </c>
      <c r="L63" s="20">
        <v>23</v>
      </c>
      <c r="M63" s="20">
        <v>0</v>
      </c>
    </row>
    <row r="64" spans="1:13">
      <c r="A64" s="23" t="s">
        <v>59</v>
      </c>
      <c r="B64" s="20">
        <v>112</v>
      </c>
      <c r="C64" s="20">
        <v>54</v>
      </c>
      <c r="D64" s="20">
        <v>123</v>
      </c>
      <c r="E64" s="20">
        <v>1</v>
      </c>
      <c r="F64" s="20">
        <v>15</v>
      </c>
      <c r="G64" s="20">
        <v>33</v>
      </c>
      <c r="H64" s="20">
        <v>0</v>
      </c>
      <c r="I64" s="20">
        <v>25</v>
      </c>
      <c r="J64" s="20">
        <v>38</v>
      </c>
      <c r="K64" s="20">
        <v>1</v>
      </c>
      <c r="L64" s="20">
        <v>30</v>
      </c>
      <c r="M64" s="20">
        <v>0</v>
      </c>
    </row>
    <row r="65" spans="1:13">
      <c r="A65" s="23" t="s">
        <v>81</v>
      </c>
      <c r="B65" s="20">
        <v>51</v>
      </c>
      <c r="C65" s="20">
        <v>56</v>
      </c>
      <c r="D65" s="20">
        <v>140</v>
      </c>
      <c r="E65" s="20">
        <v>0</v>
      </c>
      <c r="F65" s="20">
        <v>1</v>
      </c>
      <c r="G65" s="20">
        <v>9</v>
      </c>
      <c r="H65" s="20">
        <v>0</v>
      </c>
      <c r="I65" s="20">
        <v>20</v>
      </c>
      <c r="J65" s="20">
        <v>10</v>
      </c>
      <c r="K65" s="20">
        <v>2</v>
      </c>
      <c r="L65" s="20">
        <v>28</v>
      </c>
      <c r="M65" s="20">
        <v>0</v>
      </c>
    </row>
    <row r="66" spans="1:13">
      <c r="A66" s="23" t="s">
        <v>207</v>
      </c>
      <c r="B66" s="20">
        <v>31</v>
      </c>
      <c r="C66" s="20">
        <v>49</v>
      </c>
      <c r="D66" s="20">
        <v>64</v>
      </c>
      <c r="E66" s="20">
        <v>12</v>
      </c>
      <c r="F66" s="20">
        <v>4</v>
      </c>
      <c r="G66" s="20">
        <v>21</v>
      </c>
      <c r="H66" s="20">
        <v>0</v>
      </c>
      <c r="I66" s="20">
        <v>6</v>
      </c>
      <c r="J66" s="20">
        <v>29</v>
      </c>
      <c r="K66" s="20">
        <v>1</v>
      </c>
      <c r="L66" s="20">
        <v>10</v>
      </c>
      <c r="M66" s="20">
        <v>0</v>
      </c>
    </row>
    <row r="67" spans="1:13">
      <c r="A67" s="23" t="s">
        <v>208</v>
      </c>
      <c r="B67" s="20">
        <v>47</v>
      </c>
      <c r="C67" s="20">
        <v>76</v>
      </c>
      <c r="D67" s="20">
        <v>141</v>
      </c>
      <c r="E67" s="20">
        <v>6</v>
      </c>
      <c r="F67" s="20">
        <v>3</v>
      </c>
      <c r="G67" s="20">
        <v>21</v>
      </c>
      <c r="H67" s="20">
        <v>1</v>
      </c>
      <c r="I67" s="20">
        <v>4</v>
      </c>
      <c r="J67" s="20">
        <v>22</v>
      </c>
      <c r="K67" s="20">
        <v>1</v>
      </c>
      <c r="L67" s="20">
        <v>12</v>
      </c>
      <c r="M67" s="20">
        <v>0</v>
      </c>
    </row>
    <row r="68" spans="1:13">
      <c r="A68" s="23" t="s">
        <v>83</v>
      </c>
      <c r="B68" s="20">
        <v>13</v>
      </c>
      <c r="C68" s="20">
        <v>14</v>
      </c>
      <c r="D68" s="20">
        <v>14</v>
      </c>
      <c r="E68" s="20">
        <v>5</v>
      </c>
      <c r="F68" s="20">
        <v>2</v>
      </c>
      <c r="G68" s="20">
        <v>0</v>
      </c>
      <c r="H68" s="20">
        <v>0</v>
      </c>
      <c r="I68" s="20">
        <v>2</v>
      </c>
      <c r="J68" s="20">
        <v>1</v>
      </c>
      <c r="K68" s="20">
        <v>1</v>
      </c>
      <c r="L68" s="20">
        <v>8</v>
      </c>
      <c r="M68" s="20">
        <v>0</v>
      </c>
    </row>
    <row r="69" spans="1:13">
      <c r="A69" s="23" t="s">
        <v>96</v>
      </c>
      <c r="B69" s="20">
        <v>21</v>
      </c>
      <c r="C69" s="20">
        <v>72</v>
      </c>
      <c r="D69" s="20">
        <v>41</v>
      </c>
      <c r="E69" s="20">
        <v>10</v>
      </c>
      <c r="F69" s="20">
        <v>0</v>
      </c>
      <c r="G69" s="20">
        <v>8</v>
      </c>
      <c r="H69" s="20">
        <v>3</v>
      </c>
      <c r="I69" s="20">
        <v>5</v>
      </c>
      <c r="J69" s="20">
        <v>9</v>
      </c>
      <c r="K69" s="20">
        <v>1</v>
      </c>
      <c r="L69" s="20">
        <v>27</v>
      </c>
      <c r="M69" s="20">
        <v>0</v>
      </c>
    </row>
    <row r="70" spans="1:13">
      <c r="A70" s="23" t="s">
        <v>212</v>
      </c>
      <c r="B70" s="20">
        <v>34</v>
      </c>
      <c r="C70" s="20">
        <v>39</v>
      </c>
      <c r="D70" s="20">
        <v>49</v>
      </c>
      <c r="E70" s="20">
        <v>10</v>
      </c>
      <c r="F70" s="20">
        <v>1</v>
      </c>
      <c r="G70" s="20">
        <v>3</v>
      </c>
      <c r="H70" s="20">
        <v>0</v>
      </c>
      <c r="I70" s="20">
        <v>1</v>
      </c>
      <c r="J70" s="20">
        <v>11</v>
      </c>
      <c r="K70" s="20">
        <v>5</v>
      </c>
      <c r="L70" s="20">
        <v>11</v>
      </c>
      <c r="M70" s="20">
        <v>0</v>
      </c>
    </row>
    <row r="71" spans="1:13">
      <c r="A71" s="23" t="s">
        <v>49</v>
      </c>
      <c r="B71" s="20">
        <v>37</v>
      </c>
      <c r="C71" s="20">
        <v>20</v>
      </c>
      <c r="D71" s="20">
        <v>36</v>
      </c>
      <c r="E71" s="20">
        <v>2</v>
      </c>
      <c r="F71" s="20">
        <v>0</v>
      </c>
      <c r="G71" s="20">
        <v>4</v>
      </c>
      <c r="H71" s="20">
        <v>43</v>
      </c>
      <c r="I71" s="20">
        <v>0</v>
      </c>
      <c r="J71" s="20">
        <v>9</v>
      </c>
      <c r="K71" s="20">
        <v>0</v>
      </c>
      <c r="L71" s="20">
        <v>56</v>
      </c>
      <c r="M71" s="20">
        <v>0</v>
      </c>
    </row>
    <row r="72" spans="1:13">
      <c r="A72" s="23" t="s">
        <v>50</v>
      </c>
      <c r="B72" s="20">
        <v>84</v>
      </c>
      <c r="C72" s="20">
        <v>39</v>
      </c>
      <c r="D72" s="20">
        <v>147</v>
      </c>
      <c r="E72" s="20">
        <v>6</v>
      </c>
      <c r="F72" s="20">
        <v>1</v>
      </c>
      <c r="G72" s="20">
        <v>29</v>
      </c>
      <c r="H72" s="20">
        <v>57</v>
      </c>
      <c r="I72" s="20">
        <v>4</v>
      </c>
      <c r="J72" s="20">
        <v>46</v>
      </c>
      <c r="K72" s="20">
        <v>0</v>
      </c>
      <c r="L72" s="20">
        <v>42</v>
      </c>
      <c r="M72" s="20">
        <v>0</v>
      </c>
    </row>
    <row r="73" spans="1:13">
      <c r="A73" s="23" t="s">
        <v>51</v>
      </c>
      <c r="B73" s="20">
        <v>81</v>
      </c>
      <c r="C73" s="20">
        <v>55</v>
      </c>
      <c r="D73" s="20">
        <v>423</v>
      </c>
      <c r="E73" s="20">
        <v>7</v>
      </c>
      <c r="F73" s="20">
        <v>3</v>
      </c>
      <c r="G73" s="20">
        <v>34</v>
      </c>
      <c r="H73" s="20">
        <v>74</v>
      </c>
      <c r="I73" s="20">
        <v>4</v>
      </c>
      <c r="J73" s="20">
        <v>46</v>
      </c>
      <c r="K73" s="20">
        <v>1</v>
      </c>
      <c r="L73" s="20">
        <v>51</v>
      </c>
      <c r="M73" s="20">
        <v>0</v>
      </c>
    </row>
    <row r="74" spans="1:13">
      <c r="A74" s="23" t="s">
        <v>213</v>
      </c>
      <c r="B74" s="20">
        <v>156</v>
      </c>
      <c r="C74" s="20">
        <v>75</v>
      </c>
      <c r="D74" s="20">
        <v>473</v>
      </c>
      <c r="E74" s="20">
        <v>6</v>
      </c>
      <c r="F74" s="20">
        <v>0</v>
      </c>
      <c r="G74" s="20">
        <v>42</v>
      </c>
      <c r="H74" s="20">
        <v>185</v>
      </c>
      <c r="I74" s="20">
        <v>7</v>
      </c>
      <c r="J74" s="20">
        <v>68</v>
      </c>
      <c r="K74" s="20">
        <v>1</v>
      </c>
      <c r="L74" s="20">
        <v>81</v>
      </c>
      <c r="M74" s="20">
        <v>1</v>
      </c>
    </row>
    <row r="75" spans="1:13">
      <c r="A75" s="23" t="s">
        <v>145</v>
      </c>
      <c r="B75" s="20">
        <v>39</v>
      </c>
      <c r="C75" s="20">
        <v>80</v>
      </c>
      <c r="D75" s="20">
        <v>261</v>
      </c>
      <c r="E75" s="20">
        <v>1</v>
      </c>
      <c r="F75" s="20">
        <v>6</v>
      </c>
      <c r="G75" s="20">
        <v>70</v>
      </c>
      <c r="H75" s="20">
        <v>9</v>
      </c>
      <c r="I75" s="20">
        <v>37</v>
      </c>
      <c r="J75" s="20">
        <v>51</v>
      </c>
      <c r="K75" s="20">
        <v>1</v>
      </c>
      <c r="L75" s="20">
        <v>66</v>
      </c>
      <c r="M75" s="20">
        <v>0</v>
      </c>
    </row>
    <row r="76" spans="1:13">
      <c r="A76" s="23" t="s">
        <v>204</v>
      </c>
      <c r="B76" s="20">
        <v>83</v>
      </c>
      <c r="C76" s="20">
        <v>128</v>
      </c>
      <c r="D76" s="20">
        <v>338</v>
      </c>
      <c r="E76" s="20">
        <v>0</v>
      </c>
      <c r="F76" s="20">
        <v>9</v>
      </c>
      <c r="G76" s="20">
        <v>89</v>
      </c>
      <c r="H76" s="20">
        <v>20</v>
      </c>
      <c r="I76" s="20">
        <v>25</v>
      </c>
      <c r="J76" s="20">
        <v>74</v>
      </c>
      <c r="K76" s="20">
        <v>2</v>
      </c>
      <c r="L76" s="20">
        <v>77</v>
      </c>
      <c r="M76" s="20">
        <v>0</v>
      </c>
    </row>
    <row r="77" spans="1:13">
      <c r="A77" s="23" t="s">
        <v>52</v>
      </c>
      <c r="B77" s="20">
        <v>8</v>
      </c>
      <c r="C77" s="20">
        <v>28</v>
      </c>
      <c r="D77" s="20">
        <v>62</v>
      </c>
      <c r="E77" s="20">
        <v>0</v>
      </c>
      <c r="F77" s="20">
        <v>0</v>
      </c>
      <c r="G77" s="20">
        <v>8</v>
      </c>
      <c r="H77" s="20">
        <v>1</v>
      </c>
      <c r="I77" s="20">
        <v>16</v>
      </c>
      <c r="J77" s="20">
        <v>3</v>
      </c>
      <c r="K77" s="20">
        <v>1</v>
      </c>
      <c r="L77" s="20">
        <v>19</v>
      </c>
      <c r="M77" s="20">
        <v>0</v>
      </c>
    </row>
    <row r="78" spans="1:13">
      <c r="A78" s="23" t="s">
        <v>205</v>
      </c>
      <c r="B78" s="20">
        <v>25</v>
      </c>
      <c r="C78" s="20">
        <v>42</v>
      </c>
      <c r="D78" s="20">
        <v>178</v>
      </c>
      <c r="E78" s="20">
        <v>0</v>
      </c>
      <c r="F78" s="20">
        <v>0</v>
      </c>
      <c r="G78" s="20">
        <v>23</v>
      </c>
      <c r="H78" s="20">
        <v>16</v>
      </c>
      <c r="I78" s="20">
        <v>19</v>
      </c>
      <c r="J78" s="20">
        <v>18</v>
      </c>
      <c r="K78" s="20">
        <v>2</v>
      </c>
      <c r="L78" s="20">
        <v>43</v>
      </c>
      <c r="M78" s="20">
        <v>0</v>
      </c>
    </row>
    <row r="79" spans="1:13">
      <c r="A79" s="23" t="s">
        <v>206</v>
      </c>
      <c r="B79" s="20">
        <v>29</v>
      </c>
      <c r="C79" s="20">
        <v>67</v>
      </c>
      <c r="D79" s="20">
        <v>135</v>
      </c>
      <c r="E79" s="20">
        <v>0</v>
      </c>
      <c r="F79" s="20">
        <v>7</v>
      </c>
      <c r="G79" s="20">
        <v>40</v>
      </c>
      <c r="H79" s="20">
        <v>1</v>
      </c>
      <c r="I79" s="20">
        <v>22</v>
      </c>
      <c r="J79" s="20">
        <v>33</v>
      </c>
      <c r="K79" s="20">
        <v>1</v>
      </c>
      <c r="L79" s="20">
        <v>40</v>
      </c>
      <c r="M79" s="20">
        <v>0</v>
      </c>
    </row>
    <row r="80" spans="1:13">
      <c r="A80" s="23" t="s">
        <v>160</v>
      </c>
      <c r="B80" s="20">
        <v>8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</row>
    <row r="81" spans="1:13">
      <c r="A81" s="23" t="s">
        <v>203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</row>
    <row r="82" spans="1:13">
      <c r="A82" s="23" t="s">
        <v>53</v>
      </c>
      <c r="B82" s="20">
        <v>1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3</v>
      </c>
      <c r="M82" s="20">
        <v>0</v>
      </c>
    </row>
  </sheetData>
  <mergeCells count="3">
    <mergeCell ref="B1:C1"/>
    <mergeCell ref="E1:G1"/>
    <mergeCell ref="I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3"/>
  <sheetViews>
    <sheetView workbookViewId="0">
      <pane xSplit="1" ySplit="3" topLeftCell="B66" activePane="bottomRight" state="frozen"/>
      <selection pane="topRight"/>
      <selection pane="bottomLeft"/>
      <selection pane="bottomRight" activeCell="C82" sqref="C82"/>
    </sheetView>
  </sheetViews>
  <sheetFormatPr defaultColWidth="20.77734375" defaultRowHeight="14.4"/>
  <cols>
    <col min="1" max="1" width="20.77734375" style="9"/>
    <col min="2" max="14" width="15.77734375" style="12" customWidth="1"/>
    <col min="15" max="16384" width="20.77734375" style="9"/>
  </cols>
  <sheetData>
    <row r="1" spans="1:14" s="11" customFormat="1" ht="28.8" customHeight="1">
      <c r="A1" s="10"/>
      <c r="B1" s="13"/>
      <c r="C1" s="593" t="s">
        <v>6</v>
      </c>
      <c r="D1" s="593"/>
      <c r="E1" s="16" t="s">
        <v>5</v>
      </c>
      <c r="F1" s="593" t="s">
        <v>7</v>
      </c>
      <c r="G1" s="593"/>
      <c r="H1" s="593"/>
      <c r="I1" s="16" t="s">
        <v>1</v>
      </c>
      <c r="J1" s="593" t="s">
        <v>3</v>
      </c>
      <c r="K1" s="593"/>
      <c r="L1" s="16" t="s">
        <v>2</v>
      </c>
      <c r="M1" s="16" t="s">
        <v>8</v>
      </c>
      <c r="N1" s="16" t="s">
        <v>248</v>
      </c>
    </row>
    <row r="2" spans="1:14" s="11" customFormat="1" ht="43.2" customHeight="1">
      <c r="A2" s="10" t="s">
        <v>249</v>
      </c>
      <c r="B2" s="628" t="s">
        <v>256</v>
      </c>
      <c r="C2" s="16">
        <f>'Operation Inventory (Rice)'!B2</f>
        <v>1760</v>
      </c>
      <c r="D2" s="16">
        <f>'Operation Inventory (Rice)'!C2</f>
        <v>176</v>
      </c>
      <c r="E2" s="16">
        <f>'Operation Inventory (Rice)'!D2</f>
        <v>300</v>
      </c>
      <c r="F2" s="16">
        <f>'Operation Inventory (Rice)'!E2</f>
        <v>105.60000000000001</v>
      </c>
      <c r="G2" s="16">
        <f>'Operation Inventory (Rice)'!F2</f>
        <v>176</v>
      </c>
      <c r="H2" s="16">
        <f>'Operation Inventory (Rice)'!G2</f>
        <v>140.80000000000001</v>
      </c>
      <c r="I2" s="16">
        <f>'Operation Inventory (Rice)'!H2</f>
        <v>64</v>
      </c>
      <c r="J2" s="16">
        <f>'Operation Inventory (Rice)'!I2</f>
        <v>96</v>
      </c>
      <c r="K2" s="16">
        <f>'Operation Inventory (Rice)'!J2</f>
        <v>3200</v>
      </c>
      <c r="L2" s="16">
        <f>'Operation Inventory (Rice)'!K2</f>
        <v>2160</v>
      </c>
      <c r="M2" s="16">
        <f>'Operation Inventory (Rice)'!L2</f>
        <v>176</v>
      </c>
      <c r="N2" s="16">
        <f>'Operation Inventory (Rice)'!M2</f>
        <v>360</v>
      </c>
    </row>
    <row r="3" spans="1:14" s="29" customFormat="1" ht="28.8">
      <c r="A3" s="16" t="s">
        <v>202</v>
      </c>
      <c r="B3" s="629"/>
      <c r="C3" s="16" t="s">
        <v>214</v>
      </c>
      <c r="D3" s="16" t="s">
        <v>215</v>
      </c>
      <c r="E3" s="16" t="s">
        <v>216</v>
      </c>
      <c r="F3" s="16" t="s">
        <v>217</v>
      </c>
      <c r="G3" s="16" t="s">
        <v>218</v>
      </c>
      <c r="H3" s="16" t="s">
        <v>219</v>
      </c>
      <c r="I3" s="16" t="s">
        <v>220</v>
      </c>
      <c r="J3" s="16" t="s">
        <v>167</v>
      </c>
      <c r="K3" s="16" t="s">
        <v>221</v>
      </c>
      <c r="L3" s="16" t="s">
        <v>222</v>
      </c>
      <c r="M3" s="16" t="s">
        <v>8</v>
      </c>
      <c r="N3" s="16" t="s">
        <v>223</v>
      </c>
    </row>
    <row r="4" spans="1:14">
      <c r="A4" s="27" t="s">
        <v>88</v>
      </c>
      <c r="B4" s="39">
        <v>0.61539999999999995</v>
      </c>
      <c r="C4" s="21">
        <f>ROUND('Operation Inventory (Rice)'!B4*$B4/(1-$B4), 0)</f>
        <v>46</v>
      </c>
      <c r="D4" s="21">
        <f>ROUND('Operation Inventory (Rice)'!C4*$B4/(1-$B4), 0)</f>
        <v>5</v>
      </c>
      <c r="E4" s="21">
        <f>ROUND('Operation Inventory (Rice)'!D4*$B4/(1-$B4), 0)</f>
        <v>339</v>
      </c>
      <c r="F4" s="21">
        <f>ROUND('Operation Inventory (Rice)'!E4*$B4/(1-$B4), 0)</f>
        <v>13</v>
      </c>
      <c r="G4" s="21">
        <f>ROUND('Operation Inventory (Rice)'!F4*$B4/(1-$B4), 0)</f>
        <v>0</v>
      </c>
      <c r="H4" s="21">
        <f>ROUND('Operation Inventory (Rice)'!G4*$B4/(1-$B4), 0)</f>
        <v>0</v>
      </c>
      <c r="I4" s="21">
        <f>ROUND('Operation Inventory (Rice)'!H4*$B4/(1-$B4), 0)</f>
        <v>0</v>
      </c>
      <c r="J4" s="21">
        <f>ROUND('Operation Inventory (Rice)'!I4*$B4/(1-$B4), 0)</f>
        <v>0</v>
      </c>
      <c r="K4" s="21">
        <f>ROUND('Operation Inventory (Rice)'!J4*$B4/(1-$B4), 0)</f>
        <v>11</v>
      </c>
      <c r="L4" s="21">
        <f>ROUND('Operation Inventory (Rice)'!K4*$B4/(1-$B4), 0)</f>
        <v>0</v>
      </c>
      <c r="M4" s="21">
        <f>ROUND('Operation Inventory (Rice)'!L4*$B4/(1-$B4), 0)</f>
        <v>0</v>
      </c>
      <c r="N4" s="21">
        <f>ROUND('Operation Inventory (Rice)'!M4*$B4/(1-$B4), 0)</f>
        <v>0</v>
      </c>
    </row>
    <row r="5" spans="1:14">
      <c r="A5" s="27" t="s">
        <v>85</v>
      </c>
      <c r="B5" s="39">
        <v>0.61539999999999995</v>
      </c>
      <c r="C5" s="21">
        <f>ROUND('Operation Inventory (Rice)'!B5*$B5/(1-$B5), 0)</f>
        <v>50</v>
      </c>
      <c r="D5" s="21">
        <f>ROUND('Operation Inventory (Rice)'!C5*$B5/(1-$B5), 0)</f>
        <v>22</v>
      </c>
      <c r="E5" s="21">
        <f>ROUND('Operation Inventory (Rice)'!D5*$B5/(1-$B5), 0)</f>
        <v>166</v>
      </c>
      <c r="F5" s="21">
        <f>ROUND('Operation Inventory (Rice)'!E5*$B5/(1-$B5), 0)</f>
        <v>35</v>
      </c>
      <c r="G5" s="21">
        <f>ROUND('Operation Inventory (Rice)'!F5*$B5/(1-$B5), 0)</f>
        <v>0</v>
      </c>
      <c r="H5" s="21">
        <f>ROUND('Operation Inventory (Rice)'!G5*$B5/(1-$B5), 0)</f>
        <v>0</v>
      </c>
      <c r="I5" s="21">
        <f>ROUND('Operation Inventory (Rice)'!H5*$B5/(1-$B5), 0)</f>
        <v>0</v>
      </c>
      <c r="J5" s="21">
        <f>ROUND('Operation Inventory (Rice)'!I5*$B5/(1-$B5), 0)</f>
        <v>0</v>
      </c>
      <c r="K5" s="21">
        <f>ROUND('Operation Inventory (Rice)'!J5*$B5/(1-$B5), 0)</f>
        <v>21</v>
      </c>
      <c r="L5" s="21">
        <f>ROUND('Operation Inventory (Rice)'!K5*$B5/(1-$B5), 0)</f>
        <v>0</v>
      </c>
      <c r="M5" s="21">
        <f>ROUND('Operation Inventory (Rice)'!L5*$B5/(1-$B5), 0)</f>
        <v>0</v>
      </c>
      <c r="N5" s="21">
        <f>ROUND('Operation Inventory (Rice)'!M5*$B5/(1-$B5), 0)</f>
        <v>0</v>
      </c>
    </row>
    <row r="6" spans="1:14">
      <c r="A6" s="27" t="s">
        <v>146</v>
      </c>
      <c r="B6" s="39">
        <v>0.61539999999999995</v>
      </c>
      <c r="C6" s="21">
        <f>ROUND('Operation Inventory (Rice)'!B6*$B6/(1-$B6), 0)</f>
        <v>0</v>
      </c>
      <c r="D6" s="21">
        <f>ROUND('Operation Inventory (Rice)'!C6*$B6/(1-$B6), 0)</f>
        <v>38</v>
      </c>
      <c r="E6" s="21">
        <f>ROUND('Operation Inventory (Rice)'!D6*$B6/(1-$B6), 0)</f>
        <v>58</v>
      </c>
      <c r="F6" s="21">
        <f>ROUND('Operation Inventory (Rice)'!E6*$B6/(1-$B6), 0)</f>
        <v>10</v>
      </c>
      <c r="G6" s="21">
        <f>ROUND('Operation Inventory (Rice)'!F6*$B6/(1-$B6), 0)</f>
        <v>0</v>
      </c>
      <c r="H6" s="21">
        <f>ROUND('Operation Inventory (Rice)'!G6*$B6/(1-$B6), 0)</f>
        <v>0</v>
      </c>
      <c r="I6" s="21">
        <f>ROUND('Operation Inventory (Rice)'!H6*$B6/(1-$B6), 0)</f>
        <v>0</v>
      </c>
      <c r="J6" s="21">
        <f>ROUND('Operation Inventory (Rice)'!I6*$B6/(1-$B6), 0)</f>
        <v>0</v>
      </c>
      <c r="K6" s="21">
        <f>ROUND('Operation Inventory (Rice)'!J6*$B6/(1-$B6), 0)</f>
        <v>0</v>
      </c>
      <c r="L6" s="21">
        <f>ROUND('Operation Inventory (Rice)'!K6*$B6/(1-$B6), 0)</f>
        <v>0</v>
      </c>
      <c r="M6" s="21">
        <f>ROUND('Operation Inventory (Rice)'!L6*$B6/(1-$B6), 0)</f>
        <v>0</v>
      </c>
      <c r="N6" s="21">
        <f>ROUND('Operation Inventory (Rice)'!M6*$B6/(1-$B6), 0)</f>
        <v>0</v>
      </c>
    </row>
    <row r="7" spans="1:14">
      <c r="A7" s="27" t="s">
        <v>84</v>
      </c>
      <c r="B7" s="39">
        <v>0.61539999999999995</v>
      </c>
      <c r="C7" s="21">
        <f>ROUND('Operation Inventory (Rice)'!B7*$B7/(1-$B7), 0)</f>
        <v>61</v>
      </c>
      <c r="D7" s="21">
        <f>ROUND('Operation Inventory (Rice)'!C7*$B7/(1-$B7), 0)</f>
        <v>10</v>
      </c>
      <c r="E7" s="21">
        <f>ROUND('Operation Inventory (Rice)'!D7*$B7/(1-$B7), 0)</f>
        <v>245</v>
      </c>
      <c r="F7" s="21">
        <f>ROUND('Operation Inventory (Rice)'!E7*$B7/(1-$B7), 0)</f>
        <v>0</v>
      </c>
      <c r="G7" s="21">
        <f>ROUND('Operation Inventory (Rice)'!F7*$B7/(1-$B7), 0)</f>
        <v>0</v>
      </c>
      <c r="H7" s="21">
        <f>ROUND('Operation Inventory (Rice)'!G7*$B7/(1-$B7), 0)</f>
        <v>0</v>
      </c>
      <c r="I7" s="21">
        <f>ROUND('Operation Inventory (Rice)'!H7*$B7/(1-$B7), 0)</f>
        <v>0</v>
      </c>
      <c r="J7" s="21">
        <f>ROUND('Operation Inventory (Rice)'!I7*$B7/(1-$B7), 0)</f>
        <v>0</v>
      </c>
      <c r="K7" s="21">
        <f>ROUND('Operation Inventory (Rice)'!J7*$B7/(1-$B7), 0)</f>
        <v>8</v>
      </c>
      <c r="L7" s="21">
        <f>ROUND('Operation Inventory (Rice)'!K7*$B7/(1-$B7), 0)</f>
        <v>0</v>
      </c>
      <c r="M7" s="21">
        <f>ROUND('Operation Inventory (Rice)'!L7*$B7/(1-$B7), 0)</f>
        <v>3</v>
      </c>
      <c r="N7" s="21">
        <f>ROUND('Operation Inventory (Rice)'!M7*$B7/(1-$B7), 0)</f>
        <v>0</v>
      </c>
    </row>
    <row r="8" spans="1:14">
      <c r="A8" s="27" t="s">
        <v>86</v>
      </c>
      <c r="B8" s="39">
        <v>0.61539999999999995</v>
      </c>
      <c r="C8" s="21">
        <f>ROUND('Operation Inventory (Rice)'!B8*$B8/(1-$B8), 0)</f>
        <v>37</v>
      </c>
      <c r="D8" s="21">
        <f>ROUND('Operation Inventory (Rice)'!C8*$B8/(1-$B8), 0)</f>
        <v>106</v>
      </c>
      <c r="E8" s="21">
        <f>ROUND('Operation Inventory (Rice)'!D8*$B8/(1-$B8), 0)</f>
        <v>198</v>
      </c>
      <c r="F8" s="21">
        <f>ROUND('Operation Inventory (Rice)'!E8*$B8/(1-$B8), 0)</f>
        <v>0</v>
      </c>
      <c r="G8" s="21">
        <f>ROUND('Operation Inventory (Rice)'!F8*$B8/(1-$B8), 0)</f>
        <v>0</v>
      </c>
      <c r="H8" s="21">
        <f>ROUND('Operation Inventory (Rice)'!G8*$B8/(1-$B8), 0)</f>
        <v>0</v>
      </c>
      <c r="I8" s="21">
        <f>ROUND('Operation Inventory (Rice)'!H8*$B8/(1-$B8), 0)</f>
        <v>0</v>
      </c>
      <c r="J8" s="21">
        <f>ROUND('Operation Inventory (Rice)'!I8*$B8/(1-$B8), 0)</f>
        <v>0</v>
      </c>
      <c r="K8" s="21">
        <f>ROUND('Operation Inventory (Rice)'!J8*$B8/(1-$B8), 0)</f>
        <v>16</v>
      </c>
      <c r="L8" s="21">
        <f>ROUND('Operation Inventory (Rice)'!K8*$B8/(1-$B8), 0)</f>
        <v>0</v>
      </c>
      <c r="M8" s="21">
        <f>ROUND('Operation Inventory (Rice)'!L8*$B8/(1-$B8), 0)</f>
        <v>0</v>
      </c>
      <c r="N8" s="21">
        <f>ROUND('Operation Inventory (Rice)'!M8*$B8/(1-$B8), 0)</f>
        <v>0</v>
      </c>
    </row>
    <row r="9" spans="1:14">
      <c r="A9" s="27" t="s">
        <v>87</v>
      </c>
      <c r="B9" s="39">
        <v>0.61539999999999995</v>
      </c>
      <c r="C9" s="21">
        <f>ROUND('Operation Inventory (Rice)'!B9*$B9/(1-$B9), 0)</f>
        <v>32</v>
      </c>
      <c r="D9" s="21">
        <f>ROUND('Operation Inventory (Rice)'!C9*$B9/(1-$B9), 0)</f>
        <v>42</v>
      </c>
      <c r="E9" s="21">
        <f>ROUND('Operation Inventory (Rice)'!D9*$B9/(1-$B9), 0)</f>
        <v>166</v>
      </c>
      <c r="F9" s="21">
        <f>ROUND('Operation Inventory (Rice)'!E9*$B9/(1-$B9), 0)</f>
        <v>10</v>
      </c>
      <c r="G9" s="21">
        <f>ROUND('Operation Inventory (Rice)'!F9*$B9/(1-$B9), 0)</f>
        <v>0</v>
      </c>
      <c r="H9" s="21">
        <f>ROUND('Operation Inventory (Rice)'!G9*$B9/(1-$B9), 0)</f>
        <v>0</v>
      </c>
      <c r="I9" s="21">
        <f>ROUND('Operation Inventory (Rice)'!H9*$B9/(1-$B9), 0)</f>
        <v>0</v>
      </c>
      <c r="J9" s="21">
        <f>ROUND('Operation Inventory (Rice)'!I9*$B9/(1-$B9), 0)</f>
        <v>0</v>
      </c>
      <c r="K9" s="21">
        <f>ROUND('Operation Inventory (Rice)'!J9*$B9/(1-$B9), 0)</f>
        <v>3</v>
      </c>
      <c r="L9" s="21">
        <f>ROUND('Operation Inventory (Rice)'!K9*$B9/(1-$B9), 0)</f>
        <v>3</v>
      </c>
      <c r="M9" s="21">
        <f>ROUND('Operation Inventory (Rice)'!L9*$B9/(1-$B9), 0)</f>
        <v>2</v>
      </c>
      <c r="N9" s="21">
        <f>ROUND('Operation Inventory (Rice)'!M9*$B9/(1-$B9), 0)</f>
        <v>0</v>
      </c>
    </row>
    <row r="10" spans="1:14">
      <c r="A10" s="27" t="s">
        <v>11</v>
      </c>
      <c r="B10" s="39">
        <v>0.83</v>
      </c>
      <c r="C10" s="21">
        <f>ROUND('Operation Inventory (Rice)'!B10*$B10/(1-$B10), 0)</f>
        <v>962</v>
      </c>
      <c r="D10" s="21">
        <f>ROUND('Operation Inventory (Rice)'!C10*$B10/(1-$B10), 0)</f>
        <v>644</v>
      </c>
      <c r="E10" s="21">
        <f>ROUND('Operation Inventory (Rice)'!D10*$B10/(1-$B10), 0)</f>
        <v>2207</v>
      </c>
      <c r="F10" s="21">
        <f>ROUND('Operation Inventory (Rice)'!E10*$B10/(1-$B10), 0)</f>
        <v>44</v>
      </c>
      <c r="G10" s="21">
        <f>ROUND('Operation Inventory (Rice)'!F10*$B10/(1-$B10), 0)</f>
        <v>151</v>
      </c>
      <c r="H10" s="21">
        <f>ROUND('Operation Inventory (Rice)'!G10*$B10/(1-$B10), 0)</f>
        <v>78</v>
      </c>
      <c r="I10" s="21">
        <f>ROUND('Operation Inventory (Rice)'!H10*$B10/(1-$B10), 0)</f>
        <v>0</v>
      </c>
      <c r="J10" s="21">
        <f>ROUND('Operation Inventory (Rice)'!I10*$B10/(1-$B10), 0)</f>
        <v>10</v>
      </c>
      <c r="K10" s="21">
        <f>ROUND('Operation Inventory (Rice)'!J10*$B10/(1-$B10), 0)</f>
        <v>332</v>
      </c>
      <c r="L10" s="21">
        <f>ROUND('Operation Inventory (Rice)'!K10*$B10/(1-$B10), 0)</f>
        <v>0</v>
      </c>
      <c r="M10" s="21">
        <f>ROUND('Operation Inventory (Rice)'!L10*$B10/(1-$B10), 0)</f>
        <v>117</v>
      </c>
      <c r="N10" s="21">
        <f>ROUND('Operation Inventory (Rice)'!M10*$B10/(1-$B10), 0)</f>
        <v>0</v>
      </c>
    </row>
    <row r="11" spans="1:14">
      <c r="A11" s="27" t="s">
        <v>12</v>
      </c>
      <c r="B11" s="39">
        <v>0.83</v>
      </c>
      <c r="C11" s="21">
        <f>ROUND('Operation Inventory (Rice)'!B11*$B11/(1-$B11), 0)</f>
        <v>674</v>
      </c>
      <c r="D11" s="21">
        <f>ROUND('Operation Inventory (Rice)'!C11*$B11/(1-$B11), 0)</f>
        <v>796</v>
      </c>
      <c r="E11" s="21">
        <f>ROUND('Operation Inventory (Rice)'!D11*$B11/(1-$B11), 0)</f>
        <v>2261</v>
      </c>
      <c r="F11" s="21">
        <f>ROUND('Operation Inventory (Rice)'!E11*$B11/(1-$B11), 0)</f>
        <v>15</v>
      </c>
      <c r="G11" s="21">
        <f>ROUND('Operation Inventory (Rice)'!F11*$B11/(1-$B11), 0)</f>
        <v>59</v>
      </c>
      <c r="H11" s="21">
        <f>ROUND('Operation Inventory (Rice)'!G11*$B11/(1-$B11), 0)</f>
        <v>44</v>
      </c>
      <c r="I11" s="21">
        <f>ROUND('Operation Inventory (Rice)'!H11*$B11/(1-$B11), 0)</f>
        <v>0</v>
      </c>
      <c r="J11" s="21">
        <f>ROUND('Operation Inventory (Rice)'!I11*$B11/(1-$B11), 0)</f>
        <v>10</v>
      </c>
      <c r="K11" s="21">
        <f>ROUND('Operation Inventory (Rice)'!J11*$B11/(1-$B11), 0)</f>
        <v>229</v>
      </c>
      <c r="L11" s="21">
        <f>ROUND('Operation Inventory (Rice)'!K11*$B11/(1-$B11), 0)</f>
        <v>0</v>
      </c>
      <c r="M11" s="21">
        <f>ROUND('Operation Inventory (Rice)'!L11*$B11/(1-$B11), 0)</f>
        <v>166</v>
      </c>
      <c r="N11" s="21">
        <f>ROUND('Operation Inventory (Rice)'!M11*$B11/(1-$B11), 0)</f>
        <v>0</v>
      </c>
    </row>
    <row r="12" spans="1:14">
      <c r="A12" s="27" t="s">
        <v>13</v>
      </c>
      <c r="B12" s="39">
        <v>0.83</v>
      </c>
      <c r="C12" s="21">
        <f>ROUND('Operation Inventory (Rice)'!B12*$B12/(1-$B12), 0)</f>
        <v>586</v>
      </c>
      <c r="D12" s="21">
        <f>ROUND('Operation Inventory (Rice)'!C12*$B12/(1-$B12), 0)</f>
        <v>522</v>
      </c>
      <c r="E12" s="21">
        <f>ROUND('Operation Inventory (Rice)'!D12*$B12/(1-$B12), 0)</f>
        <v>1763</v>
      </c>
      <c r="F12" s="21">
        <f>ROUND('Operation Inventory (Rice)'!E12*$B12/(1-$B12), 0)</f>
        <v>20</v>
      </c>
      <c r="G12" s="21">
        <f>ROUND('Operation Inventory (Rice)'!F12*$B12/(1-$B12), 0)</f>
        <v>59</v>
      </c>
      <c r="H12" s="21">
        <f>ROUND('Operation Inventory (Rice)'!G12*$B12/(1-$B12), 0)</f>
        <v>39</v>
      </c>
      <c r="I12" s="21">
        <f>ROUND('Operation Inventory (Rice)'!H12*$B12/(1-$B12), 0)</f>
        <v>0</v>
      </c>
      <c r="J12" s="21">
        <f>ROUND('Operation Inventory (Rice)'!I12*$B12/(1-$B12), 0)</f>
        <v>10</v>
      </c>
      <c r="K12" s="21">
        <f>ROUND('Operation Inventory (Rice)'!J12*$B12/(1-$B12), 0)</f>
        <v>103</v>
      </c>
      <c r="L12" s="21">
        <f>ROUND('Operation Inventory (Rice)'!K12*$B12/(1-$B12), 0)</f>
        <v>0</v>
      </c>
      <c r="M12" s="21">
        <f>ROUND('Operation Inventory (Rice)'!L12*$B12/(1-$B12), 0)</f>
        <v>117</v>
      </c>
      <c r="N12" s="21">
        <f>ROUND('Operation Inventory (Rice)'!M12*$B12/(1-$B12), 0)</f>
        <v>0</v>
      </c>
    </row>
    <row r="13" spans="1:14">
      <c r="A13" s="27" t="s">
        <v>14</v>
      </c>
      <c r="B13" s="39">
        <v>0.83</v>
      </c>
      <c r="C13" s="21">
        <f>ROUND('Operation Inventory (Rice)'!B13*$B13/(1-$B13), 0)</f>
        <v>2461</v>
      </c>
      <c r="D13" s="21">
        <f>ROUND('Operation Inventory (Rice)'!C13*$B13/(1-$B13), 0)</f>
        <v>1640</v>
      </c>
      <c r="E13" s="21">
        <f>ROUND('Operation Inventory (Rice)'!D13*$B13/(1-$B13), 0)</f>
        <v>5258</v>
      </c>
      <c r="F13" s="21">
        <f>ROUND('Operation Inventory (Rice)'!E13*$B13/(1-$B13), 0)</f>
        <v>83</v>
      </c>
      <c r="G13" s="21">
        <f>ROUND('Operation Inventory (Rice)'!F13*$B13/(1-$B13), 0)</f>
        <v>322</v>
      </c>
      <c r="H13" s="21">
        <f>ROUND('Operation Inventory (Rice)'!G13*$B13/(1-$B13), 0)</f>
        <v>151</v>
      </c>
      <c r="I13" s="21">
        <f>ROUND('Operation Inventory (Rice)'!H13*$B13/(1-$B13), 0)</f>
        <v>0</v>
      </c>
      <c r="J13" s="21">
        <f>ROUND('Operation Inventory (Rice)'!I13*$B13/(1-$B13), 0)</f>
        <v>39</v>
      </c>
      <c r="K13" s="21">
        <f>ROUND('Operation Inventory (Rice)'!J13*$B13/(1-$B13), 0)</f>
        <v>635</v>
      </c>
      <c r="L13" s="21">
        <f>ROUND('Operation Inventory (Rice)'!K13*$B13/(1-$B13), 0)</f>
        <v>0</v>
      </c>
      <c r="M13" s="21">
        <f>ROUND('Operation Inventory (Rice)'!L13*$B13/(1-$B13), 0)</f>
        <v>513</v>
      </c>
      <c r="N13" s="21">
        <f>ROUND('Operation Inventory (Rice)'!M13*$B13/(1-$B13), 0)</f>
        <v>0</v>
      </c>
    </row>
    <row r="14" spans="1:14">
      <c r="A14" s="27" t="s">
        <v>10</v>
      </c>
      <c r="B14" s="39">
        <v>0.83</v>
      </c>
      <c r="C14" s="21">
        <f>ROUND('Operation Inventory (Rice)'!B14*$B14/(1-$B14), 0)</f>
        <v>0</v>
      </c>
      <c r="D14" s="21">
        <f>ROUND('Operation Inventory (Rice)'!C14*$B14/(1-$B14), 0)</f>
        <v>5</v>
      </c>
      <c r="E14" s="21">
        <f>ROUND('Operation Inventory (Rice)'!D14*$B14/(1-$B14), 0)</f>
        <v>5</v>
      </c>
      <c r="F14" s="21">
        <f>ROUND('Operation Inventory (Rice)'!E14*$B14/(1-$B14), 0)</f>
        <v>0</v>
      </c>
      <c r="G14" s="21">
        <f>ROUND('Operation Inventory (Rice)'!F14*$B14/(1-$B14), 0)</f>
        <v>0</v>
      </c>
      <c r="H14" s="21">
        <f>ROUND('Operation Inventory (Rice)'!G14*$B14/(1-$B14), 0)</f>
        <v>0</v>
      </c>
      <c r="I14" s="21">
        <f>ROUND('Operation Inventory (Rice)'!H14*$B14/(1-$B14), 0)</f>
        <v>0</v>
      </c>
      <c r="J14" s="21">
        <f>ROUND('Operation Inventory (Rice)'!I14*$B14/(1-$B14), 0)</f>
        <v>0</v>
      </c>
      <c r="K14" s="21">
        <f>ROUND('Operation Inventory (Rice)'!J14*$B14/(1-$B14), 0)</f>
        <v>0</v>
      </c>
      <c r="L14" s="21">
        <f>ROUND('Operation Inventory (Rice)'!K14*$B14/(1-$B14), 0)</f>
        <v>0</v>
      </c>
      <c r="M14" s="21">
        <f>ROUND('Operation Inventory (Rice)'!L14*$B14/(1-$B14), 0)</f>
        <v>0</v>
      </c>
      <c r="N14" s="21">
        <f>ROUND('Operation Inventory (Rice)'!M14*$B14/(1-$B14), 0)</f>
        <v>0</v>
      </c>
    </row>
    <row r="15" spans="1:14">
      <c r="A15" s="27" t="s">
        <v>15</v>
      </c>
      <c r="B15" s="39">
        <v>0.83</v>
      </c>
      <c r="C15" s="21">
        <f>ROUND('Operation Inventory (Rice)'!B15*$B15/(1-$B15), 0)</f>
        <v>2842</v>
      </c>
      <c r="D15" s="21">
        <f>ROUND('Operation Inventory (Rice)'!C15*$B15/(1-$B15), 0)</f>
        <v>9618</v>
      </c>
      <c r="E15" s="21">
        <f>ROUND('Operation Inventory (Rice)'!D15*$B15/(1-$B15), 0)</f>
        <v>11171</v>
      </c>
      <c r="F15" s="21">
        <f>ROUND('Operation Inventory (Rice)'!E15*$B15/(1-$B15), 0)</f>
        <v>137</v>
      </c>
      <c r="G15" s="21">
        <f>ROUND('Operation Inventory (Rice)'!F15*$B15/(1-$B15), 0)</f>
        <v>205</v>
      </c>
      <c r="H15" s="21">
        <f>ROUND('Operation Inventory (Rice)'!G15*$B15/(1-$B15), 0)</f>
        <v>73</v>
      </c>
      <c r="I15" s="21">
        <f>ROUND('Operation Inventory (Rice)'!H15*$B15/(1-$B15), 0)</f>
        <v>0</v>
      </c>
      <c r="J15" s="21">
        <f>ROUND('Operation Inventory (Rice)'!I15*$B15/(1-$B15), 0)</f>
        <v>103</v>
      </c>
      <c r="K15" s="21">
        <f>ROUND('Operation Inventory (Rice)'!J15*$B15/(1-$B15), 0)</f>
        <v>566</v>
      </c>
      <c r="L15" s="21">
        <f>ROUND('Operation Inventory (Rice)'!K15*$B15/(1-$B15), 0)</f>
        <v>5</v>
      </c>
      <c r="M15" s="21">
        <f>ROUND('Operation Inventory (Rice)'!L15*$B15/(1-$B15), 0)</f>
        <v>54</v>
      </c>
      <c r="N15" s="21">
        <f>ROUND('Operation Inventory (Rice)'!M15*$B15/(1-$B15), 0)</f>
        <v>0</v>
      </c>
    </row>
    <row r="16" spans="1:14">
      <c r="A16" s="27" t="s">
        <v>16</v>
      </c>
      <c r="B16" s="39">
        <v>0.83</v>
      </c>
      <c r="C16" s="21">
        <f>ROUND('Operation Inventory (Rice)'!B16*$B16/(1-$B16), 0)</f>
        <v>2734</v>
      </c>
      <c r="D16" s="21">
        <f>ROUND('Operation Inventory (Rice)'!C16*$B16/(1-$B16), 0)</f>
        <v>1367</v>
      </c>
      <c r="E16" s="21">
        <f>ROUND('Operation Inventory (Rice)'!D16*$B16/(1-$B16), 0)</f>
        <v>13578</v>
      </c>
      <c r="F16" s="21">
        <f>ROUND('Operation Inventory (Rice)'!E16*$B16/(1-$B16), 0)</f>
        <v>303</v>
      </c>
      <c r="G16" s="21">
        <f>ROUND('Operation Inventory (Rice)'!F16*$B16/(1-$B16), 0)</f>
        <v>561</v>
      </c>
      <c r="H16" s="21">
        <f>ROUND('Operation Inventory (Rice)'!G16*$B16/(1-$B16), 0)</f>
        <v>112</v>
      </c>
      <c r="I16" s="21">
        <f>ROUND('Operation Inventory (Rice)'!H16*$B16/(1-$B16), 0)</f>
        <v>0</v>
      </c>
      <c r="J16" s="21">
        <f>ROUND('Operation Inventory (Rice)'!I16*$B16/(1-$B16), 0)</f>
        <v>103</v>
      </c>
      <c r="K16" s="21">
        <f>ROUND('Operation Inventory (Rice)'!J16*$B16/(1-$B16), 0)</f>
        <v>454</v>
      </c>
      <c r="L16" s="21">
        <f>ROUND('Operation Inventory (Rice)'!K16*$B16/(1-$B16), 0)</f>
        <v>0</v>
      </c>
      <c r="M16" s="21">
        <f>ROUND('Operation Inventory (Rice)'!L16*$B16/(1-$B16), 0)</f>
        <v>107</v>
      </c>
      <c r="N16" s="21">
        <f>ROUND('Operation Inventory (Rice)'!M16*$B16/(1-$B16), 0)</f>
        <v>0</v>
      </c>
    </row>
    <row r="17" spans="1:14">
      <c r="A17" s="27" t="s">
        <v>17</v>
      </c>
      <c r="B17" s="39">
        <v>0.83</v>
      </c>
      <c r="C17" s="21">
        <f>ROUND('Operation Inventory (Rice)'!B17*$B17/(1-$B17), 0)</f>
        <v>820</v>
      </c>
      <c r="D17" s="21">
        <f>ROUND('Operation Inventory (Rice)'!C17*$B17/(1-$B17), 0)</f>
        <v>952</v>
      </c>
      <c r="E17" s="21">
        <f>ROUND('Operation Inventory (Rice)'!D17*$B17/(1-$B17), 0)</f>
        <v>1518</v>
      </c>
      <c r="F17" s="21">
        <f>ROUND('Operation Inventory (Rice)'!E17*$B17/(1-$B17), 0)</f>
        <v>39</v>
      </c>
      <c r="G17" s="21">
        <f>ROUND('Operation Inventory (Rice)'!F17*$B17/(1-$B17), 0)</f>
        <v>127</v>
      </c>
      <c r="H17" s="21">
        <f>ROUND('Operation Inventory (Rice)'!G17*$B17/(1-$B17), 0)</f>
        <v>15</v>
      </c>
      <c r="I17" s="21">
        <f>ROUND('Operation Inventory (Rice)'!H17*$B17/(1-$B17), 0)</f>
        <v>0</v>
      </c>
      <c r="J17" s="21">
        <f>ROUND('Operation Inventory (Rice)'!I17*$B17/(1-$B17), 0)</f>
        <v>29</v>
      </c>
      <c r="K17" s="21">
        <f>ROUND('Operation Inventory (Rice)'!J17*$B17/(1-$B17), 0)</f>
        <v>244</v>
      </c>
      <c r="L17" s="21">
        <f>ROUND('Operation Inventory (Rice)'!K17*$B17/(1-$B17), 0)</f>
        <v>0</v>
      </c>
      <c r="M17" s="21">
        <f>ROUND('Operation Inventory (Rice)'!L17*$B17/(1-$B17), 0)</f>
        <v>24</v>
      </c>
      <c r="N17" s="21">
        <f>ROUND('Operation Inventory (Rice)'!M17*$B17/(1-$B17), 0)</f>
        <v>0</v>
      </c>
    </row>
    <row r="18" spans="1:14">
      <c r="A18" s="27" t="s">
        <v>18</v>
      </c>
      <c r="B18" s="39">
        <v>0.83</v>
      </c>
      <c r="C18" s="21">
        <f>ROUND('Operation Inventory (Rice)'!B18*$B18/(1-$B18), 0)</f>
        <v>269</v>
      </c>
      <c r="D18" s="21">
        <f>ROUND('Operation Inventory (Rice)'!C18*$B18/(1-$B18), 0)</f>
        <v>2026</v>
      </c>
      <c r="E18" s="21">
        <f>ROUND('Operation Inventory (Rice)'!D18*$B18/(1-$B18), 0)</f>
        <v>2241</v>
      </c>
      <c r="F18" s="21">
        <f>ROUND('Operation Inventory (Rice)'!E18*$B18/(1-$B18), 0)</f>
        <v>63</v>
      </c>
      <c r="G18" s="21">
        <f>ROUND('Operation Inventory (Rice)'!F18*$B18/(1-$B18), 0)</f>
        <v>34</v>
      </c>
      <c r="H18" s="21">
        <f>ROUND('Operation Inventory (Rice)'!G18*$B18/(1-$B18), 0)</f>
        <v>15</v>
      </c>
      <c r="I18" s="21">
        <f>ROUND('Operation Inventory (Rice)'!H18*$B18/(1-$B18), 0)</f>
        <v>0</v>
      </c>
      <c r="J18" s="21">
        <f>ROUND('Operation Inventory (Rice)'!I18*$B18/(1-$B18), 0)</f>
        <v>0</v>
      </c>
      <c r="K18" s="21">
        <f>ROUND('Operation Inventory (Rice)'!J18*$B18/(1-$B18), 0)</f>
        <v>122</v>
      </c>
      <c r="L18" s="21">
        <f>ROUND('Operation Inventory (Rice)'!K18*$B18/(1-$B18), 0)</f>
        <v>0</v>
      </c>
      <c r="M18" s="21">
        <f>ROUND('Operation Inventory (Rice)'!L18*$B18/(1-$B18), 0)</f>
        <v>49</v>
      </c>
      <c r="N18" s="21">
        <f>ROUND('Operation Inventory (Rice)'!M18*$B18/(1-$B18), 0)</f>
        <v>0</v>
      </c>
    </row>
    <row r="19" spans="1:14">
      <c r="A19" s="27" t="s">
        <v>19</v>
      </c>
      <c r="B19" s="39">
        <v>0.83</v>
      </c>
      <c r="C19" s="21">
        <f>ROUND('Operation Inventory (Rice)'!B19*$B19/(1-$B19), 0)</f>
        <v>195</v>
      </c>
      <c r="D19" s="21">
        <f>ROUND('Operation Inventory (Rice)'!C19*$B19/(1-$B19), 0)</f>
        <v>98</v>
      </c>
      <c r="E19" s="21">
        <f>ROUND('Operation Inventory (Rice)'!D19*$B19/(1-$B19), 0)</f>
        <v>2387</v>
      </c>
      <c r="F19" s="21">
        <f>ROUND('Operation Inventory (Rice)'!E19*$B19/(1-$B19), 0)</f>
        <v>10</v>
      </c>
      <c r="G19" s="21">
        <f>ROUND('Operation Inventory (Rice)'!F19*$B19/(1-$B19), 0)</f>
        <v>0</v>
      </c>
      <c r="H19" s="21">
        <f>ROUND('Operation Inventory (Rice)'!G19*$B19/(1-$B19), 0)</f>
        <v>49</v>
      </c>
      <c r="I19" s="21">
        <f>ROUND('Operation Inventory (Rice)'!H19*$B19/(1-$B19), 0)</f>
        <v>0</v>
      </c>
      <c r="J19" s="21">
        <f>ROUND('Operation Inventory (Rice)'!I19*$B19/(1-$B19), 0)</f>
        <v>20</v>
      </c>
      <c r="K19" s="21">
        <f>ROUND('Operation Inventory (Rice)'!J19*$B19/(1-$B19), 0)</f>
        <v>63</v>
      </c>
      <c r="L19" s="21">
        <f>ROUND('Operation Inventory (Rice)'!K19*$B19/(1-$B19), 0)</f>
        <v>24</v>
      </c>
      <c r="M19" s="21">
        <f>ROUND('Operation Inventory (Rice)'!L19*$B19/(1-$B19), 0)</f>
        <v>24</v>
      </c>
      <c r="N19" s="21">
        <f>ROUND('Operation Inventory (Rice)'!M19*$B19/(1-$B19), 0)</f>
        <v>0</v>
      </c>
    </row>
    <row r="20" spans="1:14">
      <c r="A20" s="27" t="s">
        <v>20</v>
      </c>
      <c r="B20" s="39">
        <v>0.83</v>
      </c>
      <c r="C20" s="21">
        <f>ROUND('Operation Inventory (Rice)'!B20*$B20/(1-$B20), 0)</f>
        <v>127</v>
      </c>
      <c r="D20" s="21">
        <f>ROUND('Operation Inventory (Rice)'!C20*$B20/(1-$B20), 0)</f>
        <v>107</v>
      </c>
      <c r="E20" s="21">
        <f>ROUND('Operation Inventory (Rice)'!D20*$B20/(1-$B20), 0)</f>
        <v>1108</v>
      </c>
      <c r="F20" s="21">
        <f>ROUND('Operation Inventory (Rice)'!E20*$B20/(1-$B20), 0)</f>
        <v>10</v>
      </c>
      <c r="G20" s="21">
        <f>ROUND('Operation Inventory (Rice)'!F20*$B20/(1-$B20), 0)</f>
        <v>0</v>
      </c>
      <c r="H20" s="21">
        <f>ROUND('Operation Inventory (Rice)'!G20*$B20/(1-$B20), 0)</f>
        <v>20</v>
      </c>
      <c r="I20" s="21">
        <f>ROUND('Operation Inventory (Rice)'!H20*$B20/(1-$B20), 0)</f>
        <v>0</v>
      </c>
      <c r="J20" s="21">
        <f>ROUND('Operation Inventory (Rice)'!I20*$B20/(1-$B20), 0)</f>
        <v>54</v>
      </c>
      <c r="K20" s="21">
        <f>ROUND('Operation Inventory (Rice)'!J20*$B20/(1-$B20), 0)</f>
        <v>78</v>
      </c>
      <c r="L20" s="21">
        <f>ROUND('Operation Inventory (Rice)'!K20*$B20/(1-$B20), 0)</f>
        <v>29</v>
      </c>
      <c r="M20" s="21">
        <f>ROUND('Operation Inventory (Rice)'!L20*$B20/(1-$B20), 0)</f>
        <v>24</v>
      </c>
      <c r="N20" s="21">
        <f>ROUND('Operation Inventory (Rice)'!M20*$B20/(1-$B20), 0)</f>
        <v>0</v>
      </c>
    </row>
    <row r="21" spans="1:14">
      <c r="A21" s="27" t="s">
        <v>21</v>
      </c>
      <c r="B21" s="39">
        <v>0.83</v>
      </c>
      <c r="C21" s="21">
        <f>ROUND('Operation Inventory (Rice)'!B21*$B21/(1-$B21), 0)</f>
        <v>259</v>
      </c>
      <c r="D21" s="21">
        <f>ROUND('Operation Inventory (Rice)'!C21*$B21/(1-$B21), 0)</f>
        <v>298</v>
      </c>
      <c r="E21" s="21">
        <f>ROUND('Operation Inventory (Rice)'!D21*$B21/(1-$B21), 0)</f>
        <v>1035</v>
      </c>
      <c r="F21" s="21">
        <f>ROUND('Operation Inventory (Rice)'!E21*$B21/(1-$B21), 0)</f>
        <v>20</v>
      </c>
      <c r="G21" s="21">
        <f>ROUND('Operation Inventory (Rice)'!F21*$B21/(1-$B21), 0)</f>
        <v>0</v>
      </c>
      <c r="H21" s="21">
        <f>ROUND('Operation Inventory (Rice)'!G21*$B21/(1-$B21), 0)</f>
        <v>112</v>
      </c>
      <c r="I21" s="21">
        <f>ROUND('Operation Inventory (Rice)'!H21*$B21/(1-$B21), 0)</f>
        <v>0</v>
      </c>
      <c r="J21" s="21">
        <f>ROUND('Operation Inventory (Rice)'!I21*$B21/(1-$B21), 0)</f>
        <v>73</v>
      </c>
      <c r="K21" s="21">
        <f>ROUND('Operation Inventory (Rice)'!J21*$B21/(1-$B21), 0)</f>
        <v>171</v>
      </c>
      <c r="L21" s="21">
        <f>ROUND('Operation Inventory (Rice)'!K21*$B21/(1-$B21), 0)</f>
        <v>10</v>
      </c>
      <c r="M21" s="21">
        <f>ROUND('Operation Inventory (Rice)'!L21*$B21/(1-$B21), 0)</f>
        <v>34</v>
      </c>
      <c r="N21" s="21">
        <f>ROUND('Operation Inventory (Rice)'!M21*$B21/(1-$B21), 0)</f>
        <v>0</v>
      </c>
    </row>
    <row r="22" spans="1:14">
      <c r="A22" s="27" t="s">
        <v>22</v>
      </c>
      <c r="B22" s="39">
        <v>0.83</v>
      </c>
      <c r="C22" s="21">
        <f>ROUND('Operation Inventory (Rice)'!B22*$B22/(1-$B22), 0)</f>
        <v>845</v>
      </c>
      <c r="D22" s="21">
        <f>ROUND('Operation Inventory (Rice)'!C22*$B22/(1-$B22), 0)</f>
        <v>835</v>
      </c>
      <c r="E22" s="21">
        <f>ROUND('Operation Inventory (Rice)'!D22*$B22/(1-$B22), 0)</f>
        <v>5263</v>
      </c>
      <c r="F22" s="21">
        <f>ROUND('Operation Inventory (Rice)'!E22*$B22/(1-$B22), 0)</f>
        <v>29</v>
      </c>
      <c r="G22" s="21">
        <f>ROUND('Operation Inventory (Rice)'!F22*$B22/(1-$B22), 0)</f>
        <v>5</v>
      </c>
      <c r="H22" s="21">
        <f>ROUND('Operation Inventory (Rice)'!G22*$B22/(1-$B22), 0)</f>
        <v>283</v>
      </c>
      <c r="I22" s="21">
        <f>ROUND('Operation Inventory (Rice)'!H22*$B22/(1-$B22), 0)</f>
        <v>0</v>
      </c>
      <c r="J22" s="21">
        <f>ROUND('Operation Inventory (Rice)'!I22*$B22/(1-$B22), 0)</f>
        <v>229</v>
      </c>
      <c r="K22" s="21">
        <f>ROUND('Operation Inventory (Rice)'!J22*$B22/(1-$B22), 0)</f>
        <v>493</v>
      </c>
      <c r="L22" s="21">
        <f>ROUND('Operation Inventory (Rice)'!K22*$B22/(1-$B22), 0)</f>
        <v>68</v>
      </c>
      <c r="M22" s="21">
        <f>ROUND('Operation Inventory (Rice)'!L22*$B22/(1-$B22), 0)</f>
        <v>88</v>
      </c>
      <c r="N22" s="21">
        <f>ROUND('Operation Inventory (Rice)'!M22*$B22/(1-$B22), 0)</f>
        <v>0</v>
      </c>
    </row>
    <row r="23" spans="1:14">
      <c r="A23" s="27" t="s">
        <v>23</v>
      </c>
      <c r="B23" s="39">
        <v>0.83</v>
      </c>
      <c r="C23" s="21">
        <f>ROUND('Operation Inventory (Rice)'!B23*$B23/(1-$B23), 0)</f>
        <v>352</v>
      </c>
      <c r="D23" s="21">
        <f>ROUND('Operation Inventory (Rice)'!C23*$B23/(1-$B23), 0)</f>
        <v>405</v>
      </c>
      <c r="E23" s="21">
        <f>ROUND('Operation Inventory (Rice)'!D23*$B23/(1-$B23), 0)</f>
        <v>3462</v>
      </c>
      <c r="F23" s="21">
        <f>ROUND('Operation Inventory (Rice)'!E23*$B23/(1-$B23), 0)</f>
        <v>29</v>
      </c>
      <c r="G23" s="21">
        <f>ROUND('Operation Inventory (Rice)'!F23*$B23/(1-$B23), 0)</f>
        <v>0</v>
      </c>
      <c r="H23" s="21">
        <f>ROUND('Operation Inventory (Rice)'!G23*$B23/(1-$B23), 0)</f>
        <v>254</v>
      </c>
      <c r="I23" s="21">
        <f>ROUND('Operation Inventory (Rice)'!H23*$B23/(1-$B23), 0)</f>
        <v>0</v>
      </c>
      <c r="J23" s="21">
        <f>ROUND('Operation Inventory (Rice)'!I23*$B23/(1-$B23), 0)</f>
        <v>112</v>
      </c>
      <c r="K23" s="21">
        <f>ROUND('Operation Inventory (Rice)'!J23*$B23/(1-$B23), 0)</f>
        <v>156</v>
      </c>
      <c r="L23" s="21">
        <f>ROUND('Operation Inventory (Rice)'!K23*$B23/(1-$B23), 0)</f>
        <v>49</v>
      </c>
      <c r="M23" s="21">
        <f>ROUND('Operation Inventory (Rice)'!L23*$B23/(1-$B23), 0)</f>
        <v>54</v>
      </c>
      <c r="N23" s="21">
        <f>ROUND('Operation Inventory (Rice)'!M23*$B23/(1-$B23), 0)</f>
        <v>0</v>
      </c>
    </row>
    <row r="24" spans="1:14">
      <c r="A24" s="27" t="s">
        <v>24</v>
      </c>
      <c r="B24" s="39">
        <v>0.83</v>
      </c>
      <c r="C24" s="21">
        <f>ROUND('Operation Inventory (Rice)'!B24*$B24/(1-$B24), 0)</f>
        <v>464</v>
      </c>
      <c r="D24" s="21">
        <f>ROUND('Operation Inventory (Rice)'!C24*$B24/(1-$B24), 0)</f>
        <v>561</v>
      </c>
      <c r="E24" s="21">
        <f>ROUND('Operation Inventory (Rice)'!D24*$B24/(1-$B24), 0)</f>
        <v>7294</v>
      </c>
      <c r="F24" s="21">
        <f>ROUND('Operation Inventory (Rice)'!E24*$B24/(1-$B24), 0)</f>
        <v>29</v>
      </c>
      <c r="G24" s="21">
        <f>ROUND('Operation Inventory (Rice)'!F24*$B24/(1-$B24), 0)</f>
        <v>0</v>
      </c>
      <c r="H24" s="21">
        <f>ROUND('Operation Inventory (Rice)'!G24*$B24/(1-$B24), 0)</f>
        <v>161</v>
      </c>
      <c r="I24" s="21">
        <f>ROUND('Operation Inventory (Rice)'!H24*$B24/(1-$B24), 0)</f>
        <v>0</v>
      </c>
      <c r="J24" s="21">
        <f>ROUND('Operation Inventory (Rice)'!I24*$B24/(1-$B24), 0)</f>
        <v>122</v>
      </c>
      <c r="K24" s="21">
        <f>ROUND('Operation Inventory (Rice)'!J24*$B24/(1-$B24), 0)</f>
        <v>259</v>
      </c>
      <c r="L24" s="21">
        <f>ROUND('Operation Inventory (Rice)'!K24*$B24/(1-$B24), 0)</f>
        <v>83</v>
      </c>
      <c r="M24" s="21">
        <f>ROUND('Operation Inventory (Rice)'!L24*$B24/(1-$B24), 0)</f>
        <v>59</v>
      </c>
      <c r="N24" s="21">
        <f>ROUND('Operation Inventory (Rice)'!M24*$B24/(1-$B24), 0)</f>
        <v>0</v>
      </c>
    </row>
    <row r="25" spans="1:14">
      <c r="A25" s="27" t="s">
        <v>25</v>
      </c>
      <c r="B25" s="39">
        <v>0.83</v>
      </c>
      <c r="C25" s="21">
        <f>ROUND('Operation Inventory (Rice)'!B25*$B25/(1-$B25), 0)</f>
        <v>176</v>
      </c>
      <c r="D25" s="21">
        <f>ROUND('Operation Inventory (Rice)'!C25*$B25/(1-$B25), 0)</f>
        <v>151</v>
      </c>
      <c r="E25" s="21">
        <f>ROUND('Operation Inventory (Rice)'!D25*$B25/(1-$B25), 0)</f>
        <v>1431</v>
      </c>
      <c r="F25" s="21">
        <f>ROUND('Operation Inventory (Rice)'!E25*$B25/(1-$B25), 0)</f>
        <v>5</v>
      </c>
      <c r="G25" s="21">
        <f>ROUND('Operation Inventory (Rice)'!F25*$B25/(1-$B25), 0)</f>
        <v>0</v>
      </c>
      <c r="H25" s="21">
        <f>ROUND('Operation Inventory (Rice)'!G25*$B25/(1-$B25), 0)</f>
        <v>54</v>
      </c>
      <c r="I25" s="21">
        <f>ROUND('Operation Inventory (Rice)'!H25*$B25/(1-$B25), 0)</f>
        <v>0</v>
      </c>
      <c r="J25" s="21">
        <f>ROUND('Operation Inventory (Rice)'!I25*$B25/(1-$B25), 0)</f>
        <v>29</v>
      </c>
      <c r="K25" s="21">
        <f>ROUND('Operation Inventory (Rice)'!J25*$B25/(1-$B25), 0)</f>
        <v>59</v>
      </c>
      <c r="L25" s="21">
        <f>ROUND('Operation Inventory (Rice)'!K25*$B25/(1-$B25), 0)</f>
        <v>39</v>
      </c>
      <c r="M25" s="21">
        <f>ROUND('Operation Inventory (Rice)'!L25*$B25/(1-$B25), 0)</f>
        <v>20</v>
      </c>
      <c r="N25" s="21">
        <f>ROUND('Operation Inventory (Rice)'!M25*$B25/(1-$B25), 0)</f>
        <v>0</v>
      </c>
    </row>
    <row r="26" spans="1:14">
      <c r="A26" s="27" t="s">
        <v>64</v>
      </c>
      <c r="B26" s="39">
        <v>0.83</v>
      </c>
      <c r="C26" s="21">
        <f>ROUND('Operation Inventory (Rice)'!B26*$B26/(1-$B26), 0)</f>
        <v>269</v>
      </c>
      <c r="D26" s="21">
        <f>ROUND('Operation Inventory (Rice)'!C26*$B26/(1-$B26), 0)</f>
        <v>386</v>
      </c>
      <c r="E26" s="21">
        <f>ROUND('Operation Inventory (Rice)'!D26*$B26/(1-$B26), 0)</f>
        <v>937</v>
      </c>
      <c r="F26" s="21">
        <f>ROUND('Operation Inventory (Rice)'!E26*$B26/(1-$B26), 0)</f>
        <v>20</v>
      </c>
      <c r="G26" s="21">
        <f>ROUND('Operation Inventory (Rice)'!F26*$B26/(1-$B26), 0)</f>
        <v>10</v>
      </c>
      <c r="H26" s="21">
        <f>ROUND('Operation Inventory (Rice)'!G26*$B26/(1-$B26), 0)</f>
        <v>103</v>
      </c>
      <c r="I26" s="21">
        <f>ROUND('Operation Inventory (Rice)'!H26*$B26/(1-$B26), 0)</f>
        <v>0</v>
      </c>
      <c r="J26" s="21">
        <f>ROUND('Operation Inventory (Rice)'!I26*$B26/(1-$B26), 0)</f>
        <v>88</v>
      </c>
      <c r="K26" s="21">
        <f>ROUND('Operation Inventory (Rice)'!J26*$B26/(1-$B26), 0)</f>
        <v>122</v>
      </c>
      <c r="L26" s="21">
        <f>ROUND('Operation Inventory (Rice)'!K26*$B26/(1-$B26), 0)</f>
        <v>15</v>
      </c>
      <c r="M26" s="21">
        <f>ROUND('Operation Inventory (Rice)'!L26*$B26/(1-$B26), 0)</f>
        <v>73</v>
      </c>
      <c r="N26" s="21">
        <f>ROUND('Operation Inventory (Rice)'!M26*$B26/(1-$B26), 0)</f>
        <v>0</v>
      </c>
    </row>
    <row r="27" spans="1:14">
      <c r="A27" s="27" t="s">
        <v>72</v>
      </c>
      <c r="B27" s="39">
        <v>0.83</v>
      </c>
      <c r="C27" s="21">
        <f>ROUND('Operation Inventory (Rice)'!B27*$B27/(1-$B27), 0)</f>
        <v>132</v>
      </c>
      <c r="D27" s="21">
        <f>ROUND('Operation Inventory (Rice)'!C27*$B27/(1-$B27), 0)</f>
        <v>244</v>
      </c>
      <c r="E27" s="21">
        <f>ROUND('Operation Inventory (Rice)'!D27*$B27/(1-$B27), 0)</f>
        <v>757</v>
      </c>
      <c r="F27" s="21">
        <f>ROUND('Operation Inventory (Rice)'!E27*$B27/(1-$B27), 0)</f>
        <v>49</v>
      </c>
      <c r="G27" s="21">
        <f>ROUND('Operation Inventory (Rice)'!F27*$B27/(1-$B27), 0)</f>
        <v>10</v>
      </c>
      <c r="H27" s="21">
        <f>ROUND('Operation Inventory (Rice)'!G27*$B27/(1-$B27), 0)</f>
        <v>59</v>
      </c>
      <c r="I27" s="21">
        <f>ROUND('Operation Inventory (Rice)'!H27*$B27/(1-$B27), 0)</f>
        <v>0</v>
      </c>
      <c r="J27" s="21">
        <f>ROUND('Operation Inventory (Rice)'!I27*$B27/(1-$B27), 0)</f>
        <v>63</v>
      </c>
      <c r="K27" s="21">
        <f>ROUND('Operation Inventory (Rice)'!J27*$B27/(1-$B27), 0)</f>
        <v>24</v>
      </c>
      <c r="L27" s="21">
        <f>ROUND('Operation Inventory (Rice)'!K27*$B27/(1-$B27), 0)</f>
        <v>5</v>
      </c>
      <c r="M27" s="21">
        <f>ROUND('Operation Inventory (Rice)'!L27*$B27/(1-$B27), 0)</f>
        <v>83</v>
      </c>
      <c r="N27" s="21">
        <f>ROUND('Operation Inventory (Rice)'!M27*$B27/(1-$B27), 0)</f>
        <v>0</v>
      </c>
    </row>
    <row r="28" spans="1:14">
      <c r="A28" s="27" t="s">
        <v>26</v>
      </c>
      <c r="B28" s="39">
        <v>0.83</v>
      </c>
      <c r="C28" s="21">
        <f>ROUND('Operation Inventory (Rice)'!B28*$B28/(1-$B28), 0)</f>
        <v>151</v>
      </c>
      <c r="D28" s="21">
        <f>ROUND('Operation Inventory (Rice)'!C28*$B28/(1-$B28), 0)</f>
        <v>591</v>
      </c>
      <c r="E28" s="21">
        <f>ROUND('Operation Inventory (Rice)'!D28*$B28/(1-$B28), 0)</f>
        <v>1455</v>
      </c>
      <c r="F28" s="21">
        <f>ROUND('Operation Inventory (Rice)'!E28*$B28/(1-$B28), 0)</f>
        <v>68</v>
      </c>
      <c r="G28" s="21">
        <f>ROUND('Operation Inventory (Rice)'!F28*$B28/(1-$B28), 0)</f>
        <v>15</v>
      </c>
      <c r="H28" s="21">
        <f>ROUND('Operation Inventory (Rice)'!G28*$B28/(1-$B28), 0)</f>
        <v>103</v>
      </c>
      <c r="I28" s="21">
        <f>ROUND('Operation Inventory (Rice)'!H28*$B28/(1-$B28), 0)</f>
        <v>0</v>
      </c>
      <c r="J28" s="21">
        <f>ROUND('Operation Inventory (Rice)'!I28*$B28/(1-$B28), 0)</f>
        <v>98</v>
      </c>
      <c r="K28" s="21">
        <f>ROUND('Operation Inventory (Rice)'!J28*$B28/(1-$B28), 0)</f>
        <v>88</v>
      </c>
      <c r="L28" s="21">
        <f>ROUND('Operation Inventory (Rice)'!K28*$B28/(1-$B28), 0)</f>
        <v>20</v>
      </c>
      <c r="M28" s="21">
        <f>ROUND('Operation Inventory (Rice)'!L28*$B28/(1-$B28), 0)</f>
        <v>171</v>
      </c>
      <c r="N28" s="21">
        <f>ROUND('Operation Inventory (Rice)'!M28*$B28/(1-$B28), 0)</f>
        <v>0</v>
      </c>
    </row>
    <row r="29" spans="1:14">
      <c r="A29" s="27" t="s">
        <v>57</v>
      </c>
      <c r="B29" s="39">
        <v>0.83</v>
      </c>
      <c r="C29" s="21">
        <f>ROUND('Operation Inventory (Rice)'!B29*$B29/(1-$B29), 0)</f>
        <v>356</v>
      </c>
      <c r="D29" s="21">
        <f>ROUND('Operation Inventory (Rice)'!C29*$B29/(1-$B29), 0)</f>
        <v>752</v>
      </c>
      <c r="E29" s="21">
        <f>ROUND('Operation Inventory (Rice)'!D29*$B29/(1-$B29), 0)</f>
        <v>1304</v>
      </c>
      <c r="F29" s="21">
        <f>ROUND('Operation Inventory (Rice)'!E29*$B29/(1-$B29), 0)</f>
        <v>29</v>
      </c>
      <c r="G29" s="21">
        <f>ROUND('Operation Inventory (Rice)'!F29*$B29/(1-$B29), 0)</f>
        <v>20</v>
      </c>
      <c r="H29" s="21">
        <f>ROUND('Operation Inventory (Rice)'!G29*$B29/(1-$B29), 0)</f>
        <v>161</v>
      </c>
      <c r="I29" s="21">
        <f>ROUND('Operation Inventory (Rice)'!H29*$B29/(1-$B29), 0)</f>
        <v>0</v>
      </c>
      <c r="J29" s="21">
        <f>ROUND('Operation Inventory (Rice)'!I29*$B29/(1-$B29), 0)</f>
        <v>190</v>
      </c>
      <c r="K29" s="21">
        <f>ROUND('Operation Inventory (Rice)'!J29*$B29/(1-$B29), 0)</f>
        <v>68</v>
      </c>
      <c r="L29" s="21">
        <f>ROUND('Operation Inventory (Rice)'!K29*$B29/(1-$B29), 0)</f>
        <v>20</v>
      </c>
      <c r="M29" s="21">
        <f>ROUND('Operation Inventory (Rice)'!L29*$B29/(1-$B29), 0)</f>
        <v>278</v>
      </c>
      <c r="N29" s="21">
        <f>ROUND('Operation Inventory (Rice)'!M29*$B29/(1-$B29), 0)</f>
        <v>0</v>
      </c>
    </row>
    <row r="30" spans="1:14">
      <c r="A30" s="27" t="s">
        <v>74</v>
      </c>
      <c r="B30" s="39">
        <v>0.83</v>
      </c>
      <c r="C30" s="21">
        <f>ROUND('Operation Inventory (Rice)'!B30*$B30/(1-$B30), 0)</f>
        <v>122</v>
      </c>
      <c r="D30" s="21">
        <f>ROUND('Operation Inventory (Rice)'!C30*$B30/(1-$B30), 0)</f>
        <v>356</v>
      </c>
      <c r="E30" s="21">
        <f>ROUND('Operation Inventory (Rice)'!D30*$B30/(1-$B30), 0)</f>
        <v>962</v>
      </c>
      <c r="F30" s="21">
        <f>ROUND('Operation Inventory (Rice)'!E30*$B30/(1-$B30), 0)</f>
        <v>34</v>
      </c>
      <c r="G30" s="21">
        <f>ROUND('Operation Inventory (Rice)'!F30*$B30/(1-$B30), 0)</f>
        <v>20</v>
      </c>
      <c r="H30" s="21">
        <f>ROUND('Operation Inventory (Rice)'!G30*$B30/(1-$B30), 0)</f>
        <v>83</v>
      </c>
      <c r="I30" s="21">
        <f>ROUND('Operation Inventory (Rice)'!H30*$B30/(1-$B30), 0)</f>
        <v>0</v>
      </c>
      <c r="J30" s="21">
        <f>ROUND('Operation Inventory (Rice)'!I30*$B30/(1-$B30), 0)</f>
        <v>54</v>
      </c>
      <c r="K30" s="21">
        <f>ROUND('Operation Inventory (Rice)'!J30*$B30/(1-$B30), 0)</f>
        <v>93</v>
      </c>
      <c r="L30" s="21">
        <f>ROUND('Operation Inventory (Rice)'!K30*$B30/(1-$B30), 0)</f>
        <v>10</v>
      </c>
      <c r="M30" s="21">
        <f>ROUND('Operation Inventory (Rice)'!L30*$B30/(1-$B30), 0)</f>
        <v>103</v>
      </c>
      <c r="N30" s="21">
        <f>ROUND('Operation Inventory (Rice)'!M30*$B30/(1-$B30), 0)</f>
        <v>0</v>
      </c>
    </row>
    <row r="31" spans="1:14">
      <c r="A31" s="27" t="s">
        <v>27</v>
      </c>
      <c r="B31" s="39">
        <v>0.83</v>
      </c>
      <c r="C31" s="21">
        <f>ROUND('Operation Inventory (Rice)'!B31*$B31/(1-$B31), 0)</f>
        <v>34</v>
      </c>
      <c r="D31" s="21">
        <f>ROUND('Operation Inventory (Rice)'!C31*$B31/(1-$B31), 0)</f>
        <v>146</v>
      </c>
      <c r="E31" s="21">
        <f>ROUND('Operation Inventory (Rice)'!D31*$B31/(1-$B31), 0)</f>
        <v>146</v>
      </c>
      <c r="F31" s="21">
        <f>ROUND('Operation Inventory (Rice)'!E31*$B31/(1-$B31), 0)</f>
        <v>0</v>
      </c>
      <c r="G31" s="21">
        <f>ROUND('Operation Inventory (Rice)'!F31*$B31/(1-$B31), 0)</f>
        <v>0</v>
      </c>
      <c r="H31" s="21">
        <f>ROUND('Operation Inventory (Rice)'!G31*$B31/(1-$B31), 0)</f>
        <v>10</v>
      </c>
      <c r="I31" s="21">
        <f>ROUND('Operation Inventory (Rice)'!H31*$B31/(1-$B31), 0)</f>
        <v>0</v>
      </c>
      <c r="J31" s="21">
        <f>ROUND('Operation Inventory (Rice)'!I31*$B31/(1-$B31), 0)</f>
        <v>0</v>
      </c>
      <c r="K31" s="21">
        <f>ROUND('Operation Inventory (Rice)'!J31*$B31/(1-$B31), 0)</f>
        <v>5</v>
      </c>
      <c r="L31" s="21">
        <f>ROUND('Operation Inventory (Rice)'!K31*$B31/(1-$B31), 0)</f>
        <v>5</v>
      </c>
      <c r="M31" s="21">
        <f>ROUND('Operation Inventory (Rice)'!L31*$B31/(1-$B31), 0)</f>
        <v>122</v>
      </c>
      <c r="N31" s="21">
        <f>ROUND('Operation Inventory (Rice)'!M31*$B31/(1-$B31), 0)</f>
        <v>0</v>
      </c>
    </row>
    <row r="32" spans="1:14">
      <c r="A32" s="27" t="s">
        <v>28</v>
      </c>
      <c r="B32" s="39">
        <v>0.83</v>
      </c>
      <c r="C32" s="21">
        <f>ROUND('Operation Inventory (Rice)'!B32*$B32/(1-$B32), 0)</f>
        <v>640</v>
      </c>
      <c r="D32" s="21">
        <f>ROUND('Operation Inventory (Rice)'!C32*$B32/(1-$B32), 0)</f>
        <v>957</v>
      </c>
      <c r="E32" s="21">
        <f>ROUND('Operation Inventory (Rice)'!D32*$B32/(1-$B32), 0)</f>
        <v>1797</v>
      </c>
      <c r="F32" s="21">
        <f>ROUND('Operation Inventory (Rice)'!E32*$B32/(1-$B32), 0)</f>
        <v>0</v>
      </c>
      <c r="G32" s="21">
        <f>ROUND('Operation Inventory (Rice)'!F32*$B32/(1-$B32), 0)</f>
        <v>5</v>
      </c>
      <c r="H32" s="21">
        <f>ROUND('Operation Inventory (Rice)'!G32*$B32/(1-$B32), 0)</f>
        <v>29</v>
      </c>
      <c r="I32" s="21">
        <f>ROUND('Operation Inventory (Rice)'!H32*$B32/(1-$B32), 0)</f>
        <v>0</v>
      </c>
      <c r="J32" s="21">
        <f>ROUND('Operation Inventory (Rice)'!I32*$B32/(1-$B32), 0)</f>
        <v>0</v>
      </c>
      <c r="K32" s="21">
        <f>ROUND('Operation Inventory (Rice)'!J32*$B32/(1-$B32), 0)</f>
        <v>117</v>
      </c>
      <c r="L32" s="21">
        <f>ROUND('Operation Inventory (Rice)'!K32*$B32/(1-$B32), 0)</f>
        <v>5</v>
      </c>
      <c r="M32" s="21">
        <f>ROUND('Operation Inventory (Rice)'!L32*$B32/(1-$B32), 0)</f>
        <v>127</v>
      </c>
      <c r="N32" s="21">
        <f>ROUND('Operation Inventory (Rice)'!M32*$B32/(1-$B32), 0)</f>
        <v>0</v>
      </c>
    </row>
    <row r="33" spans="1:14">
      <c r="A33" s="27" t="s">
        <v>29</v>
      </c>
      <c r="B33" s="39">
        <v>0.83</v>
      </c>
      <c r="C33" s="21">
        <f>ROUND('Operation Inventory (Rice)'!B33*$B33/(1-$B33), 0)</f>
        <v>176</v>
      </c>
      <c r="D33" s="21">
        <f>ROUND('Operation Inventory (Rice)'!C33*$B33/(1-$B33), 0)</f>
        <v>151</v>
      </c>
      <c r="E33" s="21">
        <f>ROUND('Operation Inventory (Rice)'!D33*$B33/(1-$B33), 0)</f>
        <v>747</v>
      </c>
      <c r="F33" s="21">
        <f>ROUND('Operation Inventory (Rice)'!E33*$B33/(1-$B33), 0)</f>
        <v>0</v>
      </c>
      <c r="G33" s="21">
        <f>ROUND('Operation Inventory (Rice)'!F33*$B33/(1-$B33), 0)</f>
        <v>10</v>
      </c>
      <c r="H33" s="21">
        <f>ROUND('Operation Inventory (Rice)'!G33*$B33/(1-$B33), 0)</f>
        <v>49</v>
      </c>
      <c r="I33" s="21">
        <f>ROUND('Operation Inventory (Rice)'!H33*$B33/(1-$B33), 0)</f>
        <v>0</v>
      </c>
      <c r="J33" s="21">
        <f>ROUND('Operation Inventory (Rice)'!I33*$B33/(1-$B33), 0)</f>
        <v>0</v>
      </c>
      <c r="K33" s="21">
        <f>ROUND('Operation Inventory (Rice)'!J33*$B33/(1-$B33), 0)</f>
        <v>122</v>
      </c>
      <c r="L33" s="21">
        <f>ROUND('Operation Inventory (Rice)'!K33*$B33/(1-$B33), 0)</f>
        <v>0</v>
      </c>
      <c r="M33" s="21">
        <f>ROUND('Operation Inventory (Rice)'!L33*$B33/(1-$B33), 0)</f>
        <v>63</v>
      </c>
      <c r="N33" s="21">
        <f>ROUND('Operation Inventory (Rice)'!M33*$B33/(1-$B33), 0)</f>
        <v>0</v>
      </c>
    </row>
    <row r="34" spans="1:14">
      <c r="A34" s="27" t="s">
        <v>30</v>
      </c>
      <c r="B34" s="39">
        <v>0.83</v>
      </c>
      <c r="C34" s="21">
        <f>ROUND('Operation Inventory (Rice)'!B34*$B34/(1-$B34), 0)</f>
        <v>303</v>
      </c>
      <c r="D34" s="21">
        <f>ROUND('Operation Inventory (Rice)'!C34*$B34/(1-$B34), 0)</f>
        <v>220</v>
      </c>
      <c r="E34" s="21">
        <f>ROUND('Operation Inventory (Rice)'!D34*$B34/(1-$B34), 0)</f>
        <v>1343</v>
      </c>
      <c r="F34" s="21">
        <f>ROUND('Operation Inventory (Rice)'!E34*$B34/(1-$B34), 0)</f>
        <v>0</v>
      </c>
      <c r="G34" s="21">
        <f>ROUND('Operation Inventory (Rice)'!F34*$B34/(1-$B34), 0)</f>
        <v>15</v>
      </c>
      <c r="H34" s="21">
        <f>ROUND('Operation Inventory (Rice)'!G34*$B34/(1-$B34), 0)</f>
        <v>44</v>
      </c>
      <c r="I34" s="21">
        <f>ROUND('Operation Inventory (Rice)'!H34*$B34/(1-$B34), 0)</f>
        <v>0</v>
      </c>
      <c r="J34" s="21">
        <f>ROUND('Operation Inventory (Rice)'!I34*$B34/(1-$B34), 0)</f>
        <v>0</v>
      </c>
      <c r="K34" s="21">
        <f>ROUND('Operation Inventory (Rice)'!J34*$B34/(1-$B34), 0)</f>
        <v>220</v>
      </c>
      <c r="L34" s="21">
        <f>ROUND('Operation Inventory (Rice)'!K34*$B34/(1-$B34), 0)</f>
        <v>29</v>
      </c>
      <c r="M34" s="21">
        <f>ROUND('Operation Inventory (Rice)'!L34*$B34/(1-$B34), 0)</f>
        <v>117</v>
      </c>
      <c r="N34" s="21">
        <f>ROUND('Operation Inventory (Rice)'!M34*$B34/(1-$B34), 0)</f>
        <v>0</v>
      </c>
    </row>
    <row r="35" spans="1:14">
      <c r="A35" s="27" t="s">
        <v>31</v>
      </c>
      <c r="B35" s="39">
        <v>0.83</v>
      </c>
      <c r="C35" s="21">
        <f>ROUND('Operation Inventory (Rice)'!B35*$B35/(1-$B35), 0)</f>
        <v>54</v>
      </c>
      <c r="D35" s="21">
        <f>ROUND('Operation Inventory (Rice)'!C35*$B35/(1-$B35), 0)</f>
        <v>122</v>
      </c>
      <c r="E35" s="21">
        <f>ROUND('Operation Inventory (Rice)'!D35*$B35/(1-$B35), 0)</f>
        <v>151</v>
      </c>
      <c r="F35" s="21">
        <f>ROUND('Operation Inventory (Rice)'!E35*$B35/(1-$B35), 0)</f>
        <v>0</v>
      </c>
      <c r="G35" s="21">
        <f>ROUND('Operation Inventory (Rice)'!F35*$B35/(1-$B35), 0)</f>
        <v>0</v>
      </c>
      <c r="H35" s="21">
        <f>ROUND('Operation Inventory (Rice)'!G35*$B35/(1-$B35), 0)</f>
        <v>10</v>
      </c>
      <c r="I35" s="21">
        <f>ROUND('Operation Inventory (Rice)'!H35*$B35/(1-$B35), 0)</f>
        <v>0</v>
      </c>
      <c r="J35" s="21">
        <f>ROUND('Operation Inventory (Rice)'!I35*$B35/(1-$B35), 0)</f>
        <v>0</v>
      </c>
      <c r="K35" s="21">
        <f>ROUND('Operation Inventory (Rice)'!J35*$B35/(1-$B35), 0)</f>
        <v>0</v>
      </c>
      <c r="L35" s="21">
        <f>ROUND('Operation Inventory (Rice)'!K35*$B35/(1-$B35), 0)</f>
        <v>0</v>
      </c>
      <c r="M35" s="21">
        <f>ROUND('Operation Inventory (Rice)'!L35*$B35/(1-$B35), 0)</f>
        <v>112</v>
      </c>
      <c r="N35" s="21">
        <f>ROUND('Operation Inventory (Rice)'!M35*$B35/(1-$B35), 0)</f>
        <v>0</v>
      </c>
    </row>
    <row r="36" spans="1:14">
      <c r="A36" s="27" t="s">
        <v>32</v>
      </c>
      <c r="B36" s="39">
        <v>0.83</v>
      </c>
      <c r="C36" s="21">
        <f>ROUND('Operation Inventory (Rice)'!B36*$B36/(1-$B36), 0)</f>
        <v>195</v>
      </c>
      <c r="D36" s="21">
        <f>ROUND('Operation Inventory (Rice)'!C36*$B36/(1-$B36), 0)</f>
        <v>810</v>
      </c>
      <c r="E36" s="21">
        <f>ROUND('Operation Inventory (Rice)'!D36*$B36/(1-$B36), 0)</f>
        <v>39</v>
      </c>
      <c r="F36" s="21">
        <f>ROUND('Operation Inventory (Rice)'!E36*$B36/(1-$B36), 0)</f>
        <v>49</v>
      </c>
      <c r="G36" s="21">
        <f>ROUND('Operation Inventory (Rice)'!F36*$B36/(1-$B36), 0)</f>
        <v>20</v>
      </c>
      <c r="H36" s="21">
        <f>ROUND('Operation Inventory (Rice)'!G36*$B36/(1-$B36), 0)</f>
        <v>254</v>
      </c>
      <c r="I36" s="21">
        <f>ROUND('Operation Inventory (Rice)'!H36*$B36/(1-$B36), 0)</f>
        <v>0</v>
      </c>
      <c r="J36" s="21">
        <f>ROUND('Operation Inventory (Rice)'!I36*$B36/(1-$B36), 0)</f>
        <v>20</v>
      </c>
      <c r="K36" s="21">
        <f>ROUND('Operation Inventory (Rice)'!J36*$B36/(1-$B36), 0)</f>
        <v>132</v>
      </c>
      <c r="L36" s="21">
        <f>ROUND('Operation Inventory (Rice)'!K36*$B36/(1-$B36), 0)</f>
        <v>20</v>
      </c>
      <c r="M36" s="21">
        <f>ROUND('Operation Inventory (Rice)'!L36*$B36/(1-$B36), 0)</f>
        <v>864</v>
      </c>
      <c r="N36" s="21">
        <f>ROUND('Operation Inventory (Rice)'!M36*$B36/(1-$B36), 0)</f>
        <v>0</v>
      </c>
    </row>
    <row r="37" spans="1:14">
      <c r="A37" s="27" t="s">
        <v>33</v>
      </c>
      <c r="B37" s="39">
        <v>0.83</v>
      </c>
      <c r="C37" s="21">
        <f>ROUND('Operation Inventory (Rice)'!B37*$B37/(1-$B37), 0)</f>
        <v>88</v>
      </c>
      <c r="D37" s="21">
        <f>ROUND('Operation Inventory (Rice)'!C37*$B37/(1-$B37), 0)</f>
        <v>503</v>
      </c>
      <c r="E37" s="21">
        <f>ROUND('Operation Inventory (Rice)'!D37*$B37/(1-$B37), 0)</f>
        <v>156</v>
      </c>
      <c r="F37" s="21">
        <f>ROUND('Operation Inventory (Rice)'!E37*$B37/(1-$B37), 0)</f>
        <v>10</v>
      </c>
      <c r="G37" s="21">
        <f>ROUND('Operation Inventory (Rice)'!F37*$B37/(1-$B37), 0)</f>
        <v>10</v>
      </c>
      <c r="H37" s="21">
        <f>ROUND('Operation Inventory (Rice)'!G37*$B37/(1-$B37), 0)</f>
        <v>142</v>
      </c>
      <c r="I37" s="21">
        <f>ROUND('Operation Inventory (Rice)'!H37*$B37/(1-$B37), 0)</f>
        <v>0</v>
      </c>
      <c r="J37" s="21">
        <f>ROUND('Operation Inventory (Rice)'!I37*$B37/(1-$B37), 0)</f>
        <v>20</v>
      </c>
      <c r="K37" s="21">
        <f>ROUND('Operation Inventory (Rice)'!J37*$B37/(1-$B37), 0)</f>
        <v>73</v>
      </c>
      <c r="L37" s="21">
        <f>ROUND('Operation Inventory (Rice)'!K37*$B37/(1-$B37), 0)</f>
        <v>0</v>
      </c>
      <c r="M37" s="21">
        <f>ROUND('Operation Inventory (Rice)'!L37*$B37/(1-$B37), 0)</f>
        <v>547</v>
      </c>
      <c r="N37" s="21">
        <f>ROUND('Operation Inventory (Rice)'!M37*$B37/(1-$B37), 0)</f>
        <v>0</v>
      </c>
    </row>
    <row r="38" spans="1:14">
      <c r="A38" s="27" t="s">
        <v>34</v>
      </c>
      <c r="B38" s="39">
        <v>0.83</v>
      </c>
      <c r="C38" s="21">
        <f>ROUND('Operation Inventory (Rice)'!B38*$B38/(1-$B38), 0)</f>
        <v>532</v>
      </c>
      <c r="D38" s="21">
        <f>ROUND('Operation Inventory (Rice)'!C38*$B38/(1-$B38), 0)</f>
        <v>2021</v>
      </c>
      <c r="E38" s="21">
        <f>ROUND('Operation Inventory (Rice)'!D38*$B38/(1-$B38), 0)</f>
        <v>454</v>
      </c>
      <c r="F38" s="21">
        <f>ROUND('Operation Inventory (Rice)'!E38*$B38/(1-$B38), 0)</f>
        <v>186</v>
      </c>
      <c r="G38" s="21">
        <f>ROUND('Operation Inventory (Rice)'!F38*$B38/(1-$B38), 0)</f>
        <v>44</v>
      </c>
      <c r="H38" s="21">
        <f>ROUND('Operation Inventory (Rice)'!G38*$B38/(1-$B38), 0)</f>
        <v>469</v>
      </c>
      <c r="I38" s="21">
        <f>ROUND('Operation Inventory (Rice)'!H38*$B38/(1-$B38), 0)</f>
        <v>0</v>
      </c>
      <c r="J38" s="21">
        <f>ROUND('Operation Inventory (Rice)'!I38*$B38/(1-$B38), 0)</f>
        <v>39</v>
      </c>
      <c r="K38" s="21">
        <f>ROUND('Operation Inventory (Rice)'!J38*$B38/(1-$B38), 0)</f>
        <v>430</v>
      </c>
      <c r="L38" s="21">
        <f>ROUND('Operation Inventory (Rice)'!K38*$B38/(1-$B38), 0)</f>
        <v>103</v>
      </c>
      <c r="M38" s="21">
        <f>ROUND('Operation Inventory (Rice)'!L38*$B38/(1-$B38), 0)</f>
        <v>1675</v>
      </c>
      <c r="N38" s="21">
        <f>ROUND('Operation Inventory (Rice)'!M38*$B38/(1-$B38), 0)</f>
        <v>0</v>
      </c>
    </row>
    <row r="39" spans="1:14">
      <c r="A39" s="27" t="s">
        <v>35</v>
      </c>
      <c r="B39" s="39">
        <v>0.83</v>
      </c>
      <c r="C39" s="21">
        <f>ROUND('Operation Inventory (Rice)'!B39*$B39/(1-$B39), 0)</f>
        <v>34</v>
      </c>
      <c r="D39" s="21">
        <f>ROUND('Operation Inventory (Rice)'!C39*$B39/(1-$B39), 0)</f>
        <v>449</v>
      </c>
      <c r="E39" s="21">
        <f>ROUND('Operation Inventory (Rice)'!D39*$B39/(1-$B39), 0)</f>
        <v>73</v>
      </c>
      <c r="F39" s="21">
        <f>ROUND('Operation Inventory (Rice)'!E39*$B39/(1-$B39), 0)</f>
        <v>0</v>
      </c>
      <c r="G39" s="21">
        <f>ROUND('Operation Inventory (Rice)'!F39*$B39/(1-$B39), 0)</f>
        <v>5</v>
      </c>
      <c r="H39" s="21">
        <f>ROUND('Operation Inventory (Rice)'!G39*$B39/(1-$B39), 0)</f>
        <v>24</v>
      </c>
      <c r="I39" s="21">
        <f>ROUND('Operation Inventory (Rice)'!H39*$B39/(1-$B39), 0)</f>
        <v>0</v>
      </c>
      <c r="J39" s="21">
        <f>ROUND('Operation Inventory (Rice)'!I39*$B39/(1-$B39), 0)</f>
        <v>20</v>
      </c>
      <c r="K39" s="21">
        <f>ROUND('Operation Inventory (Rice)'!J39*$B39/(1-$B39), 0)</f>
        <v>39</v>
      </c>
      <c r="L39" s="21">
        <f>ROUND('Operation Inventory (Rice)'!K39*$B39/(1-$B39), 0)</f>
        <v>0</v>
      </c>
      <c r="M39" s="21">
        <f>ROUND('Operation Inventory (Rice)'!L39*$B39/(1-$B39), 0)</f>
        <v>405</v>
      </c>
      <c r="N39" s="21">
        <f>ROUND('Operation Inventory (Rice)'!M39*$B39/(1-$B39), 0)</f>
        <v>0</v>
      </c>
    </row>
    <row r="40" spans="1:14">
      <c r="A40" s="27" t="s">
        <v>36</v>
      </c>
      <c r="B40" s="39">
        <v>0.83</v>
      </c>
      <c r="C40" s="21">
        <f>ROUND('Operation Inventory (Rice)'!B40*$B40/(1-$B40), 0)</f>
        <v>122</v>
      </c>
      <c r="D40" s="21">
        <f>ROUND('Operation Inventory (Rice)'!C40*$B40/(1-$B40), 0)</f>
        <v>352</v>
      </c>
      <c r="E40" s="21">
        <f>ROUND('Operation Inventory (Rice)'!D40*$B40/(1-$B40), 0)</f>
        <v>44</v>
      </c>
      <c r="F40" s="21">
        <f>ROUND('Operation Inventory (Rice)'!E40*$B40/(1-$B40), 0)</f>
        <v>20</v>
      </c>
      <c r="G40" s="21">
        <f>ROUND('Operation Inventory (Rice)'!F40*$B40/(1-$B40), 0)</f>
        <v>0</v>
      </c>
      <c r="H40" s="21">
        <f>ROUND('Operation Inventory (Rice)'!G40*$B40/(1-$B40), 0)</f>
        <v>39</v>
      </c>
      <c r="I40" s="21">
        <f>ROUND('Operation Inventory (Rice)'!H40*$B40/(1-$B40), 0)</f>
        <v>0</v>
      </c>
      <c r="J40" s="21">
        <f>ROUND('Operation Inventory (Rice)'!I40*$B40/(1-$B40), 0)</f>
        <v>15</v>
      </c>
      <c r="K40" s="21">
        <f>ROUND('Operation Inventory (Rice)'!J40*$B40/(1-$B40), 0)</f>
        <v>10</v>
      </c>
      <c r="L40" s="21">
        <f>ROUND('Operation Inventory (Rice)'!K40*$B40/(1-$B40), 0)</f>
        <v>5</v>
      </c>
      <c r="M40" s="21">
        <f>ROUND('Operation Inventory (Rice)'!L40*$B40/(1-$B40), 0)</f>
        <v>254</v>
      </c>
      <c r="N40" s="21">
        <f>ROUND('Operation Inventory (Rice)'!M40*$B40/(1-$B40), 0)</f>
        <v>0</v>
      </c>
    </row>
    <row r="41" spans="1:14">
      <c r="A41" s="27" t="s">
        <v>37</v>
      </c>
      <c r="B41" s="39">
        <v>0.83</v>
      </c>
      <c r="C41" s="21">
        <f>ROUND('Operation Inventory (Rice)'!B41*$B41/(1-$B41), 0)</f>
        <v>98</v>
      </c>
      <c r="D41" s="21">
        <f>ROUND('Operation Inventory (Rice)'!C41*$B41/(1-$B41), 0)</f>
        <v>454</v>
      </c>
      <c r="E41" s="21">
        <f>ROUND('Operation Inventory (Rice)'!D41*$B41/(1-$B41), 0)</f>
        <v>29</v>
      </c>
      <c r="F41" s="21">
        <f>ROUND('Operation Inventory (Rice)'!E41*$B41/(1-$B41), 0)</f>
        <v>73</v>
      </c>
      <c r="G41" s="21">
        <f>ROUND('Operation Inventory (Rice)'!F41*$B41/(1-$B41), 0)</f>
        <v>10</v>
      </c>
      <c r="H41" s="21">
        <f>ROUND('Operation Inventory (Rice)'!G41*$B41/(1-$B41), 0)</f>
        <v>122</v>
      </c>
      <c r="I41" s="21">
        <f>ROUND('Operation Inventory (Rice)'!H41*$B41/(1-$B41), 0)</f>
        <v>0</v>
      </c>
      <c r="J41" s="21">
        <f>ROUND('Operation Inventory (Rice)'!I41*$B41/(1-$B41), 0)</f>
        <v>15</v>
      </c>
      <c r="K41" s="21">
        <f>ROUND('Operation Inventory (Rice)'!J41*$B41/(1-$B41), 0)</f>
        <v>93</v>
      </c>
      <c r="L41" s="21">
        <f>ROUND('Operation Inventory (Rice)'!K41*$B41/(1-$B41), 0)</f>
        <v>0</v>
      </c>
      <c r="M41" s="21">
        <f>ROUND('Operation Inventory (Rice)'!L41*$B41/(1-$B41), 0)</f>
        <v>425</v>
      </c>
      <c r="N41" s="21">
        <f>ROUND('Operation Inventory (Rice)'!M41*$B41/(1-$B41), 0)</f>
        <v>0</v>
      </c>
    </row>
    <row r="42" spans="1:14">
      <c r="A42" s="27" t="s">
        <v>38</v>
      </c>
      <c r="B42" s="39">
        <v>0.83</v>
      </c>
      <c r="C42" s="21">
        <f>ROUND('Operation Inventory (Rice)'!B42*$B42/(1-$B42), 0)</f>
        <v>63</v>
      </c>
      <c r="D42" s="21">
        <f>ROUND('Operation Inventory (Rice)'!C42*$B42/(1-$B42), 0)</f>
        <v>225</v>
      </c>
      <c r="E42" s="21">
        <f>ROUND('Operation Inventory (Rice)'!D42*$B42/(1-$B42), 0)</f>
        <v>464</v>
      </c>
      <c r="F42" s="21">
        <f>ROUND('Operation Inventory (Rice)'!E42*$B42/(1-$B42), 0)</f>
        <v>0</v>
      </c>
      <c r="G42" s="21">
        <f>ROUND('Operation Inventory (Rice)'!F42*$B42/(1-$B42), 0)</f>
        <v>29</v>
      </c>
      <c r="H42" s="21">
        <f>ROUND('Operation Inventory (Rice)'!G42*$B42/(1-$B42), 0)</f>
        <v>10</v>
      </c>
      <c r="I42" s="21">
        <f>ROUND('Operation Inventory (Rice)'!H42*$B42/(1-$B42), 0)</f>
        <v>845</v>
      </c>
      <c r="J42" s="21">
        <f>ROUND('Operation Inventory (Rice)'!I42*$B42/(1-$B42), 0)</f>
        <v>264</v>
      </c>
      <c r="K42" s="21">
        <f>ROUND('Operation Inventory (Rice)'!J42*$B42/(1-$B42), 0)</f>
        <v>20</v>
      </c>
      <c r="L42" s="21">
        <f>ROUND('Operation Inventory (Rice)'!K42*$B42/(1-$B42), 0)</f>
        <v>5</v>
      </c>
      <c r="M42" s="21">
        <f>ROUND('Operation Inventory (Rice)'!L42*$B42/(1-$B42), 0)</f>
        <v>54</v>
      </c>
      <c r="N42" s="21">
        <f>ROUND('Operation Inventory (Rice)'!M42*$B42/(1-$B42), 0)</f>
        <v>0</v>
      </c>
    </row>
    <row r="43" spans="1:14">
      <c r="A43" s="27" t="s">
        <v>39</v>
      </c>
      <c r="B43" s="39">
        <v>0.83</v>
      </c>
      <c r="C43" s="21">
        <f>ROUND('Operation Inventory (Rice)'!B43*$B43/(1-$B43), 0)</f>
        <v>88</v>
      </c>
      <c r="D43" s="21">
        <f>ROUND('Operation Inventory (Rice)'!C43*$B43/(1-$B43), 0)</f>
        <v>288</v>
      </c>
      <c r="E43" s="21">
        <f>ROUND('Operation Inventory (Rice)'!D43*$B43/(1-$B43), 0)</f>
        <v>503</v>
      </c>
      <c r="F43" s="21">
        <f>ROUND('Operation Inventory (Rice)'!E43*$B43/(1-$B43), 0)</f>
        <v>0</v>
      </c>
      <c r="G43" s="21">
        <f>ROUND('Operation Inventory (Rice)'!F43*$B43/(1-$B43), 0)</f>
        <v>20</v>
      </c>
      <c r="H43" s="21">
        <f>ROUND('Operation Inventory (Rice)'!G43*$B43/(1-$B43), 0)</f>
        <v>10</v>
      </c>
      <c r="I43" s="21">
        <f>ROUND('Operation Inventory (Rice)'!H43*$B43/(1-$B43), 0)</f>
        <v>762</v>
      </c>
      <c r="J43" s="21">
        <f>ROUND('Operation Inventory (Rice)'!I43*$B43/(1-$B43), 0)</f>
        <v>283</v>
      </c>
      <c r="K43" s="21">
        <f>ROUND('Operation Inventory (Rice)'!J43*$B43/(1-$B43), 0)</f>
        <v>54</v>
      </c>
      <c r="L43" s="21">
        <f>ROUND('Operation Inventory (Rice)'!K43*$B43/(1-$B43), 0)</f>
        <v>5</v>
      </c>
      <c r="M43" s="21">
        <f>ROUND('Operation Inventory (Rice)'!L43*$B43/(1-$B43), 0)</f>
        <v>98</v>
      </c>
      <c r="N43" s="21">
        <f>ROUND('Operation Inventory (Rice)'!M43*$B43/(1-$B43), 0)</f>
        <v>0</v>
      </c>
    </row>
    <row r="44" spans="1:14">
      <c r="A44" s="27" t="s">
        <v>40</v>
      </c>
      <c r="B44" s="39">
        <v>0.83</v>
      </c>
      <c r="C44" s="21">
        <f>ROUND('Operation Inventory (Rice)'!B44*$B44/(1-$B44), 0)</f>
        <v>112</v>
      </c>
      <c r="D44" s="21">
        <f>ROUND('Operation Inventory (Rice)'!C44*$B44/(1-$B44), 0)</f>
        <v>312</v>
      </c>
      <c r="E44" s="21">
        <f>ROUND('Operation Inventory (Rice)'!D44*$B44/(1-$B44), 0)</f>
        <v>566</v>
      </c>
      <c r="F44" s="21">
        <f>ROUND('Operation Inventory (Rice)'!E44*$B44/(1-$B44), 0)</f>
        <v>0</v>
      </c>
      <c r="G44" s="21">
        <f>ROUND('Operation Inventory (Rice)'!F44*$B44/(1-$B44), 0)</f>
        <v>15</v>
      </c>
      <c r="H44" s="21">
        <f>ROUND('Operation Inventory (Rice)'!G44*$B44/(1-$B44), 0)</f>
        <v>15</v>
      </c>
      <c r="I44" s="21">
        <f>ROUND('Operation Inventory (Rice)'!H44*$B44/(1-$B44), 0)</f>
        <v>693</v>
      </c>
      <c r="J44" s="21">
        <f>ROUND('Operation Inventory (Rice)'!I44*$B44/(1-$B44), 0)</f>
        <v>78</v>
      </c>
      <c r="K44" s="21">
        <f>ROUND('Operation Inventory (Rice)'!J44*$B44/(1-$B44), 0)</f>
        <v>63</v>
      </c>
      <c r="L44" s="21">
        <f>ROUND('Operation Inventory (Rice)'!K44*$B44/(1-$B44), 0)</f>
        <v>0</v>
      </c>
      <c r="M44" s="21">
        <f>ROUND('Operation Inventory (Rice)'!L44*$B44/(1-$B44), 0)</f>
        <v>98</v>
      </c>
      <c r="N44" s="21">
        <f>ROUND('Operation Inventory (Rice)'!M44*$B44/(1-$B44), 0)</f>
        <v>0</v>
      </c>
    </row>
    <row r="45" spans="1:14">
      <c r="A45" s="27" t="s">
        <v>41</v>
      </c>
      <c r="B45" s="39">
        <v>0.83</v>
      </c>
      <c r="C45" s="21">
        <f>ROUND('Operation Inventory (Rice)'!B45*$B45/(1-$B45), 0)</f>
        <v>39</v>
      </c>
      <c r="D45" s="21">
        <f>ROUND('Operation Inventory (Rice)'!C45*$B45/(1-$B45), 0)</f>
        <v>103</v>
      </c>
      <c r="E45" s="21">
        <f>ROUND('Operation Inventory (Rice)'!D45*$B45/(1-$B45), 0)</f>
        <v>132</v>
      </c>
      <c r="F45" s="21">
        <f>ROUND('Operation Inventory (Rice)'!E45*$B45/(1-$B45), 0)</f>
        <v>0</v>
      </c>
      <c r="G45" s="21">
        <f>ROUND('Operation Inventory (Rice)'!F45*$B45/(1-$B45), 0)</f>
        <v>20</v>
      </c>
      <c r="H45" s="21">
        <f>ROUND('Operation Inventory (Rice)'!G45*$B45/(1-$B45), 0)</f>
        <v>0</v>
      </c>
      <c r="I45" s="21">
        <f>ROUND('Operation Inventory (Rice)'!H45*$B45/(1-$B45), 0)</f>
        <v>1592</v>
      </c>
      <c r="J45" s="21">
        <f>ROUND('Operation Inventory (Rice)'!I45*$B45/(1-$B45), 0)</f>
        <v>20</v>
      </c>
      <c r="K45" s="21">
        <f>ROUND('Operation Inventory (Rice)'!J45*$B45/(1-$B45), 0)</f>
        <v>20</v>
      </c>
      <c r="L45" s="21">
        <f>ROUND('Operation Inventory (Rice)'!K45*$B45/(1-$B45), 0)</f>
        <v>10</v>
      </c>
      <c r="M45" s="21">
        <f>ROUND('Operation Inventory (Rice)'!L45*$B45/(1-$B45), 0)</f>
        <v>49</v>
      </c>
      <c r="N45" s="21">
        <f>ROUND('Operation Inventory (Rice)'!M45*$B45/(1-$B45), 0)</f>
        <v>0</v>
      </c>
    </row>
    <row r="46" spans="1:14">
      <c r="A46" s="27" t="s">
        <v>42</v>
      </c>
      <c r="B46" s="39">
        <v>0.83</v>
      </c>
      <c r="C46" s="21">
        <f>ROUND('Operation Inventory (Rice)'!B46*$B46/(1-$B46), 0)</f>
        <v>225</v>
      </c>
      <c r="D46" s="21">
        <f>ROUND('Operation Inventory (Rice)'!C46*$B46/(1-$B46), 0)</f>
        <v>644</v>
      </c>
      <c r="E46" s="21">
        <f>ROUND('Operation Inventory (Rice)'!D46*$B46/(1-$B46), 0)</f>
        <v>1172</v>
      </c>
      <c r="F46" s="21">
        <f>ROUND('Operation Inventory (Rice)'!E46*$B46/(1-$B46), 0)</f>
        <v>0</v>
      </c>
      <c r="G46" s="21">
        <f>ROUND('Operation Inventory (Rice)'!F46*$B46/(1-$B46), 0)</f>
        <v>93</v>
      </c>
      <c r="H46" s="21">
        <f>ROUND('Operation Inventory (Rice)'!G46*$B46/(1-$B46), 0)</f>
        <v>63</v>
      </c>
      <c r="I46" s="21">
        <f>ROUND('Operation Inventory (Rice)'!H46*$B46/(1-$B46), 0)</f>
        <v>4555</v>
      </c>
      <c r="J46" s="21">
        <f>ROUND('Operation Inventory (Rice)'!I46*$B46/(1-$B46), 0)</f>
        <v>49</v>
      </c>
      <c r="K46" s="21">
        <f>ROUND('Operation Inventory (Rice)'!J46*$B46/(1-$B46), 0)</f>
        <v>210</v>
      </c>
      <c r="L46" s="21">
        <f>ROUND('Operation Inventory (Rice)'!K46*$B46/(1-$B46), 0)</f>
        <v>29</v>
      </c>
      <c r="M46" s="21">
        <f>ROUND('Operation Inventory (Rice)'!L46*$B46/(1-$B46), 0)</f>
        <v>308</v>
      </c>
      <c r="N46" s="21">
        <f>ROUND('Operation Inventory (Rice)'!M46*$B46/(1-$B46), 0)</f>
        <v>0</v>
      </c>
    </row>
    <row r="47" spans="1:14">
      <c r="A47" s="27" t="s">
        <v>43</v>
      </c>
      <c r="B47" s="39">
        <v>0.83</v>
      </c>
      <c r="C47" s="21">
        <f>ROUND('Operation Inventory (Rice)'!B47*$B47/(1-$B47), 0)</f>
        <v>137</v>
      </c>
      <c r="D47" s="21">
        <f>ROUND('Operation Inventory (Rice)'!C47*$B47/(1-$B47), 0)</f>
        <v>122</v>
      </c>
      <c r="E47" s="21">
        <f>ROUND('Operation Inventory (Rice)'!D47*$B47/(1-$B47), 0)</f>
        <v>278</v>
      </c>
      <c r="F47" s="21">
        <f>ROUND('Operation Inventory (Rice)'!E47*$B47/(1-$B47), 0)</f>
        <v>0</v>
      </c>
      <c r="G47" s="21">
        <f>ROUND('Operation Inventory (Rice)'!F47*$B47/(1-$B47), 0)</f>
        <v>49</v>
      </c>
      <c r="H47" s="21">
        <f>ROUND('Operation Inventory (Rice)'!G47*$B47/(1-$B47), 0)</f>
        <v>24</v>
      </c>
      <c r="I47" s="21">
        <f>ROUND('Operation Inventory (Rice)'!H47*$B47/(1-$B47), 0)</f>
        <v>488</v>
      </c>
      <c r="J47" s="21">
        <f>ROUND('Operation Inventory (Rice)'!I47*$B47/(1-$B47), 0)</f>
        <v>44</v>
      </c>
      <c r="K47" s="21">
        <f>ROUND('Operation Inventory (Rice)'!J47*$B47/(1-$B47), 0)</f>
        <v>54</v>
      </c>
      <c r="L47" s="21">
        <f>ROUND('Operation Inventory (Rice)'!K47*$B47/(1-$B47), 0)</f>
        <v>0</v>
      </c>
      <c r="M47" s="21">
        <f>ROUND('Operation Inventory (Rice)'!L47*$B47/(1-$B47), 0)</f>
        <v>156</v>
      </c>
      <c r="N47" s="21">
        <f>ROUND('Operation Inventory (Rice)'!M47*$B47/(1-$B47), 0)</f>
        <v>0</v>
      </c>
    </row>
    <row r="48" spans="1:14">
      <c r="A48" s="27" t="s">
        <v>77</v>
      </c>
      <c r="B48" s="39">
        <v>0.83</v>
      </c>
      <c r="C48" s="21">
        <f>ROUND('Operation Inventory (Rice)'!B48*$B48/(1-$B48), 0)</f>
        <v>210</v>
      </c>
      <c r="D48" s="21">
        <f>ROUND('Operation Inventory (Rice)'!C48*$B48/(1-$B48), 0)</f>
        <v>1186</v>
      </c>
      <c r="E48" s="21">
        <f>ROUND('Operation Inventory (Rice)'!D48*$B48/(1-$B48), 0)</f>
        <v>508</v>
      </c>
      <c r="F48" s="21">
        <f>ROUND('Operation Inventory (Rice)'!E48*$B48/(1-$B48), 0)</f>
        <v>0</v>
      </c>
      <c r="G48" s="21">
        <f>ROUND('Operation Inventory (Rice)'!F48*$B48/(1-$B48), 0)</f>
        <v>54</v>
      </c>
      <c r="H48" s="21">
        <f>ROUND('Operation Inventory (Rice)'!G48*$B48/(1-$B48), 0)</f>
        <v>171</v>
      </c>
      <c r="I48" s="21">
        <f>ROUND('Operation Inventory (Rice)'!H48*$B48/(1-$B48), 0)</f>
        <v>0</v>
      </c>
      <c r="J48" s="21">
        <f>ROUND('Operation Inventory (Rice)'!I48*$B48/(1-$B48), 0)</f>
        <v>68</v>
      </c>
      <c r="K48" s="21">
        <f>ROUND('Operation Inventory (Rice)'!J48*$B48/(1-$B48), 0)</f>
        <v>29</v>
      </c>
      <c r="L48" s="21">
        <f>ROUND('Operation Inventory (Rice)'!K48*$B48/(1-$B48), 0)</f>
        <v>83</v>
      </c>
      <c r="M48" s="21">
        <f>ROUND('Operation Inventory (Rice)'!L48*$B48/(1-$B48), 0)</f>
        <v>371</v>
      </c>
      <c r="N48" s="21">
        <f>ROUND('Operation Inventory (Rice)'!M48*$B48/(1-$B48), 0)</f>
        <v>0</v>
      </c>
    </row>
    <row r="49" spans="1:14">
      <c r="A49" s="27" t="s">
        <v>78</v>
      </c>
      <c r="B49" s="39">
        <v>0.83</v>
      </c>
      <c r="C49" s="21">
        <f>ROUND('Operation Inventory (Rice)'!B49*$B49/(1-$B49), 0)</f>
        <v>161</v>
      </c>
      <c r="D49" s="21">
        <f>ROUND('Operation Inventory (Rice)'!C49*$B49/(1-$B49), 0)</f>
        <v>112</v>
      </c>
      <c r="E49" s="21">
        <f>ROUND('Operation Inventory (Rice)'!D49*$B49/(1-$B49), 0)</f>
        <v>63</v>
      </c>
      <c r="F49" s="21">
        <f>ROUND('Operation Inventory (Rice)'!E49*$B49/(1-$B49), 0)</f>
        <v>0</v>
      </c>
      <c r="G49" s="21">
        <f>ROUND('Operation Inventory (Rice)'!F49*$B49/(1-$B49), 0)</f>
        <v>0</v>
      </c>
      <c r="H49" s="21">
        <f>ROUND('Operation Inventory (Rice)'!G49*$B49/(1-$B49), 0)</f>
        <v>15</v>
      </c>
      <c r="I49" s="21">
        <f>ROUND('Operation Inventory (Rice)'!H49*$B49/(1-$B49), 0)</f>
        <v>0</v>
      </c>
      <c r="J49" s="21">
        <f>ROUND('Operation Inventory (Rice)'!I49*$B49/(1-$B49), 0)</f>
        <v>15</v>
      </c>
      <c r="K49" s="21">
        <f>ROUND('Operation Inventory (Rice)'!J49*$B49/(1-$B49), 0)</f>
        <v>0</v>
      </c>
      <c r="L49" s="21">
        <f>ROUND('Operation Inventory (Rice)'!K49*$B49/(1-$B49), 0)</f>
        <v>5</v>
      </c>
      <c r="M49" s="21">
        <f>ROUND('Operation Inventory (Rice)'!L49*$B49/(1-$B49), 0)</f>
        <v>88</v>
      </c>
      <c r="N49" s="21">
        <f>ROUND('Operation Inventory (Rice)'!M49*$B49/(1-$B49), 0)</f>
        <v>0</v>
      </c>
    </row>
    <row r="50" spans="1:14">
      <c r="A50" s="27" t="s">
        <v>79</v>
      </c>
      <c r="B50" s="39">
        <v>0.83</v>
      </c>
      <c r="C50" s="21">
        <f>ROUND('Operation Inventory (Rice)'!B50*$B50/(1-$B50), 0)</f>
        <v>117</v>
      </c>
      <c r="D50" s="21">
        <f>ROUND('Operation Inventory (Rice)'!C50*$B50/(1-$B50), 0)</f>
        <v>308</v>
      </c>
      <c r="E50" s="21">
        <f>ROUND('Operation Inventory (Rice)'!D50*$B50/(1-$B50), 0)</f>
        <v>127</v>
      </c>
      <c r="F50" s="21">
        <f>ROUND('Operation Inventory (Rice)'!E50*$B50/(1-$B50), 0)</f>
        <v>5</v>
      </c>
      <c r="G50" s="21">
        <f>ROUND('Operation Inventory (Rice)'!F50*$B50/(1-$B50), 0)</f>
        <v>10</v>
      </c>
      <c r="H50" s="21">
        <f>ROUND('Operation Inventory (Rice)'!G50*$B50/(1-$B50), 0)</f>
        <v>59</v>
      </c>
      <c r="I50" s="21">
        <f>ROUND('Operation Inventory (Rice)'!H50*$B50/(1-$B50), 0)</f>
        <v>5</v>
      </c>
      <c r="J50" s="21">
        <f>ROUND('Operation Inventory (Rice)'!I50*$B50/(1-$B50), 0)</f>
        <v>366</v>
      </c>
      <c r="K50" s="21">
        <f>ROUND('Operation Inventory (Rice)'!J50*$B50/(1-$B50), 0)</f>
        <v>10</v>
      </c>
      <c r="L50" s="21">
        <f>ROUND('Operation Inventory (Rice)'!K50*$B50/(1-$B50), 0)</f>
        <v>10</v>
      </c>
      <c r="M50" s="21">
        <f>ROUND('Operation Inventory (Rice)'!L50*$B50/(1-$B50), 0)</f>
        <v>215</v>
      </c>
      <c r="N50" s="21">
        <f>ROUND('Operation Inventory (Rice)'!M50*$B50/(1-$B50), 0)</f>
        <v>0</v>
      </c>
    </row>
    <row r="51" spans="1:14">
      <c r="A51" s="27" t="s">
        <v>80</v>
      </c>
      <c r="B51" s="39">
        <v>0.83</v>
      </c>
      <c r="C51" s="21">
        <f>ROUND('Operation Inventory (Rice)'!B51*$B51/(1-$B51), 0)</f>
        <v>34</v>
      </c>
      <c r="D51" s="21">
        <f>ROUND('Operation Inventory (Rice)'!C51*$B51/(1-$B51), 0)</f>
        <v>63</v>
      </c>
      <c r="E51" s="21">
        <f>ROUND('Operation Inventory (Rice)'!D51*$B51/(1-$B51), 0)</f>
        <v>15</v>
      </c>
      <c r="F51" s="21">
        <f>ROUND('Operation Inventory (Rice)'!E51*$B51/(1-$B51), 0)</f>
        <v>0</v>
      </c>
      <c r="G51" s="21">
        <f>ROUND('Operation Inventory (Rice)'!F51*$B51/(1-$B51), 0)</f>
        <v>0</v>
      </c>
      <c r="H51" s="21">
        <f>ROUND('Operation Inventory (Rice)'!G51*$B51/(1-$B51), 0)</f>
        <v>10</v>
      </c>
      <c r="I51" s="21">
        <f>ROUND('Operation Inventory (Rice)'!H51*$B51/(1-$B51), 0)</f>
        <v>0</v>
      </c>
      <c r="J51" s="21">
        <f>ROUND('Operation Inventory (Rice)'!I51*$B51/(1-$B51), 0)</f>
        <v>5</v>
      </c>
      <c r="K51" s="21">
        <f>ROUND('Operation Inventory (Rice)'!J51*$B51/(1-$B51), 0)</f>
        <v>0</v>
      </c>
      <c r="L51" s="21">
        <f>ROUND('Operation Inventory (Rice)'!K51*$B51/(1-$B51), 0)</f>
        <v>0</v>
      </c>
      <c r="M51" s="21">
        <f>ROUND('Operation Inventory (Rice)'!L51*$B51/(1-$B51), 0)</f>
        <v>20</v>
      </c>
      <c r="N51" s="21">
        <f>ROUND('Operation Inventory (Rice)'!M51*$B51/(1-$B51), 0)</f>
        <v>0</v>
      </c>
    </row>
    <row r="52" spans="1:14">
      <c r="A52" s="27" t="s">
        <v>44</v>
      </c>
      <c r="B52" s="39">
        <v>0.83</v>
      </c>
      <c r="C52" s="21">
        <f>ROUND('Operation Inventory (Rice)'!B52*$B52/(1-$B52), 0)</f>
        <v>0</v>
      </c>
      <c r="D52" s="21">
        <f>ROUND('Operation Inventory (Rice)'!C52*$B52/(1-$B52), 0)</f>
        <v>146</v>
      </c>
      <c r="E52" s="21">
        <f>ROUND('Operation Inventory (Rice)'!D52*$B52/(1-$B52), 0)</f>
        <v>151</v>
      </c>
      <c r="F52" s="21">
        <f>ROUND('Operation Inventory (Rice)'!E52*$B52/(1-$B52), 0)</f>
        <v>0</v>
      </c>
      <c r="G52" s="21">
        <f>ROUND('Operation Inventory (Rice)'!F52*$B52/(1-$B52), 0)</f>
        <v>0</v>
      </c>
      <c r="H52" s="21">
        <f>ROUND('Operation Inventory (Rice)'!G52*$B52/(1-$B52), 0)</f>
        <v>10</v>
      </c>
      <c r="I52" s="21">
        <f>ROUND('Operation Inventory (Rice)'!H52*$B52/(1-$B52), 0)</f>
        <v>0</v>
      </c>
      <c r="J52" s="21">
        <f>ROUND('Operation Inventory (Rice)'!I52*$B52/(1-$B52), 0)</f>
        <v>15</v>
      </c>
      <c r="K52" s="21">
        <f>ROUND('Operation Inventory (Rice)'!J52*$B52/(1-$B52), 0)</f>
        <v>0</v>
      </c>
      <c r="L52" s="21">
        <f>ROUND('Operation Inventory (Rice)'!K52*$B52/(1-$B52), 0)</f>
        <v>5</v>
      </c>
      <c r="M52" s="21">
        <f>ROUND('Operation Inventory (Rice)'!L52*$B52/(1-$B52), 0)</f>
        <v>78</v>
      </c>
      <c r="N52" s="21">
        <f>ROUND('Operation Inventory (Rice)'!M52*$B52/(1-$B52), 0)</f>
        <v>0</v>
      </c>
    </row>
    <row r="53" spans="1:14">
      <c r="A53" s="27" t="s">
        <v>92</v>
      </c>
      <c r="B53" s="39">
        <v>0.83</v>
      </c>
      <c r="C53" s="21">
        <f>ROUND('Operation Inventory (Rice)'!B53*$B53/(1-$B53), 0)</f>
        <v>44</v>
      </c>
      <c r="D53" s="21">
        <f>ROUND('Operation Inventory (Rice)'!C53*$B53/(1-$B53), 0)</f>
        <v>449</v>
      </c>
      <c r="E53" s="21">
        <f>ROUND('Operation Inventory (Rice)'!D53*$B53/(1-$B53), 0)</f>
        <v>581</v>
      </c>
      <c r="F53" s="21">
        <f>ROUND('Operation Inventory (Rice)'!E53*$B53/(1-$B53), 0)</f>
        <v>0</v>
      </c>
      <c r="G53" s="21">
        <f>ROUND('Operation Inventory (Rice)'!F53*$B53/(1-$B53), 0)</f>
        <v>0</v>
      </c>
      <c r="H53" s="21">
        <f>ROUND('Operation Inventory (Rice)'!G53*$B53/(1-$B53), 0)</f>
        <v>24</v>
      </c>
      <c r="I53" s="21">
        <f>ROUND('Operation Inventory (Rice)'!H53*$B53/(1-$B53), 0)</f>
        <v>0</v>
      </c>
      <c r="J53" s="21">
        <f>ROUND('Operation Inventory (Rice)'!I53*$B53/(1-$B53), 0)</f>
        <v>54</v>
      </c>
      <c r="K53" s="21">
        <f>ROUND('Operation Inventory (Rice)'!J53*$B53/(1-$B53), 0)</f>
        <v>10</v>
      </c>
      <c r="L53" s="21">
        <f>ROUND('Operation Inventory (Rice)'!K53*$B53/(1-$B53), 0)</f>
        <v>112</v>
      </c>
      <c r="M53" s="21">
        <f>ROUND('Operation Inventory (Rice)'!L53*$B53/(1-$B53), 0)</f>
        <v>200</v>
      </c>
      <c r="N53" s="21">
        <f>ROUND('Operation Inventory (Rice)'!M53*$B53/(1-$B53), 0)</f>
        <v>0</v>
      </c>
    </row>
    <row r="54" spans="1:14">
      <c r="A54" s="27" t="s">
        <v>91</v>
      </c>
      <c r="B54" s="39">
        <v>0.83</v>
      </c>
      <c r="C54" s="21">
        <f>ROUND('Operation Inventory (Rice)'!B54*$B54/(1-$B54), 0)</f>
        <v>254</v>
      </c>
      <c r="D54" s="21">
        <f>ROUND('Operation Inventory (Rice)'!C54*$B54/(1-$B54), 0)</f>
        <v>635</v>
      </c>
      <c r="E54" s="21">
        <f>ROUND('Operation Inventory (Rice)'!D54*$B54/(1-$B54), 0)</f>
        <v>1230</v>
      </c>
      <c r="F54" s="21">
        <f>ROUND('Operation Inventory (Rice)'!E54*$B54/(1-$B54), 0)</f>
        <v>0</v>
      </c>
      <c r="G54" s="21">
        <f>ROUND('Operation Inventory (Rice)'!F54*$B54/(1-$B54), 0)</f>
        <v>0</v>
      </c>
      <c r="H54" s="21">
        <f>ROUND('Operation Inventory (Rice)'!G54*$B54/(1-$B54), 0)</f>
        <v>63</v>
      </c>
      <c r="I54" s="21">
        <f>ROUND('Operation Inventory (Rice)'!H54*$B54/(1-$B54), 0)</f>
        <v>0</v>
      </c>
      <c r="J54" s="21">
        <f>ROUND('Operation Inventory (Rice)'!I54*$B54/(1-$B54), 0)</f>
        <v>132</v>
      </c>
      <c r="K54" s="21">
        <f>ROUND('Operation Inventory (Rice)'!J54*$B54/(1-$B54), 0)</f>
        <v>54</v>
      </c>
      <c r="L54" s="21">
        <f>ROUND('Operation Inventory (Rice)'!K54*$B54/(1-$B54), 0)</f>
        <v>44</v>
      </c>
      <c r="M54" s="21">
        <f>ROUND('Operation Inventory (Rice)'!L54*$B54/(1-$B54), 0)</f>
        <v>327</v>
      </c>
      <c r="N54" s="21">
        <f>ROUND('Operation Inventory (Rice)'!M54*$B54/(1-$B54), 0)</f>
        <v>0</v>
      </c>
    </row>
    <row r="55" spans="1:14">
      <c r="A55" s="27" t="s">
        <v>94</v>
      </c>
      <c r="B55" s="39">
        <v>0.83</v>
      </c>
      <c r="C55" s="21">
        <f>ROUND('Operation Inventory (Rice)'!B55*$B55/(1-$B55), 0)</f>
        <v>44</v>
      </c>
      <c r="D55" s="21">
        <f>ROUND('Operation Inventory (Rice)'!C55*$B55/(1-$B55), 0)</f>
        <v>923</v>
      </c>
      <c r="E55" s="21">
        <f>ROUND('Operation Inventory (Rice)'!D55*$B55/(1-$B55), 0)</f>
        <v>737</v>
      </c>
      <c r="F55" s="21">
        <f>ROUND('Operation Inventory (Rice)'!E55*$B55/(1-$B55), 0)</f>
        <v>0</v>
      </c>
      <c r="G55" s="21">
        <f>ROUND('Operation Inventory (Rice)'!F55*$B55/(1-$B55), 0)</f>
        <v>0</v>
      </c>
      <c r="H55" s="21">
        <f>ROUND('Operation Inventory (Rice)'!G55*$B55/(1-$B55), 0)</f>
        <v>63</v>
      </c>
      <c r="I55" s="21">
        <f>ROUND('Operation Inventory (Rice)'!H55*$B55/(1-$B55), 0)</f>
        <v>0</v>
      </c>
      <c r="J55" s="21">
        <f>ROUND('Operation Inventory (Rice)'!I55*$B55/(1-$B55), 0)</f>
        <v>137</v>
      </c>
      <c r="K55" s="21">
        <f>ROUND('Operation Inventory (Rice)'!J55*$B55/(1-$B55), 0)</f>
        <v>10</v>
      </c>
      <c r="L55" s="21">
        <f>ROUND('Operation Inventory (Rice)'!K55*$B55/(1-$B55), 0)</f>
        <v>59</v>
      </c>
      <c r="M55" s="21">
        <f>ROUND('Operation Inventory (Rice)'!L55*$B55/(1-$B55), 0)</f>
        <v>317</v>
      </c>
      <c r="N55" s="21">
        <f>ROUND('Operation Inventory (Rice)'!M55*$B55/(1-$B55), 0)</f>
        <v>0</v>
      </c>
    </row>
    <row r="56" spans="1:14">
      <c r="A56" s="27" t="s">
        <v>45</v>
      </c>
      <c r="B56" s="39">
        <v>0.83</v>
      </c>
      <c r="C56" s="21">
        <f>ROUND('Operation Inventory (Rice)'!B56*$B56/(1-$B56), 0)</f>
        <v>63</v>
      </c>
      <c r="D56" s="21">
        <f>ROUND('Operation Inventory (Rice)'!C56*$B56/(1-$B56), 0)</f>
        <v>727</v>
      </c>
      <c r="E56" s="21">
        <f>ROUND('Operation Inventory (Rice)'!D56*$B56/(1-$B56), 0)</f>
        <v>664</v>
      </c>
      <c r="F56" s="21">
        <f>ROUND('Operation Inventory (Rice)'!E56*$B56/(1-$B56), 0)</f>
        <v>0</v>
      </c>
      <c r="G56" s="21">
        <f>ROUND('Operation Inventory (Rice)'!F56*$B56/(1-$B56), 0)</f>
        <v>0</v>
      </c>
      <c r="H56" s="21">
        <f>ROUND('Operation Inventory (Rice)'!G56*$B56/(1-$B56), 0)</f>
        <v>29</v>
      </c>
      <c r="I56" s="21">
        <f>ROUND('Operation Inventory (Rice)'!H56*$B56/(1-$B56), 0)</f>
        <v>0</v>
      </c>
      <c r="J56" s="21">
        <f>ROUND('Operation Inventory (Rice)'!I56*$B56/(1-$B56), 0)</f>
        <v>59</v>
      </c>
      <c r="K56" s="21">
        <f>ROUND('Operation Inventory (Rice)'!J56*$B56/(1-$B56), 0)</f>
        <v>10</v>
      </c>
      <c r="L56" s="21">
        <f>ROUND('Operation Inventory (Rice)'!K56*$B56/(1-$B56), 0)</f>
        <v>63</v>
      </c>
      <c r="M56" s="21">
        <f>ROUND('Operation Inventory (Rice)'!L56*$B56/(1-$B56), 0)</f>
        <v>332</v>
      </c>
      <c r="N56" s="21">
        <f>ROUND('Operation Inventory (Rice)'!M56*$B56/(1-$B56), 0)</f>
        <v>0</v>
      </c>
    </row>
    <row r="57" spans="1:14">
      <c r="A57" s="27" t="s">
        <v>46</v>
      </c>
      <c r="B57" s="39">
        <v>0.83</v>
      </c>
      <c r="C57" s="21">
        <f>ROUND('Operation Inventory (Rice)'!B57*$B57/(1-$B57), 0)</f>
        <v>15</v>
      </c>
      <c r="D57" s="21">
        <f>ROUND('Operation Inventory (Rice)'!C57*$B57/(1-$B57), 0)</f>
        <v>176</v>
      </c>
      <c r="E57" s="21">
        <f>ROUND('Operation Inventory (Rice)'!D57*$B57/(1-$B57), 0)</f>
        <v>293</v>
      </c>
      <c r="F57" s="21">
        <f>ROUND('Operation Inventory (Rice)'!E57*$B57/(1-$B57), 0)</f>
        <v>0</v>
      </c>
      <c r="G57" s="21">
        <f>ROUND('Operation Inventory (Rice)'!F57*$B57/(1-$B57), 0)</f>
        <v>0</v>
      </c>
      <c r="H57" s="21">
        <f>ROUND('Operation Inventory (Rice)'!G57*$B57/(1-$B57), 0)</f>
        <v>29</v>
      </c>
      <c r="I57" s="21">
        <f>ROUND('Operation Inventory (Rice)'!H57*$B57/(1-$B57), 0)</f>
        <v>0</v>
      </c>
      <c r="J57" s="21">
        <f>ROUND('Operation Inventory (Rice)'!I57*$B57/(1-$B57), 0)</f>
        <v>88</v>
      </c>
      <c r="K57" s="21">
        <f>ROUND('Operation Inventory (Rice)'!J57*$B57/(1-$B57), 0)</f>
        <v>5</v>
      </c>
      <c r="L57" s="21">
        <f>ROUND('Operation Inventory (Rice)'!K57*$B57/(1-$B57), 0)</f>
        <v>10</v>
      </c>
      <c r="M57" s="21">
        <f>ROUND('Operation Inventory (Rice)'!L57*$B57/(1-$B57), 0)</f>
        <v>59</v>
      </c>
      <c r="N57" s="21">
        <f>ROUND('Operation Inventory (Rice)'!M57*$B57/(1-$B57), 0)</f>
        <v>0</v>
      </c>
    </row>
    <row r="58" spans="1:14">
      <c r="A58" s="27" t="s">
        <v>210</v>
      </c>
      <c r="B58" s="39">
        <v>0.83</v>
      </c>
      <c r="C58" s="21">
        <f>ROUND('Operation Inventory (Rice)'!B58*$B58/(1-$B58), 0)</f>
        <v>220</v>
      </c>
      <c r="D58" s="21">
        <f>ROUND('Operation Inventory (Rice)'!C58*$B58/(1-$B58), 0)</f>
        <v>190</v>
      </c>
      <c r="E58" s="21">
        <f>ROUND('Operation Inventory (Rice)'!D58*$B58/(1-$B58), 0)</f>
        <v>356</v>
      </c>
      <c r="F58" s="21">
        <f>ROUND('Operation Inventory (Rice)'!E58*$B58/(1-$B58), 0)</f>
        <v>34</v>
      </c>
      <c r="G58" s="21">
        <f>ROUND('Operation Inventory (Rice)'!F58*$B58/(1-$B58), 0)</f>
        <v>24</v>
      </c>
      <c r="H58" s="21">
        <f>ROUND('Operation Inventory (Rice)'!G58*$B58/(1-$B58), 0)</f>
        <v>29</v>
      </c>
      <c r="I58" s="21">
        <f>ROUND('Operation Inventory (Rice)'!H58*$B58/(1-$B58), 0)</f>
        <v>0</v>
      </c>
      <c r="J58" s="21">
        <f>ROUND('Operation Inventory (Rice)'!I58*$B58/(1-$B58), 0)</f>
        <v>93</v>
      </c>
      <c r="K58" s="21">
        <f>ROUND('Operation Inventory (Rice)'!J58*$B58/(1-$B58), 0)</f>
        <v>73</v>
      </c>
      <c r="L58" s="21">
        <f>ROUND('Operation Inventory (Rice)'!K58*$B58/(1-$B58), 0)</f>
        <v>0</v>
      </c>
      <c r="M58" s="21">
        <f>ROUND('Operation Inventory (Rice)'!L58*$B58/(1-$B58), 0)</f>
        <v>220</v>
      </c>
      <c r="N58" s="21">
        <f>ROUND('Operation Inventory (Rice)'!M58*$B58/(1-$B58), 0)</f>
        <v>0</v>
      </c>
    </row>
    <row r="59" spans="1:14">
      <c r="A59" s="27" t="s">
        <v>211</v>
      </c>
      <c r="B59" s="39">
        <v>0.83</v>
      </c>
      <c r="C59" s="21">
        <f>ROUND('Operation Inventory (Rice)'!B59*$B59/(1-$B59), 0)</f>
        <v>215</v>
      </c>
      <c r="D59" s="21">
        <f>ROUND('Operation Inventory (Rice)'!C59*$B59/(1-$B59), 0)</f>
        <v>347</v>
      </c>
      <c r="E59" s="21">
        <f>ROUND('Operation Inventory (Rice)'!D59*$B59/(1-$B59), 0)</f>
        <v>288</v>
      </c>
      <c r="F59" s="21">
        <f>ROUND('Operation Inventory (Rice)'!E59*$B59/(1-$B59), 0)</f>
        <v>161</v>
      </c>
      <c r="G59" s="21">
        <f>ROUND('Operation Inventory (Rice)'!F59*$B59/(1-$B59), 0)</f>
        <v>59</v>
      </c>
      <c r="H59" s="21">
        <f>ROUND('Operation Inventory (Rice)'!G59*$B59/(1-$B59), 0)</f>
        <v>103</v>
      </c>
      <c r="I59" s="21">
        <f>ROUND('Operation Inventory (Rice)'!H59*$B59/(1-$B59), 0)</f>
        <v>0</v>
      </c>
      <c r="J59" s="21">
        <f>ROUND('Operation Inventory (Rice)'!I59*$B59/(1-$B59), 0)</f>
        <v>112</v>
      </c>
      <c r="K59" s="21">
        <f>ROUND('Operation Inventory (Rice)'!J59*$B59/(1-$B59), 0)</f>
        <v>117</v>
      </c>
      <c r="L59" s="21">
        <f>ROUND('Operation Inventory (Rice)'!K59*$B59/(1-$B59), 0)</f>
        <v>15</v>
      </c>
      <c r="M59" s="21">
        <f>ROUND('Operation Inventory (Rice)'!L59*$B59/(1-$B59), 0)</f>
        <v>386</v>
      </c>
      <c r="N59" s="21">
        <f>ROUND('Operation Inventory (Rice)'!M59*$B59/(1-$B59), 0)</f>
        <v>0</v>
      </c>
    </row>
    <row r="60" spans="1:14">
      <c r="A60" s="27" t="s">
        <v>47</v>
      </c>
      <c r="B60" s="39">
        <v>0.83</v>
      </c>
      <c r="C60" s="21">
        <f>ROUND('Operation Inventory (Rice)'!B60*$B60/(1-$B60), 0)</f>
        <v>88</v>
      </c>
      <c r="D60" s="21">
        <f>ROUND('Operation Inventory (Rice)'!C60*$B60/(1-$B60), 0)</f>
        <v>254</v>
      </c>
      <c r="E60" s="21">
        <f>ROUND('Operation Inventory (Rice)'!D60*$B60/(1-$B60), 0)</f>
        <v>98</v>
      </c>
      <c r="F60" s="21">
        <f>ROUND('Operation Inventory (Rice)'!E60*$B60/(1-$B60), 0)</f>
        <v>93</v>
      </c>
      <c r="G60" s="21">
        <f>ROUND('Operation Inventory (Rice)'!F60*$B60/(1-$B60), 0)</f>
        <v>10</v>
      </c>
      <c r="H60" s="21">
        <f>ROUND('Operation Inventory (Rice)'!G60*$B60/(1-$B60), 0)</f>
        <v>44</v>
      </c>
      <c r="I60" s="21">
        <f>ROUND('Operation Inventory (Rice)'!H60*$B60/(1-$B60), 0)</f>
        <v>0</v>
      </c>
      <c r="J60" s="21">
        <f>ROUND('Operation Inventory (Rice)'!I60*$B60/(1-$B60), 0)</f>
        <v>103</v>
      </c>
      <c r="K60" s="21">
        <f>ROUND('Operation Inventory (Rice)'!J60*$B60/(1-$B60), 0)</f>
        <v>44</v>
      </c>
      <c r="L60" s="21">
        <f>ROUND('Operation Inventory (Rice)'!K60*$B60/(1-$B60), 0)</f>
        <v>0</v>
      </c>
      <c r="M60" s="21">
        <f>ROUND('Operation Inventory (Rice)'!L60*$B60/(1-$B60), 0)</f>
        <v>278</v>
      </c>
      <c r="N60" s="21">
        <f>ROUND('Operation Inventory (Rice)'!M60*$B60/(1-$B60), 0)</f>
        <v>0</v>
      </c>
    </row>
    <row r="61" spans="1:14">
      <c r="A61" s="27" t="s">
        <v>55</v>
      </c>
      <c r="B61" s="39">
        <v>0.83</v>
      </c>
      <c r="C61" s="21">
        <f>ROUND('Operation Inventory (Rice)'!B61*$B61/(1-$B61), 0)</f>
        <v>937</v>
      </c>
      <c r="D61" s="21">
        <f>ROUND('Operation Inventory (Rice)'!C61*$B61/(1-$B61), 0)</f>
        <v>561</v>
      </c>
      <c r="E61" s="21">
        <f>ROUND('Operation Inventory (Rice)'!D61*$B61/(1-$B61), 0)</f>
        <v>1411</v>
      </c>
      <c r="F61" s="21">
        <f>ROUND('Operation Inventory (Rice)'!E61*$B61/(1-$B61), 0)</f>
        <v>561</v>
      </c>
      <c r="G61" s="21">
        <f>ROUND('Operation Inventory (Rice)'!F61*$B61/(1-$B61), 0)</f>
        <v>78</v>
      </c>
      <c r="H61" s="21">
        <f>ROUND('Operation Inventory (Rice)'!G61*$B61/(1-$B61), 0)</f>
        <v>478</v>
      </c>
      <c r="I61" s="21">
        <f>ROUND('Operation Inventory (Rice)'!H61*$B61/(1-$B61), 0)</f>
        <v>0</v>
      </c>
      <c r="J61" s="21">
        <f>ROUND('Operation Inventory (Rice)'!I61*$B61/(1-$B61), 0)</f>
        <v>317</v>
      </c>
      <c r="K61" s="21">
        <f>ROUND('Operation Inventory (Rice)'!J61*$B61/(1-$B61), 0)</f>
        <v>244</v>
      </c>
      <c r="L61" s="21">
        <f>ROUND('Operation Inventory (Rice)'!K61*$B61/(1-$B61), 0)</f>
        <v>34</v>
      </c>
      <c r="M61" s="21">
        <f>ROUND('Operation Inventory (Rice)'!L61*$B61/(1-$B61), 0)</f>
        <v>498</v>
      </c>
      <c r="N61" s="21">
        <f>ROUND('Operation Inventory (Rice)'!M61*$B61/(1-$B61), 0)</f>
        <v>0</v>
      </c>
    </row>
    <row r="62" spans="1:14">
      <c r="A62" s="27" t="s">
        <v>48</v>
      </c>
      <c r="B62" s="39">
        <v>0.83</v>
      </c>
      <c r="C62" s="21">
        <f>ROUND('Operation Inventory (Rice)'!B62*$B62/(1-$B62), 0)</f>
        <v>5</v>
      </c>
      <c r="D62" s="21">
        <f>ROUND('Operation Inventory (Rice)'!C62*$B62/(1-$B62), 0)</f>
        <v>5</v>
      </c>
      <c r="E62" s="21">
        <f>ROUND('Operation Inventory (Rice)'!D62*$B62/(1-$B62), 0)</f>
        <v>44</v>
      </c>
      <c r="F62" s="21">
        <f>ROUND('Operation Inventory (Rice)'!E62*$B62/(1-$B62), 0)</f>
        <v>0</v>
      </c>
      <c r="G62" s="21">
        <f>ROUND('Operation Inventory (Rice)'!F62*$B62/(1-$B62), 0)</f>
        <v>0</v>
      </c>
      <c r="H62" s="21">
        <f>ROUND('Operation Inventory (Rice)'!G62*$B62/(1-$B62), 0)</f>
        <v>0</v>
      </c>
      <c r="I62" s="21">
        <f>ROUND('Operation Inventory (Rice)'!H62*$B62/(1-$B62), 0)</f>
        <v>0</v>
      </c>
      <c r="J62" s="21">
        <f>ROUND('Operation Inventory (Rice)'!I62*$B62/(1-$B62), 0)</f>
        <v>5</v>
      </c>
      <c r="K62" s="21">
        <f>ROUND('Operation Inventory (Rice)'!J62*$B62/(1-$B62), 0)</f>
        <v>0</v>
      </c>
      <c r="L62" s="21">
        <f>ROUND('Operation Inventory (Rice)'!K62*$B62/(1-$B62), 0)</f>
        <v>0</v>
      </c>
      <c r="M62" s="21">
        <f>ROUND('Operation Inventory (Rice)'!L62*$B62/(1-$B62), 0)</f>
        <v>10</v>
      </c>
      <c r="N62" s="21">
        <f>ROUND('Operation Inventory (Rice)'!M62*$B62/(1-$B62), 0)</f>
        <v>0</v>
      </c>
    </row>
    <row r="63" spans="1:14">
      <c r="A63" s="27" t="s">
        <v>209</v>
      </c>
      <c r="B63" s="39">
        <v>0.83</v>
      </c>
      <c r="C63" s="21">
        <f>ROUND('Operation Inventory (Rice)'!B63*$B63/(1-$B63), 0)</f>
        <v>410</v>
      </c>
      <c r="D63" s="21">
        <f>ROUND('Operation Inventory (Rice)'!C63*$B63/(1-$B63), 0)</f>
        <v>229</v>
      </c>
      <c r="E63" s="21">
        <f>ROUND('Operation Inventory (Rice)'!D63*$B63/(1-$B63), 0)</f>
        <v>732</v>
      </c>
      <c r="F63" s="21">
        <f>ROUND('Operation Inventory (Rice)'!E63*$B63/(1-$B63), 0)</f>
        <v>5</v>
      </c>
      <c r="G63" s="21">
        <f>ROUND('Operation Inventory (Rice)'!F63*$B63/(1-$B63), 0)</f>
        <v>44</v>
      </c>
      <c r="H63" s="21">
        <f>ROUND('Operation Inventory (Rice)'!G63*$B63/(1-$B63), 0)</f>
        <v>93</v>
      </c>
      <c r="I63" s="21">
        <f>ROUND('Operation Inventory (Rice)'!H63*$B63/(1-$B63), 0)</f>
        <v>0</v>
      </c>
      <c r="J63" s="21">
        <f>ROUND('Operation Inventory (Rice)'!I63*$B63/(1-$B63), 0)</f>
        <v>54</v>
      </c>
      <c r="K63" s="21">
        <f>ROUND('Operation Inventory (Rice)'!J63*$B63/(1-$B63), 0)</f>
        <v>156</v>
      </c>
      <c r="L63" s="21">
        <f>ROUND('Operation Inventory (Rice)'!K63*$B63/(1-$B63), 0)</f>
        <v>10</v>
      </c>
      <c r="M63" s="21">
        <f>ROUND('Operation Inventory (Rice)'!L63*$B63/(1-$B63), 0)</f>
        <v>112</v>
      </c>
      <c r="N63" s="21">
        <f>ROUND('Operation Inventory (Rice)'!M63*$B63/(1-$B63), 0)</f>
        <v>0</v>
      </c>
    </row>
    <row r="64" spans="1:14">
      <c r="A64" s="27" t="s">
        <v>59</v>
      </c>
      <c r="B64" s="39">
        <v>0.83</v>
      </c>
      <c r="C64" s="21">
        <f>ROUND('Operation Inventory (Rice)'!B64*$B64/(1-$B64), 0)</f>
        <v>547</v>
      </c>
      <c r="D64" s="21">
        <f>ROUND('Operation Inventory (Rice)'!C64*$B64/(1-$B64), 0)</f>
        <v>264</v>
      </c>
      <c r="E64" s="21">
        <f>ROUND('Operation Inventory (Rice)'!D64*$B64/(1-$B64), 0)</f>
        <v>601</v>
      </c>
      <c r="F64" s="21">
        <f>ROUND('Operation Inventory (Rice)'!E64*$B64/(1-$B64), 0)</f>
        <v>5</v>
      </c>
      <c r="G64" s="21">
        <f>ROUND('Operation Inventory (Rice)'!F64*$B64/(1-$B64), 0)</f>
        <v>73</v>
      </c>
      <c r="H64" s="21">
        <f>ROUND('Operation Inventory (Rice)'!G64*$B64/(1-$B64), 0)</f>
        <v>161</v>
      </c>
      <c r="I64" s="21">
        <f>ROUND('Operation Inventory (Rice)'!H64*$B64/(1-$B64), 0)</f>
        <v>0</v>
      </c>
      <c r="J64" s="21">
        <f>ROUND('Operation Inventory (Rice)'!I64*$B64/(1-$B64), 0)</f>
        <v>122</v>
      </c>
      <c r="K64" s="21">
        <f>ROUND('Operation Inventory (Rice)'!J64*$B64/(1-$B64), 0)</f>
        <v>186</v>
      </c>
      <c r="L64" s="21">
        <f>ROUND('Operation Inventory (Rice)'!K64*$B64/(1-$B64), 0)</f>
        <v>5</v>
      </c>
      <c r="M64" s="21">
        <f>ROUND('Operation Inventory (Rice)'!L64*$B64/(1-$B64), 0)</f>
        <v>146</v>
      </c>
      <c r="N64" s="21">
        <f>ROUND('Operation Inventory (Rice)'!M64*$B64/(1-$B64), 0)</f>
        <v>0</v>
      </c>
    </row>
    <row r="65" spans="1:14">
      <c r="A65" s="27" t="s">
        <v>81</v>
      </c>
      <c r="B65" s="39">
        <v>0.83</v>
      </c>
      <c r="C65" s="21">
        <f>ROUND('Operation Inventory (Rice)'!B65*$B65/(1-$B65), 0)</f>
        <v>249</v>
      </c>
      <c r="D65" s="21">
        <f>ROUND('Operation Inventory (Rice)'!C65*$B65/(1-$B65), 0)</f>
        <v>273</v>
      </c>
      <c r="E65" s="21">
        <f>ROUND('Operation Inventory (Rice)'!D65*$B65/(1-$B65), 0)</f>
        <v>684</v>
      </c>
      <c r="F65" s="21">
        <f>ROUND('Operation Inventory (Rice)'!E65*$B65/(1-$B65), 0)</f>
        <v>0</v>
      </c>
      <c r="G65" s="21">
        <f>ROUND('Operation Inventory (Rice)'!F65*$B65/(1-$B65), 0)</f>
        <v>5</v>
      </c>
      <c r="H65" s="21">
        <f>ROUND('Operation Inventory (Rice)'!G65*$B65/(1-$B65), 0)</f>
        <v>44</v>
      </c>
      <c r="I65" s="21">
        <f>ROUND('Operation Inventory (Rice)'!H65*$B65/(1-$B65), 0)</f>
        <v>0</v>
      </c>
      <c r="J65" s="21">
        <f>ROUND('Operation Inventory (Rice)'!I65*$B65/(1-$B65), 0)</f>
        <v>98</v>
      </c>
      <c r="K65" s="21">
        <f>ROUND('Operation Inventory (Rice)'!J65*$B65/(1-$B65), 0)</f>
        <v>49</v>
      </c>
      <c r="L65" s="21">
        <f>ROUND('Operation Inventory (Rice)'!K65*$B65/(1-$B65), 0)</f>
        <v>10</v>
      </c>
      <c r="M65" s="21">
        <f>ROUND('Operation Inventory (Rice)'!L65*$B65/(1-$B65), 0)</f>
        <v>137</v>
      </c>
      <c r="N65" s="21">
        <f>ROUND('Operation Inventory (Rice)'!M65*$B65/(1-$B65), 0)</f>
        <v>0</v>
      </c>
    </row>
    <row r="66" spans="1:14">
      <c r="A66" s="27" t="s">
        <v>207</v>
      </c>
      <c r="B66" s="39">
        <v>0.83</v>
      </c>
      <c r="C66" s="21">
        <f>ROUND('Operation Inventory (Rice)'!B66*$B66/(1-$B66), 0)</f>
        <v>151</v>
      </c>
      <c r="D66" s="21">
        <f>ROUND('Operation Inventory (Rice)'!C66*$B66/(1-$B66), 0)</f>
        <v>239</v>
      </c>
      <c r="E66" s="21">
        <f>ROUND('Operation Inventory (Rice)'!D66*$B66/(1-$B66), 0)</f>
        <v>312</v>
      </c>
      <c r="F66" s="21">
        <f>ROUND('Operation Inventory (Rice)'!E66*$B66/(1-$B66), 0)</f>
        <v>59</v>
      </c>
      <c r="G66" s="21">
        <f>ROUND('Operation Inventory (Rice)'!F66*$B66/(1-$B66), 0)</f>
        <v>20</v>
      </c>
      <c r="H66" s="21">
        <f>ROUND('Operation Inventory (Rice)'!G66*$B66/(1-$B66), 0)</f>
        <v>103</v>
      </c>
      <c r="I66" s="21">
        <f>ROUND('Operation Inventory (Rice)'!H66*$B66/(1-$B66), 0)</f>
        <v>0</v>
      </c>
      <c r="J66" s="21">
        <f>ROUND('Operation Inventory (Rice)'!I66*$B66/(1-$B66), 0)</f>
        <v>29</v>
      </c>
      <c r="K66" s="21">
        <f>ROUND('Operation Inventory (Rice)'!J66*$B66/(1-$B66), 0)</f>
        <v>142</v>
      </c>
      <c r="L66" s="21">
        <f>ROUND('Operation Inventory (Rice)'!K66*$B66/(1-$B66), 0)</f>
        <v>5</v>
      </c>
      <c r="M66" s="21">
        <f>ROUND('Operation Inventory (Rice)'!L66*$B66/(1-$B66), 0)</f>
        <v>49</v>
      </c>
      <c r="N66" s="21">
        <f>ROUND('Operation Inventory (Rice)'!M66*$B66/(1-$B66), 0)</f>
        <v>0</v>
      </c>
    </row>
    <row r="67" spans="1:14">
      <c r="A67" s="27" t="s">
        <v>208</v>
      </c>
      <c r="B67" s="39">
        <v>0.83</v>
      </c>
      <c r="C67" s="21">
        <f>ROUND('Operation Inventory (Rice)'!B67*$B67/(1-$B67), 0)</f>
        <v>229</v>
      </c>
      <c r="D67" s="21">
        <f>ROUND('Operation Inventory (Rice)'!C67*$B67/(1-$B67), 0)</f>
        <v>371</v>
      </c>
      <c r="E67" s="21">
        <f>ROUND('Operation Inventory (Rice)'!D67*$B67/(1-$B67), 0)</f>
        <v>688</v>
      </c>
      <c r="F67" s="21">
        <f>ROUND('Operation Inventory (Rice)'!E67*$B67/(1-$B67), 0)</f>
        <v>29</v>
      </c>
      <c r="G67" s="21">
        <f>ROUND('Operation Inventory (Rice)'!F67*$B67/(1-$B67), 0)</f>
        <v>15</v>
      </c>
      <c r="H67" s="21">
        <f>ROUND('Operation Inventory (Rice)'!G67*$B67/(1-$B67), 0)</f>
        <v>103</v>
      </c>
      <c r="I67" s="21">
        <f>ROUND('Operation Inventory (Rice)'!H67*$B67/(1-$B67), 0)</f>
        <v>5</v>
      </c>
      <c r="J67" s="21">
        <f>ROUND('Operation Inventory (Rice)'!I67*$B67/(1-$B67), 0)</f>
        <v>20</v>
      </c>
      <c r="K67" s="21">
        <f>ROUND('Operation Inventory (Rice)'!J67*$B67/(1-$B67), 0)</f>
        <v>107</v>
      </c>
      <c r="L67" s="21">
        <f>ROUND('Operation Inventory (Rice)'!K67*$B67/(1-$B67), 0)</f>
        <v>5</v>
      </c>
      <c r="M67" s="21">
        <f>ROUND('Operation Inventory (Rice)'!L67*$B67/(1-$B67), 0)</f>
        <v>59</v>
      </c>
      <c r="N67" s="21">
        <f>ROUND('Operation Inventory (Rice)'!M67*$B67/(1-$B67), 0)</f>
        <v>0</v>
      </c>
    </row>
    <row r="68" spans="1:14">
      <c r="A68" s="27" t="s">
        <v>83</v>
      </c>
      <c r="B68" s="39">
        <v>0.83</v>
      </c>
      <c r="C68" s="21">
        <f>ROUND('Operation Inventory (Rice)'!B68*$B68/(1-$B68), 0)</f>
        <v>63</v>
      </c>
      <c r="D68" s="21">
        <f>ROUND('Operation Inventory (Rice)'!C68*$B68/(1-$B68), 0)</f>
        <v>68</v>
      </c>
      <c r="E68" s="21">
        <f>ROUND('Operation Inventory (Rice)'!D68*$B68/(1-$B68), 0)</f>
        <v>68</v>
      </c>
      <c r="F68" s="21">
        <f>ROUND('Operation Inventory (Rice)'!E68*$B68/(1-$B68), 0)</f>
        <v>24</v>
      </c>
      <c r="G68" s="21">
        <f>ROUND('Operation Inventory (Rice)'!F68*$B68/(1-$B68), 0)</f>
        <v>10</v>
      </c>
      <c r="H68" s="21">
        <f>ROUND('Operation Inventory (Rice)'!G68*$B68/(1-$B68), 0)</f>
        <v>0</v>
      </c>
      <c r="I68" s="21">
        <f>ROUND('Operation Inventory (Rice)'!H68*$B68/(1-$B68), 0)</f>
        <v>0</v>
      </c>
      <c r="J68" s="21">
        <f>ROUND('Operation Inventory (Rice)'!I68*$B68/(1-$B68), 0)</f>
        <v>10</v>
      </c>
      <c r="K68" s="21">
        <f>ROUND('Operation Inventory (Rice)'!J68*$B68/(1-$B68), 0)</f>
        <v>5</v>
      </c>
      <c r="L68" s="21">
        <f>ROUND('Operation Inventory (Rice)'!K68*$B68/(1-$B68), 0)</f>
        <v>5</v>
      </c>
      <c r="M68" s="21">
        <f>ROUND('Operation Inventory (Rice)'!L68*$B68/(1-$B68), 0)</f>
        <v>39</v>
      </c>
      <c r="N68" s="21">
        <f>ROUND('Operation Inventory (Rice)'!M68*$B68/(1-$B68), 0)</f>
        <v>0</v>
      </c>
    </row>
    <row r="69" spans="1:14">
      <c r="A69" s="27" t="s">
        <v>96</v>
      </c>
      <c r="B69" s="39">
        <v>0.83</v>
      </c>
      <c r="C69" s="21">
        <f>ROUND('Operation Inventory (Rice)'!B69*$B69/(1-$B69), 0)</f>
        <v>103</v>
      </c>
      <c r="D69" s="21">
        <f>ROUND('Operation Inventory (Rice)'!C69*$B69/(1-$B69), 0)</f>
        <v>352</v>
      </c>
      <c r="E69" s="21">
        <f>ROUND('Operation Inventory (Rice)'!D69*$B69/(1-$B69), 0)</f>
        <v>200</v>
      </c>
      <c r="F69" s="21">
        <f>ROUND('Operation Inventory (Rice)'!E69*$B69/(1-$B69), 0)</f>
        <v>49</v>
      </c>
      <c r="G69" s="21">
        <f>ROUND('Operation Inventory (Rice)'!F69*$B69/(1-$B69), 0)</f>
        <v>0</v>
      </c>
      <c r="H69" s="21">
        <f>ROUND('Operation Inventory (Rice)'!G69*$B69/(1-$B69), 0)</f>
        <v>39</v>
      </c>
      <c r="I69" s="21">
        <f>ROUND('Operation Inventory (Rice)'!H69*$B69/(1-$B69), 0)</f>
        <v>15</v>
      </c>
      <c r="J69" s="21">
        <f>ROUND('Operation Inventory (Rice)'!I69*$B69/(1-$B69), 0)</f>
        <v>24</v>
      </c>
      <c r="K69" s="21">
        <f>ROUND('Operation Inventory (Rice)'!J69*$B69/(1-$B69), 0)</f>
        <v>44</v>
      </c>
      <c r="L69" s="21">
        <f>ROUND('Operation Inventory (Rice)'!K69*$B69/(1-$B69), 0)</f>
        <v>5</v>
      </c>
      <c r="M69" s="21">
        <f>ROUND('Operation Inventory (Rice)'!L69*$B69/(1-$B69), 0)</f>
        <v>132</v>
      </c>
      <c r="N69" s="21">
        <f>ROUND('Operation Inventory (Rice)'!M69*$B69/(1-$B69), 0)</f>
        <v>0</v>
      </c>
    </row>
    <row r="70" spans="1:14">
      <c r="A70" s="27" t="s">
        <v>212</v>
      </c>
      <c r="B70" s="39">
        <v>0.83</v>
      </c>
      <c r="C70" s="21">
        <f>ROUND('Operation Inventory (Rice)'!B70*$B70/(1-$B70), 0)</f>
        <v>166</v>
      </c>
      <c r="D70" s="21">
        <f>ROUND('Operation Inventory (Rice)'!C70*$B70/(1-$B70), 0)</f>
        <v>190</v>
      </c>
      <c r="E70" s="21">
        <f>ROUND('Operation Inventory (Rice)'!D70*$B70/(1-$B70), 0)</f>
        <v>239</v>
      </c>
      <c r="F70" s="21">
        <f>ROUND('Operation Inventory (Rice)'!E70*$B70/(1-$B70), 0)</f>
        <v>49</v>
      </c>
      <c r="G70" s="21">
        <f>ROUND('Operation Inventory (Rice)'!F70*$B70/(1-$B70), 0)</f>
        <v>5</v>
      </c>
      <c r="H70" s="21">
        <f>ROUND('Operation Inventory (Rice)'!G70*$B70/(1-$B70), 0)</f>
        <v>15</v>
      </c>
      <c r="I70" s="21">
        <f>ROUND('Operation Inventory (Rice)'!H70*$B70/(1-$B70), 0)</f>
        <v>0</v>
      </c>
      <c r="J70" s="21">
        <f>ROUND('Operation Inventory (Rice)'!I70*$B70/(1-$B70), 0)</f>
        <v>5</v>
      </c>
      <c r="K70" s="21">
        <f>ROUND('Operation Inventory (Rice)'!J70*$B70/(1-$B70), 0)</f>
        <v>54</v>
      </c>
      <c r="L70" s="21">
        <f>ROUND('Operation Inventory (Rice)'!K70*$B70/(1-$B70), 0)</f>
        <v>24</v>
      </c>
      <c r="M70" s="21">
        <f>ROUND('Operation Inventory (Rice)'!L70*$B70/(1-$B70), 0)</f>
        <v>54</v>
      </c>
      <c r="N70" s="21">
        <f>ROUND('Operation Inventory (Rice)'!M70*$B70/(1-$B70), 0)</f>
        <v>0</v>
      </c>
    </row>
    <row r="71" spans="1:14">
      <c r="A71" s="27" t="s">
        <v>49</v>
      </c>
      <c r="B71" s="39">
        <v>0.83</v>
      </c>
      <c r="C71" s="21">
        <f>ROUND('Operation Inventory (Rice)'!B71*$B71/(1-$B71), 0)</f>
        <v>181</v>
      </c>
      <c r="D71" s="21">
        <f>ROUND('Operation Inventory (Rice)'!C71*$B71/(1-$B71), 0)</f>
        <v>98</v>
      </c>
      <c r="E71" s="21">
        <f>ROUND('Operation Inventory (Rice)'!D71*$B71/(1-$B71), 0)</f>
        <v>176</v>
      </c>
      <c r="F71" s="21">
        <f>ROUND('Operation Inventory (Rice)'!E71*$B71/(1-$B71), 0)</f>
        <v>10</v>
      </c>
      <c r="G71" s="21">
        <f>ROUND('Operation Inventory (Rice)'!F71*$B71/(1-$B71), 0)</f>
        <v>0</v>
      </c>
      <c r="H71" s="21">
        <f>ROUND('Operation Inventory (Rice)'!G71*$B71/(1-$B71), 0)</f>
        <v>20</v>
      </c>
      <c r="I71" s="21">
        <f>ROUND('Operation Inventory (Rice)'!H71*$B71/(1-$B71), 0)</f>
        <v>210</v>
      </c>
      <c r="J71" s="21">
        <f>ROUND('Operation Inventory (Rice)'!I71*$B71/(1-$B71), 0)</f>
        <v>0</v>
      </c>
      <c r="K71" s="21">
        <f>ROUND('Operation Inventory (Rice)'!J71*$B71/(1-$B71), 0)</f>
        <v>44</v>
      </c>
      <c r="L71" s="21">
        <f>ROUND('Operation Inventory (Rice)'!K71*$B71/(1-$B71), 0)</f>
        <v>0</v>
      </c>
      <c r="M71" s="21">
        <f>ROUND('Operation Inventory (Rice)'!L71*$B71/(1-$B71), 0)</f>
        <v>273</v>
      </c>
      <c r="N71" s="21">
        <f>ROUND('Operation Inventory (Rice)'!M71*$B71/(1-$B71), 0)</f>
        <v>0</v>
      </c>
    </row>
    <row r="72" spans="1:14">
      <c r="A72" s="27" t="s">
        <v>50</v>
      </c>
      <c r="B72" s="39">
        <v>0.83</v>
      </c>
      <c r="C72" s="21">
        <f>ROUND('Operation Inventory (Rice)'!B72*$B72/(1-$B72), 0)</f>
        <v>410</v>
      </c>
      <c r="D72" s="21">
        <f>ROUND('Operation Inventory (Rice)'!C72*$B72/(1-$B72), 0)</f>
        <v>190</v>
      </c>
      <c r="E72" s="21">
        <f>ROUND('Operation Inventory (Rice)'!D72*$B72/(1-$B72), 0)</f>
        <v>718</v>
      </c>
      <c r="F72" s="21">
        <f>ROUND('Operation Inventory (Rice)'!E72*$B72/(1-$B72), 0)</f>
        <v>29</v>
      </c>
      <c r="G72" s="21">
        <f>ROUND('Operation Inventory (Rice)'!F72*$B72/(1-$B72), 0)</f>
        <v>5</v>
      </c>
      <c r="H72" s="21">
        <f>ROUND('Operation Inventory (Rice)'!G72*$B72/(1-$B72), 0)</f>
        <v>142</v>
      </c>
      <c r="I72" s="21">
        <f>ROUND('Operation Inventory (Rice)'!H72*$B72/(1-$B72), 0)</f>
        <v>278</v>
      </c>
      <c r="J72" s="21">
        <f>ROUND('Operation Inventory (Rice)'!I72*$B72/(1-$B72), 0)</f>
        <v>20</v>
      </c>
      <c r="K72" s="21">
        <f>ROUND('Operation Inventory (Rice)'!J72*$B72/(1-$B72), 0)</f>
        <v>225</v>
      </c>
      <c r="L72" s="21">
        <f>ROUND('Operation Inventory (Rice)'!K72*$B72/(1-$B72), 0)</f>
        <v>0</v>
      </c>
      <c r="M72" s="21">
        <f>ROUND('Operation Inventory (Rice)'!L72*$B72/(1-$B72), 0)</f>
        <v>205</v>
      </c>
      <c r="N72" s="21">
        <f>ROUND('Operation Inventory (Rice)'!M72*$B72/(1-$B72), 0)</f>
        <v>0</v>
      </c>
    </row>
    <row r="73" spans="1:14">
      <c r="A73" s="27" t="s">
        <v>51</v>
      </c>
      <c r="B73" s="39">
        <v>0.83</v>
      </c>
      <c r="C73" s="21">
        <f>ROUND('Operation Inventory (Rice)'!B73*$B73/(1-$B73), 0)</f>
        <v>395</v>
      </c>
      <c r="D73" s="21">
        <f>ROUND('Operation Inventory (Rice)'!C73*$B73/(1-$B73), 0)</f>
        <v>269</v>
      </c>
      <c r="E73" s="21">
        <f>ROUND('Operation Inventory (Rice)'!D73*$B73/(1-$B73), 0)</f>
        <v>2065</v>
      </c>
      <c r="F73" s="21">
        <f>ROUND('Operation Inventory (Rice)'!E73*$B73/(1-$B73), 0)</f>
        <v>34</v>
      </c>
      <c r="G73" s="21">
        <f>ROUND('Operation Inventory (Rice)'!F73*$B73/(1-$B73), 0)</f>
        <v>15</v>
      </c>
      <c r="H73" s="21">
        <f>ROUND('Operation Inventory (Rice)'!G73*$B73/(1-$B73), 0)</f>
        <v>166</v>
      </c>
      <c r="I73" s="21">
        <f>ROUND('Operation Inventory (Rice)'!H73*$B73/(1-$B73), 0)</f>
        <v>361</v>
      </c>
      <c r="J73" s="21">
        <f>ROUND('Operation Inventory (Rice)'!I73*$B73/(1-$B73), 0)</f>
        <v>20</v>
      </c>
      <c r="K73" s="21">
        <f>ROUND('Operation Inventory (Rice)'!J73*$B73/(1-$B73), 0)</f>
        <v>225</v>
      </c>
      <c r="L73" s="21">
        <f>ROUND('Operation Inventory (Rice)'!K73*$B73/(1-$B73), 0)</f>
        <v>5</v>
      </c>
      <c r="M73" s="21">
        <f>ROUND('Operation Inventory (Rice)'!L73*$B73/(1-$B73), 0)</f>
        <v>249</v>
      </c>
      <c r="N73" s="21">
        <f>ROUND('Operation Inventory (Rice)'!M73*$B73/(1-$B73), 0)</f>
        <v>0</v>
      </c>
    </row>
    <row r="74" spans="1:14">
      <c r="A74" s="27" t="s">
        <v>213</v>
      </c>
      <c r="B74" s="39">
        <v>0.83</v>
      </c>
      <c r="C74" s="21">
        <f>ROUND('Operation Inventory (Rice)'!B74*$B74/(1-$B74), 0)</f>
        <v>762</v>
      </c>
      <c r="D74" s="21">
        <f>ROUND('Operation Inventory (Rice)'!C74*$B74/(1-$B74), 0)</f>
        <v>366</v>
      </c>
      <c r="E74" s="21">
        <f>ROUND('Operation Inventory (Rice)'!D74*$B74/(1-$B74), 0)</f>
        <v>2309</v>
      </c>
      <c r="F74" s="21">
        <f>ROUND('Operation Inventory (Rice)'!E74*$B74/(1-$B74), 0)</f>
        <v>29</v>
      </c>
      <c r="G74" s="21">
        <f>ROUND('Operation Inventory (Rice)'!F74*$B74/(1-$B74), 0)</f>
        <v>0</v>
      </c>
      <c r="H74" s="21">
        <f>ROUND('Operation Inventory (Rice)'!G74*$B74/(1-$B74), 0)</f>
        <v>205</v>
      </c>
      <c r="I74" s="21">
        <f>ROUND('Operation Inventory (Rice)'!H74*$B74/(1-$B74), 0)</f>
        <v>903</v>
      </c>
      <c r="J74" s="21">
        <f>ROUND('Operation Inventory (Rice)'!I74*$B74/(1-$B74), 0)</f>
        <v>34</v>
      </c>
      <c r="K74" s="21">
        <f>ROUND('Operation Inventory (Rice)'!J74*$B74/(1-$B74), 0)</f>
        <v>332</v>
      </c>
      <c r="L74" s="21">
        <f>ROUND('Operation Inventory (Rice)'!K74*$B74/(1-$B74), 0)</f>
        <v>5</v>
      </c>
      <c r="M74" s="21">
        <f>ROUND('Operation Inventory (Rice)'!L74*$B74/(1-$B74), 0)</f>
        <v>395</v>
      </c>
      <c r="N74" s="21">
        <f>ROUND('Operation Inventory (Rice)'!M74*$B74/(1-$B74), 0)</f>
        <v>5</v>
      </c>
    </row>
    <row r="75" spans="1:14">
      <c r="A75" s="27" t="s">
        <v>145</v>
      </c>
      <c r="B75" s="39">
        <v>0.83</v>
      </c>
      <c r="C75" s="21">
        <f>ROUND('Operation Inventory (Rice)'!B75*$B75/(1-$B75), 0)</f>
        <v>190</v>
      </c>
      <c r="D75" s="21">
        <f>ROUND('Operation Inventory (Rice)'!C75*$B75/(1-$B75), 0)</f>
        <v>391</v>
      </c>
      <c r="E75" s="21">
        <f>ROUND('Operation Inventory (Rice)'!D75*$B75/(1-$B75), 0)</f>
        <v>1274</v>
      </c>
      <c r="F75" s="21">
        <f>ROUND('Operation Inventory (Rice)'!E75*$B75/(1-$B75), 0)</f>
        <v>5</v>
      </c>
      <c r="G75" s="21">
        <f>ROUND('Operation Inventory (Rice)'!F75*$B75/(1-$B75), 0)</f>
        <v>29</v>
      </c>
      <c r="H75" s="21">
        <f>ROUND('Operation Inventory (Rice)'!G75*$B75/(1-$B75), 0)</f>
        <v>342</v>
      </c>
      <c r="I75" s="21">
        <f>ROUND('Operation Inventory (Rice)'!H75*$B75/(1-$B75), 0)</f>
        <v>44</v>
      </c>
      <c r="J75" s="21">
        <f>ROUND('Operation Inventory (Rice)'!I75*$B75/(1-$B75), 0)</f>
        <v>181</v>
      </c>
      <c r="K75" s="21">
        <f>ROUND('Operation Inventory (Rice)'!J75*$B75/(1-$B75), 0)</f>
        <v>249</v>
      </c>
      <c r="L75" s="21">
        <f>ROUND('Operation Inventory (Rice)'!K75*$B75/(1-$B75), 0)</f>
        <v>5</v>
      </c>
      <c r="M75" s="21">
        <f>ROUND('Operation Inventory (Rice)'!L75*$B75/(1-$B75), 0)</f>
        <v>322</v>
      </c>
      <c r="N75" s="21">
        <f>ROUND('Operation Inventory (Rice)'!M75*$B75/(1-$B75), 0)</f>
        <v>0</v>
      </c>
    </row>
    <row r="76" spans="1:14">
      <c r="A76" s="27" t="s">
        <v>204</v>
      </c>
      <c r="B76" s="39">
        <v>0.83</v>
      </c>
      <c r="C76" s="21">
        <f>ROUND('Operation Inventory (Rice)'!B76*$B76/(1-$B76), 0)</f>
        <v>405</v>
      </c>
      <c r="D76" s="21">
        <f>ROUND('Operation Inventory (Rice)'!C76*$B76/(1-$B76), 0)</f>
        <v>625</v>
      </c>
      <c r="E76" s="21">
        <f>ROUND('Operation Inventory (Rice)'!D76*$B76/(1-$B76), 0)</f>
        <v>1650</v>
      </c>
      <c r="F76" s="21">
        <f>ROUND('Operation Inventory (Rice)'!E76*$B76/(1-$B76), 0)</f>
        <v>0</v>
      </c>
      <c r="G76" s="21">
        <f>ROUND('Operation Inventory (Rice)'!F76*$B76/(1-$B76), 0)</f>
        <v>44</v>
      </c>
      <c r="H76" s="21">
        <f>ROUND('Operation Inventory (Rice)'!G76*$B76/(1-$B76), 0)</f>
        <v>435</v>
      </c>
      <c r="I76" s="21">
        <f>ROUND('Operation Inventory (Rice)'!H76*$B76/(1-$B76), 0)</f>
        <v>98</v>
      </c>
      <c r="J76" s="21">
        <f>ROUND('Operation Inventory (Rice)'!I76*$B76/(1-$B76), 0)</f>
        <v>122</v>
      </c>
      <c r="K76" s="21">
        <f>ROUND('Operation Inventory (Rice)'!J76*$B76/(1-$B76), 0)</f>
        <v>361</v>
      </c>
      <c r="L76" s="21">
        <f>ROUND('Operation Inventory (Rice)'!K76*$B76/(1-$B76), 0)</f>
        <v>10</v>
      </c>
      <c r="M76" s="21">
        <f>ROUND('Operation Inventory (Rice)'!L76*$B76/(1-$B76), 0)</f>
        <v>376</v>
      </c>
      <c r="N76" s="21">
        <f>ROUND('Operation Inventory (Rice)'!M76*$B76/(1-$B76), 0)</f>
        <v>0</v>
      </c>
    </row>
    <row r="77" spans="1:14">
      <c r="A77" s="27" t="s">
        <v>52</v>
      </c>
      <c r="B77" s="39">
        <v>0.83</v>
      </c>
      <c r="C77" s="21">
        <f>ROUND('Operation Inventory (Rice)'!B77*$B77/(1-$B77), 0)</f>
        <v>39</v>
      </c>
      <c r="D77" s="21">
        <f>ROUND('Operation Inventory (Rice)'!C77*$B77/(1-$B77), 0)</f>
        <v>137</v>
      </c>
      <c r="E77" s="21">
        <f>ROUND('Operation Inventory (Rice)'!D77*$B77/(1-$B77), 0)</f>
        <v>303</v>
      </c>
      <c r="F77" s="21">
        <f>ROUND('Operation Inventory (Rice)'!E77*$B77/(1-$B77), 0)</f>
        <v>0</v>
      </c>
      <c r="G77" s="21">
        <f>ROUND('Operation Inventory (Rice)'!F77*$B77/(1-$B77), 0)</f>
        <v>0</v>
      </c>
      <c r="H77" s="21">
        <f>ROUND('Operation Inventory (Rice)'!G77*$B77/(1-$B77), 0)</f>
        <v>39</v>
      </c>
      <c r="I77" s="21">
        <f>ROUND('Operation Inventory (Rice)'!H77*$B77/(1-$B77), 0)</f>
        <v>5</v>
      </c>
      <c r="J77" s="21">
        <f>ROUND('Operation Inventory (Rice)'!I77*$B77/(1-$B77), 0)</f>
        <v>78</v>
      </c>
      <c r="K77" s="21">
        <f>ROUND('Operation Inventory (Rice)'!J77*$B77/(1-$B77), 0)</f>
        <v>15</v>
      </c>
      <c r="L77" s="21">
        <f>ROUND('Operation Inventory (Rice)'!K77*$B77/(1-$B77), 0)</f>
        <v>5</v>
      </c>
      <c r="M77" s="21">
        <f>ROUND('Operation Inventory (Rice)'!L77*$B77/(1-$B77), 0)</f>
        <v>93</v>
      </c>
      <c r="N77" s="21">
        <f>ROUND('Operation Inventory (Rice)'!M77*$B77/(1-$B77), 0)</f>
        <v>0</v>
      </c>
    </row>
    <row r="78" spans="1:14">
      <c r="A78" s="27" t="s">
        <v>205</v>
      </c>
      <c r="B78" s="39">
        <v>0.83</v>
      </c>
      <c r="C78" s="21">
        <f>ROUND('Operation Inventory (Rice)'!B78*$B78/(1-$B78), 0)</f>
        <v>122</v>
      </c>
      <c r="D78" s="21">
        <f>ROUND('Operation Inventory (Rice)'!C78*$B78/(1-$B78), 0)</f>
        <v>205</v>
      </c>
      <c r="E78" s="21">
        <f>ROUND('Operation Inventory (Rice)'!D78*$B78/(1-$B78), 0)</f>
        <v>869</v>
      </c>
      <c r="F78" s="21">
        <f>ROUND('Operation Inventory (Rice)'!E78*$B78/(1-$B78), 0)</f>
        <v>0</v>
      </c>
      <c r="G78" s="21">
        <f>ROUND('Operation Inventory (Rice)'!F78*$B78/(1-$B78), 0)</f>
        <v>0</v>
      </c>
      <c r="H78" s="21">
        <f>ROUND('Operation Inventory (Rice)'!G78*$B78/(1-$B78), 0)</f>
        <v>112</v>
      </c>
      <c r="I78" s="21">
        <f>ROUND('Operation Inventory (Rice)'!H78*$B78/(1-$B78), 0)</f>
        <v>78</v>
      </c>
      <c r="J78" s="21">
        <f>ROUND('Operation Inventory (Rice)'!I78*$B78/(1-$B78), 0)</f>
        <v>93</v>
      </c>
      <c r="K78" s="21">
        <f>ROUND('Operation Inventory (Rice)'!J78*$B78/(1-$B78), 0)</f>
        <v>88</v>
      </c>
      <c r="L78" s="21">
        <f>ROUND('Operation Inventory (Rice)'!K78*$B78/(1-$B78), 0)</f>
        <v>10</v>
      </c>
      <c r="M78" s="21">
        <f>ROUND('Operation Inventory (Rice)'!L78*$B78/(1-$B78), 0)</f>
        <v>210</v>
      </c>
      <c r="N78" s="21">
        <f>ROUND('Operation Inventory (Rice)'!M78*$B78/(1-$B78), 0)</f>
        <v>0</v>
      </c>
    </row>
    <row r="79" spans="1:14">
      <c r="A79" s="27" t="s">
        <v>206</v>
      </c>
      <c r="B79" s="39">
        <v>0.83</v>
      </c>
      <c r="C79" s="21">
        <f>ROUND('Operation Inventory (Rice)'!B79*$B79/(1-$B79), 0)</f>
        <v>142</v>
      </c>
      <c r="D79" s="21">
        <f>ROUND('Operation Inventory (Rice)'!C79*$B79/(1-$B79), 0)</f>
        <v>327</v>
      </c>
      <c r="E79" s="21">
        <f>ROUND('Operation Inventory (Rice)'!D79*$B79/(1-$B79), 0)</f>
        <v>659</v>
      </c>
      <c r="F79" s="21">
        <f>ROUND('Operation Inventory (Rice)'!E79*$B79/(1-$B79), 0)</f>
        <v>0</v>
      </c>
      <c r="G79" s="21">
        <f>ROUND('Operation Inventory (Rice)'!F79*$B79/(1-$B79), 0)</f>
        <v>34</v>
      </c>
      <c r="H79" s="21">
        <f>ROUND('Operation Inventory (Rice)'!G79*$B79/(1-$B79), 0)</f>
        <v>195</v>
      </c>
      <c r="I79" s="21">
        <f>ROUND('Operation Inventory (Rice)'!H79*$B79/(1-$B79), 0)</f>
        <v>5</v>
      </c>
      <c r="J79" s="21">
        <f>ROUND('Operation Inventory (Rice)'!I79*$B79/(1-$B79), 0)</f>
        <v>107</v>
      </c>
      <c r="K79" s="21">
        <f>ROUND('Operation Inventory (Rice)'!J79*$B79/(1-$B79), 0)</f>
        <v>161</v>
      </c>
      <c r="L79" s="21">
        <f>ROUND('Operation Inventory (Rice)'!K79*$B79/(1-$B79), 0)</f>
        <v>5</v>
      </c>
      <c r="M79" s="21">
        <f>ROUND('Operation Inventory (Rice)'!L79*$B79/(1-$B79), 0)</f>
        <v>195</v>
      </c>
      <c r="N79" s="21">
        <f>ROUND('Operation Inventory (Rice)'!M79*$B79/(1-$B79), 0)</f>
        <v>0</v>
      </c>
    </row>
    <row r="80" spans="1:14">
      <c r="A80" s="27" t="s">
        <v>160</v>
      </c>
      <c r="B80" s="39">
        <v>0.83</v>
      </c>
      <c r="C80" s="21">
        <f>ROUND('Operation Inventory (Rice)'!B80*$B80/(1-$B80), 0)</f>
        <v>39</v>
      </c>
      <c r="D80" s="21">
        <f>ROUND('Operation Inventory (Rice)'!C80*$B80/(1-$B80), 0)</f>
        <v>0</v>
      </c>
      <c r="E80" s="21">
        <f>ROUND('Operation Inventory (Rice)'!D80*$B80/(1-$B80), 0)</f>
        <v>0</v>
      </c>
      <c r="F80" s="21">
        <f>ROUND('Operation Inventory (Rice)'!E80*$B80/(1-$B80), 0)</f>
        <v>0</v>
      </c>
      <c r="G80" s="21">
        <f>ROUND('Operation Inventory (Rice)'!F80*$B80/(1-$B80), 0)</f>
        <v>0</v>
      </c>
      <c r="H80" s="21">
        <f>ROUND('Operation Inventory (Rice)'!G80*$B80/(1-$B80), 0)</f>
        <v>0</v>
      </c>
      <c r="I80" s="21">
        <f>ROUND('Operation Inventory (Rice)'!H80*$B80/(1-$B80), 0)</f>
        <v>0</v>
      </c>
      <c r="J80" s="21">
        <f>ROUND('Operation Inventory (Rice)'!I80*$B80/(1-$B80), 0)</f>
        <v>0</v>
      </c>
      <c r="K80" s="21">
        <f>ROUND('Operation Inventory (Rice)'!J80*$B80/(1-$B80), 0)</f>
        <v>0</v>
      </c>
      <c r="L80" s="21">
        <f>ROUND('Operation Inventory (Rice)'!K80*$B80/(1-$B80), 0)</f>
        <v>0</v>
      </c>
      <c r="M80" s="21">
        <f>ROUND('Operation Inventory (Rice)'!L80*$B80/(1-$B80), 0)</f>
        <v>0</v>
      </c>
      <c r="N80" s="21">
        <f>ROUND('Operation Inventory (Rice)'!M80*$B80/(1-$B80), 0)</f>
        <v>0</v>
      </c>
    </row>
    <row r="81" spans="1:14">
      <c r="A81" s="27" t="s">
        <v>203</v>
      </c>
      <c r="B81" s="39">
        <v>0.83</v>
      </c>
      <c r="C81" s="21">
        <f>ROUND('Operation Inventory (Rice)'!B81*$B81/(1-$B81), 0)</f>
        <v>0</v>
      </c>
      <c r="D81" s="21">
        <f>ROUND('Operation Inventory (Rice)'!C81*$B81/(1-$B81), 0)</f>
        <v>0</v>
      </c>
      <c r="E81" s="21">
        <f>ROUND('Operation Inventory (Rice)'!D81*$B81/(1-$B81), 0)</f>
        <v>0</v>
      </c>
      <c r="F81" s="21">
        <f>ROUND('Operation Inventory (Rice)'!E81*$B81/(1-$B81), 0)</f>
        <v>0</v>
      </c>
      <c r="G81" s="21">
        <f>ROUND('Operation Inventory (Rice)'!F81*$B81/(1-$B81), 0)</f>
        <v>0</v>
      </c>
      <c r="H81" s="21">
        <f>ROUND('Operation Inventory (Rice)'!G81*$B81/(1-$B81), 0)</f>
        <v>0</v>
      </c>
      <c r="I81" s="21">
        <f>ROUND('Operation Inventory (Rice)'!H81*$B81/(1-$B81), 0)</f>
        <v>0</v>
      </c>
      <c r="J81" s="21">
        <f>ROUND('Operation Inventory (Rice)'!I81*$B81/(1-$B81), 0)</f>
        <v>0</v>
      </c>
      <c r="K81" s="21">
        <f>ROUND('Operation Inventory (Rice)'!J81*$B81/(1-$B81), 0)</f>
        <v>0</v>
      </c>
      <c r="L81" s="21">
        <f>ROUND('Operation Inventory (Rice)'!K81*$B81/(1-$B81), 0)</f>
        <v>0</v>
      </c>
      <c r="M81" s="21">
        <f>ROUND('Operation Inventory (Rice)'!L81*$B81/(1-$B81), 0)</f>
        <v>0</v>
      </c>
      <c r="N81" s="21">
        <f>ROUND('Operation Inventory (Rice)'!M81*$B81/(1-$B81), 0)</f>
        <v>0</v>
      </c>
    </row>
    <row r="82" spans="1:14">
      <c r="A82" s="27" t="s">
        <v>53</v>
      </c>
      <c r="B82" s="39">
        <v>0.83</v>
      </c>
      <c r="C82" s="21">
        <f>ROUND('Operation Inventory (Rice)'!B82*$B82/(1-$B82), 0)</f>
        <v>5</v>
      </c>
      <c r="D82" s="21">
        <f>ROUND('Operation Inventory (Rice)'!C82*$B82/(1-$B82), 0)</f>
        <v>0</v>
      </c>
      <c r="E82" s="21">
        <f>ROUND('Operation Inventory (Rice)'!D82*$B82/(1-$B82), 0)</f>
        <v>0</v>
      </c>
      <c r="F82" s="21">
        <f>ROUND('Operation Inventory (Rice)'!E82*$B82/(1-$B82), 0)</f>
        <v>0</v>
      </c>
      <c r="G82" s="21">
        <f>ROUND('Operation Inventory (Rice)'!F82*$B82/(1-$B82), 0)</f>
        <v>0</v>
      </c>
      <c r="H82" s="21">
        <f>ROUND('Operation Inventory (Rice)'!G82*$B82/(1-$B82), 0)</f>
        <v>0</v>
      </c>
      <c r="I82" s="21">
        <f>ROUND('Operation Inventory (Rice)'!H82*$B82/(1-$B82), 0)</f>
        <v>0</v>
      </c>
      <c r="J82" s="21">
        <f>ROUND('Operation Inventory (Rice)'!I82*$B82/(1-$B82), 0)</f>
        <v>0</v>
      </c>
      <c r="K82" s="21">
        <f>ROUND('Operation Inventory (Rice)'!J82*$B82/(1-$B82), 0)</f>
        <v>0</v>
      </c>
      <c r="L82" s="21">
        <f>ROUND('Operation Inventory (Rice)'!K82*$B82/(1-$B82), 0)</f>
        <v>0</v>
      </c>
      <c r="M82" s="21">
        <f>ROUND('Operation Inventory (Rice)'!L82*$B82/(1-$B82), 0)</f>
        <v>15</v>
      </c>
      <c r="N82" s="21">
        <f>ROUND('Operation Inventory (Rice)'!M82*$B82/(1-$B82), 0)</f>
        <v>0</v>
      </c>
    </row>
    <row r="83" spans="1:14">
      <c r="B83" s="84">
        <f>AVERAGE(B4:B82)</f>
        <v>0.81370126582278368</v>
      </c>
      <c r="C83" s="12">
        <f>SUM(C4:C82)</f>
        <v>24977</v>
      </c>
      <c r="D83" s="12">
        <f t="shared" ref="D83:N83" si="0">SUM(D4:D82)</f>
        <v>41132</v>
      </c>
      <c r="E83" s="12">
        <f t="shared" si="0"/>
        <v>96776</v>
      </c>
      <c r="F83" s="12">
        <f t="shared" si="0"/>
        <v>2623</v>
      </c>
      <c r="G83" s="12">
        <f t="shared" si="0"/>
        <v>2477</v>
      </c>
      <c r="H83" s="12">
        <f t="shared" si="0"/>
        <v>6624</v>
      </c>
      <c r="I83" s="12">
        <f t="shared" si="0"/>
        <v>10942</v>
      </c>
      <c r="J83" s="12">
        <f t="shared" si="0"/>
        <v>4889</v>
      </c>
      <c r="K83" s="12">
        <f t="shared" si="0"/>
        <v>9129</v>
      </c>
      <c r="L83" s="12">
        <f t="shared" si="0"/>
        <v>1150</v>
      </c>
      <c r="M83" s="12">
        <f t="shared" si="0"/>
        <v>14097</v>
      </c>
      <c r="N83" s="12">
        <f t="shared" si="0"/>
        <v>5</v>
      </c>
    </row>
  </sheetData>
  <mergeCells count="4">
    <mergeCell ref="C1:D1"/>
    <mergeCell ref="F1:H1"/>
    <mergeCell ref="J1:K1"/>
    <mergeCell ref="B2:B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83"/>
  <sheetViews>
    <sheetView topLeftCell="A31" workbookViewId="0">
      <selection activeCell="A50" sqref="A50:XFD51"/>
    </sheetView>
  </sheetViews>
  <sheetFormatPr defaultColWidth="10.77734375" defaultRowHeight="14.4"/>
  <cols>
    <col min="1" max="1" width="20.77734375" customWidth="1"/>
    <col min="2" max="3" width="15.77734375" customWidth="1"/>
    <col min="4" max="5" width="15.77734375" style="3" customWidth="1"/>
    <col min="6" max="8" width="15.77734375" customWidth="1"/>
    <col min="9" max="10" width="15.77734375" style="3" customWidth="1"/>
    <col min="11" max="12" width="15.77734375" customWidth="1"/>
    <col min="13" max="16" width="15.77734375" style="3" customWidth="1"/>
    <col min="17" max="17" width="5.77734375" style="3" customWidth="1"/>
    <col min="18" max="18" width="20.77734375" customWidth="1"/>
    <col min="19" max="31" width="15.77734375" style="31" customWidth="1"/>
  </cols>
  <sheetData>
    <row r="1" spans="1:32" s="17" customFormat="1" ht="28.8">
      <c r="A1" s="16"/>
      <c r="B1" s="623" t="s">
        <v>6</v>
      </c>
      <c r="C1" s="624"/>
      <c r="D1" s="625"/>
      <c r="E1" s="16" t="s">
        <v>5</v>
      </c>
      <c r="F1" s="623" t="s">
        <v>7</v>
      </c>
      <c r="G1" s="624"/>
      <c r="H1" s="624"/>
      <c r="I1" s="625"/>
      <c r="J1" s="16" t="s">
        <v>1</v>
      </c>
      <c r="K1" s="623" t="s">
        <v>3</v>
      </c>
      <c r="L1" s="624"/>
      <c r="M1" s="625"/>
      <c r="N1" s="16" t="s">
        <v>2</v>
      </c>
      <c r="O1" s="16" t="s">
        <v>8</v>
      </c>
      <c r="P1" s="16" t="s">
        <v>248</v>
      </c>
      <c r="R1" s="593" t="s">
        <v>253</v>
      </c>
      <c r="S1" s="630" t="s">
        <v>238</v>
      </c>
      <c r="T1" s="630" t="s">
        <v>239</v>
      </c>
      <c r="U1" s="630" t="s">
        <v>240</v>
      </c>
      <c r="V1" s="630" t="s">
        <v>241</v>
      </c>
      <c r="W1" s="630" t="s">
        <v>236</v>
      </c>
      <c r="X1" s="630" t="s">
        <v>237</v>
      </c>
      <c r="Y1" s="630" t="s">
        <v>242</v>
      </c>
      <c r="Z1" s="630" t="s">
        <v>243</v>
      </c>
      <c r="AA1" s="630" t="s">
        <v>244</v>
      </c>
      <c r="AB1" s="630" t="s">
        <v>245</v>
      </c>
      <c r="AC1" s="630" t="s">
        <v>246</v>
      </c>
      <c r="AD1" s="630" t="s">
        <v>247</v>
      </c>
      <c r="AE1" s="593" t="s">
        <v>254</v>
      </c>
    </row>
    <row r="2" spans="1:32" s="17" customFormat="1" ht="43.2">
      <c r="A2" s="16" t="s">
        <v>249</v>
      </c>
      <c r="B2" s="16">
        <f>'Total Inventory (Rice)'!C2</f>
        <v>1760</v>
      </c>
      <c r="C2" s="16">
        <f>'Total Inventory (Rice)'!D2</f>
        <v>176</v>
      </c>
      <c r="D2" s="626" t="s">
        <v>235</v>
      </c>
      <c r="E2" s="16">
        <f>'Total Inventory (Rice)'!E2</f>
        <v>300</v>
      </c>
      <c r="F2" s="16">
        <f>'Total Inventory (Rice)'!F2</f>
        <v>105.60000000000001</v>
      </c>
      <c r="G2" s="16">
        <f>'Total Inventory (Rice)'!G2</f>
        <v>176</v>
      </c>
      <c r="H2" s="16">
        <f>'Total Inventory (Rice)'!H2</f>
        <v>140.80000000000001</v>
      </c>
      <c r="I2" s="626" t="s">
        <v>7</v>
      </c>
      <c r="J2" s="16">
        <f>'Total Inventory (Rice)'!I2</f>
        <v>64</v>
      </c>
      <c r="K2" s="16">
        <f>'Total Inventory (Rice)'!J2</f>
        <v>96</v>
      </c>
      <c r="L2" s="16">
        <f>'Total Inventory (Rice)'!K2</f>
        <v>3200</v>
      </c>
      <c r="M2" s="626" t="s">
        <v>3</v>
      </c>
      <c r="N2" s="16">
        <f>'Total Inventory (Rice)'!L2</f>
        <v>2160</v>
      </c>
      <c r="O2" s="16">
        <f>'Total Inventory (Rice)'!M2</f>
        <v>176</v>
      </c>
      <c r="P2" s="16">
        <f>'Total Inventory (Rice)'!N2</f>
        <v>360</v>
      </c>
      <c r="R2" s="593"/>
      <c r="S2" s="630"/>
      <c r="T2" s="630"/>
      <c r="U2" s="630"/>
      <c r="V2" s="630"/>
      <c r="W2" s="630"/>
      <c r="X2" s="630"/>
      <c r="Y2" s="630"/>
      <c r="Z2" s="630"/>
      <c r="AA2" s="630"/>
      <c r="AB2" s="630"/>
      <c r="AC2" s="630"/>
      <c r="AD2" s="630"/>
      <c r="AE2" s="593"/>
    </row>
    <row r="3" spans="1:32" s="17" customFormat="1" ht="28.8">
      <c r="A3" s="16" t="s">
        <v>253</v>
      </c>
      <c r="B3" s="16" t="s">
        <v>214</v>
      </c>
      <c r="C3" s="16" t="s">
        <v>215</v>
      </c>
      <c r="D3" s="627"/>
      <c r="E3" s="16" t="s">
        <v>216</v>
      </c>
      <c r="F3" s="16" t="s">
        <v>217</v>
      </c>
      <c r="G3" s="16" t="s">
        <v>218</v>
      </c>
      <c r="H3" s="16" t="s">
        <v>219</v>
      </c>
      <c r="I3" s="627"/>
      <c r="J3" s="16" t="s">
        <v>220</v>
      </c>
      <c r="K3" s="16" t="s">
        <v>167</v>
      </c>
      <c r="L3" s="16" t="s">
        <v>221</v>
      </c>
      <c r="M3" s="627"/>
      <c r="N3" s="16" t="s">
        <v>222</v>
      </c>
      <c r="O3" s="16" t="s">
        <v>8</v>
      </c>
      <c r="P3" s="16" t="s">
        <v>223</v>
      </c>
      <c r="R3" s="593"/>
      <c r="S3" s="630"/>
      <c r="T3" s="630"/>
      <c r="U3" s="630"/>
      <c r="V3" s="630"/>
      <c r="W3" s="630"/>
      <c r="X3" s="630"/>
      <c r="Y3" s="630"/>
      <c r="Z3" s="630"/>
      <c r="AA3" s="630"/>
      <c r="AB3" s="630"/>
      <c r="AC3" s="630"/>
      <c r="AD3" s="630"/>
      <c r="AE3" s="593"/>
    </row>
    <row r="4" spans="1:32">
      <c r="A4" s="5" t="s">
        <v>88</v>
      </c>
      <c r="B4" s="33">
        <f>B$2*'Total Inventory (Rice)'!C4</f>
        <v>80960</v>
      </c>
      <c r="C4" s="33">
        <f>C$2*'Total Inventory (Rice)'!D4</f>
        <v>880</v>
      </c>
      <c r="D4" s="34">
        <f>SUM(B4:C4)</f>
        <v>81840</v>
      </c>
      <c r="E4" s="34">
        <f>E$2*'Total Inventory (Rice)'!E4</f>
        <v>101700</v>
      </c>
      <c r="F4" s="33">
        <f>F$2*'Total Inventory (Rice)'!F4</f>
        <v>1372.8000000000002</v>
      </c>
      <c r="G4" s="33">
        <f>G$2*'Total Inventory (Rice)'!G4</f>
        <v>0</v>
      </c>
      <c r="H4" s="33">
        <f>H$2*'Total Inventory (Rice)'!H4</f>
        <v>0</v>
      </c>
      <c r="I4" s="34">
        <f>SUM(F4:H4)</f>
        <v>1372.8000000000002</v>
      </c>
      <c r="J4" s="34">
        <f>J$2*'Total Inventory (Rice)'!I4</f>
        <v>0</v>
      </c>
      <c r="K4" s="33">
        <f>K$2*'Total Inventory (Rice)'!J4</f>
        <v>0</v>
      </c>
      <c r="L4" s="33">
        <f>L$2*'Total Inventory (Rice)'!K4</f>
        <v>35200</v>
      </c>
      <c r="M4" s="34">
        <f>SUM(K4:L4)</f>
        <v>35200</v>
      </c>
      <c r="N4" s="34">
        <f>N$2*'Total Inventory (Rice)'!L4</f>
        <v>0</v>
      </c>
      <c r="O4" s="34">
        <f>O$2*'Total Inventory (Rice)'!M4</f>
        <v>0</v>
      </c>
      <c r="P4" s="34">
        <f>P$2*'Total Inventory (Rice)'!N4</f>
        <v>0</v>
      </c>
      <c r="Q4" s="35"/>
      <c r="R4" s="5" t="s">
        <v>88</v>
      </c>
      <c r="S4" s="36">
        <f>($I4+0.25*$E4)</f>
        <v>26797.8</v>
      </c>
      <c r="T4" s="36">
        <f>($J4+0.35*$E4)</f>
        <v>35595</v>
      </c>
      <c r="U4" s="36">
        <f>$M4</f>
        <v>35200</v>
      </c>
      <c r="V4" s="36">
        <f>$N4+$O4+$P4</f>
        <v>0</v>
      </c>
      <c r="W4" s="36"/>
      <c r="X4" s="36">
        <f>$D4+(0.4*$E4)</f>
        <v>122520</v>
      </c>
      <c r="Y4" s="36">
        <f>($I4+0.25*$E4)</f>
        <v>26797.8</v>
      </c>
      <c r="Z4" s="36">
        <f>($J4+0.35*$E4)</f>
        <v>35595</v>
      </c>
      <c r="AA4" s="36">
        <f>$M4</f>
        <v>35200</v>
      </c>
      <c r="AB4" s="36">
        <f>$N4+$O4+$P4</f>
        <v>0</v>
      </c>
      <c r="AC4" s="36"/>
      <c r="AD4" s="36">
        <f>$D4+(0.4*$E4)</f>
        <v>122520</v>
      </c>
      <c r="AE4" s="37">
        <f>SUM(S4:AD4)</f>
        <v>440225.6</v>
      </c>
    </row>
    <row r="5" spans="1:32">
      <c r="A5" s="5" t="s">
        <v>85</v>
      </c>
      <c r="B5" s="33">
        <f>B$2*'Total Inventory (Rice)'!C5</f>
        <v>88000</v>
      </c>
      <c r="C5" s="33">
        <f>C$2*'Total Inventory (Rice)'!D5</f>
        <v>3872</v>
      </c>
      <c r="D5" s="34">
        <f t="shared" ref="D5:D68" si="0">SUM(B5:C5)</f>
        <v>91872</v>
      </c>
      <c r="E5" s="34">
        <f>E$2*'Total Inventory (Rice)'!E5</f>
        <v>49800</v>
      </c>
      <c r="F5" s="33">
        <f>F$2*'Total Inventory (Rice)'!F5</f>
        <v>3696.0000000000005</v>
      </c>
      <c r="G5" s="33">
        <f>G$2*'Total Inventory (Rice)'!G5</f>
        <v>0</v>
      </c>
      <c r="H5" s="33">
        <f>H$2*'Total Inventory (Rice)'!H5</f>
        <v>0</v>
      </c>
      <c r="I5" s="34">
        <f t="shared" ref="I5:I68" si="1">SUM(F5:H5)</f>
        <v>3696.0000000000005</v>
      </c>
      <c r="J5" s="34">
        <f>J$2*'Total Inventory (Rice)'!I5</f>
        <v>0</v>
      </c>
      <c r="K5" s="33">
        <f>K$2*'Total Inventory (Rice)'!J5</f>
        <v>0</v>
      </c>
      <c r="L5" s="33">
        <f>L$2*'Total Inventory (Rice)'!K5</f>
        <v>67200</v>
      </c>
      <c r="M5" s="34">
        <f t="shared" ref="M5:M68" si="2">SUM(K5:L5)</f>
        <v>67200</v>
      </c>
      <c r="N5" s="34">
        <f>N$2*'Total Inventory (Rice)'!L5</f>
        <v>0</v>
      </c>
      <c r="O5" s="34">
        <f>O$2*'Total Inventory (Rice)'!M5</f>
        <v>0</v>
      </c>
      <c r="P5" s="34">
        <f>P$2*'Total Inventory (Rice)'!N5</f>
        <v>0</v>
      </c>
      <c r="Q5" s="35"/>
      <c r="R5" s="5" t="s">
        <v>85</v>
      </c>
      <c r="S5" s="36"/>
      <c r="T5" s="36"/>
      <c r="U5" s="36"/>
      <c r="V5" s="36">
        <f>$D5+(0.4*$E5)</f>
        <v>111792</v>
      </c>
      <c r="W5" s="36">
        <f>($I5+0.25*$E5)</f>
        <v>16146</v>
      </c>
      <c r="X5" s="36">
        <f>($J5+0.35*$E5)</f>
        <v>17430</v>
      </c>
      <c r="Y5" s="36">
        <f>$M5</f>
        <v>67200</v>
      </c>
      <c r="Z5" s="36">
        <f>$D5+(0.4*$E5)</f>
        <v>111792</v>
      </c>
      <c r="AA5" s="36">
        <f>($I5+0.25*$E5)</f>
        <v>16146</v>
      </c>
      <c r="AB5" s="36">
        <f>($J5+0.35*$E5)</f>
        <v>17430</v>
      </c>
      <c r="AC5" s="36">
        <f>$M5</f>
        <v>67200</v>
      </c>
      <c r="AD5" s="36">
        <f>$N5+$O5+$P5</f>
        <v>0</v>
      </c>
      <c r="AE5" s="37">
        <f t="shared" ref="AE5:AE68" si="3">SUM(S5:AD5)</f>
        <v>425136</v>
      </c>
    </row>
    <row r="6" spans="1:32">
      <c r="A6" s="5" t="s">
        <v>146</v>
      </c>
      <c r="B6" s="33">
        <f>B$2*'Total Inventory (Rice)'!C6</f>
        <v>0</v>
      </c>
      <c r="C6" s="33">
        <f>C$2*'Total Inventory (Rice)'!D6</f>
        <v>6688</v>
      </c>
      <c r="D6" s="34">
        <f t="shared" si="0"/>
        <v>6688</v>
      </c>
      <c r="E6" s="34">
        <f>E$2*'Total Inventory (Rice)'!E6</f>
        <v>17400</v>
      </c>
      <c r="F6" s="33">
        <f>F$2*'Total Inventory (Rice)'!F6</f>
        <v>1056</v>
      </c>
      <c r="G6" s="33">
        <f>G$2*'Total Inventory (Rice)'!G6</f>
        <v>0</v>
      </c>
      <c r="H6" s="33">
        <f>H$2*'Total Inventory (Rice)'!H6</f>
        <v>0</v>
      </c>
      <c r="I6" s="34">
        <f t="shared" si="1"/>
        <v>1056</v>
      </c>
      <c r="J6" s="34">
        <f>J$2*'Total Inventory (Rice)'!I6</f>
        <v>0</v>
      </c>
      <c r="K6" s="33">
        <f>K$2*'Total Inventory (Rice)'!J6</f>
        <v>0</v>
      </c>
      <c r="L6" s="33">
        <f>L$2*'Total Inventory (Rice)'!K6</f>
        <v>0</v>
      </c>
      <c r="M6" s="34">
        <f t="shared" si="2"/>
        <v>0</v>
      </c>
      <c r="N6" s="34">
        <f>N$2*'Total Inventory (Rice)'!L6</f>
        <v>0</v>
      </c>
      <c r="O6" s="34">
        <f>O$2*'Total Inventory (Rice)'!M6</f>
        <v>0</v>
      </c>
      <c r="P6" s="34">
        <f>P$2*'Total Inventory (Rice)'!N6</f>
        <v>0</v>
      </c>
      <c r="Q6" s="35"/>
      <c r="R6" s="5" t="s">
        <v>146</v>
      </c>
      <c r="S6" s="36">
        <f>$D6+(0.4*$E6)</f>
        <v>13648</v>
      </c>
      <c r="T6" s="36">
        <f>($I6+0.25*$E6)</f>
        <v>5406</v>
      </c>
      <c r="U6" s="36">
        <f>($J6+0.35*$E6)</f>
        <v>6090</v>
      </c>
      <c r="V6" s="36">
        <f>$M6</f>
        <v>0</v>
      </c>
      <c r="W6" s="36">
        <f>$D6+(0.4*$E6)</f>
        <v>13648</v>
      </c>
      <c r="X6" s="36">
        <f>($I6+0.3*$E6)</f>
        <v>6276</v>
      </c>
      <c r="Y6" s="36">
        <f>($J6+0.3*$E6)</f>
        <v>5220</v>
      </c>
      <c r="Z6" s="36">
        <f>$M6</f>
        <v>0</v>
      </c>
      <c r="AA6" s="36">
        <f>$N6+$O6+$P6</f>
        <v>0</v>
      </c>
      <c r="AB6" s="36">
        <f>$D6+(0.4*$E6)</f>
        <v>13648</v>
      </c>
      <c r="AC6" s="36">
        <f>($I6+0.25*$E6)</f>
        <v>5406</v>
      </c>
      <c r="AD6" s="36">
        <f>($J6+0.35*$E6)</f>
        <v>6090</v>
      </c>
      <c r="AE6" s="37">
        <f t="shared" si="3"/>
        <v>75432</v>
      </c>
      <c r="AF6" s="4"/>
    </row>
    <row r="7" spans="1:32">
      <c r="A7" s="5" t="s">
        <v>84</v>
      </c>
      <c r="B7" s="33">
        <f>B$2*'Total Inventory (Rice)'!C7</f>
        <v>107360</v>
      </c>
      <c r="C7" s="33">
        <f>C$2*'Total Inventory (Rice)'!D7</f>
        <v>1760</v>
      </c>
      <c r="D7" s="34">
        <f t="shared" si="0"/>
        <v>109120</v>
      </c>
      <c r="E7" s="34">
        <f>E$2*'Total Inventory (Rice)'!E7</f>
        <v>73500</v>
      </c>
      <c r="F7" s="33">
        <f>F$2*'Total Inventory (Rice)'!F7</f>
        <v>0</v>
      </c>
      <c r="G7" s="33">
        <f>G$2*'Total Inventory (Rice)'!G7</f>
        <v>0</v>
      </c>
      <c r="H7" s="33">
        <f>H$2*'Total Inventory (Rice)'!H7</f>
        <v>0</v>
      </c>
      <c r="I7" s="34">
        <f t="shared" si="1"/>
        <v>0</v>
      </c>
      <c r="J7" s="34">
        <f>J$2*'Total Inventory (Rice)'!I7</f>
        <v>0</v>
      </c>
      <c r="K7" s="33">
        <f>K$2*'Total Inventory (Rice)'!J7</f>
        <v>0</v>
      </c>
      <c r="L7" s="33">
        <f>L$2*'Total Inventory (Rice)'!K7</f>
        <v>25600</v>
      </c>
      <c r="M7" s="34">
        <f t="shared" si="2"/>
        <v>25600</v>
      </c>
      <c r="N7" s="34">
        <f>N$2*'Total Inventory (Rice)'!L7</f>
        <v>0</v>
      </c>
      <c r="O7" s="34">
        <f>O$2*'Total Inventory (Rice)'!M7</f>
        <v>528</v>
      </c>
      <c r="P7" s="34">
        <f>P$2*'Total Inventory (Rice)'!N7</f>
        <v>0</v>
      </c>
      <c r="Q7" s="35"/>
      <c r="R7" s="5" t="s">
        <v>84</v>
      </c>
      <c r="S7" s="38"/>
      <c r="T7" s="38"/>
      <c r="U7" s="38"/>
      <c r="V7" s="38"/>
      <c r="W7" s="36">
        <f>$D7+(0.4*$E7)</f>
        <v>138520</v>
      </c>
      <c r="X7" s="36">
        <f>($I7+0.25*$E7)</f>
        <v>18375</v>
      </c>
      <c r="Y7" s="36">
        <f>($J7+0.35*$E7)</f>
        <v>25725</v>
      </c>
      <c r="Z7" s="36">
        <f>$M7</f>
        <v>25600</v>
      </c>
      <c r="AA7" s="36">
        <f>$D7+(0.4*$E7)</f>
        <v>138520</v>
      </c>
      <c r="AB7" s="36">
        <f>($I7+0.25*$E7)</f>
        <v>18375</v>
      </c>
      <c r="AC7" s="36">
        <f>($J7+0.35*$E7)</f>
        <v>25725</v>
      </c>
      <c r="AD7" s="36">
        <f>$M7</f>
        <v>25600</v>
      </c>
      <c r="AE7" s="37">
        <f t="shared" si="3"/>
        <v>416440</v>
      </c>
    </row>
    <row r="8" spans="1:32">
      <c r="A8" s="5" t="s">
        <v>86</v>
      </c>
      <c r="B8" s="33">
        <f>B$2*'Total Inventory (Rice)'!C8</f>
        <v>65120</v>
      </c>
      <c r="C8" s="33">
        <f>C$2*'Total Inventory (Rice)'!D8</f>
        <v>18656</v>
      </c>
      <c r="D8" s="34">
        <f t="shared" si="0"/>
        <v>83776</v>
      </c>
      <c r="E8" s="34">
        <f>E$2*'Total Inventory (Rice)'!E8</f>
        <v>59400</v>
      </c>
      <c r="F8" s="33">
        <f>F$2*'Total Inventory (Rice)'!F8</f>
        <v>0</v>
      </c>
      <c r="G8" s="33">
        <f>G$2*'Total Inventory (Rice)'!G8</f>
        <v>0</v>
      </c>
      <c r="H8" s="33">
        <f>H$2*'Total Inventory (Rice)'!H8</f>
        <v>0</v>
      </c>
      <c r="I8" s="34">
        <f t="shared" si="1"/>
        <v>0</v>
      </c>
      <c r="J8" s="34">
        <f>J$2*'Total Inventory (Rice)'!I8</f>
        <v>0</v>
      </c>
      <c r="K8" s="33">
        <f>K$2*'Total Inventory (Rice)'!J8</f>
        <v>0</v>
      </c>
      <c r="L8" s="33">
        <f>L$2*'Total Inventory (Rice)'!K8</f>
        <v>51200</v>
      </c>
      <c r="M8" s="34">
        <f t="shared" si="2"/>
        <v>51200</v>
      </c>
      <c r="N8" s="34">
        <f>N$2*'Total Inventory (Rice)'!L8</f>
        <v>0</v>
      </c>
      <c r="O8" s="34">
        <f>O$2*'Total Inventory (Rice)'!M8</f>
        <v>0</v>
      </c>
      <c r="P8" s="34">
        <f>P$2*'Total Inventory (Rice)'!N8</f>
        <v>0</v>
      </c>
      <c r="Q8" s="35"/>
      <c r="R8" s="5" t="s">
        <v>86</v>
      </c>
      <c r="S8" s="36">
        <f>($I8+0.25*$E8)</f>
        <v>14850</v>
      </c>
      <c r="T8" s="36">
        <f>($J8+0.35*$E8)</f>
        <v>20790</v>
      </c>
      <c r="U8" s="36">
        <f>$M8</f>
        <v>51200</v>
      </c>
      <c r="V8" s="38"/>
      <c r="W8" s="38"/>
      <c r="X8" s="38"/>
      <c r="Y8" s="36">
        <f>$D8+(0.4*$E8)</f>
        <v>107536</v>
      </c>
      <c r="Z8" s="36">
        <f>($I8+0.25*$E8)</f>
        <v>14850</v>
      </c>
      <c r="AA8" s="36">
        <f>($J8+0.35*$E8)</f>
        <v>20790</v>
      </c>
      <c r="AB8" s="36">
        <f>$M8</f>
        <v>51200</v>
      </c>
      <c r="AC8" s="38"/>
      <c r="AD8" s="36">
        <f>$D8+(0.4*$E8)</f>
        <v>107536</v>
      </c>
      <c r="AE8" s="37">
        <f t="shared" si="3"/>
        <v>388752</v>
      </c>
    </row>
    <row r="9" spans="1:32">
      <c r="A9" s="5" t="s">
        <v>87</v>
      </c>
      <c r="B9" s="33">
        <f>B$2*'Total Inventory (Rice)'!C9</f>
        <v>56320</v>
      </c>
      <c r="C9" s="33">
        <f>C$2*'Total Inventory (Rice)'!D9</f>
        <v>7392</v>
      </c>
      <c r="D9" s="34">
        <f t="shared" si="0"/>
        <v>63712</v>
      </c>
      <c r="E9" s="34">
        <f>E$2*'Total Inventory (Rice)'!E9</f>
        <v>49800</v>
      </c>
      <c r="F9" s="33">
        <f>F$2*'Total Inventory (Rice)'!F9</f>
        <v>1056</v>
      </c>
      <c r="G9" s="33">
        <f>G$2*'Total Inventory (Rice)'!G9</f>
        <v>0</v>
      </c>
      <c r="H9" s="33">
        <f>H$2*'Total Inventory (Rice)'!H9</f>
        <v>0</v>
      </c>
      <c r="I9" s="34">
        <f t="shared" si="1"/>
        <v>1056</v>
      </c>
      <c r="J9" s="34">
        <f>J$2*'Total Inventory (Rice)'!I9</f>
        <v>0</v>
      </c>
      <c r="K9" s="33">
        <f>K$2*'Total Inventory (Rice)'!J9</f>
        <v>0</v>
      </c>
      <c r="L9" s="33">
        <f>L$2*'Total Inventory (Rice)'!K9</f>
        <v>9600</v>
      </c>
      <c r="M9" s="34">
        <f t="shared" si="2"/>
        <v>9600</v>
      </c>
      <c r="N9" s="34">
        <f>N$2*'Total Inventory (Rice)'!L9</f>
        <v>6480</v>
      </c>
      <c r="O9" s="34">
        <f>O$2*'Total Inventory (Rice)'!M9</f>
        <v>352</v>
      </c>
      <c r="P9" s="34">
        <f>P$2*'Total Inventory (Rice)'!N9</f>
        <v>0</v>
      </c>
      <c r="Q9" s="35"/>
      <c r="R9" s="5" t="s">
        <v>87</v>
      </c>
      <c r="S9" s="36">
        <f t="shared" ref="S9:S15" si="4">$M9</f>
        <v>9600</v>
      </c>
      <c r="T9" s="36">
        <f t="shared" ref="T9:T15" si="5">$N9+$O9+$P9</f>
        <v>6832</v>
      </c>
      <c r="U9" s="38"/>
      <c r="V9" s="38"/>
      <c r="W9" s="36">
        <f>$D9+(0.4*$E9)</f>
        <v>83632</v>
      </c>
      <c r="X9" s="36">
        <f>($I9+0.25*$E9)</f>
        <v>13506</v>
      </c>
      <c r="Y9" s="36">
        <f>($J9+0.35*$E9)</f>
        <v>17430</v>
      </c>
      <c r="Z9" s="36">
        <f>$M9</f>
        <v>9600</v>
      </c>
      <c r="AA9" s="36">
        <f>$N9+$O9+$P9</f>
        <v>6832</v>
      </c>
      <c r="AB9" s="36">
        <f>$D9+(0.4*$E9)</f>
        <v>83632</v>
      </c>
      <c r="AC9" s="36">
        <f t="shared" ref="AC9:AC15" si="6">($I9+0.25*$E9)</f>
        <v>13506</v>
      </c>
      <c r="AD9" s="36">
        <f t="shared" ref="AD9:AD15" si="7">($J9+0.35*$E9)</f>
        <v>17430</v>
      </c>
      <c r="AE9" s="37">
        <f t="shared" si="3"/>
        <v>262000</v>
      </c>
    </row>
    <row r="10" spans="1:32">
      <c r="A10" s="5" t="s">
        <v>11</v>
      </c>
      <c r="B10" s="33">
        <f>B$2*'Total Inventory (Rice)'!C10</f>
        <v>1693120</v>
      </c>
      <c r="C10" s="33">
        <f>C$2*'Total Inventory (Rice)'!D10</f>
        <v>113344</v>
      </c>
      <c r="D10" s="34">
        <f t="shared" si="0"/>
        <v>1806464</v>
      </c>
      <c r="E10" s="34">
        <f>E$2*'Total Inventory (Rice)'!E10</f>
        <v>662100</v>
      </c>
      <c r="F10" s="33">
        <f>F$2*'Total Inventory (Rice)'!F10</f>
        <v>4646.4000000000005</v>
      </c>
      <c r="G10" s="33">
        <f>G$2*'Total Inventory (Rice)'!G10</f>
        <v>26576</v>
      </c>
      <c r="H10" s="33">
        <f>H$2*'Total Inventory (Rice)'!H10</f>
        <v>10982.400000000001</v>
      </c>
      <c r="I10" s="34">
        <f t="shared" si="1"/>
        <v>42204.800000000003</v>
      </c>
      <c r="J10" s="34">
        <f>J$2*'Total Inventory (Rice)'!I10</f>
        <v>0</v>
      </c>
      <c r="K10" s="33">
        <f>K$2*'Total Inventory (Rice)'!J10</f>
        <v>960</v>
      </c>
      <c r="L10" s="33">
        <f>L$2*'Total Inventory (Rice)'!K10</f>
        <v>1062400</v>
      </c>
      <c r="M10" s="34">
        <f t="shared" si="2"/>
        <v>1063360</v>
      </c>
      <c r="N10" s="34">
        <f>N$2*'Total Inventory (Rice)'!L10</f>
        <v>0</v>
      </c>
      <c r="O10" s="34">
        <f>O$2*'Total Inventory (Rice)'!M10</f>
        <v>20592</v>
      </c>
      <c r="P10" s="34">
        <f>P$2*'Total Inventory (Rice)'!N10</f>
        <v>0</v>
      </c>
      <c r="Q10" s="35"/>
      <c r="R10" s="5" t="s">
        <v>11</v>
      </c>
      <c r="S10" s="36">
        <f t="shared" si="4"/>
        <v>1063360</v>
      </c>
      <c r="T10" s="36">
        <f t="shared" si="5"/>
        <v>20592</v>
      </c>
      <c r="U10" s="36">
        <f>$D10+(0.4*$E10)</f>
        <v>2071304</v>
      </c>
      <c r="V10" s="36">
        <f>($I10+0.25*$E10)</f>
        <v>207729.8</v>
      </c>
      <c r="W10" s="36">
        <f>($J10+0.35*$E10)</f>
        <v>231734.99999999997</v>
      </c>
      <c r="X10" s="36">
        <f>$M10</f>
        <v>1063360</v>
      </c>
      <c r="Y10" s="36">
        <f>$N10+$O10+$P10</f>
        <v>20592</v>
      </c>
      <c r="Z10" s="38"/>
      <c r="AA10" s="38"/>
      <c r="AB10" s="36">
        <f>$D10+(0.4*$E10)</f>
        <v>2071304</v>
      </c>
      <c r="AC10" s="36">
        <f t="shared" si="6"/>
        <v>207729.8</v>
      </c>
      <c r="AD10" s="36">
        <f t="shared" si="7"/>
        <v>231734.99999999997</v>
      </c>
      <c r="AE10" s="37">
        <f t="shared" si="3"/>
        <v>7189441.5999999996</v>
      </c>
    </row>
    <row r="11" spans="1:32">
      <c r="A11" s="5" t="s">
        <v>12</v>
      </c>
      <c r="B11" s="33">
        <f>B$2*'Total Inventory (Rice)'!C11</f>
        <v>1186240</v>
      </c>
      <c r="C11" s="33">
        <f>C$2*'Total Inventory (Rice)'!D11</f>
        <v>140096</v>
      </c>
      <c r="D11" s="34">
        <f t="shared" si="0"/>
        <v>1326336</v>
      </c>
      <c r="E11" s="34">
        <f>E$2*'Total Inventory (Rice)'!E11</f>
        <v>678300</v>
      </c>
      <c r="F11" s="33">
        <f>F$2*'Total Inventory (Rice)'!F11</f>
        <v>1584.0000000000002</v>
      </c>
      <c r="G11" s="33">
        <f>G$2*'Total Inventory (Rice)'!G11</f>
        <v>10384</v>
      </c>
      <c r="H11" s="33">
        <f>H$2*'Total Inventory (Rice)'!H11</f>
        <v>6195.2000000000007</v>
      </c>
      <c r="I11" s="34">
        <f t="shared" si="1"/>
        <v>18163.2</v>
      </c>
      <c r="J11" s="34">
        <f>J$2*'Total Inventory (Rice)'!I11</f>
        <v>0</v>
      </c>
      <c r="K11" s="33">
        <f>K$2*'Total Inventory (Rice)'!J11</f>
        <v>960</v>
      </c>
      <c r="L11" s="33">
        <f>L$2*'Total Inventory (Rice)'!K11</f>
        <v>732800</v>
      </c>
      <c r="M11" s="34">
        <f t="shared" si="2"/>
        <v>733760</v>
      </c>
      <c r="N11" s="34">
        <f>N$2*'Total Inventory (Rice)'!L11</f>
        <v>0</v>
      </c>
      <c r="O11" s="34">
        <f>O$2*'Total Inventory (Rice)'!M11</f>
        <v>29216</v>
      </c>
      <c r="P11" s="34">
        <f>P$2*'Total Inventory (Rice)'!N11</f>
        <v>0</v>
      </c>
      <c r="Q11" s="35"/>
      <c r="R11" s="5" t="s">
        <v>12</v>
      </c>
      <c r="S11" s="36">
        <f t="shared" si="4"/>
        <v>733760</v>
      </c>
      <c r="T11" s="36">
        <f t="shared" si="5"/>
        <v>29216</v>
      </c>
      <c r="U11" s="36">
        <f>$D11+(0.4*$E11)</f>
        <v>1597656</v>
      </c>
      <c r="V11" s="36">
        <f>($I11+0.25*$E11)</f>
        <v>187738.2</v>
      </c>
      <c r="W11" s="36">
        <f>($J11+0.35*$E11)</f>
        <v>237404.99999999997</v>
      </c>
      <c r="X11" s="36">
        <f>$M11</f>
        <v>733760</v>
      </c>
      <c r="Y11" s="36">
        <f>$N11+$O11+$P11</f>
        <v>29216</v>
      </c>
      <c r="Z11" s="38"/>
      <c r="AA11" s="38"/>
      <c r="AB11" s="36">
        <f>$D11+(0.4*$E11)</f>
        <v>1597656</v>
      </c>
      <c r="AC11" s="36">
        <f t="shared" si="6"/>
        <v>187738.2</v>
      </c>
      <c r="AD11" s="36">
        <f t="shared" si="7"/>
        <v>237404.99999999997</v>
      </c>
      <c r="AE11" s="37">
        <f t="shared" si="3"/>
        <v>5571550.4000000004</v>
      </c>
    </row>
    <row r="12" spans="1:32">
      <c r="A12" s="5" t="s">
        <v>13</v>
      </c>
      <c r="B12" s="33">
        <f>B$2*'Total Inventory (Rice)'!C12</f>
        <v>1031360</v>
      </c>
      <c r="C12" s="33">
        <f>C$2*'Total Inventory (Rice)'!D12</f>
        <v>91872</v>
      </c>
      <c r="D12" s="34">
        <f t="shared" si="0"/>
        <v>1123232</v>
      </c>
      <c r="E12" s="34">
        <f>E$2*'Total Inventory (Rice)'!E12</f>
        <v>528900</v>
      </c>
      <c r="F12" s="33">
        <f>F$2*'Total Inventory (Rice)'!F12</f>
        <v>2112</v>
      </c>
      <c r="G12" s="33">
        <f>G$2*'Total Inventory (Rice)'!G12</f>
        <v>10384</v>
      </c>
      <c r="H12" s="33">
        <f>H$2*'Total Inventory (Rice)'!H12</f>
        <v>5491.2000000000007</v>
      </c>
      <c r="I12" s="34">
        <f t="shared" si="1"/>
        <v>17987.2</v>
      </c>
      <c r="J12" s="34">
        <f>J$2*'Total Inventory (Rice)'!I12</f>
        <v>0</v>
      </c>
      <c r="K12" s="33">
        <f>K$2*'Total Inventory (Rice)'!J12</f>
        <v>960</v>
      </c>
      <c r="L12" s="33">
        <f>L$2*'Total Inventory (Rice)'!K12</f>
        <v>329600</v>
      </c>
      <c r="M12" s="34">
        <f t="shared" si="2"/>
        <v>330560</v>
      </c>
      <c r="N12" s="34">
        <f>N$2*'Total Inventory (Rice)'!L12</f>
        <v>0</v>
      </c>
      <c r="O12" s="34">
        <f>O$2*'Total Inventory (Rice)'!M12</f>
        <v>20592</v>
      </c>
      <c r="P12" s="34">
        <f>P$2*'Total Inventory (Rice)'!N12</f>
        <v>0</v>
      </c>
      <c r="Q12" s="35"/>
      <c r="R12" s="5" t="s">
        <v>13</v>
      </c>
      <c r="S12" s="36">
        <f t="shared" si="4"/>
        <v>330560</v>
      </c>
      <c r="T12" s="36">
        <f t="shared" si="5"/>
        <v>20592</v>
      </c>
      <c r="U12" s="36">
        <f>$D12+(0.4*$E12)</f>
        <v>1334792</v>
      </c>
      <c r="V12" s="36">
        <f>($I12+0.25*$E12)</f>
        <v>150212.20000000001</v>
      </c>
      <c r="W12" s="36">
        <f>($J12+0.35*$E12)</f>
        <v>185115</v>
      </c>
      <c r="X12" s="36">
        <f>$M12</f>
        <v>330560</v>
      </c>
      <c r="Y12" s="36">
        <f>$N12+$O12+$P12</f>
        <v>20592</v>
      </c>
      <c r="Z12" s="38"/>
      <c r="AA12" s="38"/>
      <c r="AB12" s="36">
        <f>$D12+(0.4*$E12)</f>
        <v>1334792</v>
      </c>
      <c r="AC12" s="36">
        <f t="shared" si="6"/>
        <v>150212.20000000001</v>
      </c>
      <c r="AD12" s="36">
        <f t="shared" si="7"/>
        <v>185115</v>
      </c>
      <c r="AE12" s="37">
        <f t="shared" si="3"/>
        <v>4042542.4000000004</v>
      </c>
    </row>
    <row r="13" spans="1:32">
      <c r="A13" s="5" t="s">
        <v>14</v>
      </c>
      <c r="B13" s="33">
        <f>B$2*'Total Inventory (Rice)'!C13</f>
        <v>4331360</v>
      </c>
      <c r="C13" s="33">
        <f>C$2*'Total Inventory (Rice)'!D13</f>
        <v>288640</v>
      </c>
      <c r="D13" s="34">
        <f t="shared" si="0"/>
        <v>4620000</v>
      </c>
      <c r="E13" s="34">
        <f>E$2*'Total Inventory (Rice)'!E13</f>
        <v>1577400</v>
      </c>
      <c r="F13" s="33">
        <f>F$2*'Total Inventory (Rice)'!F13</f>
        <v>8764.8000000000011</v>
      </c>
      <c r="G13" s="33">
        <f>G$2*'Total Inventory (Rice)'!G13</f>
        <v>56672</v>
      </c>
      <c r="H13" s="33">
        <f>H$2*'Total Inventory (Rice)'!H13</f>
        <v>21260.800000000003</v>
      </c>
      <c r="I13" s="34">
        <f t="shared" si="1"/>
        <v>86697.600000000006</v>
      </c>
      <c r="J13" s="34">
        <f>J$2*'Total Inventory (Rice)'!I13</f>
        <v>0</v>
      </c>
      <c r="K13" s="33">
        <f>K$2*'Total Inventory (Rice)'!J13</f>
        <v>3744</v>
      </c>
      <c r="L13" s="33">
        <f>L$2*'Total Inventory (Rice)'!K13</f>
        <v>2032000</v>
      </c>
      <c r="M13" s="34">
        <f t="shared" si="2"/>
        <v>2035744</v>
      </c>
      <c r="N13" s="34">
        <f>N$2*'Total Inventory (Rice)'!L13</f>
        <v>0</v>
      </c>
      <c r="O13" s="34">
        <f>O$2*'Total Inventory (Rice)'!M13</f>
        <v>90288</v>
      </c>
      <c r="P13" s="34">
        <f>P$2*'Total Inventory (Rice)'!N13</f>
        <v>0</v>
      </c>
      <c r="Q13" s="35"/>
      <c r="R13" s="5" t="s">
        <v>14</v>
      </c>
      <c r="S13" s="36">
        <f t="shared" si="4"/>
        <v>2035744</v>
      </c>
      <c r="T13" s="36">
        <f t="shared" si="5"/>
        <v>90288</v>
      </c>
      <c r="U13" s="36">
        <f>$D13+(0.4*$E13)</f>
        <v>5250960</v>
      </c>
      <c r="V13" s="36">
        <f>($I13+0.25*$E13)</f>
        <v>481047.6</v>
      </c>
      <c r="W13" s="36">
        <f>($J13+0.35*$E13)</f>
        <v>552090</v>
      </c>
      <c r="X13" s="36">
        <f>$M13</f>
        <v>2035744</v>
      </c>
      <c r="Y13" s="36">
        <f>$N13+$O13+$P13</f>
        <v>90288</v>
      </c>
      <c r="Z13" s="38"/>
      <c r="AA13" s="38"/>
      <c r="AB13" s="36">
        <f>$D13+(0.4*$E13)</f>
        <v>5250960</v>
      </c>
      <c r="AC13" s="36">
        <f t="shared" si="6"/>
        <v>481047.6</v>
      </c>
      <c r="AD13" s="36">
        <f t="shared" si="7"/>
        <v>552090</v>
      </c>
      <c r="AE13" s="37">
        <f t="shared" si="3"/>
        <v>16820259.199999999</v>
      </c>
    </row>
    <row r="14" spans="1:32">
      <c r="A14" s="5" t="s">
        <v>10</v>
      </c>
      <c r="B14" s="33">
        <f>B$2*'Total Inventory (Rice)'!C14</f>
        <v>0</v>
      </c>
      <c r="C14" s="33">
        <f>C$2*'Total Inventory (Rice)'!D14</f>
        <v>880</v>
      </c>
      <c r="D14" s="34">
        <f t="shared" si="0"/>
        <v>880</v>
      </c>
      <c r="E14" s="34">
        <f>E$2*'Total Inventory (Rice)'!E14</f>
        <v>1500</v>
      </c>
      <c r="F14" s="33">
        <f>F$2*'Total Inventory (Rice)'!F14</f>
        <v>0</v>
      </c>
      <c r="G14" s="33">
        <f>G$2*'Total Inventory (Rice)'!G14</f>
        <v>0</v>
      </c>
      <c r="H14" s="33">
        <f>H$2*'Total Inventory (Rice)'!H14</f>
        <v>0</v>
      </c>
      <c r="I14" s="34">
        <f t="shared" si="1"/>
        <v>0</v>
      </c>
      <c r="J14" s="34">
        <f>J$2*'Total Inventory (Rice)'!I14</f>
        <v>0</v>
      </c>
      <c r="K14" s="33">
        <f>K$2*'Total Inventory (Rice)'!J14</f>
        <v>0</v>
      </c>
      <c r="L14" s="33">
        <f>L$2*'Total Inventory (Rice)'!K14</f>
        <v>0</v>
      </c>
      <c r="M14" s="34">
        <f t="shared" si="2"/>
        <v>0</v>
      </c>
      <c r="N14" s="34">
        <f>N$2*'Total Inventory (Rice)'!L14</f>
        <v>0</v>
      </c>
      <c r="O14" s="34">
        <f>O$2*'Total Inventory (Rice)'!M14</f>
        <v>0</v>
      </c>
      <c r="P14" s="34">
        <f>P$2*'Total Inventory (Rice)'!N14</f>
        <v>0</v>
      </c>
      <c r="Q14" s="35"/>
      <c r="R14" s="5" t="s">
        <v>10</v>
      </c>
      <c r="S14" s="36">
        <f t="shared" si="4"/>
        <v>0</v>
      </c>
      <c r="T14" s="36">
        <f t="shared" si="5"/>
        <v>0</v>
      </c>
      <c r="U14" s="38"/>
      <c r="V14" s="38"/>
      <c r="W14" s="38"/>
      <c r="X14" s="36">
        <f>$D14+(0.4*$E14)</f>
        <v>1480</v>
      </c>
      <c r="Y14" s="36">
        <f>($I14+0.25*$E14)</f>
        <v>375</v>
      </c>
      <c r="Z14" s="36">
        <f>($J14+0.35*$E14)</f>
        <v>525</v>
      </c>
      <c r="AA14" s="36">
        <f>$M14</f>
        <v>0</v>
      </c>
      <c r="AB14" s="36">
        <f>$N14+$O14+$P14+$D14+(0.4*$E14)</f>
        <v>1480</v>
      </c>
      <c r="AC14" s="36">
        <f t="shared" si="6"/>
        <v>375</v>
      </c>
      <c r="AD14" s="36">
        <f t="shared" si="7"/>
        <v>525</v>
      </c>
      <c r="AE14" s="37">
        <f t="shared" si="3"/>
        <v>4760</v>
      </c>
    </row>
    <row r="15" spans="1:32">
      <c r="A15" s="5" t="s">
        <v>15</v>
      </c>
      <c r="B15" s="33">
        <f>B$2*'Total Inventory (Rice)'!C15</f>
        <v>5001920</v>
      </c>
      <c r="C15" s="33">
        <f>C$2*'Total Inventory (Rice)'!D15</f>
        <v>1692768</v>
      </c>
      <c r="D15" s="34">
        <f t="shared" si="0"/>
        <v>6694688</v>
      </c>
      <c r="E15" s="34">
        <f>E$2*'Total Inventory (Rice)'!E15</f>
        <v>3351300</v>
      </c>
      <c r="F15" s="33">
        <f>F$2*'Total Inventory (Rice)'!F15</f>
        <v>14467.2</v>
      </c>
      <c r="G15" s="33">
        <f>G$2*'Total Inventory (Rice)'!G15</f>
        <v>36080</v>
      </c>
      <c r="H15" s="33">
        <f>H$2*'Total Inventory (Rice)'!H15</f>
        <v>10278.400000000001</v>
      </c>
      <c r="I15" s="34">
        <f t="shared" si="1"/>
        <v>60825.599999999999</v>
      </c>
      <c r="J15" s="34">
        <f>J$2*'Total Inventory (Rice)'!I15</f>
        <v>0</v>
      </c>
      <c r="K15" s="33">
        <f>K$2*'Total Inventory (Rice)'!J15</f>
        <v>9888</v>
      </c>
      <c r="L15" s="33">
        <f>L$2*'Total Inventory (Rice)'!K15</f>
        <v>1811200</v>
      </c>
      <c r="M15" s="34">
        <f t="shared" si="2"/>
        <v>1821088</v>
      </c>
      <c r="N15" s="34">
        <f>N$2*'Total Inventory (Rice)'!L15</f>
        <v>10800</v>
      </c>
      <c r="O15" s="34">
        <f>O$2*'Total Inventory (Rice)'!M15</f>
        <v>9504</v>
      </c>
      <c r="P15" s="34">
        <f>P$2*'Total Inventory (Rice)'!N15</f>
        <v>0</v>
      </c>
      <c r="Q15" s="35"/>
      <c r="R15" s="5" t="s">
        <v>15</v>
      </c>
      <c r="S15" s="36">
        <f t="shared" si="4"/>
        <v>1821088</v>
      </c>
      <c r="T15" s="36">
        <f t="shared" si="5"/>
        <v>20304</v>
      </c>
      <c r="U15" s="38"/>
      <c r="V15" s="38"/>
      <c r="W15" s="38"/>
      <c r="X15" s="36">
        <f>$D15+(0.4*$E15)</f>
        <v>8035208</v>
      </c>
      <c r="Y15" s="36">
        <f>($I15+0.25*$E15)</f>
        <v>898650.6</v>
      </c>
      <c r="Z15" s="36">
        <f>($J15+0.35*$E15)</f>
        <v>1172955</v>
      </c>
      <c r="AA15" s="36">
        <f>$M15</f>
        <v>1821088</v>
      </c>
      <c r="AB15" s="36">
        <f>$N15+$O15+$P15+$D15+(0.4*$E15)</f>
        <v>8055512</v>
      </c>
      <c r="AC15" s="36">
        <f t="shared" si="6"/>
        <v>898650.6</v>
      </c>
      <c r="AD15" s="36">
        <f t="shared" si="7"/>
        <v>1172955</v>
      </c>
      <c r="AE15" s="37">
        <f t="shared" si="3"/>
        <v>23896411.200000003</v>
      </c>
    </row>
    <row r="16" spans="1:32">
      <c r="A16" s="5" t="s">
        <v>16</v>
      </c>
      <c r="B16" s="33">
        <f>B$2*'Total Inventory (Rice)'!C16</f>
        <v>4811840</v>
      </c>
      <c r="C16" s="33">
        <f>C$2*'Total Inventory (Rice)'!D16</f>
        <v>240592</v>
      </c>
      <c r="D16" s="34">
        <f t="shared" si="0"/>
        <v>5052432</v>
      </c>
      <c r="E16" s="34">
        <f>E$2*'Total Inventory (Rice)'!E16</f>
        <v>4073400</v>
      </c>
      <c r="F16" s="33">
        <f>F$2*'Total Inventory (Rice)'!F16</f>
        <v>31996.800000000003</v>
      </c>
      <c r="G16" s="33">
        <f>G$2*'Total Inventory (Rice)'!G16</f>
        <v>98736</v>
      </c>
      <c r="H16" s="33">
        <f>H$2*'Total Inventory (Rice)'!H16</f>
        <v>15769.600000000002</v>
      </c>
      <c r="I16" s="34">
        <f t="shared" si="1"/>
        <v>146502.39999999999</v>
      </c>
      <c r="J16" s="34">
        <f>J$2*'Total Inventory (Rice)'!I16</f>
        <v>0</v>
      </c>
      <c r="K16" s="33">
        <f>K$2*'Total Inventory (Rice)'!J16</f>
        <v>9888</v>
      </c>
      <c r="L16" s="33">
        <f>L$2*'Total Inventory (Rice)'!K16</f>
        <v>1452800</v>
      </c>
      <c r="M16" s="34">
        <f t="shared" si="2"/>
        <v>1462688</v>
      </c>
      <c r="N16" s="34">
        <f>N$2*'Total Inventory (Rice)'!L16</f>
        <v>0</v>
      </c>
      <c r="O16" s="34">
        <f>O$2*'Total Inventory (Rice)'!M16</f>
        <v>18832</v>
      </c>
      <c r="P16" s="34">
        <f>P$2*'Total Inventory (Rice)'!N16</f>
        <v>0</v>
      </c>
      <c r="Q16" s="35"/>
      <c r="R16" s="5" t="s">
        <v>16</v>
      </c>
      <c r="S16" s="36">
        <f>($J16+0.35*$E16)</f>
        <v>1425690</v>
      </c>
      <c r="T16" s="36">
        <f>$M16</f>
        <v>1462688</v>
      </c>
      <c r="U16" s="36">
        <f>$V16</f>
        <v>0</v>
      </c>
      <c r="V16" s="38"/>
      <c r="W16" s="36">
        <f>$D16+(0.4*$E16)</f>
        <v>6681792</v>
      </c>
      <c r="X16" s="36">
        <f>($I16+0.25*$E16)</f>
        <v>1164852.3999999999</v>
      </c>
      <c r="Y16" s="36">
        <f>($J16+0.35*$E16)</f>
        <v>1425690</v>
      </c>
      <c r="Z16" s="36">
        <f>$M16</f>
        <v>1462688</v>
      </c>
      <c r="AA16" s="36">
        <f>$V16</f>
        <v>0</v>
      </c>
      <c r="AB16" s="38"/>
      <c r="AC16" s="36">
        <f>$D16+(0.4*$E16)</f>
        <v>6681792</v>
      </c>
      <c r="AD16" s="36">
        <f>($I16+0.25*$E16)</f>
        <v>1164852.3999999999</v>
      </c>
      <c r="AE16" s="37">
        <f t="shared" si="3"/>
        <v>21470044.799999997</v>
      </c>
    </row>
    <row r="17" spans="1:31">
      <c r="A17" s="5" t="s">
        <v>17</v>
      </c>
      <c r="B17" s="33">
        <f>B$2*'Total Inventory (Rice)'!C17</f>
        <v>1443200</v>
      </c>
      <c r="C17" s="33">
        <f>C$2*'Total Inventory (Rice)'!D17</f>
        <v>167552</v>
      </c>
      <c r="D17" s="34">
        <f t="shared" si="0"/>
        <v>1610752</v>
      </c>
      <c r="E17" s="34">
        <f>E$2*'Total Inventory (Rice)'!E17</f>
        <v>455400</v>
      </c>
      <c r="F17" s="33">
        <f>F$2*'Total Inventory (Rice)'!F17</f>
        <v>4118.4000000000005</v>
      </c>
      <c r="G17" s="33">
        <f>G$2*'Total Inventory (Rice)'!G17</f>
        <v>22352</v>
      </c>
      <c r="H17" s="33">
        <f>H$2*'Total Inventory (Rice)'!H17</f>
        <v>2112</v>
      </c>
      <c r="I17" s="34">
        <f t="shared" si="1"/>
        <v>28582.400000000001</v>
      </c>
      <c r="J17" s="34">
        <f>J$2*'Total Inventory (Rice)'!I17</f>
        <v>0</v>
      </c>
      <c r="K17" s="33">
        <f>K$2*'Total Inventory (Rice)'!J17</f>
        <v>2784</v>
      </c>
      <c r="L17" s="33">
        <f>L$2*'Total Inventory (Rice)'!K17</f>
        <v>780800</v>
      </c>
      <c r="M17" s="34">
        <f t="shared" si="2"/>
        <v>783584</v>
      </c>
      <c r="N17" s="34">
        <f>N$2*'Total Inventory (Rice)'!L17</f>
        <v>0</v>
      </c>
      <c r="O17" s="34">
        <f>O$2*'Total Inventory (Rice)'!M17</f>
        <v>4224</v>
      </c>
      <c r="P17" s="34">
        <f>P$2*'Total Inventory (Rice)'!N17</f>
        <v>0</v>
      </c>
      <c r="Q17" s="35"/>
      <c r="R17" s="5" t="s">
        <v>17</v>
      </c>
      <c r="S17" s="36">
        <f>($I17+0.25*$E17)</f>
        <v>142432.4</v>
      </c>
      <c r="T17" s="36">
        <f>($J17+0.355*$E17)</f>
        <v>161667</v>
      </c>
      <c r="U17" s="36">
        <f>$M17</f>
        <v>783584</v>
      </c>
      <c r="V17" s="36">
        <f>$N17+$O17+$P17</f>
        <v>4224</v>
      </c>
      <c r="W17" s="36">
        <f>$D17+(0.4*$E17)</f>
        <v>1792912</v>
      </c>
      <c r="X17" s="36">
        <f>($I17+0.25*$E17)</f>
        <v>142432.4</v>
      </c>
      <c r="Y17" s="36">
        <f>($J17+0.35*$E17)</f>
        <v>159390</v>
      </c>
      <c r="Z17" s="36">
        <f>$M17</f>
        <v>783584</v>
      </c>
      <c r="AA17" s="36">
        <f>$N17+$O17+$P17</f>
        <v>4224</v>
      </c>
      <c r="AB17" s="38"/>
      <c r="AC17" s="38"/>
      <c r="AD17" s="36">
        <f>$D17+(0.4*$E17)</f>
        <v>1792912</v>
      </c>
      <c r="AE17" s="37">
        <f t="shared" si="3"/>
        <v>5767361.7999999998</v>
      </c>
    </row>
    <row r="18" spans="1:31">
      <c r="A18" s="5" t="s">
        <v>18</v>
      </c>
      <c r="B18" s="33">
        <f>B$2*'Total Inventory (Rice)'!C18</f>
        <v>473440</v>
      </c>
      <c r="C18" s="33">
        <f>C$2*'Total Inventory (Rice)'!D18</f>
        <v>356576</v>
      </c>
      <c r="D18" s="34">
        <f t="shared" si="0"/>
        <v>830016</v>
      </c>
      <c r="E18" s="34">
        <f>E$2*'Total Inventory (Rice)'!E18</f>
        <v>672300</v>
      </c>
      <c r="F18" s="33">
        <f>F$2*'Total Inventory (Rice)'!F18</f>
        <v>6652.8</v>
      </c>
      <c r="G18" s="33">
        <f>G$2*'Total Inventory (Rice)'!G18</f>
        <v>5984</v>
      </c>
      <c r="H18" s="33">
        <f>H$2*'Total Inventory (Rice)'!H18</f>
        <v>2112</v>
      </c>
      <c r="I18" s="34">
        <f t="shared" si="1"/>
        <v>14748.8</v>
      </c>
      <c r="J18" s="34">
        <f>J$2*'Total Inventory (Rice)'!I18</f>
        <v>0</v>
      </c>
      <c r="K18" s="33">
        <f>K$2*'Total Inventory (Rice)'!J18</f>
        <v>0</v>
      </c>
      <c r="L18" s="33">
        <f>L$2*'Total Inventory (Rice)'!K18</f>
        <v>390400</v>
      </c>
      <c r="M18" s="34">
        <f t="shared" si="2"/>
        <v>390400</v>
      </c>
      <c r="N18" s="34">
        <f>N$2*'Total Inventory (Rice)'!L18</f>
        <v>0</v>
      </c>
      <c r="O18" s="34">
        <f>O$2*'Total Inventory (Rice)'!M18</f>
        <v>8624</v>
      </c>
      <c r="P18" s="34">
        <f>P$2*'Total Inventory (Rice)'!N18</f>
        <v>0</v>
      </c>
      <c r="Q18" s="35"/>
      <c r="R18" s="5" t="s">
        <v>18</v>
      </c>
      <c r="S18" s="38"/>
      <c r="T18" s="38"/>
      <c r="U18" s="38"/>
      <c r="V18" s="38"/>
      <c r="W18" s="36">
        <f>$D18+(0.4*$E18)</f>
        <v>1098936</v>
      </c>
      <c r="X18" s="36">
        <f>($I18+0.25*$E18)</f>
        <v>182823.8</v>
      </c>
      <c r="Y18" s="36">
        <f>($J18+0.35*$E18)</f>
        <v>235304.99999999997</v>
      </c>
      <c r="Z18" s="36">
        <f>$M18</f>
        <v>390400</v>
      </c>
      <c r="AA18" s="36">
        <f>$D18+(0.4*$E18)</f>
        <v>1098936</v>
      </c>
      <c r="AB18" s="36">
        <f>($I18+0.25*$E18)</f>
        <v>182823.8</v>
      </c>
      <c r="AC18" s="36">
        <f>($J18+0.35*$E18)</f>
        <v>235304.99999999997</v>
      </c>
      <c r="AD18" s="36">
        <f>$M18</f>
        <v>390400</v>
      </c>
      <c r="AE18" s="37">
        <f t="shared" si="3"/>
        <v>3814929.5999999996</v>
      </c>
    </row>
    <row r="19" spans="1:31">
      <c r="A19" s="5" t="s">
        <v>19</v>
      </c>
      <c r="B19" s="33">
        <f>B$2*'Total Inventory (Rice)'!C19</f>
        <v>343200</v>
      </c>
      <c r="C19" s="33">
        <f>C$2*'Total Inventory (Rice)'!D19</f>
        <v>17248</v>
      </c>
      <c r="D19" s="34">
        <f t="shared" si="0"/>
        <v>360448</v>
      </c>
      <c r="E19" s="34">
        <f>E$2*'Total Inventory (Rice)'!E19</f>
        <v>716100</v>
      </c>
      <c r="F19" s="33">
        <f>F$2*'Total Inventory (Rice)'!F19</f>
        <v>1056</v>
      </c>
      <c r="G19" s="33">
        <f>G$2*'Total Inventory (Rice)'!G19</f>
        <v>0</v>
      </c>
      <c r="H19" s="33">
        <f>H$2*'Total Inventory (Rice)'!H19</f>
        <v>6899.2000000000007</v>
      </c>
      <c r="I19" s="34">
        <f t="shared" si="1"/>
        <v>7955.2000000000007</v>
      </c>
      <c r="J19" s="34">
        <f>J$2*'Total Inventory (Rice)'!I19</f>
        <v>0</v>
      </c>
      <c r="K19" s="33">
        <f>K$2*'Total Inventory (Rice)'!J19</f>
        <v>1920</v>
      </c>
      <c r="L19" s="33">
        <f>L$2*'Total Inventory (Rice)'!K19</f>
        <v>201600</v>
      </c>
      <c r="M19" s="34">
        <f t="shared" si="2"/>
        <v>203520</v>
      </c>
      <c r="N19" s="34">
        <f>N$2*'Total Inventory (Rice)'!L19</f>
        <v>51840</v>
      </c>
      <c r="O19" s="34">
        <f>O$2*'Total Inventory (Rice)'!M19</f>
        <v>4224</v>
      </c>
      <c r="P19" s="34">
        <f>P$2*'Total Inventory (Rice)'!N19</f>
        <v>0</v>
      </c>
      <c r="Q19" s="35"/>
      <c r="R19" s="5" t="s">
        <v>19</v>
      </c>
      <c r="S19" s="36">
        <f t="shared" ref="S19:S26" si="8">($J19+0.35*$E19)</f>
        <v>250634.99999999997</v>
      </c>
      <c r="T19" s="36">
        <f>$M19</f>
        <v>203520</v>
      </c>
      <c r="U19" s="36">
        <f t="shared" ref="U19:U26" si="9">$N19+$O19+$P19</f>
        <v>56064</v>
      </c>
      <c r="V19" s="38"/>
      <c r="W19" s="38"/>
      <c r="X19" s="36">
        <f t="shared" ref="X19:X25" si="10">$D19+(0.4*$E19)</f>
        <v>646888</v>
      </c>
      <c r="Y19" s="36">
        <f t="shared" ref="Y19:Y25" si="11">($I19+0.25*$E19)</f>
        <v>186980.2</v>
      </c>
      <c r="Z19" s="36">
        <f t="shared" ref="Z19:Z25" si="12">($J19+0.35*$E19)</f>
        <v>250634.99999999997</v>
      </c>
      <c r="AA19" s="36">
        <f t="shared" ref="AA19:AA25" si="13">$M19</f>
        <v>203520</v>
      </c>
      <c r="AB19" s="36">
        <f t="shared" ref="AB19:AB25" si="14">$N19+$O19+$P19</f>
        <v>56064</v>
      </c>
      <c r="AC19" s="36">
        <f t="shared" ref="AC19:AC25" si="15">$D19+(0.4*$E19)</f>
        <v>646888</v>
      </c>
      <c r="AD19" s="36">
        <f t="shared" ref="AD19:AD24" si="16">($I19+0.35*$E19)</f>
        <v>258590.19999999998</v>
      </c>
      <c r="AE19" s="37">
        <f t="shared" si="3"/>
        <v>2759784.4000000004</v>
      </c>
    </row>
    <row r="20" spans="1:31">
      <c r="A20" s="5" t="s">
        <v>20</v>
      </c>
      <c r="B20" s="33">
        <f>B$2*'Total Inventory (Rice)'!C20</f>
        <v>223520</v>
      </c>
      <c r="C20" s="33">
        <f>C$2*'Total Inventory (Rice)'!D20</f>
        <v>18832</v>
      </c>
      <c r="D20" s="34">
        <f t="shared" si="0"/>
        <v>242352</v>
      </c>
      <c r="E20" s="34">
        <f>E$2*'Total Inventory (Rice)'!E20</f>
        <v>332400</v>
      </c>
      <c r="F20" s="33">
        <f>F$2*'Total Inventory (Rice)'!F20</f>
        <v>1056</v>
      </c>
      <c r="G20" s="33">
        <f>G$2*'Total Inventory (Rice)'!G20</f>
        <v>0</v>
      </c>
      <c r="H20" s="33">
        <f>H$2*'Total Inventory (Rice)'!H20</f>
        <v>2816</v>
      </c>
      <c r="I20" s="34">
        <f t="shared" si="1"/>
        <v>3872</v>
      </c>
      <c r="J20" s="34">
        <f>J$2*'Total Inventory (Rice)'!I20</f>
        <v>0</v>
      </c>
      <c r="K20" s="33">
        <f>K$2*'Total Inventory (Rice)'!J20</f>
        <v>5184</v>
      </c>
      <c r="L20" s="33">
        <f>L$2*'Total Inventory (Rice)'!K20</f>
        <v>249600</v>
      </c>
      <c r="M20" s="34">
        <f t="shared" si="2"/>
        <v>254784</v>
      </c>
      <c r="N20" s="34">
        <f>N$2*'Total Inventory (Rice)'!L20</f>
        <v>62640</v>
      </c>
      <c r="O20" s="34">
        <f>O$2*'Total Inventory (Rice)'!M20</f>
        <v>4224</v>
      </c>
      <c r="P20" s="34">
        <f>P$2*'Total Inventory (Rice)'!N20</f>
        <v>0</v>
      </c>
      <c r="Q20" s="35"/>
      <c r="R20" s="5" t="s">
        <v>20</v>
      </c>
      <c r="S20" s="36">
        <f t="shared" si="8"/>
        <v>116339.99999999999</v>
      </c>
      <c r="T20" s="36">
        <f>$M20</f>
        <v>254784</v>
      </c>
      <c r="U20" s="36">
        <f t="shared" si="9"/>
        <v>66864</v>
      </c>
      <c r="V20" s="38"/>
      <c r="W20" s="38"/>
      <c r="X20" s="36">
        <f t="shared" si="10"/>
        <v>375312</v>
      </c>
      <c r="Y20" s="36">
        <f t="shared" si="11"/>
        <v>86972</v>
      </c>
      <c r="Z20" s="36">
        <f t="shared" si="12"/>
        <v>116339.99999999999</v>
      </c>
      <c r="AA20" s="36">
        <f t="shared" si="13"/>
        <v>254784</v>
      </c>
      <c r="AB20" s="36">
        <f t="shared" si="14"/>
        <v>66864</v>
      </c>
      <c r="AC20" s="36">
        <f t="shared" si="15"/>
        <v>375312</v>
      </c>
      <c r="AD20" s="36">
        <f t="shared" si="16"/>
        <v>120211.99999999999</v>
      </c>
      <c r="AE20" s="37">
        <f t="shared" si="3"/>
        <v>1833784</v>
      </c>
    </row>
    <row r="21" spans="1:31">
      <c r="A21" s="5" t="s">
        <v>21</v>
      </c>
      <c r="B21" s="33">
        <f>B$2*'Total Inventory (Rice)'!C21</f>
        <v>455840</v>
      </c>
      <c r="C21" s="33">
        <f>C$2*'Total Inventory (Rice)'!D21</f>
        <v>52448</v>
      </c>
      <c r="D21" s="34">
        <f t="shared" si="0"/>
        <v>508288</v>
      </c>
      <c r="E21" s="34">
        <f>E$2*'Total Inventory (Rice)'!E21</f>
        <v>310500</v>
      </c>
      <c r="F21" s="33">
        <f>F$2*'Total Inventory (Rice)'!F21</f>
        <v>2112</v>
      </c>
      <c r="G21" s="33">
        <f>G$2*'Total Inventory (Rice)'!G21</f>
        <v>0</v>
      </c>
      <c r="H21" s="33">
        <f>H$2*'Total Inventory (Rice)'!H21</f>
        <v>15769.600000000002</v>
      </c>
      <c r="I21" s="34">
        <f t="shared" si="1"/>
        <v>17881.600000000002</v>
      </c>
      <c r="J21" s="34">
        <f>J$2*'Total Inventory (Rice)'!I21</f>
        <v>0</v>
      </c>
      <c r="K21" s="33">
        <f>K$2*'Total Inventory (Rice)'!J21</f>
        <v>7008</v>
      </c>
      <c r="L21" s="33">
        <f>L$2*'Total Inventory (Rice)'!K21</f>
        <v>547200</v>
      </c>
      <c r="M21" s="34">
        <f t="shared" si="2"/>
        <v>554208</v>
      </c>
      <c r="N21" s="34">
        <f>N$2*'Total Inventory (Rice)'!L21</f>
        <v>21600</v>
      </c>
      <c r="O21" s="34">
        <f>O$2*'Total Inventory (Rice)'!M21</f>
        <v>5984</v>
      </c>
      <c r="P21" s="34">
        <f>P$2*'Total Inventory (Rice)'!N21</f>
        <v>0</v>
      </c>
      <c r="Q21" s="35"/>
      <c r="R21" s="5" t="s">
        <v>21</v>
      </c>
      <c r="S21" s="36">
        <f t="shared" si="8"/>
        <v>108675</v>
      </c>
      <c r="T21" s="36">
        <f t="shared" ref="S21:T30" si="17">$M21</f>
        <v>554208</v>
      </c>
      <c r="U21" s="36">
        <f t="shared" si="9"/>
        <v>27584</v>
      </c>
      <c r="V21" s="38"/>
      <c r="W21" s="38"/>
      <c r="X21" s="36">
        <f t="shared" si="10"/>
        <v>632488</v>
      </c>
      <c r="Y21" s="36">
        <f t="shared" si="11"/>
        <v>95506.6</v>
      </c>
      <c r="Z21" s="36">
        <f t="shared" si="12"/>
        <v>108675</v>
      </c>
      <c r="AA21" s="36">
        <f t="shared" si="13"/>
        <v>554208</v>
      </c>
      <c r="AB21" s="36">
        <f t="shared" si="14"/>
        <v>27584</v>
      </c>
      <c r="AC21" s="36">
        <f t="shared" si="15"/>
        <v>632488</v>
      </c>
      <c r="AD21" s="36">
        <f t="shared" si="16"/>
        <v>126556.6</v>
      </c>
      <c r="AE21" s="37">
        <f t="shared" si="3"/>
        <v>2867973.2</v>
      </c>
    </row>
    <row r="22" spans="1:31">
      <c r="A22" s="5" t="s">
        <v>22</v>
      </c>
      <c r="B22" s="33">
        <f>B$2*'Total Inventory (Rice)'!C22</f>
        <v>1487200</v>
      </c>
      <c r="C22" s="33">
        <f>C$2*'Total Inventory (Rice)'!D22</f>
        <v>146960</v>
      </c>
      <c r="D22" s="34">
        <f t="shared" si="0"/>
        <v>1634160</v>
      </c>
      <c r="E22" s="34">
        <f>E$2*'Total Inventory (Rice)'!E22</f>
        <v>1578900</v>
      </c>
      <c r="F22" s="33">
        <f>F$2*'Total Inventory (Rice)'!F22</f>
        <v>3062.4</v>
      </c>
      <c r="G22" s="33">
        <f>G$2*'Total Inventory (Rice)'!G22</f>
        <v>880</v>
      </c>
      <c r="H22" s="33">
        <f>H$2*'Total Inventory (Rice)'!H22</f>
        <v>39846.400000000001</v>
      </c>
      <c r="I22" s="34">
        <f t="shared" si="1"/>
        <v>43788.800000000003</v>
      </c>
      <c r="J22" s="34">
        <f>J$2*'Total Inventory (Rice)'!I22</f>
        <v>0</v>
      </c>
      <c r="K22" s="33">
        <f>K$2*'Total Inventory (Rice)'!J22</f>
        <v>21984</v>
      </c>
      <c r="L22" s="33">
        <f>L$2*'Total Inventory (Rice)'!K22</f>
        <v>1577600</v>
      </c>
      <c r="M22" s="34">
        <f t="shared" si="2"/>
        <v>1599584</v>
      </c>
      <c r="N22" s="34">
        <f>N$2*'Total Inventory (Rice)'!L22</f>
        <v>146880</v>
      </c>
      <c r="O22" s="34">
        <f>O$2*'Total Inventory (Rice)'!M22</f>
        <v>15488</v>
      </c>
      <c r="P22" s="34">
        <f>P$2*'Total Inventory (Rice)'!N22</f>
        <v>0</v>
      </c>
      <c r="Q22" s="35"/>
      <c r="R22" s="5" t="s">
        <v>22</v>
      </c>
      <c r="S22" s="36">
        <f t="shared" si="8"/>
        <v>552615</v>
      </c>
      <c r="T22" s="36">
        <f t="shared" si="17"/>
        <v>1599584</v>
      </c>
      <c r="U22" s="36">
        <f t="shared" si="9"/>
        <v>162368</v>
      </c>
      <c r="V22" s="38"/>
      <c r="W22" s="38"/>
      <c r="X22" s="36">
        <f t="shared" si="10"/>
        <v>2265720</v>
      </c>
      <c r="Y22" s="36">
        <f t="shared" si="11"/>
        <v>438513.8</v>
      </c>
      <c r="Z22" s="36">
        <f t="shared" si="12"/>
        <v>552615</v>
      </c>
      <c r="AA22" s="36">
        <f t="shared" si="13"/>
        <v>1599584</v>
      </c>
      <c r="AB22" s="36">
        <f t="shared" si="14"/>
        <v>162368</v>
      </c>
      <c r="AC22" s="36">
        <f t="shared" si="15"/>
        <v>2265720</v>
      </c>
      <c r="AD22" s="36">
        <f t="shared" si="16"/>
        <v>596403.80000000005</v>
      </c>
      <c r="AE22" s="37">
        <f t="shared" si="3"/>
        <v>10195491.600000001</v>
      </c>
    </row>
    <row r="23" spans="1:31">
      <c r="A23" s="5" t="s">
        <v>23</v>
      </c>
      <c r="B23" s="33">
        <f>B$2*'Total Inventory (Rice)'!C23</f>
        <v>619520</v>
      </c>
      <c r="C23" s="33">
        <f>C$2*'Total Inventory (Rice)'!D23</f>
        <v>71280</v>
      </c>
      <c r="D23" s="34">
        <f t="shared" si="0"/>
        <v>690800</v>
      </c>
      <c r="E23" s="34">
        <f>E$2*'Total Inventory (Rice)'!E23</f>
        <v>1038600</v>
      </c>
      <c r="F23" s="33">
        <f>F$2*'Total Inventory (Rice)'!F23</f>
        <v>3062.4</v>
      </c>
      <c r="G23" s="33">
        <f>G$2*'Total Inventory (Rice)'!G23</f>
        <v>0</v>
      </c>
      <c r="H23" s="33">
        <f>H$2*'Total Inventory (Rice)'!H23</f>
        <v>35763.200000000004</v>
      </c>
      <c r="I23" s="34">
        <f t="shared" si="1"/>
        <v>38825.600000000006</v>
      </c>
      <c r="J23" s="34">
        <f>J$2*'Total Inventory (Rice)'!I23</f>
        <v>0</v>
      </c>
      <c r="K23" s="33">
        <f>K$2*'Total Inventory (Rice)'!J23</f>
        <v>10752</v>
      </c>
      <c r="L23" s="33">
        <f>L$2*'Total Inventory (Rice)'!K23</f>
        <v>499200</v>
      </c>
      <c r="M23" s="34">
        <f t="shared" si="2"/>
        <v>509952</v>
      </c>
      <c r="N23" s="34">
        <f>N$2*'Total Inventory (Rice)'!L23</f>
        <v>105840</v>
      </c>
      <c r="O23" s="34">
        <f>O$2*'Total Inventory (Rice)'!M23</f>
        <v>9504</v>
      </c>
      <c r="P23" s="34">
        <f>P$2*'Total Inventory (Rice)'!N23</f>
        <v>0</v>
      </c>
      <c r="Q23" s="35"/>
      <c r="R23" s="5" t="s">
        <v>23</v>
      </c>
      <c r="S23" s="36">
        <f t="shared" si="8"/>
        <v>363510</v>
      </c>
      <c r="T23" s="36">
        <f t="shared" si="17"/>
        <v>509952</v>
      </c>
      <c r="U23" s="36">
        <f t="shared" si="9"/>
        <v>115344</v>
      </c>
      <c r="V23" s="38"/>
      <c r="W23" s="38"/>
      <c r="X23" s="36">
        <f t="shared" si="10"/>
        <v>1106240</v>
      </c>
      <c r="Y23" s="36">
        <f t="shared" si="11"/>
        <v>298475.59999999998</v>
      </c>
      <c r="Z23" s="36">
        <f t="shared" si="12"/>
        <v>363510</v>
      </c>
      <c r="AA23" s="36">
        <f t="shared" si="13"/>
        <v>509952</v>
      </c>
      <c r="AB23" s="36">
        <f t="shared" si="14"/>
        <v>115344</v>
      </c>
      <c r="AC23" s="36">
        <f t="shared" si="15"/>
        <v>1106240</v>
      </c>
      <c r="AD23" s="36">
        <f t="shared" si="16"/>
        <v>402335.6</v>
      </c>
      <c r="AE23" s="37">
        <f t="shared" si="3"/>
        <v>4890903.1999999993</v>
      </c>
    </row>
    <row r="24" spans="1:31">
      <c r="A24" s="5" t="s">
        <v>24</v>
      </c>
      <c r="B24" s="33">
        <f>B$2*'Total Inventory (Rice)'!C24</f>
        <v>816640</v>
      </c>
      <c r="C24" s="33">
        <f>C$2*'Total Inventory (Rice)'!D24</f>
        <v>98736</v>
      </c>
      <c r="D24" s="34">
        <f t="shared" si="0"/>
        <v>915376</v>
      </c>
      <c r="E24" s="34">
        <f>E$2*'Total Inventory (Rice)'!E24</f>
        <v>2188200</v>
      </c>
      <c r="F24" s="33">
        <f>F$2*'Total Inventory (Rice)'!F24</f>
        <v>3062.4</v>
      </c>
      <c r="G24" s="33">
        <f>G$2*'Total Inventory (Rice)'!G24</f>
        <v>0</v>
      </c>
      <c r="H24" s="33">
        <f>H$2*'Total Inventory (Rice)'!H24</f>
        <v>22668.800000000003</v>
      </c>
      <c r="I24" s="34">
        <f t="shared" si="1"/>
        <v>25731.200000000004</v>
      </c>
      <c r="J24" s="34">
        <f>J$2*'Total Inventory (Rice)'!I24</f>
        <v>0</v>
      </c>
      <c r="K24" s="33">
        <f>K$2*'Total Inventory (Rice)'!J24</f>
        <v>11712</v>
      </c>
      <c r="L24" s="33">
        <f>L$2*'Total Inventory (Rice)'!K24</f>
        <v>828800</v>
      </c>
      <c r="M24" s="34">
        <f t="shared" si="2"/>
        <v>840512</v>
      </c>
      <c r="N24" s="34">
        <f>N$2*'Total Inventory (Rice)'!L24</f>
        <v>179280</v>
      </c>
      <c r="O24" s="34">
        <f>O$2*'Total Inventory (Rice)'!M24</f>
        <v>10384</v>
      </c>
      <c r="P24" s="34">
        <f>P$2*'Total Inventory (Rice)'!N24</f>
        <v>0</v>
      </c>
      <c r="Q24" s="35"/>
      <c r="R24" s="5" t="s">
        <v>24</v>
      </c>
      <c r="S24" s="36">
        <f t="shared" si="8"/>
        <v>765870</v>
      </c>
      <c r="T24" s="36">
        <f t="shared" si="17"/>
        <v>840512</v>
      </c>
      <c r="U24" s="36">
        <f t="shared" si="9"/>
        <v>189664</v>
      </c>
      <c r="V24" s="38"/>
      <c r="W24" s="38"/>
      <c r="X24" s="36">
        <f t="shared" si="10"/>
        <v>1790656</v>
      </c>
      <c r="Y24" s="36">
        <f t="shared" si="11"/>
        <v>572781.19999999995</v>
      </c>
      <c r="Z24" s="36">
        <f t="shared" si="12"/>
        <v>765870</v>
      </c>
      <c r="AA24" s="36">
        <f t="shared" si="13"/>
        <v>840512</v>
      </c>
      <c r="AB24" s="36">
        <f t="shared" si="14"/>
        <v>189664</v>
      </c>
      <c r="AC24" s="36">
        <f t="shared" si="15"/>
        <v>1790656</v>
      </c>
      <c r="AD24" s="36">
        <f t="shared" si="16"/>
        <v>791601.2</v>
      </c>
      <c r="AE24" s="37">
        <f t="shared" si="3"/>
        <v>8537786.4000000004</v>
      </c>
    </row>
    <row r="25" spans="1:31">
      <c r="A25" s="5" t="s">
        <v>25</v>
      </c>
      <c r="B25" s="33">
        <f>B$2*'Total Inventory (Rice)'!C25</f>
        <v>309760</v>
      </c>
      <c r="C25" s="33">
        <f>C$2*'Total Inventory (Rice)'!D25</f>
        <v>26576</v>
      </c>
      <c r="D25" s="34">
        <f t="shared" si="0"/>
        <v>336336</v>
      </c>
      <c r="E25" s="34">
        <f>E$2*'Total Inventory (Rice)'!E25</f>
        <v>429300</v>
      </c>
      <c r="F25" s="33">
        <f>F$2*'Total Inventory (Rice)'!F25</f>
        <v>528</v>
      </c>
      <c r="G25" s="33">
        <f>G$2*'Total Inventory (Rice)'!G25</f>
        <v>0</v>
      </c>
      <c r="H25" s="33">
        <f>H$2*'Total Inventory (Rice)'!H25</f>
        <v>7603.2000000000007</v>
      </c>
      <c r="I25" s="34">
        <f t="shared" si="1"/>
        <v>8131.2000000000007</v>
      </c>
      <c r="J25" s="34">
        <f>J$2*'Total Inventory (Rice)'!I25</f>
        <v>0</v>
      </c>
      <c r="K25" s="33">
        <f>K$2*'Total Inventory (Rice)'!J25</f>
        <v>2784</v>
      </c>
      <c r="L25" s="33">
        <f>L$2*'Total Inventory (Rice)'!K25</f>
        <v>188800</v>
      </c>
      <c r="M25" s="34">
        <f t="shared" si="2"/>
        <v>191584</v>
      </c>
      <c r="N25" s="34">
        <f>N$2*'Total Inventory (Rice)'!L25</f>
        <v>84240</v>
      </c>
      <c r="O25" s="34">
        <f>O$2*'Total Inventory (Rice)'!M25</f>
        <v>3520</v>
      </c>
      <c r="P25" s="34">
        <f>P$2*'Total Inventory (Rice)'!N25</f>
        <v>0</v>
      </c>
      <c r="Q25" s="35"/>
      <c r="R25" s="5" t="s">
        <v>25</v>
      </c>
      <c r="S25" s="36">
        <f t="shared" si="8"/>
        <v>150255</v>
      </c>
      <c r="T25" s="36">
        <f t="shared" si="17"/>
        <v>191584</v>
      </c>
      <c r="U25" s="36">
        <f t="shared" si="9"/>
        <v>87760</v>
      </c>
      <c r="V25" s="38"/>
      <c r="W25" s="38"/>
      <c r="X25" s="36">
        <f t="shared" si="10"/>
        <v>508056</v>
      </c>
      <c r="Y25" s="36">
        <f t="shared" si="11"/>
        <v>115456.2</v>
      </c>
      <c r="Z25" s="36">
        <f t="shared" si="12"/>
        <v>150255</v>
      </c>
      <c r="AA25" s="36">
        <f t="shared" si="13"/>
        <v>191584</v>
      </c>
      <c r="AB25" s="36">
        <f t="shared" si="14"/>
        <v>87760</v>
      </c>
      <c r="AC25" s="36">
        <f t="shared" si="15"/>
        <v>508056</v>
      </c>
      <c r="AD25" s="36">
        <f>($I25+0.25*$E25)</f>
        <v>115456.2</v>
      </c>
      <c r="AE25" s="37">
        <f t="shared" si="3"/>
        <v>2106222.4</v>
      </c>
    </row>
    <row r="26" spans="1:31">
      <c r="A26" s="5" t="s">
        <v>64</v>
      </c>
      <c r="B26" s="33">
        <f>B$2*'Total Inventory (Rice)'!C26</f>
        <v>473440</v>
      </c>
      <c r="C26" s="33">
        <f>C$2*'Total Inventory (Rice)'!D26</f>
        <v>67936</v>
      </c>
      <c r="D26" s="34">
        <f t="shared" si="0"/>
        <v>541376</v>
      </c>
      <c r="E26" s="34">
        <f>E$2*'Total Inventory (Rice)'!E26</f>
        <v>281100</v>
      </c>
      <c r="F26" s="33">
        <f>F$2*'Total Inventory (Rice)'!F26</f>
        <v>2112</v>
      </c>
      <c r="G26" s="33">
        <f>G$2*'Total Inventory (Rice)'!G26</f>
        <v>1760</v>
      </c>
      <c r="H26" s="33">
        <f>H$2*'Total Inventory (Rice)'!H26</f>
        <v>14502.400000000001</v>
      </c>
      <c r="I26" s="34">
        <f t="shared" si="1"/>
        <v>18374.400000000001</v>
      </c>
      <c r="J26" s="34">
        <f>J$2*'Total Inventory (Rice)'!I26</f>
        <v>0</v>
      </c>
      <c r="K26" s="33">
        <f>K$2*'Total Inventory (Rice)'!J26</f>
        <v>8448</v>
      </c>
      <c r="L26" s="33">
        <f>L$2*'Total Inventory (Rice)'!K26</f>
        <v>390400</v>
      </c>
      <c r="M26" s="34">
        <f t="shared" si="2"/>
        <v>398848</v>
      </c>
      <c r="N26" s="34">
        <f>N$2*'Total Inventory (Rice)'!L26</f>
        <v>32400</v>
      </c>
      <c r="O26" s="34">
        <f>O$2*'Total Inventory (Rice)'!M26</f>
        <v>12848</v>
      </c>
      <c r="P26" s="34">
        <f>P$2*'Total Inventory (Rice)'!N26</f>
        <v>0</v>
      </c>
      <c r="Q26" s="35"/>
      <c r="R26" s="5" t="s">
        <v>64</v>
      </c>
      <c r="S26" s="36">
        <f t="shared" si="8"/>
        <v>98385</v>
      </c>
      <c r="T26" s="36">
        <f t="shared" si="17"/>
        <v>398848</v>
      </c>
      <c r="U26" s="36">
        <f t="shared" si="9"/>
        <v>45248</v>
      </c>
      <c r="V26" s="38"/>
      <c r="W26" s="38"/>
      <c r="X26" s="38"/>
      <c r="Y26" s="36">
        <f>$D26+(0.4*$E26)</f>
        <v>653816</v>
      </c>
      <c r="Z26" s="36">
        <f>($I26+0.25*$E26)</f>
        <v>88649.4</v>
      </c>
      <c r="AA26" s="36">
        <f>($J26+0.35*$E26)</f>
        <v>98385</v>
      </c>
      <c r="AB26" s="36">
        <f>$M26</f>
        <v>398848</v>
      </c>
      <c r="AC26" s="36">
        <f>$N26+$O26+$P26+$D26+(0.4*$E26)</f>
        <v>699064</v>
      </c>
      <c r="AD26" s="36">
        <f>($I26+0.25*$E26)</f>
        <v>88649.4</v>
      </c>
      <c r="AE26" s="37">
        <f t="shared" si="3"/>
        <v>2569892.7999999998</v>
      </c>
    </row>
    <row r="27" spans="1:31">
      <c r="A27" s="5" t="s">
        <v>72</v>
      </c>
      <c r="B27" s="33">
        <f>B$2*'Total Inventory (Rice)'!C27</f>
        <v>232320</v>
      </c>
      <c r="C27" s="33">
        <f>C$2*'Total Inventory (Rice)'!D27</f>
        <v>42944</v>
      </c>
      <c r="D27" s="34">
        <f t="shared" si="0"/>
        <v>275264</v>
      </c>
      <c r="E27" s="34">
        <f>E$2*'Total Inventory (Rice)'!E27</f>
        <v>227100</v>
      </c>
      <c r="F27" s="33">
        <f>F$2*'Total Inventory (Rice)'!F27</f>
        <v>5174.4000000000005</v>
      </c>
      <c r="G27" s="33">
        <f>G$2*'Total Inventory (Rice)'!G27</f>
        <v>1760</v>
      </c>
      <c r="H27" s="33">
        <f>H$2*'Total Inventory (Rice)'!H27</f>
        <v>8307.2000000000007</v>
      </c>
      <c r="I27" s="34">
        <f t="shared" si="1"/>
        <v>15241.600000000002</v>
      </c>
      <c r="J27" s="34">
        <f>J$2*'Total Inventory (Rice)'!I27</f>
        <v>0</v>
      </c>
      <c r="K27" s="33">
        <f>K$2*'Total Inventory (Rice)'!J27</f>
        <v>6048</v>
      </c>
      <c r="L27" s="33">
        <f>L$2*'Total Inventory (Rice)'!K27</f>
        <v>76800</v>
      </c>
      <c r="M27" s="34">
        <f t="shared" si="2"/>
        <v>82848</v>
      </c>
      <c r="N27" s="34">
        <f>N$2*'Total Inventory (Rice)'!L27</f>
        <v>10800</v>
      </c>
      <c r="O27" s="34">
        <f>O$2*'Total Inventory (Rice)'!M27</f>
        <v>14608</v>
      </c>
      <c r="P27" s="34">
        <f>P$2*'Total Inventory (Rice)'!N27</f>
        <v>0</v>
      </c>
      <c r="Q27" s="35"/>
      <c r="R27" s="5" t="s">
        <v>72</v>
      </c>
      <c r="S27" s="36">
        <f t="shared" si="17"/>
        <v>82848</v>
      </c>
      <c r="T27" s="36">
        <f>$N27+$O27+$P27</f>
        <v>25408</v>
      </c>
      <c r="U27" s="38"/>
      <c r="V27" s="38"/>
      <c r="W27" s="38"/>
      <c r="X27" s="36">
        <f>$D27+(0.4*$E27)</f>
        <v>366104</v>
      </c>
      <c r="Y27" s="36">
        <f>($I27+0.25*$E27)</f>
        <v>72016.600000000006</v>
      </c>
      <c r="Z27" s="36">
        <f>($J27+0.35*$E27)</f>
        <v>79485</v>
      </c>
      <c r="AA27" s="36">
        <f>$M27</f>
        <v>82848</v>
      </c>
      <c r="AB27" s="36">
        <f>$N27+$O27+$P27+$D27+(0.4*$E27)</f>
        <v>391512</v>
      </c>
      <c r="AC27" s="36">
        <f>($I27+0.25*$E27)</f>
        <v>72016.600000000006</v>
      </c>
      <c r="AD27" s="36">
        <f>($J27+0.35*$E27)</f>
        <v>79485</v>
      </c>
      <c r="AE27" s="37">
        <f t="shared" si="3"/>
        <v>1251723.2000000002</v>
      </c>
    </row>
    <row r="28" spans="1:31">
      <c r="A28" s="5" t="s">
        <v>26</v>
      </c>
      <c r="B28" s="33">
        <f>B$2*'Total Inventory (Rice)'!C28</f>
        <v>265760</v>
      </c>
      <c r="C28" s="33">
        <f>C$2*'Total Inventory (Rice)'!D28</f>
        <v>104016</v>
      </c>
      <c r="D28" s="34">
        <f t="shared" si="0"/>
        <v>369776</v>
      </c>
      <c r="E28" s="34">
        <f>E$2*'Total Inventory (Rice)'!E28</f>
        <v>436500</v>
      </c>
      <c r="F28" s="33">
        <f>F$2*'Total Inventory (Rice)'!F28</f>
        <v>7180.8</v>
      </c>
      <c r="G28" s="33">
        <f>G$2*'Total Inventory (Rice)'!G28</f>
        <v>2640</v>
      </c>
      <c r="H28" s="33">
        <f>H$2*'Total Inventory (Rice)'!H28</f>
        <v>14502.400000000001</v>
      </c>
      <c r="I28" s="34">
        <f t="shared" si="1"/>
        <v>24323.200000000001</v>
      </c>
      <c r="J28" s="34">
        <f>J$2*'Total Inventory (Rice)'!I28</f>
        <v>0</v>
      </c>
      <c r="K28" s="33">
        <f>K$2*'Total Inventory (Rice)'!J28</f>
        <v>9408</v>
      </c>
      <c r="L28" s="33">
        <f>L$2*'Total Inventory (Rice)'!K28</f>
        <v>281600</v>
      </c>
      <c r="M28" s="34">
        <f t="shared" si="2"/>
        <v>291008</v>
      </c>
      <c r="N28" s="34">
        <f>N$2*'Total Inventory (Rice)'!L28</f>
        <v>43200</v>
      </c>
      <c r="O28" s="34">
        <f>O$2*'Total Inventory (Rice)'!M28</f>
        <v>30096</v>
      </c>
      <c r="P28" s="34">
        <f>P$2*'Total Inventory (Rice)'!N28</f>
        <v>0</v>
      </c>
      <c r="Q28" s="35"/>
      <c r="R28" s="5" t="s">
        <v>26</v>
      </c>
      <c r="S28" s="36">
        <f>($J28+0.35*$E28)</f>
        <v>152775</v>
      </c>
      <c r="T28" s="36">
        <f t="shared" si="17"/>
        <v>291008</v>
      </c>
      <c r="U28" s="36">
        <f>$N28+$O28+$P28</f>
        <v>73296</v>
      </c>
      <c r="V28" s="38"/>
      <c r="W28" s="38"/>
      <c r="X28" s="38"/>
      <c r="Y28" s="36">
        <f>$D28+(0.4*$E28)</f>
        <v>544376</v>
      </c>
      <c r="Z28" s="36">
        <f>($I28+0.25*$E28)</f>
        <v>133448.20000000001</v>
      </c>
      <c r="AA28" s="36">
        <f>($J28+0.35*$E28)</f>
        <v>152775</v>
      </c>
      <c r="AB28" s="36">
        <f>$M28</f>
        <v>291008</v>
      </c>
      <c r="AC28" s="36">
        <f>$N28+$O28+$P28+$D28+(0.4*$E28)</f>
        <v>617672</v>
      </c>
      <c r="AD28" s="36">
        <f>($I28+0.25*$E28)</f>
        <v>133448.20000000001</v>
      </c>
      <c r="AE28" s="37">
        <f t="shared" si="3"/>
        <v>2389806.4000000004</v>
      </c>
    </row>
    <row r="29" spans="1:31">
      <c r="A29" s="5" t="s">
        <v>57</v>
      </c>
      <c r="B29" s="33">
        <f>B$2*'Total Inventory (Rice)'!C29</f>
        <v>626560</v>
      </c>
      <c r="C29" s="33">
        <f>C$2*'Total Inventory (Rice)'!D29</f>
        <v>132352</v>
      </c>
      <c r="D29" s="34">
        <f t="shared" si="0"/>
        <v>758912</v>
      </c>
      <c r="E29" s="34">
        <f>E$2*'Total Inventory (Rice)'!E29</f>
        <v>391200</v>
      </c>
      <c r="F29" s="33">
        <f>F$2*'Total Inventory (Rice)'!F29</f>
        <v>3062.4</v>
      </c>
      <c r="G29" s="33">
        <f>G$2*'Total Inventory (Rice)'!G29</f>
        <v>3520</v>
      </c>
      <c r="H29" s="33">
        <f>H$2*'Total Inventory (Rice)'!H29</f>
        <v>22668.800000000003</v>
      </c>
      <c r="I29" s="34">
        <f t="shared" si="1"/>
        <v>29251.200000000004</v>
      </c>
      <c r="J29" s="34">
        <f>J$2*'Total Inventory (Rice)'!I29</f>
        <v>0</v>
      </c>
      <c r="K29" s="33">
        <f>K$2*'Total Inventory (Rice)'!J29</f>
        <v>18240</v>
      </c>
      <c r="L29" s="33">
        <f>L$2*'Total Inventory (Rice)'!K29</f>
        <v>217600</v>
      </c>
      <c r="M29" s="34">
        <f t="shared" si="2"/>
        <v>235840</v>
      </c>
      <c r="N29" s="34">
        <f>N$2*'Total Inventory (Rice)'!L29</f>
        <v>43200</v>
      </c>
      <c r="O29" s="34">
        <f>O$2*'Total Inventory (Rice)'!M29</f>
        <v>48928</v>
      </c>
      <c r="P29" s="34">
        <f>P$2*'Total Inventory (Rice)'!N29</f>
        <v>0</v>
      </c>
      <c r="Q29" s="35"/>
      <c r="R29" s="5" t="s">
        <v>57</v>
      </c>
      <c r="S29" s="36">
        <f t="shared" si="17"/>
        <v>235840</v>
      </c>
      <c r="T29" s="36">
        <f>$N29+$O29+$P29</f>
        <v>92128</v>
      </c>
      <c r="U29" s="38"/>
      <c r="V29" s="38"/>
      <c r="W29" s="38"/>
      <c r="X29" s="36">
        <f>$D29+(0.4*$E29)</f>
        <v>915392</v>
      </c>
      <c r="Y29" s="36">
        <f>($I29+0.25*$E29)</f>
        <v>127051.20000000001</v>
      </c>
      <c r="Z29" s="36">
        <f>($J29+0.35*$E29)</f>
        <v>136920</v>
      </c>
      <c r="AA29" s="36">
        <f>$M29</f>
        <v>235840</v>
      </c>
      <c r="AB29" s="36">
        <f>$N29+$O29+$P29+$D29+(0.4*$E29)</f>
        <v>1007520</v>
      </c>
      <c r="AC29" s="36">
        <f>($I29+0.25*$E29)</f>
        <v>127051.20000000001</v>
      </c>
      <c r="AD29" s="36">
        <f>($J29+0.35*$E29)</f>
        <v>136920</v>
      </c>
      <c r="AE29" s="37">
        <f t="shared" si="3"/>
        <v>3014662.4000000004</v>
      </c>
    </row>
    <row r="30" spans="1:31">
      <c r="A30" s="5" t="s">
        <v>74</v>
      </c>
      <c r="B30" s="33">
        <f>B$2*'Total Inventory (Rice)'!C30</f>
        <v>214720</v>
      </c>
      <c r="C30" s="33">
        <f>C$2*'Total Inventory (Rice)'!D30</f>
        <v>62656</v>
      </c>
      <c r="D30" s="34">
        <f t="shared" si="0"/>
        <v>277376</v>
      </c>
      <c r="E30" s="34">
        <f>E$2*'Total Inventory (Rice)'!E30</f>
        <v>288600</v>
      </c>
      <c r="F30" s="33">
        <f>F$2*'Total Inventory (Rice)'!F30</f>
        <v>3590.4</v>
      </c>
      <c r="G30" s="33">
        <f>G$2*'Total Inventory (Rice)'!G30</f>
        <v>3520</v>
      </c>
      <c r="H30" s="33">
        <f>H$2*'Total Inventory (Rice)'!H30</f>
        <v>11686.400000000001</v>
      </c>
      <c r="I30" s="34">
        <f t="shared" si="1"/>
        <v>18796.800000000003</v>
      </c>
      <c r="J30" s="34">
        <f>J$2*'Total Inventory (Rice)'!I30</f>
        <v>0</v>
      </c>
      <c r="K30" s="33">
        <f>K$2*'Total Inventory (Rice)'!J30</f>
        <v>5184</v>
      </c>
      <c r="L30" s="33">
        <f>L$2*'Total Inventory (Rice)'!K30</f>
        <v>297600</v>
      </c>
      <c r="M30" s="34">
        <f t="shared" si="2"/>
        <v>302784</v>
      </c>
      <c r="N30" s="34">
        <f>N$2*'Total Inventory (Rice)'!L30</f>
        <v>21600</v>
      </c>
      <c r="O30" s="34">
        <f>O$2*'Total Inventory (Rice)'!M30</f>
        <v>18128</v>
      </c>
      <c r="P30" s="34">
        <f>P$2*'Total Inventory (Rice)'!N30</f>
        <v>0</v>
      </c>
      <c r="Q30" s="35"/>
      <c r="R30" s="5" t="s">
        <v>74</v>
      </c>
      <c r="S30" s="36">
        <f>($J30+0.35*$E30)</f>
        <v>101010</v>
      </c>
      <c r="T30" s="36">
        <f t="shared" si="17"/>
        <v>302784</v>
      </c>
      <c r="U30" s="36">
        <f>$N30+$O30+$P30</f>
        <v>39728</v>
      </c>
      <c r="V30" s="38"/>
      <c r="W30" s="38"/>
      <c r="X30" s="38"/>
      <c r="Y30" s="36">
        <f>$D30+(0.4*$E30)</f>
        <v>392816</v>
      </c>
      <c r="Z30" s="36">
        <f>($I30+0.25*$E30)</f>
        <v>90946.8</v>
      </c>
      <c r="AA30" s="36">
        <f>($J30+0.35*$E30)</f>
        <v>101010</v>
      </c>
      <c r="AB30" s="36">
        <f>$M30</f>
        <v>302784</v>
      </c>
      <c r="AC30" s="36">
        <f>$N30+$O30+$P30+$D30+(0.4*$E30)</f>
        <v>432544</v>
      </c>
      <c r="AD30" s="36">
        <f>($I30+0.25*$E30)</f>
        <v>90946.8</v>
      </c>
      <c r="AE30" s="37">
        <f t="shared" si="3"/>
        <v>1854569.6</v>
      </c>
    </row>
    <row r="31" spans="1:31">
      <c r="A31" s="5" t="s">
        <v>27</v>
      </c>
      <c r="B31" s="33">
        <f>B$2*'Total Inventory (Rice)'!C31</f>
        <v>59840</v>
      </c>
      <c r="C31" s="33">
        <f>C$2*'Total Inventory (Rice)'!D31</f>
        <v>25696</v>
      </c>
      <c r="D31" s="34">
        <f t="shared" si="0"/>
        <v>85536</v>
      </c>
      <c r="E31" s="34">
        <f>E$2*'Total Inventory (Rice)'!E31</f>
        <v>43800</v>
      </c>
      <c r="F31" s="33">
        <f>F$2*'Total Inventory (Rice)'!F31</f>
        <v>0</v>
      </c>
      <c r="G31" s="33">
        <f>G$2*'Total Inventory (Rice)'!G31</f>
        <v>0</v>
      </c>
      <c r="H31" s="33">
        <f>H$2*'Total Inventory (Rice)'!H31</f>
        <v>1408</v>
      </c>
      <c r="I31" s="34">
        <f t="shared" si="1"/>
        <v>1408</v>
      </c>
      <c r="J31" s="34">
        <f>J$2*'Total Inventory (Rice)'!I31</f>
        <v>0</v>
      </c>
      <c r="K31" s="33">
        <f>K$2*'Total Inventory (Rice)'!J31</f>
        <v>0</v>
      </c>
      <c r="L31" s="33">
        <f>L$2*'Total Inventory (Rice)'!K31</f>
        <v>16000</v>
      </c>
      <c r="M31" s="34">
        <f t="shared" si="2"/>
        <v>16000</v>
      </c>
      <c r="N31" s="34">
        <f>N$2*'Total Inventory (Rice)'!L31</f>
        <v>10800</v>
      </c>
      <c r="O31" s="34">
        <f>O$2*'Total Inventory (Rice)'!M31</f>
        <v>21472</v>
      </c>
      <c r="P31" s="34">
        <f>P$2*'Total Inventory (Rice)'!N31</f>
        <v>0</v>
      </c>
      <c r="Q31" s="35"/>
      <c r="R31" s="5" t="s">
        <v>27</v>
      </c>
      <c r="S31" s="36">
        <f>$N31+$O31+$P31</f>
        <v>32272</v>
      </c>
      <c r="T31" s="38"/>
      <c r="U31" s="38"/>
      <c r="V31" s="38"/>
      <c r="W31" s="36">
        <f>$D31+(0.4*$E31)</f>
        <v>103056</v>
      </c>
      <c r="X31" s="36">
        <f>($I31+0.25*$E31)</f>
        <v>12358</v>
      </c>
      <c r="Y31" s="36">
        <f>($J31+0.35*$E31)</f>
        <v>15329.999999999998</v>
      </c>
      <c r="Z31" s="36">
        <f>$M31</f>
        <v>16000</v>
      </c>
      <c r="AA31" s="36">
        <f>$N31+$O31+$P31+$D31+(0.4*$E31)</f>
        <v>135328</v>
      </c>
      <c r="AB31" s="36">
        <f>($I31+0.25*$E31)</f>
        <v>12358</v>
      </c>
      <c r="AC31" s="36">
        <f>($J31+0.35*$E31)</f>
        <v>15329.999999999998</v>
      </c>
      <c r="AD31" s="36">
        <f>$M31</f>
        <v>16000</v>
      </c>
      <c r="AE31" s="37">
        <f t="shared" si="3"/>
        <v>358032</v>
      </c>
    </row>
    <row r="32" spans="1:31">
      <c r="A32" s="5" t="s">
        <v>28</v>
      </c>
      <c r="B32" s="33">
        <f>B$2*'Total Inventory (Rice)'!C32</f>
        <v>1126400</v>
      </c>
      <c r="C32" s="33">
        <f>C$2*'Total Inventory (Rice)'!D32</f>
        <v>168432</v>
      </c>
      <c r="D32" s="34">
        <f t="shared" si="0"/>
        <v>1294832</v>
      </c>
      <c r="E32" s="34">
        <f>E$2*'Total Inventory (Rice)'!E32</f>
        <v>539100</v>
      </c>
      <c r="F32" s="33">
        <f>F$2*'Total Inventory (Rice)'!F32</f>
        <v>0</v>
      </c>
      <c r="G32" s="33">
        <f>G$2*'Total Inventory (Rice)'!G32</f>
        <v>880</v>
      </c>
      <c r="H32" s="33">
        <f>H$2*'Total Inventory (Rice)'!H32</f>
        <v>4083.2000000000003</v>
      </c>
      <c r="I32" s="34">
        <f t="shared" si="1"/>
        <v>4963.2000000000007</v>
      </c>
      <c r="J32" s="34">
        <f>J$2*'Total Inventory (Rice)'!I32</f>
        <v>0</v>
      </c>
      <c r="K32" s="33">
        <f>K$2*'Total Inventory (Rice)'!J32</f>
        <v>0</v>
      </c>
      <c r="L32" s="33">
        <f>L$2*'Total Inventory (Rice)'!K32</f>
        <v>374400</v>
      </c>
      <c r="M32" s="34">
        <f t="shared" si="2"/>
        <v>374400</v>
      </c>
      <c r="N32" s="34">
        <f>N$2*'Total Inventory (Rice)'!L32</f>
        <v>10800</v>
      </c>
      <c r="O32" s="34">
        <f>O$2*'Total Inventory (Rice)'!M32</f>
        <v>22352</v>
      </c>
      <c r="P32" s="34">
        <f>P$2*'Total Inventory (Rice)'!N32</f>
        <v>0</v>
      </c>
      <c r="Q32" s="35"/>
      <c r="R32" s="5" t="s">
        <v>28</v>
      </c>
      <c r="S32" s="36">
        <f>$N32+$O32+$P32</f>
        <v>33152</v>
      </c>
      <c r="T32" s="38"/>
      <c r="U32" s="38"/>
      <c r="V32" s="38"/>
      <c r="W32" s="36">
        <f>$D32+(0.4*$E32)</f>
        <v>1510472</v>
      </c>
      <c r="X32" s="36">
        <f>($I32+0.25*$E32)</f>
        <v>139738.20000000001</v>
      </c>
      <c r="Y32" s="36">
        <f>($J32+0.35*$E32)</f>
        <v>188685</v>
      </c>
      <c r="Z32" s="36">
        <f>$M32</f>
        <v>374400</v>
      </c>
      <c r="AA32" s="36">
        <f>$N32+$O32+$P32+$D32+(0.4*$E32)</f>
        <v>1543624</v>
      </c>
      <c r="AB32" s="36">
        <f>($I32+0.25*$E32)</f>
        <v>139738.20000000001</v>
      </c>
      <c r="AC32" s="36">
        <f>($J32+0.35*$E32)</f>
        <v>188685</v>
      </c>
      <c r="AD32" s="36">
        <f>$M32</f>
        <v>374400</v>
      </c>
      <c r="AE32" s="37">
        <f t="shared" si="3"/>
        <v>4492894.4000000004</v>
      </c>
    </row>
    <row r="33" spans="1:31">
      <c r="A33" s="5" t="s">
        <v>29</v>
      </c>
      <c r="B33" s="33">
        <f>B$2*'Total Inventory (Rice)'!C33</f>
        <v>309760</v>
      </c>
      <c r="C33" s="33">
        <f>C$2*'Total Inventory (Rice)'!D33</f>
        <v>26576</v>
      </c>
      <c r="D33" s="34">
        <f t="shared" si="0"/>
        <v>336336</v>
      </c>
      <c r="E33" s="34">
        <f>E$2*'Total Inventory (Rice)'!E33</f>
        <v>224100</v>
      </c>
      <c r="F33" s="33">
        <f>F$2*'Total Inventory (Rice)'!F33</f>
        <v>0</v>
      </c>
      <c r="G33" s="33">
        <f>G$2*'Total Inventory (Rice)'!G33</f>
        <v>1760</v>
      </c>
      <c r="H33" s="33">
        <f>H$2*'Total Inventory (Rice)'!H33</f>
        <v>6899.2000000000007</v>
      </c>
      <c r="I33" s="34">
        <f t="shared" si="1"/>
        <v>8659.2000000000007</v>
      </c>
      <c r="J33" s="34">
        <f>J$2*'Total Inventory (Rice)'!I33</f>
        <v>0</v>
      </c>
      <c r="K33" s="33">
        <f>K$2*'Total Inventory (Rice)'!J33</f>
        <v>0</v>
      </c>
      <c r="L33" s="33">
        <f>L$2*'Total Inventory (Rice)'!K33</f>
        <v>390400</v>
      </c>
      <c r="M33" s="34">
        <f t="shared" si="2"/>
        <v>390400</v>
      </c>
      <c r="N33" s="34">
        <f>N$2*'Total Inventory (Rice)'!L33</f>
        <v>0</v>
      </c>
      <c r="O33" s="34">
        <f>O$2*'Total Inventory (Rice)'!M33</f>
        <v>11088</v>
      </c>
      <c r="P33" s="34">
        <f>P$2*'Total Inventory (Rice)'!N33</f>
        <v>0</v>
      </c>
      <c r="Q33" s="35"/>
      <c r="R33" s="5" t="s">
        <v>29</v>
      </c>
      <c r="S33" s="36">
        <f>$M33</f>
        <v>390400</v>
      </c>
      <c r="T33" s="36">
        <f>$N33+$O33+$P33</f>
        <v>11088</v>
      </c>
      <c r="U33" s="38"/>
      <c r="V33" s="36">
        <f>$D33+(0.4*$E33)</f>
        <v>425976</v>
      </c>
      <c r="W33" s="36">
        <f>($I33+0.25*$E33)</f>
        <v>64684.2</v>
      </c>
      <c r="X33" s="36">
        <f>($J33+0.35*$E33)</f>
        <v>78435</v>
      </c>
      <c r="Y33" s="36">
        <f>$M33</f>
        <v>390400</v>
      </c>
      <c r="Z33" s="36">
        <f>$N33+$O33+$P33</f>
        <v>11088</v>
      </c>
      <c r="AA33" s="38"/>
      <c r="AB33" s="36">
        <f>$D33+(0.4*$E33)</f>
        <v>425976</v>
      </c>
      <c r="AC33" s="36">
        <f>($I33+0.25*$E33)</f>
        <v>64684.2</v>
      </c>
      <c r="AD33" s="36">
        <f>($J33+0.35*$E33)</f>
        <v>78435</v>
      </c>
      <c r="AE33" s="37">
        <f t="shared" si="3"/>
        <v>1941166.4</v>
      </c>
    </row>
    <row r="34" spans="1:31">
      <c r="A34" s="5" t="s">
        <v>30</v>
      </c>
      <c r="B34" s="33">
        <f>B$2*'Total Inventory (Rice)'!C34</f>
        <v>533280</v>
      </c>
      <c r="C34" s="33">
        <f>C$2*'Total Inventory (Rice)'!D34</f>
        <v>38720</v>
      </c>
      <c r="D34" s="34">
        <f t="shared" si="0"/>
        <v>572000</v>
      </c>
      <c r="E34" s="34">
        <f>E$2*'Total Inventory (Rice)'!E34</f>
        <v>402900</v>
      </c>
      <c r="F34" s="33">
        <f>F$2*'Total Inventory (Rice)'!F34</f>
        <v>0</v>
      </c>
      <c r="G34" s="33">
        <f>G$2*'Total Inventory (Rice)'!G34</f>
        <v>2640</v>
      </c>
      <c r="H34" s="33">
        <f>H$2*'Total Inventory (Rice)'!H34</f>
        <v>6195.2000000000007</v>
      </c>
      <c r="I34" s="34">
        <f t="shared" si="1"/>
        <v>8835.2000000000007</v>
      </c>
      <c r="J34" s="34">
        <f>J$2*'Total Inventory (Rice)'!I34</f>
        <v>0</v>
      </c>
      <c r="K34" s="33">
        <f>K$2*'Total Inventory (Rice)'!J34</f>
        <v>0</v>
      </c>
      <c r="L34" s="33">
        <f>L$2*'Total Inventory (Rice)'!K34</f>
        <v>704000</v>
      </c>
      <c r="M34" s="34">
        <f t="shared" si="2"/>
        <v>704000</v>
      </c>
      <c r="N34" s="34">
        <f>N$2*'Total Inventory (Rice)'!L34</f>
        <v>62640</v>
      </c>
      <c r="O34" s="34">
        <f>O$2*'Total Inventory (Rice)'!M34</f>
        <v>20592</v>
      </c>
      <c r="P34" s="34">
        <f>P$2*'Total Inventory (Rice)'!N34</f>
        <v>0</v>
      </c>
      <c r="Q34" s="35"/>
      <c r="R34" s="5" t="s">
        <v>30</v>
      </c>
      <c r="S34" s="36">
        <f>$M34</f>
        <v>704000</v>
      </c>
      <c r="T34" s="36">
        <f>$N34+$O34+$P34</f>
        <v>83232</v>
      </c>
      <c r="U34" s="38"/>
      <c r="V34" s="36">
        <f>$D34+(0.4*$E34)</f>
        <v>733160</v>
      </c>
      <c r="W34" s="36">
        <f>($I34+0.25*$E34)</f>
        <v>109560.2</v>
      </c>
      <c r="X34" s="36">
        <f>($J34+0.35*$E34)</f>
        <v>141015</v>
      </c>
      <c r="Y34" s="36">
        <f>$M34</f>
        <v>704000</v>
      </c>
      <c r="Z34" s="36">
        <f>$N34+$O34+$P34</f>
        <v>83232</v>
      </c>
      <c r="AA34" s="38"/>
      <c r="AB34" s="36">
        <f>$D34+(0.4*$E34)</f>
        <v>733160</v>
      </c>
      <c r="AC34" s="36">
        <f>($I34+0.25*$E34)</f>
        <v>109560.2</v>
      </c>
      <c r="AD34" s="36">
        <f>($J34+0.35*$E34)</f>
        <v>141015</v>
      </c>
      <c r="AE34" s="37">
        <f t="shared" si="3"/>
        <v>3541934.4000000004</v>
      </c>
    </row>
    <row r="35" spans="1:31">
      <c r="A35" s="5" t="s">
        <v>31</v>
      </c>
      <c r="B35" s="33">
        <f>B$2*'Total Inventory (Rice)'!C35</f>
        <v>95040</v>
      </c>
      <c r="C35" s="33">
        <f>C$2*'Total Inventory (Rice)'!D35</f>
        <v>21472</v>
      </c>
      <c r="D35" s="34">
        <f t="shared" si="0"/>
        <v>116512</v>
      </c>
      <c r="E35" s="34">
        <f>E$2*'Total Inventory (Rice)'!E35</f>
        <v>45300</v>
      </c>
      <c r="F35" s="33">
        <f>F$2*'Total Inventory (Rice)'!F35</f>
        <v>0</v>
      </c>
      <c r="G35" s="33">
        <f>G$2*'Total Inventory (Rice)'!G35</f>
        <v>0</v>
      </c>
      <c r="H35" s="33">
        <f>H$2*'Total Inventory (Rice)'!H35</f>
        <v>1408</v>
      </c>
      <c r="I35" s="34">
        <f t="shared" si="1"/>
        <v>1408</v>
      </c>
      <c r="J35" s="34">
        <f>J$2*'Total Inventory (Rice)'!I35</f>
        <v>0</v>
      </c>
      <c r="K35" s="33">
        <f>K$2*'Total Inventory (Rice)'!J35</f>
        <v>0</v>
      </c>
      <c r="L35" s="33">
        <f>L$2*'Total Inventory (Rice)'!K35</f>
        <v>0</v>
      </c>
      <c r="M35" s="34">
        <f t="shared" si="2"/>
        <v>0</v>
      </c>
      <c r="N35" s="34">
        <f>N$2*'Total Inventory (Rice)'!L35</f>
        <v>0</v>
      </c>
      <c r="O35" s="34">
        <f>O$2*'Total Inventory (Rice)'!M35</f>
        <v>19712</v>
      </c>
      <c r="P35" s="34">
        <f>P$2*'Total Inventory (Rice)'!N35</f>
        <v>0</v>
      </c>
      <c r="Q35" s="35"/>
      <c r="R35" s="5" t="s">
        <v>31</v>
      </c>
      <c r="S35" s="36">
        <f>$M35</f>
        <v>0</v>
      </c>
      <c r="T35" s="36">
        <f>$N35+$O35+$P35</f>
        <v>19712</v>
      </c>
      <c r="U35" s="38"/>
      <c r="V35" s="38"/>
      <c r="W35" s="36">
        <f>$D35+(0.4*$E35)</f>
        <v>134632</v>
      </c>
      <c r="X35" s="36">
        <f>($I35+0.25*$E35)</f>
        <v>12733</v>
      </c>
      <c r="Y35" s="36">
        <f>($J35+0.35*$E35)</f>
        <v>15854.999999999998</v>
      </c>
      <c r="Z35" s="36">
        <f>$M35</f>
        <v>0</v>
      </c>
      <c r="AA35" s="36">
        <f>$N35+$O35+$P35</f>
        <v>19712</v>
      </c>
      <c r="AB35" s="36">
        <f>$D35+(0.4*$E35)</f>
        <v>134632</v>
      </c>
      <c r="AC35" s="36">
        <f>($I35+0.25*$E35)</f>
        <v>12733</v>
      </c>
      <c r="AD35" s="36">
        <f>($J35+0.35*$E35)</f>
        <v>15854.999999999998</v>
      </c>
      <c r="AE35" s="37">
        <f t="shared" si="3"/>
        <v>365864</v>
      </c>
    </row>
    <row r="36" spans="1:31">
      <c r="A36" s="5" t="s">
        <v>32</v>
      </c>
      <c r="B36" s="33">
        <f>B$2*'Total Inventory (Rice)'!C36</f>
        <v>343200</v>
      </c>
      <c r="C36" s="33">
        <f>C$2*'Total Inventory (Rice)'!D36</f>
        <v>142560</v>
      </c>
      <c r="D36" s="34">
        <f t="shared" si="0"/>
        <v>485760</v>
      </c>
      <c r="E36" s="34">
        <f>E$2*'Total Inventory (Rice)'!E36</f>
        <v>11700</v>
      </c>
      <c r="F36" s="33">
        <f>F$2*'Total Inventory (Rice)'!F36</f>
        <v>5174.4000000000005</v>
      </c>
      <c r="G36" s="33">
        <f>G$2*'Total Inventory (Rice)'!G36</f>
        <v>3520</v>
      </c>
      <c r="H36" s="33">
        <f>H$2*'Total Inventory (Rice)'!H36</f>
        <v>35763.200000000004</v>
      </c>
      <c r="I36" s="34">
        <f t="shared" si="1"/>
        <v>44457.600000000006</v>
      </c>
      <c r="J36" s="34">
        <f>J$2*'Total Inventory (Rice)'!I36</f>
        <v>0</v>
      </c>
      <c r="K36" s="33">
        <f>K$2*'Total Inventory (Rice)'!J36</f>
        <v>1920</v>
      </c>
      <c r="L36" s="33">
        <f>L$2*'Total Inventory (Rice)'!K36</f>
        <v>422400</v>
      </c>
      <c r="M36" s="34">
        <f t="shared" si="2"/>
        <v>424320</v>
      </c>
      <c r="N36" s="34">
        <f>N$2*'Total Inventory (Rice)'!L36</f>
        <v>43200</v>
      </c>
      <c r="O36" s="34">
        <f>O$2*'Total Inventory (Rice)'!M36</f>
        <v>152064</v>
      </c>
      <c r="P36" s="34">
        <f>P$2*'Total Inventory (Rice)'!N36</f>
        <v>0</v>
      </c>
      <c r="Q36" s="35"/>
      <c r="R36" s="5" t="s">
        <v>32</v>
      </c>
      <c r="S36" s="36">
        <f>$D36+(0.4*$E36)</f>
        <v>490440</v>
      </c>
      <c r="T36" s="36">
        <f>($I36+0.35*$E36)</f>
        <v>48552.600000000006</v>
      </c>
      <c r="U36" s="36">
        <f>($J36+0.25*$E36)</f>
        <v>2925</v>
      </c>
      <c r="V36" s="36">
        <f>$M36</f>
        <v>424320</v>
      </c>
      <c r="W36" s="36">
        <f>$N36+$O36+$P36</f>
        <v>195264</v>
      </c>
      <c r="X36" s="36">
        <f>$D36+(0.4*$E36)</f>
        <v>490440</v>
      </c>
      <c r="Y36" s="36">
        <f>($I36+0.35*$E36)</f>
        <v>48552.600000000006</v>
      </c>
      <c r="Z36" s="36">
        <f>($J36+0.25*$E36)</f>
        <v>2925</v>
      </c>
      <c r="AA36" s="36">
        <f>$M36</f>
        <v>424320</v>
      </c>
      <c r="AB36" s="36">
        <f>$N36+$O36+$P36</f>
        <v>195264</v>
      </c>
      <c r="AC36" s="38"/>
      <c r="AD36" s="38"/>
      <c r="AE36" s="37">
        <f t="shared" si="3"/>
        <v>2323003.2000000002</v>
      </c>
    </row>
    <row r="37" spans="1:31">
      <c r="A37" s="5" t="s">
        <v>33</v>
      </c>
      <c r="B37" s="33">
        <f>B$2*'Total Inventory (Rice)'!C37</f>
        <v>154880</v>
      </c>
      <c r="C37" s="33">
        <f>C$2*'Total Inventory (Rice)'!D37</f>
        <v>88528</v>
      </c>
      <c r="D37" s="34">
        <f t="shared" si="0"/>
        <v>243408</v>
      </c>
      <c r="E37" s="34">
        <f>E$2*'Total Inventory (Rice)'!E37</f>
        <v>46800</v>
      </c>
      <c r="F37" s="33">
        <f>F$2*'Total Inventory (Rice)'!F37</f>
        <v>1056</v>
      </c>
      <c r="G37" s="33">
        <f>G$2*'Total Inventory (Rice)'!G37</f>
        <v>1760</v>
      </c>
      <c r="H37" s="33">
        <f>H$2*'Total Inventory (Rice)'!H37</f>
        <v>19993.600000000002</v>
      </c>
      <c r="I37" s="34">
        <f t="shared" si="1"/>
        <v>22809.600000000002</v>
      </c>
      <c r="J37" s="34">
        <f>J$2*'Total Inventory (Rice)'!I37</f>
        <v>0</v>
      </c>
      <c r="K37" s="33">
        <f>K$2*'Total Inventory (Rice)'!J37</f>
        <v>1920</v>
      </c>
      <c r="L37" s="33">
        <f>L$2*'Total Inventory (Rice)'!K37</f>
        <v>233600</v>
      </c>
      <c r="M37" s="34">
        <f t="shared" si="2"/>
        <v>235520</v>
      </c>
      <c r="N37" s="34">
        <f>N$2*'Total Inventory (Rice)'!L37</f>
        <v>0</v>
      </c>
      <c r="O37" s="34">
        <f>O$2*'Total Inventory (Rice)'!M37</f>
        <v>96272</v>
      </c>
      <c r="P37" s="34">
        <f>P$2*'Total Inventory (Rice)'!N37</f>
        <v>0</v>
      </c>
      <c r="Q37" s="35"/>
      <c r="R37" s="5" t="s">
        <v>33</v>
      </c>
      <c r="S37" s="36">
        <f>($I37+0.25*$E37)</f>
        <v>34509.600000000006</v>
      </c>
      <c r="T37" s="36">
        <f>($J37+0.35*$E37)</f>
        <v>16379.999999999998</v>
      </c>
      <c r="U37" s="36">
        <f>$M37</f>
        <v>235520</v>
      </c>
      <c r="V37" s="36">
        <f>$N37+$O37+$P37</f>
        <v>96272</v>
      </c>
      <c r="W37" s="38"/>
      <c r="X37" s="36">
        <f>$D37+(0.4*$E37)</f>
        <v>262128</v>
      </c>
      <c r="Y37" s="36">
        <f>($I37+0.25*$E37)</f>
        <v>34509.600000000006</v>
      </c>
      <c r="Z37" s="36">
        <f>($J37+0.35*$E37)</f>
        <v>16379.999999999998</v>
      </c>
      <c r="AA37" s="36">
        <f>$M37</f>
        <v>235520</v>
      </c>
      <c r="AB37" s="36">
        <f>$N37+$O37+$P37</f>
        <v>96272</v>
      </c>
      <c r="AC37" s="38"/>
      <c r="AD37" s="36">
        <f>$D37+(0.4*$E37)</f>
        <v>262128</v>
      </c>
      <c r="AE37" s="37">
        <f t="shared" si="3"/>
        <v>1289619.2</v>
      </c>
    </row>
    <row r="38" spans="1:31">
      <c r="A38" s="5" t="s">
        <v>34</v>
      </c>
      <c r="B38" s="33">
        <f>B$2*'Total Inventory (Rice)'!C38</f>
        <v>936320</v>
      </c>
      <c r="C38" s="33">
        <f>C$2*'Total Inventory (Rice)'!D38</f>
        <v>355696</v>
      </c>
      <c r="D38" s="34">
        <f t="shared" si="0"/>
        <v>1292016</v>
      </c>
      <c r="E38" s="34">
        <f>E$2*'Total Inventory (Rice)'!E38</f>
        <v>136200</v>
      </c>
      <c r="F38" s="33">
        <f>F$2*'Total Inventory (Rice)'!F38</f>
        <v>19641.600000000002</v>
      </c>
      <c r="G38" s="33">
        <f>G$2*'Total Inventory (Rice)'!G38</f>
        <v>7744</v>
      </c>
      <c r="H38" s="33">
        <f>H$2*'Total Inventory (Rice)'!H38</f>
        <v>66035.200000000012</v>
      </c>
      <c r="I38" s="34">
        <f t="shared" si="1"/>
        <v>93420.800000000017</v>
      </c>
      <c r="J38" s="34">
        <f>J$2*'Total Inventory (Rice)'!I38</f>
        <v>0</v>
      </c>
      <c r="K38" s="33">
        <f>K$2*'Total Inventory (Rice)'!J38</f>
        <v>3744</v>
      </c>
      <c r="L38" s="33">
        <f>L$2*'Total Inventory (Rice)'!K38</f>
        <v>1376000</v>
      </c>
      <c r="M38" s="34">
        <f t="shared" si="2"/>
        <v>1379744</v>
      </c>
      <c r="N38" s="34">
        <f>N$2*'Total Inventory (Rice)'!L38</f>
        <v>222480</v>
      </c>
      <c r="O38" s="34">
        <f>O$2*'Total Inventory (Rice)'!M38</f>
        <v>294800</v>
      </c>
      <c r="P38" s="34">
        <f>P$2*'Total Inventory (Rice)'!N38</f>
        <v>0</v>
      </c>
      <c r="Q38" s="35"/>
      <c r="R38" s="5" t="s">
        <v>34</v>
      </c>
      <c r="S38" s="36">
        <f>($J38+0.35*$E38)</f>
        <v>47670</v>
      </c>
      <c r="T38" s="36">
        <f t="shared" ref="T38:T47" si="18">$M38</f>
        <v>1379744</v>
      </c>
      <c r="U38" s="36">
        <f t="shared" ref="U38:U47" si="19">$N38+$O38+$P38</f>
        <v>517280</v>
      </c>
      <c r="V38" s="38"/>
      <c r="W38" s="38"/>
      <c r="X38" s="38"/>
      <c r="Y38" s="36">
        <f>$D38+(0.4*$E38)</f>
        <v>1346496</v>
      </c>
      <c r="Z38" s="36">
        <f>($I38+0.25*$E38)</f>
        <v>127470.80000000002</v>
      </c>
      <c r="AA38" s="36">
        <f>($J38+0.35*$E38)</f>
        <v>47670</v>
      </c>
      <c r="AB38" s="36">
        <f>$M38</f>
        <v>1379744</v>
      </c>
      <c r="AC38" s="36">
        <f>$N38+$O38+$P38+$D38+(0.4*$E38)</f>
        <v>1863776</v>
      </c>
      <c r="AD38" s="36">
        <f>($I38+0.25*$E38)</f>
        <v>127470.80000000002</v>
      </c>
      <c r="AE38" s="37">
        <f t="shared" si="3"/>
        <v>6837321.5999999996</v>
      </c>
    </row>
    <row r="39" spans="1:31">
      <c r="A39" s="5" t="s">
        <v>35</v>
      </c>
      <c r="B39" s="33">
        <f>B$2*'Total Inventory (Rice)'!C39</f>
        <v>59840</v>
      </c>
      <c r="C39" s="33">
        <f>C$2*'Total Inventory (Rice)'!D39</f>
        <v>79024</v>
      </c>
      <c r="D39" s="34">
        <f t="shared" si="0"/>
        <v>138864</v>
      </c>
      <c r="E39" s="34">
        <f>E$2*'Total Inventory (Rice)'!E39</f>
        <v>21900</v>
      </c>
      <c r="F39" s="33">
        <f>F$2*'Total Inventory (Rice)'!F39</f>
        <v>0</v>
      </c>
      <c r="G39" s="33">
        <f>G$2*'Total Inventory (Rice)'!G39</f>
        <v>880</v>
      </c>
      <c r="H39" s="33">
        <f>H$2*'Total Inventory (Rice)'!H39</f>
        <v>3379.2000000000003</v>
      </c>
      <c r="I39" s="34">
        <f t="shared" si="1"/>
        <v>4259.2000000000007</v>
      </c>
      <c r="J39" s="34">
        <f>J$2*'Total Inventory (Rice)'!I39</f>
        <v>0</v>
      </c>
      <c r="K39" s="33">
        <f>K$2*'Total Inventory (Rice)'!J39</f>
        <v>1920</v>
      </c>
      <c r="L39" s="33">
        <f>L$2*'Total Inventory (Rice)'!K39</f>
        <v>124800</v>
      </c>
      <c r="M39" s="34">
        <f t="shared" si="2"/>
        <v>126720</v>
      </c>
      <c r="N39" s="34">
        <f>N$2*'Total Inventory (Rice)'!L39</f>
        <v>0</v>
      </c>
      <c r="O39" s="34">
        <f>O$2*'Total Inventory (Rice)'!M39</f>
        <v>71280</v>
      </c>
      <c r="P39" s="34">
        <f>P$2*'Total Inventory (Rice)'!N39</f>
        <v>0</v>
      </c>
      <c r="Q39" s="35"/>
      <c r="R39" s="5" t="s">
        <v>35</v>
      </c>
      <c r="S39" s="38"/>
      <c r="T39" s="38"/>
      <c r="U39" s="36">
        <f>$D39+(0.4*$E39)</f>
        <v>147624</v>
      </c>
      <c r="V39" s="36">
        <f>($I39+0.25*$E39)</f>
        <v>9734.2000000000007</v>
      </c>
      <c r="W39" s="36">
        <f>($J39+0.35*$E39)</f>
        <v>7664.9999999999991</v>
      </c>
      <c r="X39" s="36">
        <f>$M39</f>
        <v>126720</v>
      </c>
      <c r="Y39" s="36">
        <f>$N39+$O39+$P39</f>
        <v>71280</v>
      </c>
      <c r="Z39" s="36">
        <f>$D39+(0.4*$E39)</f>
        <v>147624</v>
      </c>
      <c r="AA39" s="36">
        <f>($I39+0.25*$E39)</f>
        <v>9734.2000000000007</v>
      </c>
      <c r="AB39" s="36">
        <f>($J39+0.35*$E39)</f>
        <v>7664.9999999999991</v>
      </c>
      <c r="AC39" s="36">
        <f>$M39</f>
        <v>126720</v>
      </c>
      <c r="AD39" s="36">
        <f>$N39+$O39+$P39</f>
        <v>71280</v>
      </c>
      <c r="AE39" s="37">
        <f t="shared" si="3"/>
        <v>726046.4</v>
      </c>
    </row>
    <row r="40" spans="1:31">
      <c r="A40" s="5" t="s">
        <v>36</v>
      </c>
      <c r="B40" s="33">
        <f>B$2*'Total Inventory (Rice)'!C40</f>
        <v>214720</v>
      </c>
      <c r="C40" s="33">
        <f>C$2*'Total Inventory (Rice)'!D40</f>
        <v>61952</v>
      </c>
      <c r="D40" s="34">
        <f t="shared" si="0"/>
        <v>276672</v>
      </c>
      <c r="E40" s="34">
        <f>E$2*'Total Inventory (Rice)'!E40</f>
        <v>13200</v>
      </c>
      <c r="F40" s="33">
        <f>F$2*'Total Inventory (Rice)'!F40</f>
        <v>2112</v>
      </c>
      <c r="G40" s="33">
        <f>G$2*'Total Inventory (Rice)'!G40</f>
        <v>0</v>
      </c>
      <c r="H40" s="33">
        <f>H$2*'Total Inventory (Rice)'!H40</f>
        <v>5491.2000000000007</v>
      </c>
      <c r="I40" s="34">
        <f t="shared" si="1"/>
        <v>7603.2000000000007</v>
      </c>
      <c r="J40" s="34">
        <f>J$2*'Total Inventory (Rice)'!I40</f>
        <v>0</v>
      </c>
      <c r="K40" s="33">
        <f>K$2*'Total Inventory (Rice)'!J40</f>
        <v>1440</v>
      </c>
      <c r="L40" s="33">
        <f>L$2*'Total Inventory (Rice)'!K40</f>
        <v>32000</v>
      </c>
      <c r="M40" s="34">
        <f t="shared" si="2"/>
        <v>33440</v>
      </c>
      <c r="N40" s="34">
        <f>N$2*'Total Inventory (Rice)'!L40</f>
        <v>10800</v>
      </c>
      <c r="O40" s="34">
        <f>O$2*'Total Inventory (Rice)'!M40</f>
        <v>44704</v>
      </c>
      <c r="P40" s="34">
        <f>P$2*'Total Inventory (Rice)'!N40</f>
        <v>0</v>
      </c>
      <c r="Q40" s="35"/>
      <c r="R40" s="5" t="s">
        <v>36</v>
      </c>
      <c r="S40" s="36">
        <f t="shared" ref="S40:S47" si="20">($J40+0.35*$E40)</f>
        <v>4620</v>
      </c>
      <c r="T40" s="36">
        <f t="shared" si="18"/>
        <v>33440</v>
      </c>
      <c r="U40" s="36">
        <f t="shared" si="19"/>
        <v>55504</v>
      </c>
      <c r="V40" s="38"/>
      <c r="W40" s="38"/>
      <c r="X40" s="38"/>
      <c r="Y40" s="36">
        <f>$D40+(0.4*$E40)</f>
        <v>281952</v>
      </c>
      <c r="Z40" s="36">
        <f>($I40+0.25*$E40)</f>
        <v>10903.2</v>
      </c>
      <c r="AA40" s="36">
        <f>($J40+0.35*$E40)</f>
        <v>4620</v>
      </c>
      <c r="AB40" s="36">
        <f>$M40</f>
        <v>33440</v>
      </c>
      <c r="AC40" s="36">
        <f>$N40+$O40+$P40+$D40+(0.4*$E40)</f>
        <v>337456</v>
      </c>
      <c r="AD40" s="36">
        <f t="shared" ref="AD40:AD47" si="21">($I40+0.25*$E40)</f>
        <v>10903.2</v>
      </c>
      <c r="AE40" s="37">
        <f t="shared" si="3"/>
        <v>772838.39999999991</v>
      </c>
    </row>
    <row r="41" spans="1:31">
      <c r="A41" s="5" t="s">
        <v>37</v>
      </c>
      <c r="B41" s="33">
        <f>B$2*'Total Inventory (Rice)'!C41</f>
        <v>172480</v>
      </c>
      <c r="C41" s="33">
        <f>C$2*'Total Inventory (Rice)'!D41</f>
        <v>79904</v>
      </c>
      <c r="D41" s="34">
        <f t="shared" si="0"/>
        <v>252384</v>
      </c>
      <c r="E41" s="34">
        <f>E$2*'Total Inventory (Rice)'!E41</f>
        <v>8700</v>
      </c>
      <c r="F41" s="33">
        <f>F$2*'Total Inventory (Rice)'!F41</f>
        <v>7708.8</v>
      </c>
      <c r="G41" s="33">
        <f>G$2*'Total Inventory (Rice)'!G41</f>
        <v>1760</v>
      </c>
      <c r="H41" s="33">
        <f>H$2*'Total Inventory (Rice)'!H41</f>
        <v>17177.600000000002</v>
      </c>
      <c r="I41" s="34">
        <f t="shared" si="1"/>
        <v>26646.400000000001</v>
      </c>
      <c r="J41" s="34">
        <f>J$2*'Total Inventory (Rice)'!I41</f>
        <v>0</v>
      </c>
      <c r="K41" s="33">
        <f>K$2*'Total Inventory (Rice)'!J41</f>
        <v>1440</v>
      </c>
      <c r="L41" s="33">
        <f>L$2*'Total Inventory (Rice)'!K41</f>
        <v>297600</v>
      </c>
      <c r="M41" s="34">
        <f t="shared" si="2"/>
        <v>299040</v>
      </c>
      <c r="N41" s="34">
        <f>N$2*'Total Inventory (Rice)'!L41</f>
        <v>0</v>
      </c>
      <c r="O41" s="34">
        <f>O$2*'Total Inventory (Rice)'!M41</f>
        <v>74800</v>
      </c>
      <c r="P41" s="34">
        <f>P$2*'Total Inventory (Rice)'!N41</f>
        <v>0</v>
      </c>
      <c r="Q41" s="35"/>
      <c r="R41" s="5" t="s">
        <v>37</v>
      </c>
      <c r="S41" s="36">
        <f t="shared" si="20"/>
        <v>3045</v>
      </c>
      <c r="T41" s="36">
        <f t="shared" si="18"/>
        <v>299040</v>
      </c>
      <c r="U41" s="36">
        <f t="shared" si="19"/>
        <v>74800</v>
      </c>
      <c r="V41" s="38"/>
      <c r="W41" s="38"/>
      <c r="X41" s="38"/>
      <c r="Y41" s="36">
        <f>$D41+(0.4*$E41)</f>
        <v>255864</v>
      </c>
      <c r="Z41" s="36">
        <f>($I41+0.25*$E41)</f>
        <v>28821.4</v>
      </c>
      <c r="AA41" s="36">
        <f>($J41+0.35*$E41)</f>
        <v>3045</v>
      </c>
      <c r="AB41" s="36">
        <f>$M41</f>
        <v>299040</v>
      </c>
      <c r="AC41" s="36">
        <f>$N41+$O41+$P41+$D41+(0.4*$E41)</f>
        <v>330664</v>
      </c>
      <c r="AD41" s="36">
        <f t="shared" si="21"/>
        <v>28821.4</v>
      </c>
      <c r="AE41" s="37">
        <f t="shared" si="3"/>
        <v>1323140.7999999998</v>
      </c>
    </row>
    <row r="42" spans="1:31">
      <c r="A42" s="5" t="s">
        <v>38</v>
      </c>
      <c r="B42" s="33">
        <f>B$2*'Total Inventory (Rice)'!C42</f>
        <v>110880</v>
      </c>
      <c r="C42" s="33">
        <f>C$2*'Total Inventory (Rice)'!D42</f>
        <v>39600</v>
      </c>
      <c r="D42" s="34">
        <f t="shared" si="0"/>
        <v>150480</v>
      </c>
      <c r="E42" s="34">
        <f>E$2*'Total Inventory (Rice)'!E42</f>
        <v>139200</v>
      </c>
      <c r="F42" s="33">
        <f>F$2*'Total Inventory (Rice)'!F42</f>
        <v>0</v>
      </c>
      <c r="G42" s="33">
        <f>G$2*'Total Inventory (Rice)'!G42</f>
        <v>5104</v>
      </c>
      <c r="H42" s="33">
        <f>H$2*'Total Inventory (Rice)'!H42</f>
        <v>1408</v>
      </c>
      <c r="I42" s="34">
        <f t="shared" si="1"/>
        <v>6512</v>
      </c>
      <c r="J42" s="34">
        <f>J$2*'Total Inventory (Rice)'!I42</f>
        <v>54080</v>
      </c>
      <c r="K42" s="33">
        <f>K$2*'Total Inventory (Rice)'!J42</f>
        <v>25344</v>
      </c>
      <c r="L42" s="33">
        <f>L$2*'Total Inventory (Rice)'!K42</f>
        <v>64000</v>
      </c>
      <c r="M42" s="34">
        <f t="shared" si="2"/>
        <v>89344</v>
      </c>
      <c r="N42" s="34">
        <f>N$2*'Total Inventory (Rice)'!L42</f>
        <v>10800</v>
      </c>
      <c r="O42" s="34">
        <f>O$2*'Total Inventory (Rice)'!M42</f>
        <v>9504</v>
      </c>
      <c r="P42" s="34">
        <f>P$2*'Total Inventory (Rice)'!N42</f>
        <v>0</v>
      </c>
      <c r="Q42" s="35"/>
      <c r="R42" s="5" t="s">
        <v>38</v>
      </c>
      <c r="S42" s="36">
        <f t="shared" si="20"/>
        <v>102800</v>
      </c>
      <c r="T42" s="36">
        <f t="shared" si="18"/>
        <v>89344</v>
      </c>
      <c r="U42" s="36">
        <f t="shared" si="19"/>
        <v>20304</v>
      </c>
      <c r="V42" s="38"/>
      <c r="W42" s="36">
        <f t="shared" ref="W42:W47" si="22">$D42+(0.4*$E42)</f>
        <v>206160</v>
      </c>
      <c r="X42" s="36">
        <f t="shared" ref="X42:X47" si="23">($I42+0.25*$E42)</f>
        <v>41312</v>
      </c>
      <c r="Y42" s="36">
        <f t="shared" ref="Y42:Y47" si="24">($J42+0.35*$E42)</f>
        <v>102800</v>
      </c>
      <c r="Z42" s="36">
        <f t="shared" ref="Z42:Z47" si="25">$M42</f>
        <v>89344</v>
      </c>
      <c r="AA42" s="36">
        <f t="shared" ref="AA42:AA47" si="26">$N42+$O42+$P42</f>
        <v>20304</v>
      </c>
      <c r="AB42" s="38"/>
      <c r="AC42" s="36">
        <f t="shared" ref="AC42:AC47" si="27">$D42+(0.4*$E42)</f>
        <v>206160</v>
      </c>
      <c r="AD42" s="36">
        <f t="shared" si="21"/>
        <v>41312</v>
      </c>
      <c r="AE42" s="37">
        <f t="shared" si="3"/>
        <v>919840</v>
      </c>
    </row>
    <row r="43" spans="1:31">
      <c r="A43" s="5" t="s">
        <v>39</v>
      </c>
      <c r="B43" s="33">
        <f>B$2*'Total Inventory (Rice)'!C43</f>
        <v>154880</v>
      </c>
      <c r="C43" s="33">
        <f>C$2*'Total Inventory (Rice)'!D43</f>
        <v>50688</v>
      </c>
      <c r="D43" s="34">
        <f t="shared" si="0"/>
        <v>205568</v>
      </c>
      <c r="E43" s="34">
        <f>E$2*'Total Inventory (Rice)'!E43</f>
        <v>150900</v>
      </c>
      <c r="F43" s="33">
        <f>F$2*'Total Inventory (Rice)'!F43</f>
        <v>0</v>
      </c>
      <c r="G43" s="33">
        <f>G$2*'Total Inventory (Rice)'!G43</f>
        <v>3520</v>
      </c>
      <c r="H43" s="33">
        <f>H$2*'Total Inventory (Rice)'!H43</f>
        <v>1408</v>
      </c>
      <c r="I43" s="34">
        <f t="shared" si="1"/>
        <v>4928</v>
      </c>
      <c r="J43" s="34">
        <f>J$2*'Total Inventory (Rice)'!I43</f>
        <v>48768</v>
      </c>
      <c r="K43" s="33">
        <f>K$2*'Total Inventory (Rice)'!J43</f>
        <v>27168</v>
      </c>
      <c r="L43" s="33">
        <f>L$2*'Total Inventory (Rice)'!K43</f>
        <v>172800</v>
      </c>
      <c r="M43" s="34">
        <f t="shared" si="2"/>
        <v>199968</v>
      </c>
      <c r="N43" s="34">
        <f>N$2*'Total Inventory (Rice)'!L43</f>
        <v>10800</v>
      </c>
      <c r="O43" s="34">
        <f>O$2*'Total Inventory (Rice)'!M43</f>
        <v>17248</v>
      </c>
      <c r="P43" s="34">
        <f>P$2*'Total Inventory (Rice)'!N43</f>
        <v>0</v>
      </c>
      <c r="Q43" s="35"/>
      <c r="R43" s="5" t="s">
        <v>39</v>
      </c>
      <c r="S43" s="36">
        <f t="shared" si="20"/>
        <v>101583</v>
      </c>
      <c r="T43" s="36">
        <f t="shared" si="18"/>
        <v>199968</v>
      </c>
      <c r="U43" s="36">
        <f t="shared" si="19"/>
        <v>28048</v>
      </c>
      <c r="V43" s="38"/>
      <c r="W43" s="36">
        <f t="shared" si="22"/>
        <v>265928</v>
      </c>
      <c r="X43" s="36">
        <f t="shared" si="23"/>
        <v>42653</v>
      </c>
      <c r="Y43" s="36">
        <f t="shared" si="24"/>
        <v>101583</v>
      </c>
      <c r="Z43" s="36">
        <f t="shared" si="25"/>
        <v>199968</v>
      </c>
      <c r="AA43" s="36">
        <f t="shared" si="26"/>
        <v>28048</v>
      </c>
      <c r="AB43" s="38"/>
      <c r="AC43" s="36">
        <f t="shared" si="27"/>
        <v>265928</v>
      </c>
      <c r="AD43" s="36">
        <f t="shared" si="21"/>
        <v>42653</v>
      </c>
      <c r="AE43" s="37">
        <f t="shared" si="3"/>
        <v>1276360</v>
      </c>
    </row>
    <row r="44" spans="1:31">
      <c r="A44" s="5" t="s">
        <v>40</v>
      </c>
      <c r="B44" s="33">
        <f>B$2*'Total Inventory (Rice)'!C44</f>
        <v>197120</v>
      </c>
      <c r="C44" s="33">
        <f>C$2*'Total Inventory (Rice)'!D44</f>
        <v>54912</v>
      </c>
      <c r="D44" s="34">
        <f t="shared" si="0"/>
        <v>252032</v>
      </c>
      <c r="E44" s="34">
        <f>E$2*'Total Inventory (Rice)'!E44</f>
        <v>169800</v>
      </c>
      <c r="F44" s="33">
        <f>F$2*'Total Inventory (Rice)'!F44</f>
        <v>0</v>
      </c>
      <c r="G44" s="33">
        <f>G$2*'Total Inventory (Rice)'!G44</f>
        <v>2640</v>
      </c>
      <c r="H44" s="33">
        <f>H$2*'Total Inventory (Rice)'!H44</f>
        <v>2112</v>
      </c>
      <c r="I44" s="34">
        <f t="shared" si="1"/>
        <v>4752</v>
      </c>
      <c r="J44" s="34">
        <f>J$2*'Total Inventory (Rice)'!I44</f>
        <v>44352</v>
      </c>
      <c r="K44" s="33">
        <f>K$2*'Total Inventory (Rice)'!J44</f>
        <v>7488</v>
      </c>
      <c r="L44" s="33">
        <f>L$2*'Total Inventory (Rice)'!K44</f>
        <v>201600</v>
      </c>
      <c r="M44" s="34">
        <f t="shared" si="2"/>
        <v>209088</v>
      </c>
      <c r="N44" s="34">
        <f>N$2*'Total Inventory (Rice)'!L44</f>
        <v>0</v>
      </c>
      <c r="O44" s="34">
        <f>O$2*'Total Inventory (Rice)'!M44</f>
        <v>17248</v>
      </c>
      <c r="P44" s="34">
        <f>P$2*'Total Inventory (Rice)'!N44</f>
        <v>0</v>
      </c>
      <c r="Q44" s="35"/>
      <c r="R44" s="5" t="s">
        <v>40</v>
      </c>
      <c r="S44" s="36">
        <f t="shared" si="20"/>
        <v>103782</v>
      </c>
      <c r="T44" s="36">
        <f t="shared" si="18"/>
        <v>209088</v>
      </c>
      <c r="U44" s="36">
        <f t="shared" si="19"/>
        <v>17248</v>
      </c>
      <c r="V44" s="38"/>
      <c r="W44" s="36">
        <f t="shared" si="22"/>
        <v>319952</v>
      </c>
      <c r="X44" s="36">
        <f t="shared" si="23"/>
        <v>47202</v>
      </c>
      <c r="Y44" s="36">
        <f t="shared" si="24"/>
        <v>103782</v>
      </c>
      <c r="Z44" s="36">
        <f t="shared" si="25"/>
        <v>209088</v>
      </c>
      <c r="AA44" s="36">
        <f t="shared" si="26"/>
        <v>17248</v>
      </c>
      <c r="AB44" s="38"/>
      <c r="AC44" s="36">
        <f t="shared" si="27"/>
        <v>319952</v>
      </c>
      <c r="AD44" s="36">
        <f t="shared" si="21"/>
        <v>47202</v>
      </c>
      <c r="AE44" s="37">
        <f t="shared" si="3"/>
        <v>1394544</v>
      </c>
    </row>
    <row r="45" spans="1:31">
      <c r="A45" s="5" t="s">
        <v>41</v>
      </c>
      <c r="B45" s="33">
        <f>B$2*'Total Inventory (Rice)'!C45</f>
        <v>68640</v>
      </c>
      <c r="C45" s="33">
        <f>C$2*'Total Inventory (Rice)'!D45</f>
        <v>18128</v>
      </c>
      <c r="D45" s="34">
        <f t="shared" si="0"/>
        <v>86768</v>
      </c>
      <c r="E45" s="34">
        <f>E$2*'Total Inventory (Rice)'!E45</f>
        <v>39600</v>
      </c>
      <c r="F45" s="33">
        <f>F$2*'Total Inventory (Rice)'!F45</f>
        <v>0</v>
      </c>
      <c r="G45" s="33">
        <f>G$2*'Total Inventory (Rice)'!G45</f>
        <v>3520</v>
      </c>
      <c r="H45" s="33">
        <f>H$2*'Total Inventory (Rice)'!H45</f>
        <v>0</v>
      </c>
      <c r="I45" s="34">
        <f t="shared" si="1"/>
        <v>3520</v>
      </c>
      <c r="J45" s="34">
        <f>J$2*'Total Inventory (Rice)'!I45</f>
        <v>101888</v>
      </c>
      <c r="K45" s="33">
        <f>K$2*'Total Inventory (Rice)'!J45</f>
        <v>1920</v>
      </c>
      <c r="L45" s="33">
        <f>L$2*'Total Inventory (Rice)'!K45</f>
        <v>64000</v>
      </c>
      <c r="M45" s="34">
        <f t="shared" si="2"/>
        <v>65920</v>
      </c>
      <c r="N45" s="34">
        <f>N$2*'Total Inventory (Rice)'!L45</f>
        <v>21600</v>
      </c>
      <c r="O45" s="34">
        <f>O$2*'Total Inventory (Rice)'!M45</f>
        <v>8624</v>
      </c>
      <c r="P45" s="34">
        <f>P$2*'Total Inventory (Rice)'!N45</f>
        <v>0</v>
      </c>
      <c r="Q45" s="35"/>
      <c r="R45" s="5" t="s">
        <v>41</v>
      </c>
      <c r="S45" s="36">
        <f t="shared" si="20"/>
        <v>115748</v>
      </c>
      <c r="T45" s="36">
        <f t="shared" si="18"/>
        <v>65920</v>
      </c>
      <c r="U45" s="36">
        <f t="shared" si="19"/>
        <v>30224</v>
      </c>
      <c r="V45" s="38"/>
      <c r="W45" s="36">
        <f t="shared" si="22"/>
        <v>102608</v>
      </c>
      <c r="X45" s="36">
        <f t="shared" si="23"/>
        <v>13420</v>
      </c>
      <c r="Y45" s="36">
        <f t="shared" si="24"/>
        <v>115748</v>
      </c>
      <c r="Z45" s="36">
        <f t="shared" si="25"/>
        <v>65920</v>
      </c>
      <c r="AA45" s="36">
        <f t="shared" si="26"/>
        <v>30224</v>
      </c>
      <c r="AB45" s="38"/>
      <c r="AC45" s="36">
        <f t="shared" si="27"/>
        <v>102608</v>
      </c>
      <c r="AD45" s="36">
        <f t="shared" si="21"/>
        <v>13420</v>
      </c>
      <c r="AE45" s="37">
        <f t="shared" si="3"/>
        <v>655840</v>
      </c>
    </row>
    <row r="46" spans="1:31">
      <c r="A46" s="5" t="s">
        <v>42</v>
      </c>
      <c r="B46" s="33">
        <f>B$2*'Total Inventory (Rice)'!C46</f>
        <v>396000</v>
      </c>
      <c r="C46" s="33">
        <f>C$2*'Total Inventory (Rice)'!D46</f>
        <v>113344</v>
      </c>
      <c r="D46" s="34">
        <f t="shared" si="0"/>
        <v>509344</v>
      </c>
      <c r="E46" s="34">
        <f>E$2*'Total Inventory (Rice)'!E46</f>
        <v>351600</v>
      </c>
      <c r="F46" s="33">
        <f>F$2*'Total Inventory (Rice)'!F46</f>
        <v>0</v>
      </c>
      <c r="G46" s="33">
        <f>G$2*'Total Inventory (Rice)'!G46</f>
        <v>16368</v>
      </c>
      <c r="H46" s="33">
        <f>H$2*'Total Inventory (Rice)'!H46</f>
        <v>8870.4000000000015</v>
      </c>
      <c r="I46" s="34">
        <f t="shared" si="1"/>
        <v>25238.400000000001</v>
      </c>
      <c r="J46" s="34">
        <f>J$2*'Total Inventory (Rice)'!I46</f>
        <v>291520</v>
      </c>
      <c r="K46" s="33">
        <f>K$2*'Total Inventory (Rice)'!J46</f>
        <v>4704</v>
      </c>
      <c r="L46" s="33">
        <f>L$2*'Total Inventory (Rice)'!K46</f>
        <v>672000</v>
      </c>
      <c r="M46" s="34">
        <f t="shared" si="2"/>
        <v>676704</v>
      </c>
      <c r="N46" s="34">
        <f>N$2*'Total Inventory (Rice)'!L46</f>
        <v>62640</v>
      </c>
      <c r="O46" s="34">
        <f>O$2*'Total Inventory (Rice)'!M46</f>
        <v>54208</v>
      </c>
      <c r="P46" s="34">
        <f>P$2*'Total Inventory (Rice)'!N46</f>
        <v>0</v>
      </c>
      <c r="Q46" s="35"/>
      <c r="R46" s="5" t="s">
        <v>42</v>
      </c>
      <c r="S46" s="36">
        <f t="shared" si="20"/>
        <v>414580</v>
      </c>
      <c r="T46" s="36">
        <f t="shared" si="18"/>
        <v>676704</v>
      </c>
      <c r="U46" s="36">
        <f t="shared" si="19"/>
        <v>116848</v>
      </c>
      <c r="V46" s="38"/>
      <c r="W46" s="36">
        <f t="shared" si="22"/>
        <v>649984</v>
      </c>
      <c r="X46" s="36">
        <f t="shared" si="23"/>
        <v>113138.4</v>
      </c>
      <c r="Y46" s="36">
        <f t="shared" si="24"/>
        <v>414580</v>
      </c>
      <c r="Z46" s="36">
        <f t="shared" si="25"/>
        <v>676704</v>
      </c>
      <c r="AA46" s="36">
        <f t="shared" si="26"/>
        <v>116848</v>
      </c>
      <c r="AB46" s="38"/>
      <c r="AC46" s="36">
        <f t="shared" si="27"/>
        <v>649984</v>
      </c>
      <c r="AD46" s="36">
        <f t="shared" si="21"/>
        <v>113138.4</v>
      </c>
      <c r="AE46" s="37">
        <f t="shared" si="3"/>
        <v>3942508.8</v>
      </c>
    </row>
    <row r="47" spans="1:31">
      <c r="A47" s="5" t="s">
        <v>43</v>
      </c>
      <c r="B47" s="33">
        <f>B$2*'Total Inventory (Rice)'!C47</f>
        <v>241120</v>
      </c>
      <c r="C47" s="33">
        <f>C$2*'Total Inventory (Rice)'!D47</f>
        <v>21472</v>
      </c>
      <c r="D47" s="34">
        <f t="shared" si="0"/>
        <v>262592</v>
      </c>
      <c r="E47" s="34">
        <f>E$2*'Total Inventory (Rice)'!E47</f>
        <v>83400</v>
      </c>
      <c r="F47" s="33">
        <f>F$2*'Total Inventory (Rice)'!F47</f>
        <v>0</v>
      </c>
      <c r="G47" s="33">
        <f>G$2*'Total Inventory (Rice)'!G47</f>
        <v>8624</v>
      </c>
      <c r="H47" s="33">
        <f>H$2*'Total Inventory (Rice)'!H47</f>
        <v>3379.2000000000003</v>
      </c>
      <c r="I47" s="34">
        <f t="shared" si="1"/>
        <v>12003.2</v>
      </c>
      <c r="J47" s="34">
        <f>J$2*'Total Inventory (Rice)'!I47</f>
        <v>31232</v>
      </c>
      <c r="K47" s="33">
        <f>K$2*'Total Inventory (Rice)'!J47</f>
        <v>4224</v>
      </c>
      <c r="L47" s="33">
        <f>L$2*'Total Inventory (Rice)'!K47</f>
        <v>172800</v>
      </c>
      <c r="M47" s="34">
        <f t="shared" si="2"/>
        <v>177024</v>
      </c>
      <c r="N47" s="34">
        <f>N$2*'Total Inventory (Rice)'!L47</f>
        <v>0</v>
      </c>
      <c r="O47" s="34">
        <f>O$2*'Total Inventory (Rice)'!M47</f>
        <v>27456</v>
      </c>
      <c r="P47" s="34">
        <f>P$2*'Total Inventory (Rice)'!N47</f>
        <v>0</v>
      </c>
      <c r="Q47" s="35"/>
      <c r="R47" s="5" t="s">
        <v>43</v>
      </c>
      <c r="S47" s="36">
        <f t="shared" si="20"/>
        <v>60422</v>
      </c>
      <c r="T47" s="36">
        <f t="shared" si="18"/>
        <v>177024</v>
      </c>
      <c r="U47" s="36">
        <f t="shared" si="19"/>
        <v>27456</v>
      </c>
      <c r="V47" s="38"/>
      <c r="W47" s="36">
        <f t="shared" si="22"/>
        <v>295952</v>
      </c>
      <c r="X47" s="36">
        <f t="shared" si="23"/>
        <v>32853.199999999997</v>
      </c>
      <c r="Y47" s="36">
        <f t="shared" si="24"/>
        <v>60422</v>
      </c>
      <c r="Z47" s="36">
        <f t="shared" si="25"/>
        <v>177024</v>
      </c>
      <c r="AA47" s="36">
        <f t="shared" si="26"/>
        <v>27456</v>
      </c>
      <c r="AB47" s="38"/>
      <c r="AC47" s="36">
        <f t="shared" si="27"/>
        <v>295952</v>
      </c>
      <c r="AD47" s="36">
        <f t="shared" si="21"/>
        <v>32853.199999999997</v>
      </c>
      <c r="AE47" s="37">
        <f t="shared" si="3"/>
        <v>1187414.3999999999</v>
      </c>
    </row>
    <row r="48" spans="1:31">
      <c r="A48" s="5" t="s">
        <v>79</v>
      </c>
      <c r="B48" s="33">
        <f>B$2*'Total Inventory (Rice)'!C50</f>
        <v>205920</v>
      </c>
      <c r="C48" s="33">
        <f>C$2*'Total Inventory (Rice)'!D50</f>
        <v>54208</v>
      </c>
      <c r="D48" s="34">
        <f t="shared" si="0"/>
        <v>260128</v>
      </c>
      <c r="E48" s="34">
        <f>E$2*'Total Inventory (Rice)'!E50</f>
        <v>38100</v>
      </c>
      <c r="F48" s="33">
        <f>F$2*'Total Inventory (Rice)'!F50</f>
        <v>528</v>
      </c>
      <c r="G48" s="33">
        <f>G$2*'Total Inventory (Rice)'!G50</f>
        <v>1760</v>
      </c>
      <c r="H48" s="33">
        <f>H$2*'Total Inventory (Rice)'!H50</f>
        <v>8307.2000000000007</v>
      </c>
      <c r="I48" s="34">
        <f t="shared" si="1"/>
        <v>10595.2</v>
      </c>
      <c r="J48" s="34">
        <f>J$2*'Total Inventory (Rice)'!I50</f>
        <v>320</v>
      </c>
      <c r="K48" s="33">
        <f>K$2*'Total Inventory (Rice)'!J50</f>
        <v>35136</v>
      </c>
      <c r="L48" s="33">
        <f>L$2*'Total Inventory (Rice)'!K50</f>
        <v>32000</v>
      </c>
      <c r="M48" s="34">
        <f t="shared" si="2"/>
        <v>67136</v>
      </c>
      <c r="N48" s="34">
        <f>N$2*'Total Inventory (Rice)'!L50</f>
        <v>21600</v>
      </c>
      <c r="O48" s="34">
        <f>O$2*'Total Inventory (Rice)'!M50</f>
        <v>37840</v>
      </c>
      <c r="P48" s="34">
        <f>P$2*'Total Inventory (Rice)'!N50</f>
        <v>0</v>
      </c>
      <c r="Q48" s="35"/>
      <c r="R48" s="5" t="s">
        <v>79</v>
      </c>
      <c r="S48" s="36">
        <f>$N48+$O48+$P48</f>
        <v>59440</v>
      </c>
      <c r="T48" s="38"/>
      <c r="U48" s="38"/>
      <c r="V48" s="38"/>
      <c r="W48" s="36">
        <f>$D48+(0.4*$E48)</f>
        <v>275368</v>
      </c>
      <c r="X48" s="36">
        <f>($I48+0.25*$E48)</f>
        <v>20120.2</v>
      </c>
      <c r="Y48" s="36">
        <f>($J48+0.35*$E48)</f>
        <v>13655</v>
      </c>
      <c r="Z48" s="36">
        <f>$M48</f>
        <v>67136</v>
      </c>
      <c r="AA48" s="36">
        <f>$N48+$O48+$P48+$D48+(0.4*$E48)</f>
        <v>334808</v>
      </c>
      <c r="AB48" s="36">
        <f>($I48+0.25*$E48)</f>
        <v>20120.2</v>
      </c>
      <c r="AC48" s="36">
        <f>($J48+0.35*$E48)</f>
        <v>13655</v>
      </c>
      <c r="AD48" s="36">
        <f t="shared" ref="AD48:AD49" si="28">$M48</f>
        <v>67136</v>
      </c>
      <c r="AE48" s="37">
        <f t="shared" si="3"/>
        <v>871438.39999999991</v>
      </c>
    </row>
    <row r="49" spans="1:31">
      <c r="A49" s="5" t="s">
        <v>80</v>
      </c>
      <c r="B49" s="33">
        <f>B$2*'Total Inventory (Rice)'!C51</f>
        <v>59840</v>
      </c>
      <c r="C49" s="33">
        <f>C$2*'Total Inventory (Rice)'!D51</f>
        <v>11088</v>
      </c>
      <c r="D49" s="34">
        <f t="shared" si="0"/>
        <v>70928</v>
      </c>
      <c r="E49" s="34">
        <f>E$2*'Total Inventory (Rice)'!E51</f>
        <v>4500</v>
      </c>
      <c r="F49" s="33">
        <f>F$2*'Total Inventory (Rice)'!F51</f>
        <v>0</v>
      </c>
      <c r="G49" s="33">
        <f>G$2*'Total Inventory (Rice)'!G51</f>
        <v>0</v>
      </c>
      <c r="H49" s="33">
        <f>H$2*'Total Inventory (Rice)'!H51</f>
        <v>1408</v>
      </c>
      <c r="I49" s="34">
        <f t="shared" si="1"/>
        <v>1408</v>
      </c>
      <c r="J49" s="34">
        <f>J$2*'Total Inventory (Rice)'!I51</f>
        <v>0</v>
      </c>
      <c r="K49" s="33">
        <f>K$2*'Total Inventory (Rice)'!J51</f>
        <v>480</v>
      </c>
      <c r="L49" s="33">
        <f>L$2*'Total Inventory (Rice)'!K51</f>
        <v>0</v>
      </c>
      <c r="M49" s="34">
        <f t="shared" si="2"/>
        <v>480</v>
      </c>
      <c r="N49" s="34">
        <f>N$2*'Total Inventory (Rice)'!L51</f>
        <v>0</v>
      </c>
      <c r="O49" s="34">
        <f>O$2*'Total Inventory (Rice)'!M51</f>
        <v>3520</v>
      </c>
      <c r="P49" s="34">
        <f>P$2*'Total Inventory (Rice)'!N51</f>
        <v>0</v>
      </c>
      <c r="Q49" s="35"/>
      <c r="R49" s="5" t="s">
        <v>80</v>
      </c>
      <c r="S49" s="36">
        <f>$N49+$O49+$P49</f>
        <v>3520</v>
      </c>
      <c r="T49" s="38"/>
      <c r="U49" s="38"/>
      <c r="V49" s="38"/>
      <c r="W49" s="36">
        <f>$D49+(0.4*$E49)</f>
        <v>72728</v>
      </c>
      <c r="X49" s="36">
        <f>($I49+0.25*$E49)</f>
        <v>2533</v>
      </c>
      <c r="Y49" s="36">
        <f>($J49+0.35*$E49)</f>
        <v>1575</v>
      </c>
      <c r="Z49" s="36">
        <f>$M49</f>
        <v>480</v>
      </c>
      <c r="AA49" s="36">
        <f>$N49+$O49+$P49+$D49+(0.4*$E49)</f>
        <v>76248</v>
      </c>
      <c r="AB49" s="36">
        <f>($I49+0.25*$E49)</f>
        <v>2533</v>
      </c>
      <c r="AC49" s="36">
        <f>($J49+0.35*$E49)</f>
        <v>1575</v>
      </c>
      <c r="AD49" s="36">
        <f t="shared" si="28"/>
        <v>480</v>
      </c>
      <c r="AE49" s="37">
        <f t="shared" si="3"/>
        <v>161672</v>
      </c>
    </row>
    <row r="50" spans="1:31">
      <c r="A50" s="5" t="s">
        <v>77</v>
      </c>
      <c r="B50" s="33">
        <f>B$2*'Total Inventory (Rice)'!C48</f>
        <v>369600</v>
      </c>
      <c r="C50" s="33">
        <f>C$2*'Total Inventory (Rice)'!D48</f>
        <v>208736</v>
      </c>
      <c r="D50" s="34">
        <f>SUM(B50:C50)</f>
        <v>578336</v>
      </c>
      <c r="E50" s="34">
        <f>E$2*'Total Inventory (Rice)'!E48</f>
        <v>152400</v>
      </c>
      <c r="F50" s="33">
        <f>F$2*'Total Inventory (Rice)'!F48</f>
        <v>0</v>
      </c>
      <c r="G50" s="33">
        <f>G$2*'Total Inventory (Rice)'!G48</f>
        <v>9504</v>
      </c>
      <c r="H50" s="33">
        <f>H$2*'Total Inventory (Rice)'!H48</f>
        <v>24076.800000000003</v>
      </c>
      <c r="I50" s="34">
        <f>SUM(F50:H50)</f>
        <v>33580.800000000003</v>
      </c>
      <c r="J50" s="34">
        <f>J$2*'Total Inventory (Rice)'!I48</f>
        <v>0</v>
      </c>
      <c r="K50" s="33">
        <f>K$2*'Total Inventory (Rice)'!J48</f>
        <v>6528</v>
      </c>
      <c r="L50" s="33">
        <f>L$2*'Total Inventory (Rice)'!K48</f>
        <v>92800</v>
      </c>
      <c r="M50" s="34">
        <f>SUM(K50:L50)</f>
        <v>99328</v>
      </c>
      <c r="N50" s="34">
        <f>N$2*'Total Inventory (Rice)'!L48</f>
        <v>179280</v>
      </c>
      <c r="O50" s="34">
        <f>O$2*'Total Inventory (Rice)'!M48</f>
        <v>65296</v>
      </c>
      <c r="P50" s="34">
        <f>P$2*'Total Inventory (Rice)'!N48</f>
        <v>0</v>
      </c>
      <c r="Q50" s="35"/>
      <c r="R50" s="5" t="s">
        <v>77</v>
      </c>
      <c r="S50" s="38"/>
      <c r="T50" s="38"/>
      <c r="U50" s="38"/>
      <c r="V50" s="36">
        <f>$D50+(0.4*$E50)</f>
        <v>639296</v>
      </c>
      <c r="W50" s="36">
        <f>($I50+0.25*$E50)</f>
        <v>71680.800000000003</v>
      </c>
      <c r="X50" s="36">
        <f>($J50+0.35*$E50)</f>
        <v>53340</v>
      </c>
      <c r="Y50" s="36">
        <f>$M50</f>
        <v>99328</v>
      </c>
      <c r="Z50" s="36">
        <f>$N50+$O50+$P50+$D50+(0.4*$E50)</f>
        <v>883872</v>
      </c>
      <c r="AA50" s="36">
        <f>($I50+0.25*$E50)</f>
        <v>71680.800000000003</v>
      </c>
      <c r="AB50" s="36">
        <f>($J50+0.35*$E50)</f>
        <v>53340</v>
      </c>
      <c r="AC50" s="36">
        <f>$M50</f>
        <v>99328</v>
      </c>
      <c r="AD50" s="36">
        <f>$N50+$O50+$P50</f>
        <v>244576</v>
      </c>
      <c r="AE50" s="37">
        <f>SUM(S50:AD50)</f>
        <v>2216441.6</v>
      </c>
    </row>
    <row r="51" spans="1:31">
      <c r="A51" s="5" t="s">
        <v>78</v>
      </c>
      <c r="B51" s="33">
        <f>B$2*'Total Inventory (Rice)'!C49</f>
        <v>283360</v>
      </c>
      <c r="C51" s="33">
        <f>C$2*'Total Inventory (Rice)'!D49</f>
        <v>19712</v>
      </c>
      <c r="D51" s="34">
        <f>SUM(B51:C51)</f>
        <v>303072</v>
      </c>
      <c r="E51" s="34">
        <f>E$2*'Total Inventory (Rice)'!E49</f>
        <v>18900</v>
      </c>
      <c r="F51" s="33">
        <f>F$2*'Total Inventory (Rice)'!F49</f>
        <v>0</v>
      </c>
      <c r="G51" s="33">
        <f>G$2*'Total Inventory (Rice)'!G49</f>
        <v>0</v>
      </c>
      <c r="H51" s="33">
        <f>H$2*'Total Inventory (Rice)'!H49</f>
        <v>2112</v>
      </c>
      <c r="I51" s="34">
        <f>SUM(F51:H51)</f>
        <v>2112</v>
      </c>
      <c r="J51" s="34">
        <f>J$2*'Total Inventory (Rice)'!I49</f>
        <v>0</v>
      </c>
      <c r="K51" s="33">
        <f>K$2*'Total Inventory (Rice)'!J49</f>
        <v>1440</v>
      </c>
      <c r="L51" s="33">
        <f>L$2*'Total Inventory (Rice)'!K49</f>
        <v>0</v>
      </c>
      <c r="M51" s="34">
        <f>SUM(K51:L51)</f>
        <v>1440</v>
      </c>
      <c r="N51" s="34">
        <f>N$2*'Total Inventory (Rice)'!L49</f>
        <v>10800</v>
      </c>
      <c r="O51" s="34">
        <f>O$2*'Total Inventory (Rice)'!M49</f>
        <v>15488</v>
      </c>
      <c r="P51" s="34">
        <f>P$2*'Total Inventory (Rice)'!N49</f>
        <v>0</v>
      </c>
      <c r="Q51" s="35"/>
      <c r="R51" s="5" t="s">
        <v>78</v>
      </c>
      <c r="S51" s="38"/>
      <c r="T51" s="38"/>
      <c r="U51" s="38"/>
      <c r="V51" s="36">
        <f>$D51+(0.4*$E51)</f>
        <v>310632</v>
      </c>
      <c r="W51" s="36">
        <f>($I51+0.25*$E51)</f>
        <v>6837</v>
      </c>
      <c r="X51" s="36">
        <f>($J51+0.35*$E51)</f>
        <v>6615</v>
      </c>
      <c r="Y51" s="36">
        <f>$M51</f>
        <v>1440</v>
      </c>
      <c r="Z51" s="36">
        <f>$N51+$O51+$P51+$D51+(0.4*$E51)</f>
        <v>336920</v>
      </c>
      <c r="AA51" s="36">
        <f>($I51+0.25*$E51)</f>
        <v>6837</v>
      </c>
      <c r="AB51" s="36">
        <f>($J51+0.35*$E51)</f>
        <v>6615</v>
      </c>
      <c r="AC51" s="36">
        <f>$M51</f>
        <v>1440</v>
      </c>
      <c r="AD51" s="36">
        <f>$N51+$O51+$P51</f>
        <v>26288</v>
      </c>
      <c r="AE51" s="37">
        <f>SUM(S51:AD51)</f>
        <v>703624</v>
      </c>
    </row>
    <row r="52" spans="1:31">
      <c r="A52" s="5" t="s">
        <v>44</v>
      </c>
      <c r="B52" s="33">
        <f>B$2*'Total Inventory (Rice)'!C52</f>
        <v>0</v>
      </c>
      <c r="C52" s="33">
        <f>C$2*'Total Inventory (Rice)'!D52</f>
        <v>25696</v>
      </c>
      <c r="D52" s="34">
        <f t="shared" si="0"/>
        <v>25696</v>
      </c>
      <c r="E52" s="34">
        <f>E$2*'Total Inventory (Rice)'!E52</f>
        <v>45300</v>
      </c>
      <c r="F52" s="33">
        <f>F$2*'Total Inventory (Rice)'!F52</f>
        <v>0</v>
      </c>
      <c r="G52" s="33">
        <f>G$2*'Total Inventory (Rice)'!G52</f>
        <v>0</v>
      </c>
      <c r="H52" s="33">
        <f>H$2*'Total Inventory (Rice)'!H52</f>
        <v>1408</v>
      </c>
      <c r="I52" s="34">
        <f t="shared" si="1"/>
        <v>1408</v>
      </c>
      <c r="J52" s="34">
        <f>J$2*'Total Inventory (Rice)'!I52</f>
        <v>0</v>
      </c>
      <c r="K52" s="33">
        <f>K$2*'Total Inventory (Rice)'!J52</f>
        <v>1440</v>
      </c>
      <c r="L52" s="33">
        <f>L$2*'Total Inventory (Rice)'!K52</f>
        <v>0</v>
      </c>
      <c r="M52" s="34">
        <f t="shared" si="2"/>
        <v>1440</v>
      </c>
      <c r="N52" s="34">
        <f>N$2*'Total Inventory (Rice)'!L52</f>
        <v>10800</v>
      </c>
      <c r="O52" s="34">
        <f>O$2*'Total Inventory (Rice)'!M52</f>
        <v>13728</v>
      </c>
      <c r="P52" s="34">
        <f>P$2*'Total Inventory (Rice)'!N52</f>
        <v>0</v>
      </c>
      <c r="Q52" s="35"/>
      <c r="R52" s="5" t="s">
        <v>44</v>
      </c>
      <c r="S52" s="36">
        <f>($I52+0.25*$E52)</f>
        <v>12733</v>
      </c>
      <c r="T52" s="36">
        <f>($J52+0.35*$E52)</f>
        <v>15854.999999999998</v>
      </c>
      <c r="U52" s="36">
        <f t="shared" ref="T52:U57" si="29">$M52</f>
        <v>1440</v>
      </c>
      <c r="V52" s="36">
        <f t="shared" ref="U52:V57" si="30">$N52+$O52+$P52</f>
        <v>24528</v>
      </c>
      <c r="W52" s="38"/>
      <c r="X52" s="36">
        <f>$D52+(0.4*$E52)</f>
        <v>43816</v>
      </c>
      <c r="Y52" s="36">
        <f>($I52+0.25*$E52)</f>
        <v>12733</v>
      </c>
      <c r="Z52" s="36">
        <f>($J52+0.35*$E52)</f>
        <v>15854.999999999998</v>
      </c>
      <c r="AA52" s="36">
        <f>$M52</f>
        <v>1440</v>
      </c>
      <c r="AB52" s="36">
        <f>$N52+$O52+$P52</f>
        <v>24528</v>
      </c>
      <c r="AC52" s="38"/>
      <c r="AD52" s="36">
        <f>$D52+(0.4*$E52)</f>
        <v>43816</v>
      </c>
      <c r="AE52" s="37">
        <f t="shared" si="3"/>
        <v>196744</v>
      </c>
    </row>
    <row r="53" spans="1:31">
      <c r="A53" s="5" t="s">
        <v>92</v>
      </c>
      <c r="B53" s="33">
        <f>B$2*'Total Inventory (Rice)'!C53</f>
        <v>77440</v>
      </c>
      <c r="C53" s="33">
        <f>C$2*'Total Inventory (Rice)'!D53</f>
        <v>79024</v>
      </c>
      <c r="D53" s="34">
        <f t="shared" si="0"/>
        <v>156464</v>
      </c>
      <c r="E53" s="34">
        <f>E$2*'Total Inventory (Rice)'!E53</f>
        <v>174300</v>
      </c>
      <c r="F53" s="33">
        <f>F$2*'Total Inventory (Rice)'!F53</f>
        <v>0</v>
      </c>
      <c r="G53" s="33">
        <f>G$2*'Total Inventory (Rice)'!G53</f>
        <v>0</v>
      </c>
      <c r="H53" s="33">
        <f>H$2*'Total Inventory (Rice)'!H53</f>
        <v>3379.2000000000003</v>
      </c>
      <c r="I53" s="34">
        <f t="shared" si="1"/>
        <v>3379.2000000000003</v>
      </c>
      <c r="J53" s="34">
        <f>J$2*'Total Inventory (Rice)'!I53</f>
        <v>0</v>
      </c>
      <c r="K53" s="33">
        <f>K$2*'Total Inventory (Rice)'!J53</f>
        <v>5184</v>
      </c>
      <c r="L53" s="33">
        <f>L$2*'Total Inventory (Rice)'!K53</f>
        <v>32000</v>
      </c>
      <c r="M53" s="34">
        <f t="shared" si="2"/>
        <v>37184</v>
      </c>
      <c r="N53" s="34">
        <f>N$2*'Total Inventory (Rice)'!L53</f>
        <v>241920</v>
      </c>
      <c r="O53" s="34">
        <f>O$2*'Total Inventory (Rice)'!M53</f>
        <v>35200</v>
      </c>
      <c r="P53" s="34">
        <f>P$2*'Total Inventory (Rice)'!N53</f>
        <v>0</v>
      </c>
      <c r="Q53" s="35"/>
      <c r="R53" s="5" t="s">
        <v>92</v>
      </c>
      <c r="S53" s="36">
        <f>($J53+0.35*$E53)</f>
        <v>61004.999999999993</v>
      </c>
      <c r="T53" s="36">
        <f t="shared" si="29"/>
        <v>37184</v>
      </c>
      <c r="U53" s="36">
        <f t="shared" si="30"/>
        <v>277120</v>
      </c>
      <c r="V53" s="38"/>
      <c r="W53" s="36">
        <f>$D53+(0.4*$E53)</f>
        <v>226184</v>
      </c>
      <c r="X53" s="36">
        <f>($I53+0.25*$E53)</f>
        <v>46954.2</v>
      </c>
      <c r="Y53" s="36">
        <f>($J53+0.35*$E53)</f>
        <v>61004.999999999993</v>
      </c>
      <c r="Z53" s="36">
        <f>$M53</f>
        <v>37184</v>
      </c>
      <c r="AA53" s="36">
        <f>$N53+$O53+$P53</f>
        <v>277120</v>
      </c>
      <c r="AB53" s="38"/>
      <c r="AC53" s="36">
        <f>$D53+(0.4*$E53)</f>
        <v>226184</v>
      </c>
      <c r="AD53" s="36">
        <f>($I53+0.25*$E53)</f>
        <v>46954.2</v>
      </c>
      <c r="AE53" s="37">
        <f t="shared" si="3"/>
        <v>1296894.3999999999</v>
      </c>
    </row>
    <row r="54" spans="1:31">
      <c r="A54" s="5" t="s">
        <v>91</v>
      </c>
      <c r="B54" s="33">
        <f>B$2*'Total Inventory (Rice)'!C54</f>
        <v>447040</v>
      </c>
      <c r="C54" s="33">
        <f>C$2*'Total Inventory (Rice)'!D54</f>
        <v>111760</v>
      </c>
      <c r="D54" s="34">
        <f t="shared" si="0"/>
        <v>558800</v>
      </c>
      <c r="E54" s="34">
        <f>E$2*'Total Inventory (Rice)'!E54</f>
        <v>369000</v>
      </c>
      <c r="F54" s="33">
        <f>F$2*'Total Inventory (Rice)'!F54</f>
        <v>0</v>
      </c>
      <c r="G54" s="33">
        <f>G$2*'Total Inventory (Rice)'!G54</f>
        <v>0</v>
      </c>
      <c r="H54" s="33">
        <f>H$2*'Total Inventory (Rice)'!H54</f>
        <v>8870.4000000000015</v>
      </c>
      <c r="I54" s="34">
        <f t="shared" si="1"/>
        <v>8870.4000000000015</v>
      </c>
      <c r="J54" s="34">
        <f>J$2*'Total Inventory (Rice)'!I54</f>
        <v>0</v>
      </c>
      <c r="K54" s="33">
        <f>K$2*'Total Inventory (Rice)'!J54</f>
        <v>12672</v>
      </c>
      <c r="L54" s="33">
        <f>L$2*'Total Inventory (Rice)'!K54</f>
        <v>172800</v>
      </c>
      <c r="M54" s="34">
        <f t="shared" si="2"/>
        <v>185472</v>
      </c>
      <c r="N54" s="34">
        <f>N$2*'Total Inventory (Rice)'!L54</f>
        <v>95040</v>
      </c>
      <c r="O54" s="34">
        <f>O$2*'Total Inventory (Rice)'!M54</f>
        <v>57552</v>
      </c>
      <c r="P54" s="34">
        <f>P$2*'Total Inventory (Rice)'!N54</f>
        <v>0</v>
      </c>
      <c r="Q54" s="35"/>
      <c r="R54" s="5" t="s">
        <v>91</v>
      </c>
      <c r="S54" s="36">
        <f>($I54+0.25*$E54)</f>
        <v>101120.4</v>
      </c>
      <c r="T54" s="36">
        <f>($J54+0.35*$E54)</f>
        <v>129149.99999999999</v>
      </c>
      <c r="U54" s="36">
        <f t="shared" si="29"/>
        <v>185472</v>
      </c>
      <c r="V54" s="36">
        <f t="shared" si="30"/>
        <v>152592</v>
      </c>
      <c r="W54" s="38"/>
      <c r="X54" s="36">
        <f>$D54+(0.4*$E54)</f>
        <v>706400</v>
      </c>
      <c r="Y54" s="36">
        <f>($I54+0.25*$E54)</f>
        <v>101120.4</v>
      </c>
      <c r="Z54" s="36">
        <f>($J54+0.35*$E54)</f>
        <v>129149.99999999999</v>
      </c>
      <c r="AA54" s="36">
        <f>$M54</f>
        <v>185472</v>
      </c>
      <c r="AB54" s="36">
        <f>$N54+$O54+$P54</f>
        <v>152592</v>
      </c>
      <c r="AC54" s="38"/>
      <c r="AD54" s="36">
        <f>$D54+(0.4*$E54)</f>
        <v>706400</v>
      </c>
      <c r="AE54" s="37">
        <f t="shared" si="3"/>
        <v>2549468.7999999998</v>
      </c>
    </row>
    <row r="55" spans="1:31">
      <c r="A55" s="5" t="s">
        <v>94</v>
      </c>
      <c r="B55" s="33">
        <f>B$2*'Total Inventory (Rice)'!C55</f>
        <v>77440</v>
      </c>
      <c r="C55" s="33">
        <f>C$2*'Total Inventory (Rice)'!D55</f>
        <v>162448</v>
      </c>
      <c r="D55" s="34">
        <f t="shared" si="0"/>
        <v>239888</v>
      </c>
      <c r="E55" s="34">
        <f>E$2*'Total Inventory (Rice)'!E55</f>
        <v>221100</v>
      </c>
      <c r="F55" s="33">
        <f>F$2*'Total Inventory (Rice)'!F55</f>
        <v>0</v>
      </c>
      <c r="G55" s="33">
        <f>G$2*'Total Inventory (Rice)'!G55</f>
        <v>0</v>
      </c>
      <c r="H55" s="33">
        <f>H$2*'Total Inventory (Rice)'!H55</f>
        <v>8870.4000000000015</v>
      </c>
      <c r="I55" s="34">
        <f t="shared" si="1"/>
        <v>8870.4000000000015</v>
      </c>
      <c r="J55" s="34">
        <f>J$2*'Total Inventory (Rice)'!I55</f>
        <v>0</v>
      </c>
      <c r="K55" s="33">
        <f>K$2*'Total Inventory (Rice)'!J55</f>
        <v>13152</v>
      </c>
      <c r="L55" s="33">
        <f>L$2*'Total Inventory (Rice)'!K55</f>
        <v>32000</v>
      </c>
      <c r="M55" s="34">
        <f t="shared" si="2"/>
        <v>45152</v>
      </c>
      <c r="N55" s="34">
        <f>N$2*'Total Inventory (Rice)'!L55</f>
        <v>127440</v>
      </c>
      <c r="O55" s="34">
        <f>O$2*'Total Inventory (Rice)'!M55</f>
        <v>55792</v>
      </c>
      <c r="P55" s="34">
        <f>P$2*'Total Inventory (Rice)'!N55</f>
        <v>0</v>
      </c>
      <c r="Q55" s="35"/>
      <c r="R55" s="5" t="s">
        <v>94</v>
      </c>
      <c r="S55" s="36">
        <f>($J55+0.35*$E55)</f>
        <v>77385</v>
      </c>
      <c r="T55" s="36">
        <f t="shared" si="29"/>
        <v>45152</v>
      </c>
      <c r="U55" s="36">
        <f t="shared" si="30"/>
        <v>183232</v>
      </c>
      <c r="V55" s="38"/>
      <c r="W55" s="36">
        <f>$D55+(0.4*$E55)</f>
        <v>328328</v>
      </c>
      <c r="X55" s="36">
        <f>($I55+0.25*$E55)</f>
        <v>64145.4</v>
      </c>
      <c r="Y55" s="36">
        <f>($J55+0.35*$E55)</f>
        <v>77385</v>
      </c>
      <c r="Z55" s="36">
        <f>$M55</f>
        <v>45152</v>
      </c>
      <c r="AA55" s="36">
        <f>$N55+$O55+$P55</f>
        <v>183232</v>
      </c>
      <c r="AB55" s="38"/>
      <c r="AC55" s="36">
        <f>$D55+(0.4*$E55)</f>
        <v>328328</v>
      </c>
      <c r="AD55" s="36">
        <f>($I55+0.25*$E55)</f>
        <v>64145.4</v>
      </c>
      <c r="AE55" s="37">
        <f t="shared" si="3"/>
        <v>1396484.7999999998</v>
      </c>
    </row>
    <row r="56" spans="1:31">
      <c r="A56" s="5" t="s">
        <v>45</v>
      </c>
      <c r="B56" s="33">
        <f>B$2*'Total Inventory (Rice)'!C56</f>
        <v>110880</v>
      </c>
      <c r="C56" s="33">
        <f>C$2*'Total Inventory (Rice)'!D56</f>
        <v>127952</v>
      </c>
      <c r="D56" s="34">
        <f t="shared" si="0"/>
        <v>238832</v>
      </c>
      <c r="E56" s="34">
        <f>E$2*'Total Inventory (Rice)'!E56</f>
        <v>199200</v>
      </c>
      <c r="F56" s="33">
        <f>F$2*'Total Inventory (Rice)'!F56</f>
        <v>0</v>
      </c>
      <c r="G56" s="33">
        <f>G$2*'Total Inventory (Rice)'!G56</f>
        <v>0</v>
      </c>
      <c r="H56" s="33">
        <f>H$2*'Total Inventory (Rice)'!H56</f>
        <v>4083.2000000000003</v>
      </c>
      <c r="I56" s="34">
        <f t="shared" si="1"/>
        <v>4083.2000000000003</v>
      </c>
      <c r="J56" s="34">
        <f>J$2*'Total Inventory (Rice)'!I56</f>
        <v>0</v>
      </c>
      <c r="K56" s="33">
        <f>K$2*'Total Inventory (Rice)'!J56</f>
        <v>5664</v>
      </c>
      <c r="L56" s="33">
        <f>L$2*'Total Inventory (Rice)'!K56</f>
        <v>32000</v>
      </c>
      <c r="M56" s="34">
        <f t="shared" si="2"/>
        <v>37664</v>
      </c>
      <c r="N56" s="34">
        <f>N$2*'Total Inventory (Rice)'!L56</f>
        <v>136080</v>
      </c>
      <c r="O56" s="34">
        <f>O$2*'Total Inventory (Rice)'!M56</f>
        <v>58432</v>
      </c>
      <c r="P56" s="34">
        <f>P$2*'Total Inventory (Rice)'!N56</f>
        <v>0</v>
      </c>
      <c r="Q56" s="35"/>
      <c r="R56" s="5" t="s">
        <v>45</v>
      </c>
      <c r="S56" s="36">
        <f>($I56+0.25*$E56)</f>
        <v>53883.199999999997</v>
      </c>
      <c r="T56" s="36">
        <f>($J56+0.35*$E56)</f>
        <v>69720</v>
      </c>
      <c r="U56" s="36">
        <f t="shared" si="29"/>
        <v>37664</v>
      </c>
      <c r="V56" s="36">
        <f t="shared" si="30"/>
        <v>194512</v>
      </c>
      <c r="W56" s="38"/>
      <c r="X56" s="36">
        <f>$D56+(0.4*$E56)</f>
        <v>318512</v>
      </c>
      <c r="Y56" s="36">
        <f>($I56+0.25*$E56)</f>
        <v>53883.199999999997</v>
      </c>
      <c r="Z56" s="36">
        <f>($J56+0.35*$E56)</f>
        <v>69720</v>
      </c>
      <c r="AA56" s="36">
        <f>$M56</f>
        <v>37664</v>
      </c>
      <c r="AB56" s="36">
        <f>$N56+$O56+$P56</f>
        <v>194512</v>
      </c>
      <c r="AC56" s="38"/>
      <c r="AD56" s="36">
        <f>$D56+(0.4*$E56)</f>
        <v>318512</v>
      </c>
      <c r="AE56" s="37">
        <f t="shared" si="3"/>
        <v>1348582.3999999999</v>
      </c>
    </row>
    <row r="57" spans="1:31">
      <c r="A57" s="5" t="s">
        <v>46</v>
      </c>
      <c r="B57" s="33">
        <f>B$2*'Total Inventory (Rice)'!C57</f>
        <v>26400</v>
      </c>
      <c r="C57" s="33">
        <f>C$2*'Total Inventory (Rice)'!D57</f>
        <v>30976</v>
      </c>
      <c r="D57" s="34">
        <f t="shared" si="0"/>
        <v>57376</v>
      </c>
      <c r="E57" s="34">
        <f>E$2*'Total Inventory (Rice)'!E57</f>
        <v>87900</v>
      </c>
      <c r="F57" s="33">
        <f>F$2*'Total Inventory (Rice)'!F57</f>
        <v>0</v>
      </c>
      <c r="G57" s="33">
        <f>G$2*'Total Inventory (Rice)'!G57</f>
        <v>0</v>
      </c>
      <c r="H57" s="33">
        <f>H$2*'Total Inventory (Rice)'!H57</f>
        <v>4083.2000000000003</v>
      </c>
      <c r="I57" s="34">
        <f t="shared" si="1"/>
        <v>4083.2000000000003</v>
      </c>
      <c r="J57" s="34">
        <f>J$2*'Total Inventory (Rice)'!I57</f>
        <v>0</v>
      </c>
      <c r="K57" s="33">
        <f>K$2*'Total Inventory (Rice)'!J57</f>
        <v>8448</v>
      </c>
      <c r="L57" s="33">
        <f>L$2*'Total Inventory (Rice)'!K57</f>
        <v>16000</v>
      </c>
      <c r="M57" s="34">
        <f t="shared" si="2"/>
        <v>24448</v>
      </c>
      <c r="N57" s="34">
        <f>N$2*'Total Inventory (Rice)'!L57</f>
        <v>21600</v>
      </c>
      <c r="O57" s="34">
        <f>O$2*'Total Inventory (Rice)'!M57</f>
        <v>10384</v>
      </c>
      <c r="P57" s="34">
        <f>P$2*'Total Inventory (Rice)'!N57</f>
        <v>0</v>
      </c>
      <c r="Q57" s="35"/>
      <c r="R57" s="5" t="s">
        <v>46</v>
      </c>
      <c r="S57" s="36">
        <f>($J57+0.35*$E57)</f>
        <v>30764.999999999996</v>
      </c>
      <c r="T57" s="36">
        <f t="shared" si="29"/>
        <v>24448</v>
      </c>
      <c r="U57" s="36">
        <f t="shared" si="30"/>
        <v>31984</v>
      </c>
      <c r="V57" s="38"/>
      <c r="W57" s="36">
        <f t="shared" ref="W57:W65" si="31">$D57+(0.4*$E57)</f>
        <v>92536</v>
      </c>
      <c r="X57" s="36">
        <f t="shared" ref="X57:X65" si="32">($I57+0.25*$E57)</f>
        <v>26058.2</v>
      </c>
      <c r="Y57" s="36">
        <f t="shared" ref="Y57:Y65" si="33">($J57+0.35*$E57)</f>
        <v>30764.999999999996</v>
      </c>
      <c r="Z57" s="36">
        <f t="shared" ref="Z57:Z65" si="34">$M57</f>
        <v>24448</v>
      </c>
      <c r="AA57" s="36">
        <f t="shared" ref="AA57:AA65" si="35">$N57+$O57+$P57</f>
        <v>31984</v>
      </c>
      <c r="AB57" s="38"/>
      <c r="AC57" s="36">
        <f>$D57+(0.4*$E57)</f>
        <v>92536</v>
      </c>
      <c r="AD57" s="36">
        <f>($I57+0.25*$E57)</f>
        <v>26058.2</v>
      </c>
      <c r="AE57" s="37">
        <f t="shared" si="3"/>
        <v>411582.4</v>
      </c>
    </row>
    <row r="58" spans="1:31">
      <c r="A58" s="5" t="s">
        <v>210</v>
      </c>
      <c r="B58" s="33">
        <f>B$2*'Total Inventory (Rice)'!C58</f>
        <v>387200</v>
      </c>
      <c r="C58" s="33">
        <f>C$2*'Total Inventory (Rice)'!D58</f>
        <v>33440</v>
      </c>
      <c r="D58" s="34">
        <f t="shared" si="0"/>
        <v>420640</v>
      </c>
      <c r="E58" s="34">
        <f>E$2*'Total Inventory (Rice)'!E58</f>
        <v>106800</v>
      </c>
      <c r="F58" s="33">
        <f>F$2*'Total Inventory (Rice)'!F58</f>
        <v>3590.4</v>
      </c>
      <c r="G58" s="33">
        <f>G$2*'Total Inventory (Rice)'!G58</f>
        <v>4224</v>
      </c>
      <c r="H58" s="33">
        <f>H$2*'Total Inventory (Rice)'!H58</f>
        <v>4083.2000000000003</v>
      </c>
      <c r="I58" s="34">
        <f t="shared" si="1"/>
        <v>11897.6</v>
      </c>
      <c r="J58" s="34">
        <f>J$2*'Total Inventory (Rice)'!I58</f>
        <v>0</v>
      </c>
      <c r="K58" s="33">
        <f>K$2*'Total Inventory (Rice)'!J58</f>
        <v>8928</v>
      </c>
      <c r="L58" s="33">
        <f>L$2*'Total Inventory (Rice)'!K58</f>
        <v>233600</v>
      </c>
      <c r="M58" s="34">
        <f t="shared" si="2"/>
        <v>242528</v>
      </c>
      <c r="N58" s="34">
        <f>N$2*'Total Inventory (Rice)'!L58</f>
        <v>0</v>
      </c>
      <c r="O58" s="34">
        <f>O$2*'Total Inventory (Rice)'!M58</f>
        <v>38720</v>
      </c>
      <c r="P58" s="34">
        <f>P$2*'Total Inventory (Rice)'!N58</f>
        <v>0</v>
      </c>
      <c r="Q58" s="35"/>
      <c r="R58" s="5" t="s">
        <v>210</v>
      </c>
      <c r="S58" s="36">
        <f>($J58+0.35*$E58)</f>
        <v>37380</v>
      </c>
      <c r="T58" s="36">
        <f>$M58</f>
        <v>242528</v>
      </c>
      <c r="U58" s="36">
        <f>$N58+$O58+$P58</f>
        <v>38720</v>
      </c>
      <c r="V58" s="38"/>
      <c r="W58" s="36">
        <f t="shared" si="31"/>
        <v>463360</v>
      </c>
      <c r="X58" s="36">
        <f t="shared" si="32"/>
        <v>38597.599999999999</v>
      </c>
      <c r="Y58" s="36">
        <f t="shared" si="33"/>
        <v>37380</v>
      </c>
      <c r="Z58" s="36">
        <f t="shared" si="34"/>
        <v>242528</v>
      </c>
      <c r="AA58" s="36">
        <f t="shared" si="35"/>
        <v>38720</v>
      </c>
      <c r="AB58" s="38"/>
      <c r="AC58" s="36">
        <f>$D58+(0.4*$E58)</f>
        <v>463360</v>
      </c>
      <c r="AD58" s="36">
        <f>($I58+0.25*$E58)</f>
        <v>38597.599999999999</v>
      </c>
      <c r="AE58" s="37">
        <f t="shared" si="3"/>
        <v>1641171.2000000002</v>
      </c>
    </row>
    <row r="59" spans="1:31">
      <c r="A59" s="5" t="s">
        <v>211</v>
      </c>
      <c r="B59" s="33">
        <f>B$2*'Total Inventory (Rice)'!C59</f>
        <v>378400</v>
      </c>
      <c r="C59" s="33">
        <f>C$2*'Total Inventory (Rice)'!D59</f>
        <v>61072</v>
      </c>
      <c r="D59" s="34">
        <f t="shared" si="0"/>
        <v>439472</v>
      </c>
      <c r="E59" s="34">
        <f>E$2*'Total Inventory (Rice)'!E59</f>
        <v>86400</v>
      </c>
      <c r="F59" s="33">
        <f>F$2*'Total Inventory (Rice)'!F59</f>
        <v>17001.600000000002</v>
      </c>
      <c r="G59" s="33">
        <f>G$2*'Total Inventory (Rice)'!G59</f>
        <v>10384</v>
      </c>
      <c r="H59" s="33">
        <f>H$2*'Total Inventory (Rice)'!H59</f>
        <v>14502.400000000001</v>
      </c>
      <c r="I59" s="34">
        <f t="shared" si="1"/>
        <v>41888</v>
      </c>
      <c r="J59" s="34">
        <f>J$2*'Total Inventory (Rice)'!I59</f>
        <v>0</v>
      </c>
      <c r="K59" s="33">
        <f>K$2*'Total Inventory (Rice)'!J59</f>
        <v>10752</v>
      </c>
      <c r="L59" s="33">
        <f>L$2*'Total Inventory (Rice)'!K59</f>
        <v>374400</v>
      </c>
      <c r="M59" s="34">
        <f t="shared" si="2"/>
        <v>385152</v>
      </c>
      <c r="N59" s="34">
        <f>N$2*'Total Inventory (Rice)'!L59</f>
        <v>32400</v>
      </c>
      <c r="O59" s="34">
        <f>O$2*'Total Inventory (Rice)'!M59</f>
        <v>67936</v>
      </c>
      <c r="P59" s="34">
        <f>P$2*'Total Inventory (Rice)'!N59</f>
        <v>0</v>
      </c>
      <c r="Q59" s="35"/>
      <c r="R59" s="5" t="s">
        <v>211</v>
      </c>
      <c r="S59" s="36">
        <f>$M59</f>
        <v>385152</v>
      </c>
      <c r="T59" s="36">
        <f>$N59+$O59+$P59</f>
        <v>100336</v>
      </c>
      <c r="U59" s="38"/>
      <c r="V59" s="38"/>
      <c r="W59" s="36">
        <f t="shared" si="31"/>
        <v>474032</v>
      </c>
      <c r="X59" s="36">
        <f t="shared" si="32"/>
        <v>63488</v>
      </c>
      <c r="Y59" s="36">
        <f t="shared" si="33"/>
        <v>30239.999999999996</v>
      </c>
      <c r="Z59" s="36">
        <f t="shared" si="34"/>
        <v>385152</v>
      </c>
      <c r="AA59" s="36">
        <f t="shared" si="35"/>
        <v>100336</v>
      </c>
      <c r="AB59" s="36">
        <f>$D59+(0.4*$E59)</f>
        <v>474032</v>
      </c>
      <c r="AC59" s="36">
        <f>($I59+0.25*$E59)</f>
        <v>63488</v>
      </c>
      <c r="AD59" s="36">
        <f>($J59+0.35*$E59)</f>
        <v>30239.999999999996</v>
      </c>
      <c r="AE59" s="37">
        <f t="shared" si="3"/>
        <v>2106496</v>
      </c>
    </row>
    <row r="60" spans="1:31">
      <c r="A60" s="5" t="s">
        <v>47</v>
      </c>
      <c r="B60" s="33">
        <f>B$2*'Total Inventory (Rice)'!C60</f>
        <v>154880</v>
      </c>
      <c r="C60" s="33">
        <f>C$2*'Total Inventory (Rice)'!D60</f>
        <v>44704</v>
      </c>
      <c r="D60" s="34">
        <f t="shared" si="0"/>
        <v>199584</v>
      </c>
      <c r="E60" s="34">
        <f>E$2*'Total Inventory (Rice)'!E60</f>
        <v>29400</v>
      </c>
      <c r="F60" s="33">
        <f>F$2*'Total Inventory (Rice)'!F60</f>
        <v>9820.8000000000011</v>
      </c>
      <c r="G60" s="33">
        <f>G$2*'Total Inventory (Rice)'!G60</f>
        <v>1760</v>
      </c>
      <c r="H60" s="33">
        <f>H$2*'Total Inventory (Rice)'!H60</f>
        <v>6195.2000000000007</v>
      </c>
      <c r="I60" s="34">
        <f t="shared" si="1"/>
        <v>17776</v>
      </c>
      <c r="J60" s="34">
        <f>J$2*'Total Inventory (Rice)'!I60</f>
        <v>0</v>
      </c>
      <c r="K60" s="33">
        <f>K$2*'Total Inventory (Rice)'!J60</f>
        <v>9888</v>
      </c>
      <c r="L60" s="33">
        <f>L$2*'Total Inventory (Rice)'!K60</f>
        <v>140800</v>
      </c>
      <c r="M60" s="34">
        <f t="shared" si="2"/>
        <v>150688</v>
      </c>
      <c r="N60" s="34">
        <f>N$2*'Total Inventory (Rice)'!L60</f>
        <v>0</v>
      </c>
      <c r="O60" s="34">
        <f>O$2*'Total Inventory (Rice)'!M60</f>
        <v>48928</v>
      </c>
      <c r="P60" s="34">
        <f>P$2*'Total Inventory (Rice)'!N60</f>
        <v>0</v>
      </c>
      <c r="Q60" s="35"/>
      <c r="R60" s="5" t="s">
        <v>47</v>
      </c>
      <c r="S60" s="36">
        <f>($J60+0.35*$E60)</f>
        <v>10290</v>
      </c>
      <c r="T60" s="36">
        <f>$M60</f>
        <v>150688</v>
      </c>
      <c r="U60" s="36">
        <f>$N60+$O60+$P60</f>
        <v>48928</v>
      </c>
      <c r="V60" s="38"/>
      <c r="W60" s="36">
        <f t="shared" si="31"/>
        <v>211344</v>
      </c>
      <c r="X60" s="36">
        <f t="shared" si="32"/>
        <v>25126</v>
      </c>
      <c r="Y60" s="36">
        <f t="shared" si="33"/>
        <v>10290</v>
      </c>
      <c r="Z60" s="36">
        <f t="shared" si="34"/>
        <v>150688</v>
      </c>
      <c r="AA60" s="36">
        <f t="shared" si="35"/>
        <v>48928</v>
      </c>
      <c r="AB60" s="38"/>
      <c r="AC60" s="36">
        <f>$D60+(0.4*$E60)</f>
        <v>211344</v>
      </c>
      <c r="AD60" s="36">
        <f>($I60+0.25*$E60)</f>
        <v>25126</v>
      </c>
      <c r="AE60" s="37">
        <f t="shared" si="3"/>
        <v>892752</v>
      </c>
    </row>
    <row r="61" spans="1:31">
      <c r="A61" s="5" t="s">
        <v>55</v>
      </c>
      <c r="B61" s="33">
        <f>B$2*'Total Inventory (Rice)'!C61</f>
        <v>1649120</v>
      </c>
      <c r="C61" s="33">
        <f>C$2*'Total Inventory (Rice)'!D61</f>
        <v>98736</v>
      </c>
      <c r="D61" s="34">
        <f t="shared" si="0"/>
        <v>1747856</v>
      </c>
      <c r="E61" s="34">
        <f>E$2*'Total Inventory (Rice)'!E61</f>
        <v>423300</v>
      </c>
      <c r="F61" s="33">
        <f>F$2*'Total Inventory (Rice)'!F61</f>
        <v>59241.600000000006</v>
      </c>
      <c r="G61" s="33">
        <f>G$2*'Total Inventory (Rice)'!G61</f>
        <v>13728</v>
      </c>
      <c r="H61" s="33">
        <f>H$2*'Total Inventory (Rice)'!H61</f>
        <v>67302.400000000009</v>
      </c>
      <c r="I61" s="34">
        <f t="shared" si="1"/>
        <v>140272</v>
      </c>
      <c r="J61" s="34">
        <f>J$2*'Total Inventory (Rice)'!I61</f>
        <v>0</v>
      </c>
      <c r="K61" s="33">
        <f>K$2*'Total Inventory (Rice)'!J61</f>
        <v>30432</v>
      </c>
      <c r="L61" s="33">
        <f>L$2*'Total Inventory (Rice)'!K61</f>
        <v>780800</v>
      </c>
      <c r="M61" s="34">
        <f t="shared" si="2"/>
        <v>811232</v>
      </c>
      <c r="N61" s="34">
        <f>N$2*'Total Inventory (Rice)'!L61</f>
        <v>73440</v>
      </c>
      <c r="O61" s="34">
        <f>O$2*'Total Inventory (Rice)'!M61</f>
        <v>87648</v>
      </c>
      <c r="P61" s="34">
        <f>P$2*'Total Inventory (Rice)'!N61</f>
        <v>0</v>
      </c>
      <c r="Q61" s="35"/>
      <c r="R61" s="5" t="s">
        <v>55</v>
      </c>
      <c r="S61" s="36">
        <f>$M61</f>
        <v>811232</v>
      </c>
      <c r="T61" s="36">
        <f>$N61+$O61+$P61</f>
        <v>161088</v>
      </c>
      <c r="U61" s="38"/>
      <c r="V61" s="38"/>
      <c r="W61" s="36">
        <f t="shared" si="31"/>
        <v>1917176</v>
      </c>
      <c r="X61" s="36">
        <f t="shared" si="32"/>
        <v>246097</v>
      </c>
      <c r="Y61" s="36">
        <f t="shared" si="33"/>
        <v>148155</v>
      </c>
      <c r="Z61" s="36">
        <f t="shared" si="34"/>
        <v>811232</v>
      </c>
      <c r="AA61" s="36">
        <f t="shared" si="35"/>
        <v>161088</v>
      </c>
      <c r="AB61" s="36">
        <f>$D61+(0.4*$E61)</f>
        <v>1917176</v>
      </c>
      <c r="AC61" s="36">
        <f>($I61+0.25*$E61)</f>
        <v>246097</v>
      </c>
      <c r="AD61" s="36">
        <f>($J61+0.35*$E61)</f>
        <v>148155</v>
      </c>
      <c r="AE61" s="37">
        <f t="shared" si="3"/>
        <v>6567496</v>
      </c>
    </row>
    <row r="62" spans="1:31">
      <c r="A62" s="5" t="s">
        <v>48</v>
      </c>
      <c r="B62" s="33">
        <f>B$2*'Total Inventory (Rice)'!C62</f>
        <v>8800</v>
      </c>
      <c r="C62" s="33">
        <f>C$2*'Total Inventory (Rice)'!D62</f>
        <v>880</v>
      </c>
      <c r="D62" s="34">
        <f t="shared" si="0"/>
        <v>9680</v>
      </c>
      <c r="E62" s="34">
        <f>E$2*'Total Inventory (Rice)'!E62</f>
        <v>13200</v>
      </c>
      <c r="F62" s="33">
        <f>F$2*'Total Inventory (Rice)'!F62</f>
        <v>0</v>
      </c>
      <c r="G62" s="33">
        <f>G$2*'Total Inventory (Rice)'!G62</f>
        <v>0</v>
      </c>
      <c r="H62" s="33">
        <f>H$2*'Total Inventory (Rice)'!H62</f>
        <v>0</v>
      </c>
      <c r="I62" s="34">
        <f t="shared" si="1"/>
        <v>0</v>
      </c>
      <c r="J62" s="34">
        <f>J$2*'Total Inventory (Rice)'!I62</f>
        <v>0</v>
      </c>
      <c r="K62" s="33">
        <f>K$2*'Total Inventory (Rice)'!J62</f>
        <v>480</v>
      </c>
      <c r="L62" s="33">
        <f>L$2*'Total Inventory (Rice)'!K62</f>
        <v>0</v>
      </c>
      <c r="M62" s="34">
        <f t="shared" si="2"/>
        <v>480</v>
      </c>
      <c r="N62" s="34">
        <f>N$2*'Total Inventory (Rice)'!L62</f>
        <v>0</v>
      </c>
      <c r="O62" s="34">
        <f>O$2*'Total Inventory (Rice)'!M62</f>
        <v>1760</v>
      </c>
      <c r="P62" s="34">
        <f>P$2*'Total Inventory (Rice)'!N62</f>
        <v>0</v>
      </c>
      <c r="Q62" s="35"/>
      <c r="R62" s="5" t="s">
        <v>48</v>
      </c>
      <c r="S62" s="36">
        <f t="shared" ref="S62:T65" si="36">$M62</f>
        <v>480</v>
      </c>
      <c r="T62" s="36">
        <f t="shared" ref="T62:U65" si="37">$N62+$O62+$P62</f>
        <v>1760</v>
      </c>
      <c r="U62" s="38"/>
      <c r="V62" s="38"/>
      <c r="W62" s="36">
        <f t="shared" si="31"/>
        <v>14960</v>
      </c>
      <c r="X62" s="36">
        <f t="shared" si="32"/>
        <v>3300</v>
      </c>
      <c r="Y62" s="36">
        <f t="shared" si="33"/>
        <v>4620</v>
      </c>
      <c r="Z62" s="36">
        <f t="shared" si="34"/>
        <v>480</v>
      </c>
      <c r="AA62" s="36">
        <f t="shared" si="35"/>
        <v>1760</v>
      </c>
      <c r="AB62" s="36">
        <f t="shared" ref="AB62:AC65" si="38">$D62+(0.4*$E62)</f>
        <v>14960</v>
      </c>
      <c r="AC62" s="36">
        <f>($I62+0.25*$E62)</f>
        <v>3300</v>
      </c>
      <c r="AD62" s="36">
        <f>($J62+0.35*$E62)</f>
        <v>4620</v>
      </c>
      <c r="AE62" s="37">
        <f t="shared" si="3"/>
        <v>50240</v>
      </c>
    </row>
    <row r="63" spans="1:31">
      <c r="A63" s="5" t="s">
        <v>209</v>
      </c>
      <c r="B63" s="33">
        <f>B$2*'Total Inventory (Rice)'!C63</f>
        <v>721600</v>
      </c>
      <c r="C63" s="33">
        <f>C$2*'Total Inventory (Rice)'!D63</f>
        <v>40304</v>
      </c>
      <c r="D63" s="34">
        <f t="shared" si="0"/>
        <v>761904</v>
      </c>
      <c r="E63" s="34">
        <f>E$2*'Total Inventory (Rice)'!E63</f>
        <v>219600</v>
      </c>
      <c r="F63" s="33">
        <f>F$2*'Total Inventory (Rice)'!F63</f>
        <v>528</v>
      </c>
      <c r="G63" s="33">
        <f>G$2*'Total Inventory (Rice)'!G63</f>
        <v>7744</v>
      </c>
      <c r="H63" s="33">
        <f>H$2*'Total Inventory (Rice)'!H63</f>
        <v>13094.400000000001</v>
      </c>
      <c r="I63" s="34">
        <f t="shared" si="1"/>
        <v>21366.400000000001</v>
      </c>
      <c r="J63" s="34">
        <f>J$2*'Total Inventory (Rice)'!I63</f>
        <v>0</v>
      </c>
      <c r="K63" s="33">
        <f>K$2*'Total Inventory (Rice)'!J63</f>
        <v>5184</v>
      </c>
      <c r="L63" s="33">
        <f>L$2*'Total Inventory (Rice)'!K63</f>
        <v>499200</v>
      </c>
      <c r="M63" s="34">
        <f t="shared" si="2"/>
        <v>504384</v>
      </c>
      <c r="N63" s="34">
        <f>N$2*'Total Inventory (Rice)'!L63</f>
        <v>21600</v>
      </c>
      <c r="O63" s="34">
        <f>O$2*'Total Inventory (Rice)'!M63</f>
        <v>19712</v>
      </c>
      <c r="P63" s="34">
        <f>P$2*'Total Inventory (Rice)'!N63</f>
        <v>0</v>
      </c>
      <c r="Q63" s="35"/>
      <c r="R63" s="5" t="s">
        <v>209</v>
      </c>
      <c r="S63" s="36">
        <f>($J63+0.35*$E63)</f>
        <v>76860</v>
      </c>
      <c r="T63" s="36">
        <f t="shared" si="36"/>
        <v>504384</v>
      </c>
      <c r="U63" s="36">
        <f t="shared" si="37"/>
        <v>41312</v>
      </c>
      <c r="V63" s="38"/>
      <c r="W63" s="36">
        <f t="shared" si="31"/>
        <v>849744</v>
      </c>
      <c r="X63" s="36">
        <f t="shared" si="32"/>
        <v>76266.399999999994</v>
      </c>
      <c r="Y63" s="36">
        <f t="shared" si="33"/>
        <v>76860</v>
      </c>
      <c r="Z63" s="36">
        <f t="shared" si="34"/>
        <v>504384</v>
      </c>
      <c r="AA63" s="36">
        <f t="shared" si="35"/>
        <v>41312</v>
      </c>
      <c r="AB63" s="38"/>
      <c r="AC63" s="36">
        <f t="shared" si="38"/>
        <v>849744</v>
      </c>
      <c r="AD63" s="36">
        <f>($I63+0.25*$E63)</f>
        <v>76266.399999999994</v>
      </c>
      <c r="AE63" s="37">
        <f t="shared" si="3"/>
        <v>3097132.8</v>
      </c>
    </row>
    <row r="64" spans="1:31">
      <c r="A64" s="5" t="s">
        <v>59</v>
      </c>
      <c r="B64" s="33">
        <f>B$2*'Total Inventory (Rice)'!C64</f>
        <v>962720</v>
      </c>
      <c r="C64" s="33">
        <f>C$2*'Total Inventory (Rice)'!D64</f>
        <v>46464</v>
      </c>
      <c r="D64" s="34">
        <f t="shared" si="0"/>
        <v>1009184</v>
      </c>
      <c r="E64" s="34">
        <f>E$2*'Total Inventory (Rice)'!E64</f>
        <v>180300</v>
      </c>
      <c r="F64" s="33">
        <f>F$2*'Total Inventory (Rice)'!F64</f>
        <v>528</v>
      </c>
      <c r="G64" s="33">
        <f>G$2*'Total Inventory (Rice)'!G64</f>
        <v>12848</v>
      </c>
      <c r="H64" s="33">
        <f>H$2*'Total Inventory (Rice)'!H64</f>
        <v>22668.800000000003</v>
      </c>
      <c r="I64" s="34">
        <f t="shared" si="1"/>
        <v>36044.800000000003</v>
      </c>
      <c r="J64" s="34">
        <f>J$2*'Total Inventory (Rice)'!I64</f>
        <v>0</v>
      </c>
      <c r="K64" s="33">
        <f>K$2*'Total Inventory (Rice)'!J64</f>
        <v>11712</v>
      </c>
      <c r="L64" s="33">
        <f>L$2*'Total Inventory (Rice)'!K64</f>
        <v>595200</v>
      </c>
      <c r="M64" s="34">
        <f t="shared" si="2"/>
        <v>606912</v>
      </c>
      <c r="N64" s="34">
        <f>N$2*'Total Inventory (Rice)'!L64</f>
        <v>10800</v>
      </c>
      <c r="O64" s="34">
        <f>O$2*'Total Inventory (Rice)'!M64</f>
        <v>25696</v>
      </c>
      <c r="P64" s="34">
        <f>P$2*'Total Inventory (Rice)'!N64</f>
        <v>0</v>
      </c>
      <c r="Q64" s="35"/>
      <c r="R64" s="5" t="s">
        <v>59</v>
      </c>
      <c r="S64" s="36">
        <f>($J64+0.35*$E64)</f>
        <v>63104.999999999993</v>
      </c>
      <c r="T64" s="36">
        <f t="shared" si="36"/>
        <v>606912</v>
      </c>
      <c r="U64" s="36">
        <f t="shared" si="37"/>
        <v>36496</v>
      </c>
      <c r="V64" s="38"/>
      <c r="W64" s="36">
        <f t="shared" si="31"/>
        <v>1081304</v>
      </c>
      <c r="X64" s="36">
        <f t="shared" si="32"/>
        <v>81119.8</v>
      </c>
      <c r="Y64" s="36">
        <f t="shared" si="33"/>
        <v>63104.999999999993</v>
      </c>
      <c r="Z64" s="36">
        <f t="shared" si="34"/>
        <v>606912</v>
      </c>
      <c r="AA64" s="36">
        <f t="shared" si="35"/>
        <v>36496</v>
      </c>
      <c r="AB64" s="38"/>
      <c r="AC64" s="36">
        <f t="shared" si="38"/>
        <v>1081304</v>
      </c>
      <c r="AD64" s="36">
        <f>($I64+0.25*$E64)</f>
        <v>81119.8</v>
      </c>
      <c r="AE64" s="37">
        <f t="shared" si="3"/>
        <v>3737873.5999999996</v>
      </c>
    </row>
    <row r="65" spans="1:31">
      <c r="A65" s="5" t="s">
        <v>81</v>
      </c>
      <c r="B65" s="33">
        <f>B$2*'Total Inventory (Rice)'!C65</f>
        <v>438240</v>
      </c>
      <c r="C65" s="33">
        <f>C$2*'Total Inventory (Rice)'!D65</f>
        <v>48048</v>
      </c>
      <c r="D65" s="34">
        <f t="shared" si="0"/>
        <v>486288</v>
      </c>
      <c r="E65" s="34">
        <f>E$2*'Total Inventory (Rice)'!E65</f>
        <v>205200</v>
      </c>
      <c r="F65" s="33">
        <f>F$2*'Total Inventory (Rice)'!F65</f>
        <v>0</v>
      </c>
      <c r="G65" s="33">
        <f>G$2*'Total Inventory (Rice)'!G65</f>
        <v>880</v>
      </c>
      <c r="H65" s="33">
        <f>H$2*'Total Inventory (Rice)'!H65</f>
        <v>6195.2000000000007</v>
      </c>
      <c r="I65" s="34">
        <f t="shared" si="1"/>
        <v>7075.2000000000007</v>
      </c>
      <c r="J65" s="34">
        <f>J$2*'Total Inventory (Rice)'!I65</f>
        <v>0</v>
      </c>
      <c r="K65" s="33">
        <f>K$2*'Total Inventory (Rice)'!J65</f>
        <v>9408</v>
      </c>
      <c r="L65" s="33">
        <f>L$2*'Total Inventory (Rice)'!K65</f>
        <v>156800</v>
      </c>
      <c r="M65" s="34">
        <f t="shared" si="2"/>
        <v>166208</v>
      </c>
      <c r="N65" s="34">
        <f>N$2*'Total Inventory (Rice)'!L65</f>
        <v>21600</v>
      </c>
      <c r="O65" s="34">
        <f>O$2*'Total Inventory (Rice)'!M65</f>
        <v>24112</v>
      </c>
      <c r="P65" s="34">
        <f>P$2*'Total Inventory (Rice)'!N65</f>
        <v>0</v>
      </c>
      <c r="Q65" s="35"/>
      <c r="R65" s="5" t="s">
        <v>81</v>
      </c>
      <c r="S65" s="36">
        <f t="shared" si="36"/>
        <v>166208</v>
      </c>
      <c r="T65" s="36">
        <f t="shared" si="37"/>
        <v>45712</v>
      </c>
      <c r="U65" s="38"/>
      <c r="V65" s="38"/>
      <c r="W65" s="36">
        <f t="shared" si="31"/>
        <v>568368</v>
      </c>
      <c r="X65" s="36">
        <f t="shared" si="32"/>
        <v>58375.199999999997</v>
      </c>
      <c r="Y65" s="36">
        <f t="shared" si="33"/>
        <v>71820</v>
      </c>
      <c r="Z65" s="36">
        <f t="shared" si="34"/>
        <v>166208</v>
      </c>
      <c r="AA65" s="36">
        <f t="shared" si="35"/>
        <v>45712</v>
      </c>
      <c r="AB65" s="36">
        <f t="shared" si="38"/>
        <v>568368</v>
      </c>
      <c r="AC65" s="36">
        <f>($I65+0.25*$E65)</f>
        <v>58375.199999999997</v>
      </c>
      <c r="AD65" s="36">
        <f>($J65+0.35*$E65)</f>
        <v>71820</v>
      </c>
      <c r="AE65" s="37">
        <f t="shared" si="3"/>
        <v>1820966.4</v>
      </c>
    </row>
    <row r="66" spans="1:31">
      <c r="A66" s="5" t="s">
        <v>207</v>
      </c>
      <c r="B66" s="33">
        <f>B$2*'Total Inventory (Rice)'!C66</f>
        <v>265760</v>
      </c>
      <c r="C66" s="33">
        <f>C$2*'Total Inventory (Rice)'!D66</f>
        <v>42064</v>
      </c>
      <c r="D66" s="34">
        <f t="shared" si="0"/>
        <v>307824</v>
      </c>
      <c r="E66" s="34">
        <f>E$2*'Total Inventory (Rice)'!E66</f>
        <v>93600</v>
      </c>
      <c r="F66" s="33">
        <f>F$2*'Total Inventory (Rice)'!F66</f>
        <v>6230.4000000000005</v>
      </c>
      <c r="G66" s="33">
        <f>G$2*'Total Inventory (Rice)'!G66</f>
        <v>3520</v>
      </c>
      <c r="H66" s="33">
        <f>H$2*'Total Inventory (Rice)'!H66</f>
        <v>14502.400000000001</v>
      </c>
      <c r="I66" s="34">
        <f t="shared" si="1"/>
        <v>24252.800000000003</v>
      </c>
      <c r="J66" s="34">
        <f>J$2*'Total Inventory (Rice)'!I66</f>
        <v>0</v>
      </c>
      <c r="K66" s="33">
        <f>K$2*'Total Inventory (Rice)'!J66</f>
        <v>2784</v>
      </c>
      <c r="L66" s="33">
        <f>L$2*'Total Inventory (Rice)'!K66</f>
        <v>454400</v>
      </c>
      <c r="M66" s="34">
        <f t="shared" si="2"/>
        <v>457184</v>
      </c>
      <c r="N66" s="34">
        <f>N$2*'Total Inventory (Rice)'!L66</f>
        <v>10800</v>
      </c>
      <c r="O66" s="34">
        <f>O$2*'Total Inventory (Rice)'!M66</f>
        <v>8624</v>
      </c>
      <c r="P66" s="34">
        <f>P$2*'Total Inventory (Rice)'!N66</f>
        <v>0</v>
      </c>
      <c r="Q66" s="35"/>
      <c r="R66" s="5" t="s">
        <v>207</v>
      </c>
      <c r="S66" s="36">
        <f>($J66+0.35*$E66)</f>
        <v>32759.999999999996</v>
      </c>
      <c r="T66" s="36">
        <f>$M66</f>
        <v>457184</v>
      </c>
      <c r="U66" s="36">
        <f>$N66+$O66+$P66</f>
        <v>19424</v>
      </c>
      <c r="V66" s="36">
        <f>$D66+(0.4*$E66)</f>
        <v>345264</v>
      </c>
      <c r="W66" s="36">
        <f>($I66+0.25*$E66)</f>
        <v>47652.800000000003</v>
      </c>
      <c r="X66" s="36">
        <f>($J66+0.35*$E66)</f>
        <v>32759.999999999996</v>
      </c>
      <c r="Y66" s="36">
        <f>$M66</f>
        <v>457184</v>
      </c>
      <c r="Z66" s="36">
        <f>$N66+$O66+$P66</f>
        <v>19424</v>
      </c>
      <c r="AA66" s="38"/>
      <c r="AB66" s="38"/>
      <c r="AC66" s="36">
        <f>$D66+(0.4*$E66)</f>
        <v>345264</v>
      </c>
      <c r="AD66" s="36">
        <f>($I66+0.25*$E66)</f>
        <v>47652.800000000003</v>
      </c>
      <c r="AE66" s="37">
        <f t="shared" si="3"/>
        <v>1804569.6000000001</v>
      </c>
    </row>
    <row r="67" spans="1:31">
      <c r="A67" s="5" t="s">
        <v>208</v>
      </c>
      <c r="B67" s="33">
        <f>B$2*'Total Inventory (Rice)'!C67</f>
        <v>403040</v>
      </c>
      <c r="C67" s="33">
        <f>C$2*'Total Inventory (Rice)'!D67</f>
        <v>65296</v>
      </c>
      <c r="D67" s="34">
        <f t="shared" si="0"/>
        <v>468336</v>
      </c>
      <c r="E67" s="34">
        <f>E$2*'Total Inventory (Rice)'!E67</f>
        <v>206400</v>
      </c>
      <c r="F67" s="33">
        <f>F$2*'Total Inventory (Rice)'!F67</f>
        <v>3062.4</v>
      </c>
      <c r="G67" s="33">
        <f>G$2*'Total Inventory (Rice)'!G67</f>
        <v>2640</v>
      </c>
      <c r="H67" s="33">
        <f>H$2*'Total Inventory (Rice)'!H67</f>
        <v>14502.400000000001</v>
      </c>
      <c r="I67" s="34">
        <f t="shared" si="1"/>
        <v>20204.800000000003</v>
      </c>
      <c r="J67" s="34">
        <f>J$2*'Total Inventory (Rice)'!I67</f>
        <v>320</v>
      </c>
      <c r="K67" s="33">
        <f>K$2*'Total Inventory (Rice)'!J67</f>
        <v>1920</v>
      </c>
      <c r="L67" s="33">
        <f>L$2*'Total Inventory (Rice)'!K67</f>
        <v>342400</v>
      </c>
      <c r="M67" s="34">
        <f t="shared" si="2"/>
        <v>344320</v>
      </c>
      <c r="N67" s="34">
        <f>N$2*'Total Inventory (Rice)'!L67</f>
        <v>10800</v>
      </c>
      <c r="O67" s="34">
        <f>O$2*'Total Inventory (Rice)'!M67</f>
        <v>10384</v>
      </c>
      <c r="P67" s="34">
        <f>P$2*'Total Inventory (Rice)'!N67</f>
        <v>0</v>
      </c>
      <c r="Q67" s="35"/>
      <c r="R67" s="5" t="s">
        <v>208</v>
      </c>
      <c r="S67" s="36">
        <f>($J67+0.35*$E67)</f>
        <v>72560</v>
      </c>
      <c r="T67" s="36">
        <f>$M67</f>
        <v>344320</v>
      </c>
      <c r="U67" s="36">
        <f>$N67+$O67+$P67</f>
        <v>21184</v>
      </c>
      <c r="V67" s="36">
        <f>$D67+(0.4*$E67)</f>
        <v>550896</v>
      </c>
      <c r="W67" s="36">
        <f>($I67+0.25*$E67)</f>
        <v>71804.800000000003</v>
      </c>
      <c r="X67" s="36">
        <f>($J67+0.35*$E67)</f>
        <v>72560</v>
      </c>
      <c r="Y67" s="36">
        <f>$M67</f>
        <v>344320</v>
      </c>
      <c r="Z67" s="36">
        <f>$N67+$O67+$P67</f>
        <v>21184</v>
      </c>
      <c r="AA67" s="38"/>
      <c r="AB67" s="38"/>
      <c r="AC67" s="36">
        <f>$D67+(0.4*$E67)</f>
        <v>550896</v>
      </c>
      <c r="AD67" s="36">
        <f>($I67+0.25*$E67)</f>
        <v>71804.800000000003</v>
      </c>
      <c r="AE67" s="37">
        <f t="shared" si="3"/>
        <v>2121529.6</v>
      </c>
    </row>
    <row r="68" spans="1:31">
      <c r="A68" s="5" t="s">
        <v>83</v>
      </c>
      <c r="B68" s="33">
        <f>B$2*'Total Inventory (Rice)'!C68</f>
        <v>110880</v>
      </c>
      <c r="C68" s="33">
        <f>C$2*'Total Inventory (Rice)'!D68</f>
        <v>11968</v>
      </c>
      <c r="D68" s="34">
        <f t="shared" si="0"/>
        <v>122848</v>
      </c>
      <c r="E68" s="34">
        <f>E$2*'Total Inventory (Rice)'!E68</f>
        <v>20400</v>
      </c>
      <c r="F68" s="33">
        <f>F$2*'Total Inventory (Rice)'!F68</f>
        <v>2534.4</v>
      </c>
      <c r="G68" s="33">
        <f>G$2*'Total Inventory (Rice)'!G68</f>
        <v>1760</v>
      </c>
      <c r="H68" s="33">
        <f>H$2*'Total Inventory (Rice)'!H68</f>
        <v>0</v>
      </c>
      <c r="I68" s="34">
        <f t="shared" si="1"/>
        <v>4294.3999999999996</v>
      </c>
      <c r="J68" s="34">
        <f>J$2*'Total Inventory (Rice)'!I68</f>
        <v>0</v>
      </c>
      <c r="K68" s="33">
        <f>K$2*'Total Inventory (Rice)'!J68</f>
        <v>960</v>
      </c>
      <c r="L68" s="33">
        <f>L$2*'Total Inventory (Rice)'!K68</f>
        <v>16000</v>
      </c>
      <c r="M68" s="34">
        <f t="shared" si="2"/>
        <v>16960</v>
      </c>
      <c r="N68" s="34">
        <f>N$2*'Total Inventory (Rice)'!L68</f>
        <v>10800</v>
      </c>
      <c r="O68" s="34">
        <f>O$2*'Total Inventory (Rice)'!M68</f>
        <v>6864</v>
      </c>
      <c r="P68" s="34">
        <f>P$2*'Total Inventory (Rice)'!N68</f>
        <v>0</v>
      </c>
      <c r="Q68" s="35"/>
      <c r="R68" s="5" t="s">
        <v>83</v>
      </c>
      <c r="S68" s="36">
        <f>$N68+$O68+$P68</f>
        <v>17664</v>
      </c>
      <c r="T68" s="38"/>
      <c r="U68" s="38"/>
      <c r="V68" s="38"/>
      <c r="W68" s="36">
        <f>$D68+(0.4*$E68)</f>
        <v>131008</v>
      </c>
      <c r="X68" s="36">
        <f>($I68+0.25*$E68)</f>
        <v>9394.4</v>
      </c>
      <c r="Y68" s="36">
        <f>($J68+0.35*$E68)</f>
        <v>7140</v>
      </c>
      <c r="Z68" s="36">
        <f>$M68</f>
        <v>16960</v>
      </c>
      <c r="AA68" s="36">
        <f>$N68+$O68+$P68+$D65+(0.4*$E65)</f>
        <v>586032</v>
      </c>
      <c r="AB68" s="36">
        <f>($I68+0.25*$E68)</f>
        <v>9394.4</v>
      </c>
      <c r="AC68" s="36">
        <f>($J68+0.35*$E68)</f>
        <v>7140</v>
      </c>
      <c r="AD68" s="36">
        <f>$M68</f>
        <v>16960</v>
      </c>
      <c r="AE68" s="37">
        <f t="shared" si="3"/>
        <v>801692.8</v>
      </c>
    </row>
    <row r="69" spans="1:31">
      <c r="A69" s="5" t="s">
        <v>96</v>
      </c>
      <c r="B69" s="33">
        <f>B$2*'Total Inventory (Rice)'!C69</f>
        <v>181280</v>
      </c>
      <c r="C69" s="33">
        <f>C$2*'Total Inventory (Rice)'!D69</f>
        <v>61952</v>
      </c>
      <c r="D69" s="34">
        <f t="shared" ref="D69:D82" si="39">SUM(B69:C69)</f>
        <v>243232</v>
      </c>
      <c r="E69" s="34">
        <f>E$2*'Total Inventory (Rice)'!E69</f>
        <v>60000</v>
      </c>
      <c r="F69" s="33">
        <f>F$2*'Total Inventory (Rice)'!F69</f>
        <v>5174.4000000000005</v>
      </c>
      <c r="G69" s="33">
        <f>G$2*'Total Inventory (Rice)'!G69</f>
        <v>0</v>
      </c>
      <c r="H69" s="33">
        <f>H$2*'Total Inventory (Rice)'!H69</f>
        <v>5491.2000000000007</v>
      </c>
      <c r="I69" s="34">
        <f t="shared" ref="I69:I82" si="40">SUM(F69:H69)</f>
        <v>10665.600000000002</v>
      </c>
      <c r="J69" s="34">
        <f>J$2*'Total Inventory (Rice)'!I69</f>
        <v>960</v>
      </c>
      <c r="K69" s="33">
        <f>K$2*'Total Inventory (Rice)'!J69</f>
        <v>2304</v>
      </c>
      <c r="L69" s="33">
        <f>L$2*'Total Inventory (Rice)'!K69</f>
        <v>140800</v>
      </c>
      <c r="M69" s="34">
        <f t="shared" ref="M69:M82" si="41">SUM(K69:L69)</f>
        <v>143104</v>
      </c>
      <c r="N69" s="34">
        <f>N$2*'Total Inventory (Rice)'!L69</f>
        <v>10800</v>
      </c>
      <c r="O69" s="34">
        <f>O$2*'Total Inventory (Rice)'!M69</f>
        <v>23232</v>
      </c>
      <c r="P69" s="34">
        <f>P$2*'Total Inventory (Rice)'!N69</f>
        <v>0</v>
      </c>
      <c r="Q69" s="35"/>
      <c r="R69" s="5" t="s">
        <v>96</v>
      </c>
      <c r="S69" s="36">
        <f>$M69</f>
        <v>143104</v>
      </c>
      <c r="T69" s="36">
        <f>$N69+$O69+$P69</f>
        <v>34032</v>
      </c>
      <c r="U69" s="38"/>
      <c r="V69" s="38"/>
      <c r="W69" s="36">
        <f>$D69+(0.4*$E69)</f>
        <v>267232</v>
      </c>
      <c r="X69" s="36">
        <f>($I69+0.25*$E69)</f>
        <v>25665.600000000002</v>
      </c>
      <c r="Y69" s="36">
        <f>($J69+0.35*$E69)</f>
        <v>21960</v>
      </c>
      <c r="Z69" s="36">
        <f>$M69</f>
        <v>143104</v>
      </c>
      <c r="AA69" s="36">
        <f>$N69+$O69+$P69</f>
        <v>34032</v>
      </c>
      <c r="AB69" s="36">
        <f>$D69+(0.4*$E69)</f>
        <v>267232</v>
      </c>
      <c r="AC69" s="36">
        <f>($I69+0.25*$E69)</f>
        <v>25665.600000000002</v>
      </c>
      <c r="AD69" s="36">
        <f>($J69+0.35*$E69)</f>
        <v>21960</v>
      </c>
      <c r="AE69" s="37">
        <f t="shared" ref="AE69:AE82" si="42">SUM(S69:AD69)</f>
        <v>983987.19999999995</v>
      </c>
    </row>
    <row r="70" spans="1:31">
      <c r="A70" s="5" t="s">
        <v>212</v>
      </c>
      <c r="B70" s="33">
        <f>B$2*'Total Inventory (Rice)'!C70</f>
        <v>292160</v>
      </c>
      <c r="C70" s="33">
        <f>C$2*'Total Inventory (Rice)'!D70</f>
        <v>33440</v>
      </c>
      <c r="D70" s="34">
        <f t="shared" si="39"/>
        <v>325600</v>
      </c>
      <c r="E70" s="34">
        <f>E$2*'Total Inventory (Rice)'!E70</f>
        <v>71700</v>
      </c>
      <c r="F70" s="33">
        <f>F$2*'Total Inventory (Rice)'!F70</f>
        <v>5174.4000000000005</v>
      </c>
      <c r="G70" s="33">
        <f>G$2*'Total Inventory (Rice)'!G70</f>
        <v>880</v>
      </c>
      <c r="H70" s="33">
        <f>H$2*'Total Inventory (Rice)'!H70</f>
        <v>2112</v>
      </c>
      <c r="I70" s="34">
        <f t="shared" si="40"/>
        <v>8166.4000000000005</v>
      </c>
      <c r="J70" s="34">
        <f>J$2*'Total Inventory (Rice)'!I70</f>
        <v>0</v>
      </c>
      <c r="K70" s="33">
        <f>K$2*'Total Inventory (Rice)'!J70</f>
        <v>480</v>
      </c>
      <c r="L70" s="33">
        <f>L$2*'Total Inventory (Rice)'!K70</f>
        <v>172800</v>
      </c>
      <c r="M70" s="34">
        <f t="shared" si="41"/>
        <v>173280</v>
      </c>
      <c r="N70" s="34">
        <f>N$2*'Total Inventory (Rice)'!L70</f>
        <v>51840</v>
      </c>
      <c r="O70" s="34">
        <f>O$2*'Total Inventory (Rice)'!M70</f>
        <v>9504</v>
      </c>
      <c r="P70" s="34">
        <f>P$2*'Total Inventory (Rice)'!N70</f>
        <v>0</v>
      </c>
      <c r="Q70" s="35"/>
      <c r="R70" s="5" t="s">
        <v>212</v>
      </c>
      <c r="S70" s="36">
        <f>($J70+0.35*$E70)</f>
        <v>25095</v>
      </c>
      <c r="T70" s="36">
        <f>$M70</f>
        <v>173280</v>
      </c>
      <c r="U70" s="36">
        <f>$N70+$O70+$P70</f>
        <v>61344</v>
      </c>
      <c r="V70" s="36">
        <f>$D70+(0.4*$E70)</f>
        <v>354280</v>
      </c>
      <c r="W70" s="36">
        <f>($I70+0.25*$E70)</f>
        <v>26091.4</v>
      </c>
      <c r="X70" s="36">
        <f>($J70+0.35*$E70)</f>
        <v>25095</v>
      </c>
      <c r="Y70" s="36">
        <f>$M70</f>
        <v>173280</v>
      </c>
      <c r="Z70" s="36">
        <f>$N70+$O70+$P70</f>
        <v>61344</v>
      </c>
      <c r="AA70" s="38"/>
      <c r="AB70" s="38"/>
      <c r="AC70" s="36">
        <f>$D70+(0.4*$E70)</f>
        <v>354280</v>
      </c>
      <c r="AD70" s="36">
        <f>($I70+0.25*$E70)</f>
        <v>26091.4</v>
      </c>
      <c r="AE70" s="37">
        <f t="shared" si="42"/>
        <v>1280180.7999999998</v>
      </c>
    </row>
    <row r="71" spans="1:31">
      <c r="A71" s="5" t="s">
        <v>49</v>
      </c>
      <c r="B71" s="33">
        <f>B$2*'Total Inventory (Rice)'!C71</f>
        <v>318560</v>
      </c>
      <c r="C71" s="33">
        <f>C$2*'Total Inventory (Rice)'!D71</f>
        <v>17248</v>
      </c>
      <c r="D71" s="34">
        <f t="shared" si="39"/>
        <v>335808</v>
      </c>
      <c r="E71" s="34">
        <f>E$2*'Total Inventory (Rice)'!E71</f>
        <v>52800</v>
      </c>
      <c r="F71" s="33">
        <f>F$2*'Total Inventory (Rice)'!F71</f>
        <v>1056</v>
      </c>
      <c r="G71" s="33">
        <f>G$2*'Total Inventory (Rice)'!G71</f>
        <v>0</v>
      </c>
      <c r="H71" s="33">
        <f>H$2*'Total Inventory (Rice)'!H71</f>
        <v>2816</v>
      </c>
      <c r="I71" s="34">
        <f t="shared" si="40"/>
        <v>3872</v>
      </c>
      <c r="J71" s="34">
        <f>J$2*'Total Inventory (Rice)'!I71</f>
        <v>13440</v>
      </c>
      <c r="K71" s="33">
        <f>K$2*'Total Inventory (Rice)'!J71</f>
        <v>0</v>
      </c>
      <c r="L71" s="33">
        <f>L$2*'Total Inventory (Rice)'!K71</f>
        <v>140800</v>
      </c>
      <c r="M71" s="34">
        <f t="shared" si="41"/>
        <v>140800</v>
      </c>
      <c r="N71" s="34">
        <f>N$2*'Total Inventory (Rice)'!L71</f>
        <v>0</v>
      </c>
      <c r="O71" s="34">
        <f>O$2*'Total Inventory (Rice)'!M71</f>
        <v>48048</v>
      </c>
      <c r="P71" s="34">
        <f>P$2*'Total Inventory (Rice)'!N71</f>
        <v>0</v>
      </c>
      <c r="Q71" s="35"/>
      <c r="R71" s="5" t="s">
        <v>49</v>
      </c>
      <c r="S71" s="36">
        <f>$N71+$O71+$P71</f>
        <v>48048</v>
      </c>
      <c r="T71" s="38"/>
      <c r="U71" s="38"/>
      <c r="V71" s="36">
        <f>$D71+(0.4*$E71)</f>
        <v>356928</v>
      </c>
      <c r="W71" s="36">
        <f>($I71+0.25*$E71)</f>
        <v>17072</v>
      </c>
      <c r="X71" s="36">
        <f>($J71+0.35*$E71)</f>
        <v>31920</v>
      </c>
      <c r="Y71" s="36">
        <f>$M71</f>
        <v>140800</v>
      </c>
      <c r="Z71" s="36">
        <f>$N71+$O71+$P71</f>
        <v>48048</v>
      </c>
      <c r="AA71" s="36">
        <f>$D71+(0.4*$E71)</f>
        <v>356928</v>
      </c>
      <c r="AB71" s="36">
        <f>($I71+0.25*$E71)</f>
        <v>17072</v>
      </c>
      <c r="AC71" s="36">
        <f>($J71+0.35*$E71)</f>
        <v>31920</v>
      </c>
      <c r="AD71" s="36">
        <f>$M71</f>
        <v>140800</v>
      </c>
      <c r="AE71" s="37">
        <f t="shared" si="42"/>
        <v>1189536</v>
      </c>
    </row>
    <row r="72" spans="1:31">
      <c r="A72" s="5" t="s">
        <v>50</v>
      </c>
      <c r="B72" s="33">
        <f>B$2*'Total Inventory (Rice)'!C72</f>
        <v>721600</v>
      </c>
      <c r="C72" s="33">
        <f>C$2*'Total Inventory (Rice)'!D72</f>
        <v>33440</v>
      </c>
      <c r="D72" s="34">
        <f t="shared" si="39"/>
        <v>755040</v>
      </c>
      <c r="E72" s="34">
        <f>E$2*'Total Inventory (Rice)'!E72</f>
        <v>215400</v>
      </c>
      <c r="F72" s="33">
        <f>F$2*'Total Inventory (Rice)'!F72</f>
        <v>3062.4</v>
      </c>
      <c r="G72" s="33">
        <f>G$2*'Total Inventory (Rice)'!G72</f>
        <v>880</v>
      </c>
      <c r="H72" s="33">
        <f>H$2*'Total Inventory (Rice)'!H72</f>
        <v>19993.600000000002</v>
      </c>
      <c r="I72" s="34">
        <f t="shared" si="40"/>
        <v>23936.000000000004</v>
      </c>
      <c r="J72" s="34">
        <f>J$2*'Total Inventory (Rice)'!I72</f>
        <v>17792</v>
      </c>
      <c r="K72" s="33">
        <f>K$2*'Total Inventory (Rice)'!J72</f>
        <v>1920</v>
      </c>
      <c r="L72" s="33">
        <f>L$2*'Total Inventory (Rice)'!K72</f>
        <v>720000</v>
      </c>
      <c r="M72" s="34">
        <f t="shared" si="41"/>
        <v>721920</v>
      </c>
      <c r="N72" s="34">
        <f>N$2*'Total Inventory (Rice)'!L72</f>
        <v>0</v>
      </c>
      <c r="O72" s="34">
        <f>O$2*'Total Inventory (Rice)'!M72</f>
        <v>36080</v>
      </c>
      <c r="P72" s="34">
        <f>P$2*'Total Inventory (Rice)'!N72</f>
        <v>0</v>
      </c>
      <c r="Q72" s="35"/>
      <c r="R72" s="5" t="s">
        <v>50</v>
      </c>
      <c r="S72" s="36">
        <f>$N72+$O72+$P72</f>
        <v>36080</v>
      </c>
      <c r="T72" s="38"/>
      <c r="U72" s="38"/>
      <c r="V72" s="36">
        <f>$D72+(0.4*$E72)</f>
        <v>841200</v>
      </c>
      <c r="W72" s="36">
        <f>($I72+0.25*$E72)</f>
        <v>77786</v>
      </c>
      <c r="X72" s="36">
        <f>($J72+0.35*$E72)</f>
        <v>93182</v>
      </c>
      <c r="Y72" s="36">
        <f>$M72</f>
        <v>721920</v>
      </c>
      <c r="Z72" s="36">
        <f>$N72+$O72+$P72</f>
        <v>36080</v>
      </c>
      <c r="AA72" s="36">
        <f>$D72+(0.4*$E72)</f>
        <v>841200</v>
      </c>
      <c r="AB72" s="36">
        <f>($I72+0.25*$E72)</f>
        <v>77786</v>
      </c>
      <c r="AC72" s="36">
        <f>($J72+0.35*$E72)</f>
        <v>93182</v>
      </c>
      <c r="AD72" s="36">
        <f>$M72</f>
        <v>721920</v>
      </c>
      <c r="AE72" s="37">
        <f t="shared" si="42"/>
        <v>3540336</v>
      </c>
    </row>
    <row r="73" spans="1:31">
      <c r="A73" s="5" t="s">
        <v>51</v>
      </c>
      <c r="B73" s="33">
        <f>B$2*'Total Inventory (Rice)'!C73</f>
        <v>695200</v>
      </c>
      <c r="C73" s="33">
        <f>C$2*'Total Inventory (Rice)'!D73</f>
        <v>47344</v>
      </c>
      <c r="D73" s="34">
        <f t="shared" si="39"/>
        <v>742544</v>
      </c>
      <c r="E73" s="34">
        <f>E$2*'Total Inventory (Rice)'!E73</f>
        <v>619500</v>
      </c>
      <c r="F73" s="33">
        <f>F$2*'Total Inventory (Rice)'!F73</f>
        <v>3590.4</v>
      </c>
      <c r="G73" s="33">
        <f>G$2*'Total Inventory (Rice)'!G73</f>
        <v>2640</v>
      </c>
      <c r="H73" s="33">
        <f>H$2*'Total Inventory (Rice)'!H73</f>
        <v>23372.800000000003</v>
      </c>
      <c r="I73" s="34">
        <f t="shared" si="40"/>
        <v>29603.200000000004</v>
      </c>
      <c r="J73" s="34">
        <f>J$2*'Total Inventory (Rice)'!I73</f>
        <v>23104</v>
      </c>
      <c r="K73" s="33">
        <f>K$2*'Total Inventory (Rice)'!J73</f>
        <v>1920</v>
      </c>
      <c r="L73" s="33">
        <f>L$2*'Total Inventory (Rice)'!K73</f>
        <v>720000</v>
      </c>
      <c r="M73" s="34">
        <f t="shared" si="41"/>
        <v>721920</v>
      </c>
      <c r="N73" s="34">
        <f>N$2*'Total Inventory (Rice)'!L73</f>
        <v>10800</v>
      </c>
      <c r="O73" s="34">
        <f>O$2*'Total Inventory (Rice)'!M73</f>
        <v>43824</v>
      </c>
      <c r="P73" s="34">
        <f>P$2*'Total Inventory (Rice)'!N73</f>
        <v>0</v>
      </c>
      <c r="Q73" s="35"/>
      <c r="R73" s="5" t="s">
        <v>51</v>
      </c>
      <c r="S73" s="36">
        <f>$N73+$O73+$P73</f>
        <v>54624</v>
      </c>
      <c r="T73" s="38"/>
      <c r="U73" s="38"/>
      <c r="V73" s="36">
        <f>$D73+(0.4*$E73)</f>
        <v>990344</v>
      </c>
      <c r="W73" s="36">
        <f>($I73+0.25*$E73)</f>
        <v>184478.2</v>
      </c>
      <c r="X73" s="36">
        <f>($J73+0.35*$E73)</f>
        <v>239929</v>
      </c>
      <c r="Y73" s="36">
        <f>$M73</f>
        <v>721920</v>
      </c>
      <c r="Z73" s="36">
        <f>$N73+$O73+$P73</f>
        <v>54624</v>
      </c>
      <c r="AA73" s="36">
        <f>$D73+(0.4*$E73)</f>
        <v>990344</v>
      </c>
      <c r="AB73" s="36">
        <f>($I73+0.25*$E73)</f>
        <v>184478.2</v>
      </c>
      <c r="AC73" s="36">
        <f>($J73+0.35*$E73)</f>
        <v>239929</v>
      </c>
      <c r="AD73" s="36">
        <f>$M73</f>
        <v>721920</v>
      </c>
      <c r="AE73" s="37">
        <f t="shared" si="42"/>
        <v>4382590.4000000004</v>
      </c>
    </row>
    <row r="74" spans="1:31">
      <c r="A74" s="5" t="s">
        <v>213</v>
      </c>
      <c r="B74" s="33">
        <f>B$2*'Total Inventory (Rice)'!C74</f>
        <v>1341120</v>
      </c>
      <c r="C74" s="33">
        <f>C$2*'Total Inventory (Rice)'!D74</f>
        <v>64416</v>
      </c>
      <c r="D74" s="34">
        <f t="shared" si="39"/>
        <v>1405536</v>
      </c>
      <c r="E74" s="34">
        <f>E$2*'Total Inventory (Rice)'!E74</f>
        <v>692700</v>
      </c>
      <c r="F74" s="33">
        <f>F$2*'Total Inventory (Rice)'!F74</f>
        <v>3062.4</v>
      </c>
      <c r="G74" s="33">
        <f>G$2*'Total Inventory (Rice)'!G74</f>
        <v>0</v>
      </c>
      <c r="H74" s="33">
        <f>H$2*'Total Inventory (Rice)'!H74</f>
        <v>28864.000000000004</v>
      </c>
      <c r="I74" s="34">
        <f t="shared" si="40"/>
        <v>31926.400000000005</v>
      </c>
      <c r="J74" s="34">
        <f>J$2*'Total Inventory (Rice)'!I74</f>
        <v>57792</v>
      </c>
      <c r="K74" s="33">
        <f>K$2*'Total Inventory (Rice)'!J74</f>
        <v>3264</v>
      </c>
      <c r="L74" s="33">
        <f>L$2*'Total Inventory (Rice)'!K74</f>
        <v>1062400</v>
      </c>
      <c r="M74" s="34">
        <f t="shared" si="41"/>
        <v>1065664</v>
      </c>
      <c r="N74" s="34">
        <f>N$2*'Total Inventory (Rice)'!L74</f>
        <v>10800</v>
      </c>
      <c r="O74" s="34">
        <f>O$2*'Total Inventory (Rice)'!M74</f>
        <v>69520</v>
      </c>
      <c r="P74" s="34">
        <f>P$2*'Total Inventory (Rice)'!N74</f>
        <v>1800</v>
      </c>
      <c r="Q74" s="35"/>
      <c r="R74" s="5" t="s">
        <v>213</v>
      </c>
      <c r="S74" s="36">
        <f>$N74+$O74+$P74</f>
        <v>82120</v>
      </c>
      <c r="T74" s="38"/>
      <c r="U74" s="38"/>
      <c r="V74" s="36">
        <f>$D74+(0.4*$E74)</f>
        <v>1682616</v>
      </c>
      <c r="W74" s="36">
        <f>($I74+0.25*$E74)</f>
        <v>205101.4</v>
      </c>
      <c r="X74" s="36">
        <f>($J74+0.35*$E74)</f>
        <v>300237</v>
      </c>
      <c r="Y74" s="36">
        <f>$M74</f>
        <v>1065664</v>
      </c>
      <c r="Z74" s="36">
        <f>$N74+$O74+$P74</f>
        <v>82120</v>
      </c>
      <c r="AA74" s="36">
        <f>$D74+(0.4*$E74)</f>
        <v>1682616</v>
      </c>
      <c r="AB74" s="36">
        <f>($I74+0.25*$E74)</f>
        <v>205101.4</v>
      </c>
      <c r="AC74" s="36">
        <f>($J74+0.35*$E74)</f>
        <v>300237</v>
      </c>
      <c r="AD74" s="36">
        <f>$M74</f>
        <v>1065664</v>
      </c>
      <c r="AE74" s="37">
        <f t="shared" si="42"/>
        <v>6671476.8000000007</v>
      </c>
    </row>
    <row r="75" spans="1:31">
      <c r="A75" s="5" t="s">
        <v>145</v>
      </c>
      <c r="B75" s="33">
        <f>B$2*'Total Inventory (Rice)'!C75</f>
        <v>334400</v>
      </c>
      <c r="C75" s="33">
        <f>C$2*'Total Inventory (Rice)'!D75</f>
        <v>68816</v>
      </c>
      <c r="D75" s="34">
        <f t="shared" si="39"/>
        <v>403216</v>
      </c>
      <c r="E75" s="34">
        <f>E$2*'Total Inventory (Rice)'!E75</f>
        <v>382200</v>
      </c>
      <c r="F75" s="33">
        <f>F$2*'Total Inventory (Rice)'!F75</f>
        <v>528</v>
      </c>
      <c r="G75" s="33">
        <f>G$2*'Total Inventory (Rice)'!G75</f>
        <v>5104</v>
      </c>
      <c r="H75" s="33">
        <f>H$2*'Total Inventory (Rice)'!H75</f>
        <v>48153.600000000006</v>
      </c>
      <c r="I75" s="34">
        <f t="shared" si="40"/>
        <v>53785.600000000006</v>
      </c>
      <c r="J75" s="34">
        <f>J$2*'Total Inventory (Rice)'!I75</f>
        <v>2816</v>
      </c>
      <c r="K75" s="33">
        <f>K$2*'Total Inventory (Rice)'!J75</f>
        <v>17376</v>
      </c>
      <c r="L75" s="33">
        <f>L$2*'Total Inventory (Rice)'!K75</f>
        <v>796800</v>
      </c>
      <c r="M75" s="34">
        <f t="shared" si="41"/>
        <v>814176</v>
      </c>
      <c r="N75" s="34">
        <f>N$2*'Total Inventory (Rice)'!L75</f>
        <v>10800</v>
      </c>
      <c r="O75" s="34">
        <f>O$2*'Total Inventory (Rice)'!M75</f>
        <v>56672</v>
      </c>
      <c r="P75" s="34">
        <f>P$2*'Total Inventory (Rice)'!N75</f>
        <v>0</v>
      </c>
      <c r="Q75" s="35"/>
      <c r="R75" s="5" t="s">
        <v>145</v>
      </c>
      <c r="S75" s="36">
        <f>$M75</f>
        <v>814176</v>
      </c>
      <c r="T75" s="36">
        <f>$N75+$O75+$P75</f>
        <v>67472</v>
      </c>
      <c r="U75" s="38"/>
      <c r="V75" s="38"/>
      <c r="W75" s="38"/>
      <c r="X75" s="36">
        <f>$D75+(0.4*$E75)</f>
        <v>556096</v>
      </c>
      <c r="Y75" s="36">
        <f>($I75+0.25*$E75)</f>
        <v>149335.6</v>
      </c>
      <c r="Z75" s="36">
        <f>($J75+0.35*$E75)</f>
        <v>136586</v>
      </c>
      <c r="AA75" s="36">
        <f>$M75</f>
        <v>814176</v>
      </c>
      <c r="AB75" s="36">
        <f>$N75+$O75+$P75+$D72+(0.4*$E72)</f>
        <v>908672</v>
      </c>
      <c r="AC75" s="36">
        <f>($I75+0.25*$E75)</f>
        <v>149335.6</v>
      </c>
      <c r="AD75" s="36">
        <f>($J75+0.35*$E75)</f>
        <v>136586</v>
      </c>
      <c r="AE75" s="37">
        <f t="shared" si="42"/>
        <v>3732435.2</v>
      </c>
    </row>
    <row r="76" spans="1:31">
      <c r="A76" s="5" t="s">
        <v>204</v>
      </c>
      <c r="B76" s="33">
        <f>B$2*'Total Inventory (Rice)'!C76</f>
        <v>712800</v>
      </c>
      <c r="C76" s="33">
        <f>C$2*'Total Inventory (Rice)'!D76</f>
        <v>110000</v>
      </c>
      <c r="D76" s="34">
        <f t="shared" si="39"/>
        <v>822800</v>
      </c>
      <c r="E76" s="34">
        <f>E$2*'Total Inventory (Rice)'!E76</f>
        <v>495000</v>
      </c>
      <c r="F76" s="33">
        <f>F$2*'Total Inventory (Rice)'!F76</f>
        <v>0</v>
      </c>
      <c r="G76" s="33">
        <f>G$2*'Total Inventory (Rice)'!G76</f>
        <v>7744</v>
      </c>
      <c r="H76" s="33">
        <f>H$2*'Total Inventory (Rice)'!H76</f>
        <v>61248.000000000007</v>
      </c>
      <c r="I76" s="34">
        <f t="shared" si="40"/>
        <v>68992</v>
      </c>
      <c r="J76" s="34">
        <f>J$2*'Total Inventory (Rice)'!I76</f>
        <v>6272</v>
      </c>
      <c r="K76" s="33">
        <f>K$2*'Total Inventory (Rice)'!J76</f>
        <v>11712</v>
      </c>
      <c r="L76" s="33">
        <f>L$2*'Total Inventory (Rice)'!K76</f>
        <v>1155200</v>
      </c>
      <c r="M76" s="34">
        <f t="shared" si="41"/>
        <v>1166912</v>
      </c>
      <c r="N76" s="34">
        <f>N$2*'Total Inventory (Rice)'!L76</f>
        <v>21600</v>
      </c>
      <c r="O76" s="34">
        <f>O$2*'Total Inventory (Rice)'!M76</f>
        <v>66176</v>
      </c>
      <c r="P76" s="34">
        <f>P$2*'Total Inventory (Rice)'!N76</f>
        <v>0</v>
      </c>
      <c r="Q76" s="35"/>
      <c r="R76" s="5" t="s">
        <v>204</v>
      </c>
      <c r="S76" s="36">
        <f>($J76+0.35*$E76)</f>
        <v>179522</v>
      </c>
      <c r="T76" s="36">
        <f>$M76</f>
        <v>1166912</v>
      </c>
      <c r="U76" s="36">
        <f>$N76+$O76+$P76</f>
        <v>87776</v>
      </c>
      <c r="V76" s="38"/>
      <c r="W76" s="36">
        <f>$D76+(0.4*$E76)</f>
        <v>1020800</v>
      </c>
      <c r="X76" s="36">
        <f>($I76+0.25*$E76)</f>
        <v>192742</v>
      </c>
      <c r="Y76" s="36">
        <f>($J76+0.35*$E76)</f>
        <v>179522</v>
      </c>
      <c r="Z76" s="36">
        <f>$M76</f>
        <v>1166912</v>
      </c>
      <c r="AA76" s="36">
        <f>$N76+$O76+$P76</f>
        <v>87776</v>
      </c>
      <c r="AB76" s="38"/>
      <c r="AC76" s="36">
        <f>$D76+(0.4*$E76)</f>
        <v>1020800</v>
      </c>
      <c r="AD76" s="36">
        <f>($I76+0.25*$E76)</f>
        <v>192742</v>
      </c>
      <c r="AE76" s="37">
        <f t="shared" si="42"/>
        <v>5295504</v>
      </c>
    </row>
    <row r="77" spans="1:31">
      <c r="A77" s="5" t="s">
        <v>52</v>
      </c>
      <c r="B77" s="33">
        <f>B$2*'Total Inventory (Rice)'!C77</f>
        <v>68640</v>
      </c>
      <c r="C77" s="33">
        <f>C$2*'Total Inventory (Rice)'!D77</f>
        <v>24112</v>
      </c>
      <c r="D77" s="34">
        <f t="shared" si="39"/>
        <v>92752</v>
      </c>
      <c r="E77" s="34">
        <f>E$2*'Total Inventory (Rice)'!E77</f>
        <v>90900</v>
      </c>
      <c r="F77" s="33">
        <f>F$2*'Total Inventory (Rice)'!F77</f>
        <v>0</v>
      </c>
      <c r="G77" s="33">
        <f>G$2*'Total Inventory (Rice)'!G77</f>
        <v>0</v>
      </c>
      <c r="H77" s="33">
        <f>H$2*'Total Inventory (Rice)'!H77</f>
        <v>5491.2000000000007</v>
      </c>
      <c r="I77" s="34">
        <f t="shared" si="40"/>
        <v>5491.2000000000007</v>
      </c>
      <c r="J77" s="34">
        <f>J$2*'Total Inventory (Rice)'!I77</f>
        <v>320</v>
      </c>
      <c r="K77" s="33">
        <f>K$2*'Total Inventory (Rice)'!J77</f>
        <v>7488</v>
      </c>
      <c r="L77" s="33">
        <f>L$2*'Total Inventory (Rice)'!K77</f>
        <v>48000</v>
      </c>
      <c r="M77" s="34">
        <f t="shared" si="41"/>
        <v>55488</v>
      </c>
      <c r="N77" s="34">
        <f>N$2*'Total Inventory (Rice)'!L77</f>
        <v>10800</v>
      </c>
      <c r="O77" s="34">
        <f>O$2*'Total Inventory (Rice)'!M77</f>
        <v>16368</v>
      </c>
      <c r="P77" s="34">
        <f>P$2*'Total Inventory (Rice)'!N77</f>
        <v>0</v>
      </c>
      <c r="Q77" s="35"/>
      <c r="R77" s="5" t="s">
        <v>52</v>
      </c>
      <c r="S77" s="36">
        <f>$M77</f>
        <v>55488</v>
      </c>
      <c r="T77" s="36">
        <f>$N77+$O77+$P77</f>
        <v>27168</v>
      </c>
      <c r="U77" s="38"/>
      <c r="V77" s="38"/>
      <c r="W77" s="38"/>
      <c r="X77" s="36">
        <f>$D77+(0.4*$E77)</f>
        <v>129112</v>
      </c>
      <c r="Y77" s="36">
        <f>($I77+0.25*$E77)</f>
        <v>28216.2</v>
      </c>
      <c r="Z77" s="36">
        <f>($J77+0.35*$E77)</f>
        <v>32134.999999999996</v>
      </c>
      <c r="AA77" s="36">
        <f>$M77</f>
        <v>55488</v>
      </c>
      <c r="AB77" s="36">
        <f>$N77+$O77+$P77+$D74+(0.4*$E74)</f>
        <v>1709784</v>
      </c>
      <c r="AC77" s="36">
        <f>($I77+0.25*$E77)</f>
        <v>28216.2</v>
      </c>
      <c r="AD77" s="36">
        <f>($J77+0.35*$E77)</f>
        <v>32134.999999999996</v>
      </c>
      <c r="AE77" s="37">
        <f t="shared" si="42"/>
        <v>2097742.4</v>
      </c>
    </row>
    <row r="78" spans="1:31">
      <c r="A78" s="5" t="s">
        <v>205</v>
      </c>
      <c r="B78" s="33">
        <f>B$2*'Total Inventory (Rice)'!C78</f>
        <v>214720</v>
      </c>
      <c r="C78" s="33">
        <f>C$2*'Total Inventory (Rice)'!D78</f>
        <v>36080</v>
      </c>
      <c r="D78" s="34">
        <f t="shared" si="39"/>
        <v>250800</v>
      </c>
      <c r="E78" s="34">
        <f>E$2*'Total Inventory (Rice)'!E78</f>
        <v>260700</v>
      </c>
      <c r="F78" s="33">
        <f>F$2*'Total Inventory (Rice)'!F78</f>
        <v>0</v>
      </c>
      <c r="G78" s="33">
        <f>G$2*'Total Inventory (Rice)'!G78</f>
        <v>0</v>
      </c>
      <c r="H78" s="33">
        <f>H$2*'Total Inventory (Rice)'!H78</f>
        <v>15769.600000000002</v>
      </c>
      <c r="I78" s="34">
        <f t="shared" si="40"/>
        <v>15769.600000000002</v>
      </c>
      <c r="J78" s="34">
        <f>J$2*'Total Inventory (Rice)'!I78</f>
        <v>4992</v>
      </c>
      <c r="K78" s="33">
        <f>K$2*'Total Inventory (Rice)'!J78</f>
        <v>8928</v>
      </c>
      <c r="L78" s="33">
        <f>L$2*'Total Inventory (Rice)'!K78</f>
        <v>281600</v>
      </c>
      <c r="M78" s="34">
        <f t="shared" si="41"/>
        <v>290528</v>
      </c>
      <c r="N78" s="34">
        <f>N$2*'Total Inventory (Rice)'!L78</f>
        <v>21600</v>
      </c>
      <c r="O78" s="34">
        <f>O$2*'Total Inventory (Rice)'!M78</f>
        <v>36960</v>
      </c>
      <c r="P78" s="34">
        <f>P$2*'Total Inventory (Rice)'!N78</f>
        <v>0</v>
      </c>
      <c r="Q78" s="35"/>
      <c r="R78" s="5" t="s">
        <v>205</v>
      </c>
      <c r="S78" s="36">
        <f>($J78+0.35*$E78)</f>
        <v>96237</v>
      </c>
      <c r="T78" s="36">
        <f>$M78</f>
        <v>290528</v>
      </c>
      <c r="U78" s="36">
        <f>$N78+$O78+$P78</f>
        <v>58560</v>
      </c>
      <c r="V78" s="38"/>
      <c r="W78" s="38"/>
      <c r="X78" s="36">
        <f>$D78+(0.4*$E78)</f>
        <v>355080</v>
      </c>
      <c r="Y78" s="36">
        <f>($I78+0.25*$E78)</f>
        <v>80944.600000000006</v>
      </c>
      <c r="Z78" s="36">
        <f>($J78+0.35*$E78)</f>
        <v>96237</v>
      </c>
      <c r="AA78" s="36">
        <f>$M78</f>
        <v>290528</v>
      </c>
      <c r="AB78" s="36">
        <f>$N78+$O78+$P78</f>
        <v>58560</v>
      </c>
      <c r="AC78" s="36">
        <f>$D78+(0.4*$E78)</f>
        <v>355080</v>
      </c>
      <c r="AD78" s="36">
        <f>($I78+0.25*$E78)</f>
        <v>80944.600000000006</v>
      </c>
      <c r="AE78" s="37">
        <f t="shared" si="42"/>
        <v>1762699.2000000002</v>
      </c>
    </row>
    <row r="79" spans="1:31">
      <c r="A79" s="5" t="s">
        <v>206</v>
      </c>
      <c r="B79" s="33">
        <f>B$2*'Total Inventory (Rice)'!C79</f>
        <v>249920</v>
      </c>
      <c r="C79" s="33">
        <f>C$2*'Total Inventory (Rice)'!D79</f>
        <v>57552</v>
      </c>
      <c r="D79" s="34">
        <f t="shared" si="39"/>
        <v>307472</v>
      </c>
      <c r="E79" s="34">
        <f>E$2*'Total Inventory (Rice)'!E79</f>
        <v>197700</v>
      </c>
      <c r="F79" s="33">
        <f>F$2*'Total Inventory (Rice)'!F79</f>
        <v>0</v>
      </c>
      <c r="G79" s="33">
        <f>G$2*'Total Inventory (Rice)'!G79</f>
        <v>5984</v>
      </c>
      <c r="H79" s="33">
        <f>H$2*'Total Inventory (Rice)'!H79</f>
        <v>27456.000000000004</v>
      </c>
      <c r="I79" s="34">
        <f t="shared" si="40"/>
        <v>33440</v>
      </c>
      <c r="J79" s="34">
        <f>J$2*'Total Inventory (Rice)'!I79</f>
        <v>320</v>
      </c>
      <c r="K79" s="33">
        <f>K$2*'Total Inventory (Rice)'!J79</f>
        <v>10272</v>
      </c>
      <c r="L79" s="33">
        <f>L$2*'Total Inventory (Rice)'!K79</f>
        <v>515200</v>
      </c>
      <c r="M79" s="34">
        <f t="shared" si="41"/>
        <v>525472</v>
      </c>
      <c r="N79" s="34">
        <f>N$2*'Total Inventory (Rice)'!L79</f>
        <v>10800</v>
      </c>
      <c r="O79" s="34">
        <f>O$2*'Total Inventory (Rice)'!M79</f>
        <v>34320</v>
      </c>
      <c r="P79" s="34">
        <f>P$2*'Total Inventory (Rice)'!N79</f>
        <v>0</v>
      </c>
      <c r="Q79" s="35"/>
      <c r="R79" s="5" t="s">
        <v>206</v>
      </c>
      <c r="S79" s="36">
        <f>$M79</f>
        <v>525472</v>
      </c>
      <c r="T79" s="36">
        <f>$N79+$O79+$P79</f>
        <v>45120</v>
      </c>
      <c r="U79" s="38"/>
      <c r="V79" s="38"/>
      <c r="W79" s="38"/>
      <c r="X79" s="36">
        <f>$D79+(0.4*$E79)</f>
        <v>386552</v>
      </c>
      <c r="Y79" s="36">
        <f>($I79+0.25*$E79)</f>
        <v>82865</v>
      </c>
      <c r="Z79" s="36">
        <f>($J79+0.35*$E79)</f>
        <v>69515</v>
      </c>
      <c r="AA79" s="36">
        <f>$M79</f>
        <v>525472</v>
      </c>
      <c r="AB79" s="36">
        <f>$N79+$O79+$P79+$D76+(0.4*$E76)</f>
        <v>1065920</v>
      </c>
      <c r="AC79" s="36">
        <f>($I79+0.25*$E79)</f>
        <v>82865</v>
      </c>
      <c r="AD79" s="36">
        <f>($J79+0.35*$E79)</f>
        <v>69515</v>
      </c>
      <c r="AE79" s="37">
        <f t="shared" si="42"/>
        <v>2853296</v>
      </c>
    </row>
    <row r="80" spans="1:31">
      <c r="A80" s="5" t="s">
        <v>160</v>
      </c>
      <c r="B80" s="33">
        <f>B$2*'Total Inventory (Rice)'!C80</f>
        <v>68640</v>
      </c>
      <c r="C80" s="33">
        <f>C$2*'Total Inventory (Rice)'!D80</f>
        <v>0</v>
      </c>
      <c r="D80" s="34">
        <f t="shared" si="39"/>
        <v>68640</v>
      </c>
      <c r="E80" s="34">
        <f>E$2*'Total Inventory (Rice)'!E80</f>
        <v>0</v>
      </c>
      <c r="F80" s="33">
        <f>F$2*'Total Inventory (Rice)'!F80</f>
        <v>0</v>
      </c>
      <c r="G80" s="33">
        <f>G$2*'Total Inventory (Rice)'!G80</f>
        <v>0</v>
      </c>
      <c r="H80" s="33">
        <f>H$2*'Total Inventory (Rice)'!H80</f>
        <v>0</v>
      </c>
      <c r="I80" s="34">
        <f t="shared" si="40"/>
        <v>0</v>
      </c>
      <c r="J80" s="34">
        <f>J$2*'Total Inventory (Rice)'!I80</f>
        <v>0</v>
      </c>
      <c r="K80" s="33">
        <f>K$2*'Total Inventory (Rice)'!J80</f>
        <v>0</v>
      </c>
      <c r="L80" s="33">
        <f>L$2*'Total Inventory (Rice)'!K80</f>
        <v>0</v>
      </c>
      <c r="M80" s="34">
        <f t="shared" si="41"/>
        <v>0</v>
      </c>
      <c r="N80" s="34">
        <f>N$2*'Total Inventory (Rice)'!L80</f>
        <v>0</v>
      </c>
      <c r="O80" s="34">
        <f>O$2*'Total Inventory (Rice)'!M80</f>
        <v>0</v>
      </c>
      <c r="P80" s="34">
        <f>P$2*'Total Inventory (Rice)'!N80</f>
        <v>0</v>
      </c>
      <c r="Q80" s="35"/>
      <c r="R80" s="5" t="s">
        <v>160</v>
      </c>
      <c r="S80" s="38"/>
      <c r="T80" s="38"/>
      <c r="U80" s="38"/>
      <c r="V80" s="38"/>
      <c r="W80" s="36">
        <f>$D80+(0.4*$E80)</f>
        <v>68640</v>
      </c>
      <c r="X80" s="36">
        <f>($I80+0.25*$E80)</f>
        <v>0</v>
      </c>
      <c r="Y80" s="36">
        <f>($J80+0.35*$E80)</f>
        <v>0</v>
      </c>
      <c r="Z80" s="36">
        <f>$D80+(0.4*$E80)</f>
        <v>68640</v>
      </c>
      <c r="AA80" s="36">
        <f>($I80+0.25*$E80)</f>
        <v>0</v>
      </c>
      <c r="AB80" s="36">
        <f>($J80+0.35*$E80)</f>
        <v>0</v>
      </c>
      <c r="AC80" s="36">
        <f>$M80</f>
        <v>0</v>
      </c>
      <c r="AD80" s="36">
        <f>$N80+$O80+$P80</f>
        <v>0</v>
      </c>
      <c r="AE80" s="37">
        <f t="shared" si="42"/>
        <v>137280</v>
      </c>
    </row>
    <row r="81" spans="1:31">
      <c r="A81" s="5" t="s">
        <v>203</v>
      </c>
      <c r="B81" s="33">
        <f>B$2*'Total Inventory (Rice)'!C81</f>
        <v>0</v>
      </c>
      <c r="C81" s="33">
        <f>C$2*'Total Inventory (Rice)'!D81</f>
        <v>0</v>
      </c>
      <c r="D81" s="34">
        <f t="shared" si="39"/>
        <v>0</v>
      </c>
      <c r="E81" s="34">
        <f>E$2*'Total Inventory (Rice)'!E81</f>
        <v>0</v>
      </c>
      <c r="F81" s="33">
        <f>F$2*'Total Inventory (Rice)'!F81</f>
        <v>0</v>
      </c>
      <c r="G81" s="33">
        <f>G$2*'Total Inventory (Rice)'!G81</f>
        <v>0</v>
      </c>
      <c r="H81" s="33">
        <f>H$2*'Total Inventory (Rice)'!H81</f>
        <v>0</v>
      </c>
      <c r="I81" s="34">
        <f t="shared" si="40"/>
        <v>0</v>
      </c>
      <c r="J81" s="34">
        <f>J$2*'Total Inventory (Rice)'!I81</f>
        <v>0</v>
      </c>
      <c r="K81" s="33">
        <f>K$2*'Total Inventory (Rice)'!J81</f>
        <v>0</v>
      </c>
      <c r="L81" s="33">
        <f>L$2*'Total Inventory (Rice)'!K81</f>
        <v>0</v>
      </c>
      <c r="M81" s="34">
        <f t="shared" si="41"/>
        <v>0</v>
      </c>
      <c r="N81" s="34">
        <f>N$2*'Total Inventory (Rice)'!L81</f>
        <v>0</v>
      </c>
      <c r="O81" s="34">
        <f>O$2*'Total Inventory (Rice)'!M81</f>
        <v>0</v>
      </c>
      <c r="P81" s="34">
        <f>P$2*'Total Inventory (Rice)'!N81</f>
        <v>0</v>
      </c>
      <c r="Q81" s="35"/>
      <c r="R81" s="5" t="s">
        <v>203</v>
      </c>
      <c r="S81" s="38"/>
      <c r="T81" s="38"/>
      <c r="U81" s="38"/>
      <c r="V81" s="38"/>
      <c r="W81" s="36">
        <f>$D81+(0.4*$E81)</f>
        <v>0</v>
      </c>
      <c r="X81" s="36">
        <f>($I81+0.25*$E81)</f>
        <v>0</v>
      </c>
      <c r="Y81" s="36">
        <f>($J81+0.35*$E81)</f>
        <v>0</v>
      </c>
      <c r="Z81" s="36">
        <f>$D81+(0.4*$E81)</f>
        <v>0</v>
      </c>
      <c r="AA81" s="36">
        <f>($I81+0.25*$E81)</f>
        <v>0</v>
      </c>
      <c r="AB81" s="36">
        <f>($J81+0.35*$E81)</f>
        <v>0</v>
      </c>
      <c r="AC81" s="36">
        <f>$M81</f>
        <v>0</v>
      </c>
      <c r="AD81" s="36">
        <f>$N81+$O81+$P81</f>
        <v>0</v>
      </c>
      <c r="AE81" s="37">
        <f t="shared" si="42"/>
        <v>0</v>
      </c>
    </row>
    <row r="82" spans="1:31">
      <c r="A82" s="5" t="s">
        <v>53</v>
      </c>
      <c r="B82" s="33">
        <f>B$2*'Total Inventory (Rice)'!C82</f>
        <v>8800</v>
      </c>
      <c r="C82" s="33">
        <f>C$2*'Total Inventory (Rice)'!D82</f>
        <v>0</v>
      </c>
      <c r="D82" s="34">
        <f t="shared" si="39"/>
        <v>8800</v>
      </c>
      <c r="E82" s="34">
        <f>E$2*'Total Inventory (Rice)'!E82</f>
        <v>0</v>
      </c>
      <c r="F82" s="33">
        <f>F$2*'Total Inventory (Rice)'!F82</f>
        <v>0</v>
      </c>
      <c r="G82" s="33">
        <f>G$2*'Total Inventory (Rice)'!G82</f>
        <v>0</v>
      </c>
      <c r="H82" s="33">
        <f>H$2*'Total Inventory (Rice)'!H82</f>
        <v>0</v>
      </c>
      <c r="I82" s="34">
        <f t="shared" si="40"/>
        <v>0</v>
      </c>
      <c r="J82" s="34">
        <f>J$2*'Total Inventory (Rice)'!I82</f>
        <v>0</v>
      </c>
      <c r="K82" s="33">
        <f>K$2*'Total Inventory (Rice)'!J82</f>
        <v>0</v>
      </c>
      <c r="L82" s="33">
        <f>L$2*'Total Inventory (Rice)'!K82</f>
        <v>0</v>
      </c>
      <c r="M82" s="34">
        <f t="shared" si="41"/>
        <v>0</v>
      </c>
      <c r="N82" s="34">
        <f>N$2*'Total Inventory (Rice)'!L82</f>
        <v>0</v>
      </c>
      <c r="O82" s="34">
        <f>O$2*'Total Inventory (Rice)'!M82</f>
        <v>2640</v>
      </c>
      <c r="P82" s="34">
        <f>P$2*'Total Inventory (Rice)'!N82</f>
        <v>0</v>
      </c>
      <c r="Q82" s="35"/>
      <c r="R82" s="5" t="s">
        <v>53</v>
      </c>
      <c r="S82" s="38"/>
      <c r="T82" s="38"/>
      <c r="U82" s="38"/>
      <c r="V82" s="38"/>
      <c r="W82" s="36">
        <f>$D82+(0.4*$E82)</f>
        <v>8800</v>
      </c>
      <c r="X82" s="36">
        <f>($I82+0.25*$E82)</f>
        <v>0</v>
      </c>
      <c r="Y82" s="36">
        <f>($J82+0.35*$E82)</f>
        <v>0</v>
      </c>
      <c r="Z82" s="36">
        <f>$D82+(0.4*$E82)</f>
        <v>8800</v>
      </c>
      <c r="AA82" s="36">
        <f>($I82+0.25*$E82)</f>
        <v>0</v>
      </c>
      <c r="AB82" s="36">
        <f>($J82+0.35*$E82)</f>
        <v>0</v>
      </c>
      <c r="AC82" s="36">
        <f>$M82</f>
        <v>0</v>
      </c>
      <c r="AD82" s="36">
        <f>$N82+$O82+$P82</f>
        <v>2640</v>
      </c>
      <c r="AE82" s="37">
        <f t="shared" si="42"/>
        <v>20240</v>
      </c>
    </row>
    <row r="83" spans="1:31">
      <c r="R83" s="16" t="s">
        <v>255</v>
      </c>
      <c r="S83" s="37">
        <f>SUM(S4:S82)</f>
        <v>17368820.399999999</v>
      </c>
      <c r="T83" s="37">
        <f t="shared" ref="T83:AD83" si="43">SUM(T4:T82)</f>
        <v>15188459.6</v>
      </c>
      <c r="U83" s="37">
        <f t="shared" si="43"/>
        <v>14399143</v>
      </c>
      <c r="V83" s="37">
        <f t="shared" si="43"/>
        <v>9275294</v>
      </c>
      <c r="W83" s="37">
        <f t="shared" si="43"/>
        <v>23778264.799999997</v>
      </c>
      <c r="X83" s="37">
        <f t="shared" si="43"/>
        <v>28360518.399999995</v>
      </c>
      <c r="Y83" s="37">
        <f t="shared" si="43"/>
        <v>16037038.999999998</v>
      </c>
      <c r="Z83" s="37">
        <f t="shared" si="43"/>
        <v>15621044.800000001</v>
      </c>
      <c r="AA83" s="37">
        <f t="shared" si="43"/>
        <v>18575869</v>
      </c>
      <c r="AB83" s="37">
        <f t="shared" si="43"/>
        <v>33166198.199999996</v>
      </c>
      <c r="AC83" s="37">
        <f t="shared" si="43"/>
        <v>30443456.199999999</v>
      </c>
      <c r="AD83" s="37">
        <f t="shared" si="43"/>
        <v>15734303.600000001</v>
      </c>
      <c r="AE83" s="37">
        <f>SUM(AE4:AE82)</f>
        <v>237948411.00000012</v>
      </c>
    </row>
  </sheetData>
  <mergeCells count="20">
    <mergeCell ref="B1:D1"/>
    <mergeCell ref="F1:I1"/>
    <mergeCell ref="D2:D3"/>
    <mergeCell ref="I2:I3"/>
    <mergeCell ref="K1:M1"/>
    <mergeCell ref="M2:M3"/>
    <mergeCell ref="AE1:AE3"/>
    <mergeCell ref="R1:R3"/>
    <mergeCell ref="Y1:Y3"/>
    <mergeCell ref="Z1:Z3"/>
    <mergeCell ref="AA1:AA3"/>
    <mergeCell ref="AB1:AB3"/>
    <mergeCell ref="AC1:AC3"/>
    <mergeCell ref="AD1:AD3"/>
    <mergeCell ref="S1:S3"/>
    <mergeCell ref="T1:T3"/>
    <mergeCell ref="U1:U3"/>
    <mergeCell ref="V1:V3"/>
    <mergeCell ref="W1:W3"/>
    <mergeCell ref="X1:X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B82"/>
  <sheetViews>
    <sheetView workbookViewId="0">
      <pane xSplit="1" ySplit="3" topLeftCell="B63" activePane="bottomRight" state="frozen"/>
      <selection pane="topRight"/>
      <selection pane="bottomLeft"/>
      <selection pane="bottomRight" activeCell="D27" sqref="D27:D82"/>
    </sheetView>
  </sheetViews>
  <sheetFormatPr defaultColWidth="8.77734375" defaultRowHeight="14.4"/>
  <cols>
    <col min="1" max="1" width="20.77734375" customWidth="1"/>
    <col min="2" max="3" width="15.77734375" customWidth="1"/>
    <col min="4" max="4" width="15.77734375" style="3" customWidth="1"/>
    <col min="5" max="7" width="15.77734375" customWidth="1"/>
    <col min="8" max="8" width="15.77734375" style="3" customWidth="1"/>
    <col min="9" max="17" width="15.77734375" customWidth="1"/>
    <col min="18" max="18" width="15.77734375" style="3" customWidth="1"/>
    <col min="19" max="27" width="15.77734375" customWidth="1"/>
    <col min="28" max="28" width="15.77734375" style="3" customWidth="1"/>
  </cols>
  <sheetData>
    <row r="2" spans="1:28">
      <c r="A2" s="16" t="s">
        <v>250</v>
      </c>
      <c r="B2" s="631" t="s">
        <v>6</v>
      </c>
      <c r="C2" s="631"/>
      <c r="D2" s="631"/>
      <c r="E2" s="631" t="s">
        <v>3</v>
      </c>
      <c r="F2" s="631"/>
      <c r="G2" s="631"/>
      <c r="H2" s="631"/>
      <c r="I2" s="631" t="s">
        <v>2</v>
      </c>
      <c r="J2" s="631"/>
      <c r="K2" s="631"/>
      <c r="L2" s="631"/>
      <c r="M2" s="631"/>
      <c r="N2" s="631"/>
      <c r="O2" s="631"/>
      <c r="P2" s="631"/>
      <c r="Q2" s="631"/>
      <c r="R2" s="631"/>
      <c r="S2" s="631" t="s">
        <v>8</v>
      </c>
      <c r="T2" s="631"/>
      <c r="U2" s="631"/>
      <c r="V2" s="631"/>
      <c r="W2" s="631"/>
      <c r="X2" s="631"/>
      <c r="Y2" s="631"/>
      <c r="Z2" s="631"/>
      <c r="AA2" s="631"/>
      <c r="AB2" s="631"/>
    </row>
    <row r="3" spans="1:28" ht="43.2">
      <c r="A3" s="16" t="s">
        <v>0</v>
      </c>
      <c r="B3" s="16" t="s">
        <v>200</v>
      </c>
      <c r="C3" s="16" t="s">
        <v>117</v>
      </c>
      <c r="D3" s="18" t="s">
        <v>257</v>
      </c>
      <c r="E3" s="16" t="s">
        <v>69</v>
      </c>
      <c r="F3" s="16" t="s">
        <v>82</v>
      </c>
      <c r="G3" s="16" t="s">
        <v>90</v>
      </c>
      <c r="H3" s="18" t="s">
        <v>257</v>
      </c>
      <c r="I3" s="16" t="s">
        <v>161</v>
      </c>
      <c r="J3" s="16" t="s">
        <v>194</v>
      </c>
      <c r="K3" s="16" t="s">
        <v>189</v>
      </c>
      <c r="L3" s="16" t="s">
        <v>76</v>
      </c>
      <c r="M3" s="16" t="s">
        <v>107</v>
      </c>
      <c r="N3" s="16" t="s">
        <v>89</v>
      </c>
      <c r="O3" s="16" t="s">
        <v>108</v>
      </c>
      <c r="P3" s="16" t="s">
        <v>139</v>
      </c>
      <c r="Q3" s="16" t="s">
        <v>109</v>
      </c>
      <c r="R3" s="18" t="s">
        <v>257</v>
      </c>
      <c r="S3" s="16" t="s">
        <v>137</v>
      </c>
      <c r="T3" s="16" t="s">
        <v>175</v>
      </c>
      <c r="U3" s="16" t="s">
        <v>68</v>
      </c>
      <c r="V3" s="16" t="s">
        <v>73</v>
      </c>
      <c r="W3" s="16" t="s">
        <v>71</v>
      </c>
      <c r="X3" s="18" t="s">
        <v>136</v>
      </c>
      <c r="Y3" s="16" t="s">
        <v>147</v>
      </c>
      <c r="Z3" s="16" t="s">
        <v>133</v>
      </c>
      <c r="AA3" s="16" t="s">
        <v>138</v>
      </c>
      <c r="AB3" s="18" t="s">
        <v>257</v>
      </c>
    </row>
    <row r="4" spans="1:28">
      <c r="A4" s="5" t="s">
        <v>88</v>
      </c>
      <c r="B4" s="2">
        <v>15</v>
      </c>
      <c r="C4" s="2"/>
      <c r="D4" s="2">
        <f t="shared" ref="D4:D57" si="0">SUM(B4:C4)</f>
        <v>15</v>
      </c>
      <c r="E4" s="2"/>
      <c r="F4" s="2"/>
      <c r="G4" s="2">
        <v>1</v>
      </c>
      <c r="H4" s="2">
        <f t="shared" ref="H4:H57" si="1">SUM(E4:G4)</f>
        <v>1</v>
      </c>
      <c r="I4" s="2"/>
      <c r="J4" s="2"/>
      <c r="K4" s="2"/>
      <c r="L4" s="8"/>
      <c r="M4" s="2"/>
      <c r="N4" s="2"/>
      <c r="O4" s="2"/>
      <c r="P4" s="2"/>
      <c r="Q4" s="2"/>
      <c r="R4" s="2">
        <f t="shared" ref="R4:R57" si="2">SUM(I4:Q4)</f>
        <v>0</v>
      </c>
      <c r="S4" s="2"/>
      <c r="T4" s="2">
        <v>18</v>
      </c>
      <c r="U4" s="2">
        <v>33</v>
      </c>
      <c r="V4" s="2">
        <v>16</v>
      </c>
      <c r="W4" s="2">
        <v>9</v>
      </c>
      <c r="X4" s="8"/>
      <c r="Y4" s="2"/>
      <c r="Z4" s="2"/>
      <c r="AA4" s="2"/>
      <c r="AB4" s="2">
        <f t="shared" ref="AB4:AB57" si="3">SUM(S4:AA4)</f>
        <v>76</v>
      </c>
    </row>
    <row r="5" spans="1:28">
      <c r="A5" s="5" t="s">
        <v>85</v>
      </c>
      <c r="B5" s="2">
        <v>16</v>
      </c>
      <c r="C5" s="2"/>
      <c r="D5" s="2">
        <f t="shared" si="0"/>
        <v>16</v>
      </c>
      <c r="E5" s="2">
        <v>6</v>
      </c>
      <c r="F5" s="2"/>
      <c r="G5" s="2">
        <v>3</v>
      </c>
      <c r="H5" s="2">
        <f t="shared" si="1"/>
        <v>9</v>
      </c>
      <c r="I5" s="2"/>
      <c r="J5" s="2"/>
      <c r="K5" s="2"/>
      <c r="L5" s="8">
        <v>1</v>
      </c>
      <c r="M5" s="2"/>
      <c r="N5" s="2">
        <v>8</v>
      </c>
      <c r="O5" s="2"/>
      <c r="P5" s="2"/>
      <c r="Q5" s="2"/>
      <c r="R5" s="2">
        <f t="shared" si="2"/>
        <v>9</v>
      </c>
      <c r="S5" s="2"/>
      <c r="T5" s="2">
        <v>25</v>
      </c>
      <c r="U5" s="2">
        <v>12</v>
      </c>
      <c r="V5" s="2">
        <v>39</v>
      </c>
      <c r="W5" s="2">
        <v>5</v>
      </c>
      <c r="X5" s="8"/>
      <c r="Y5" s="2">
        <v>9</v>
      </c>
      <c r="Z5" s="2"/>
      <c r="AA5" s="2"/>
      <c r="AB5" s="2">
        <f t="shared" si="3"/>
        <v>90</v>
      </c>
    </row>
    <row r="6" spans="1:28">
      <c r="A6" s="5" t="s">
        <v>146</v>
      </c>
      <c r="B6" s="2">
        <v>0</v>
      </c>
      <c r="C6" s="2"/>
      <c r="D6" s="2">
        <f t="shared" si="0"/>
        <v>0</v>
      </c>
      <c r="E6" s="2"/>
      <c r="F6" s="2"/>
      <c r="G6" s="2"/>
      <c r="H6" s="2">
        <f t="shared" si="1"/>
        <v>0</v>
      </c>
      <c r="I6" s="2"/>
      <c r="J6" s="2"/>
      <c r="K6" s="2"/>
      <c r="L6" s="8"/>
      <c r="M6" s="2"/>
      <c r="N6" s="2"/>
      <c r="O6" s="2"/>
      <c r="P6" s="2"/>
      <c r="Q6" s="2"/>
      <c r="R6" s="2">
        <f t="shared" si="2"/>
        <v>0</v>
      </c>
      <c r="S6" s="2"/>
      <c r="T6" s="2"/>
      <c r="U6" s="2">
        <v>3</v>
      </c>
      <c r="V6" s="2">
        <v>2</v>
      </c>
      <c r="W6" s="2">
        <v>2</v>
      </c>
      <c r="X6" s="8"/>
      <c r="Y6" s="2"/>
      <c r="Z6" s="2"/>
      <c r="AA6" s="2"/>
      <c r="AB6" s="2">
        <f t="shared" si="3"/>
        <v>7</v>
      </c>
    </row>
    <row r="7" spans="1:28">
      <c r="A7" s="5" t="s">
        <v>84</v>
      </c>
      <c r="B7" s="2">
        <v>19</v>
      </c>
      <c r="C7" s="2"/>
      <c r="D7" s="2">
        <f t="shared" si="0"/>
        <v>19</v>
      </c>
      <c r="E7" s="2">
        <v>3</v>
      </c>
      <c r="F7" s="2"/>
      <c r="G7" s="2">
        <v>8</v>
      </c>
      <c r="H7" s="2">
        <f t="shared" si="1"/>
        <v>11</v>
      </c>
      <c r="I7" s="2"/>
      <c r="J7" s="2"/>
      <c r="K7" s="2"/>
      <c r="L7" s="8">
        <v>6</v>
      </c>
      <c r="M7" s="2"/>
      <c r="N7" s="2">
        <v>4</v>
      </c>
      <c r="O7" s="2"/>
      <c r="P7" s="2"/>
      <c r="Q7" s="2"/>
      <c r="R7" s="2">
        <f t="shared" si="2"/>
        <v>10</v>
      </c>
      <c r="S7" s="2"/>
      <c r="T7" s="2">
        <v>21</v>
      </c>
      <c r="U7" s="2">
        <v>26</v>
      </c>
      <c r="V7" s="2">
        <v>28</v>
      </c>
      <c r="W7" s="2">
        <v>1</v>
      </c>
      <c r="X7" s="8"/>
      <c r="Y7" s="2">
        <v>11</v>
      </c>
      <c r="Z7" s="2"/>
      <c r="AA7" s="2"/>
      <c r="AB7" s="2">
        <f t="shared" si="3"/>
        <v>87</v>
      </c>
    </row>
    <row r="8" spans="1:28">
      <c r="A8" s="5" t="s">
        <v>86</v>
      </c>
      <c r="B8" s="2">
        <v>12</v>
      </c>
      <c r="C8" s="2"/>
      <c r="D8" s="2">
        <f t="shared" si="0"/>
        <v>12</v>
      </c>
      <c r="E8" s="2">
        <v>5</v>
      </c>
      <c r="F8" s="2"/>
      <c r="G8" s="2">
        <v>1</v>
      </c>
      <c r="H8" s="2">
        <f t="shared" si="1"/>
        <v>6</v>
      </c>
      <c r="I8" s="2"/>
      <c r="J8" s="2"/>
      <c r="K8" s="2"/>
      <c r="L8" s="8">
        <v>2</v>
      </c>
      <c r="M8" s="2"/>
      <c r="N8" s="2">
        <v>2</v>
      </c>
      <c r="O8" s="2"/>
      <c r="P8" s="2"/>
      <c r="Q8" s="2"/>
      <c r="R8" s="2">
        <f t="shared" si="2"/>
        <v>4</v>
      </c>
      <c r="S8" s="2"/>
      <c r="T8" s="2">
        <v>13</v>
      </c>
      <c r="U8" s="2">
        <v>28</v>
      </c>
      <c r="V8" s="2">
        <v>26</v>
      </c>
      <c r="W8" s="2">
        <v>5</v>
      </c>
      <c r="X8" s="8"/>
      <c r="Y8" s="2">
        <v>7</v>
      </c>
      <c r="Z8" s="2"/>
      <c r="AA8" s="2"/>
      <c r="AB8" s="2">
        <f t="shared" si="3"/>
        <v>79</v>
      </c>
    </row>
    <row r="9" spans="1:28">
      <c r="A9" s="5" t="s">
        <v>87</v>
      </c>
      <c r="B9" s="2">
        <v>10</v>
      </c>
      <c r="C9" s="2"/>
      <c r="D9" s="2">
        <f t="shared" si="0"/>
        <v>10</v>
      </c>
      <c r="E9" s="2"/>
      <c r="F9" s="2"/>
      <c r="G9" s="2"/>
      <c r="H9" s="2">
        <f t="shared" si="1"/>
        <v>0</v>
      </c>
      <c r="I9" s="2"/>
      <c r="J9" s="2"/>
      <c r="K9" s="2"/>
      <c r="L9" s="8">
        <v>2</v>
      </c>
      <c r="M9" s="2"/>
      <c r="N9" s="2">
        <v>4</v>
      </c>
      <c r="O9" s="2"/>
      <c r="P9" s="2"/>
      <c r="Q9" s="2"/>
      <c r="R9" s="2">
        <f t="shared" si="2"/>
        <v>6</v>
      </c>
      <c r="S9" s="2"/>
      <c r="T9" s="2">
        <v>12</v>
      </c>
      <c r="U9" s="2">
        <v>17</v>
      </c>
      <c r="V9" s="2">
        <v>24</v>
      </c>
      <c r="W9" s="2">
        <v>2</v>
      </c>
      <c r="X9" s="8"/>
      <c r="Y9" s="2">
        <v>4</v>
      </c>
      <c r="Z9" s="2"/>
      <c r="AA9" s="2"/>
      <c r="AB9" s="2">
        <f t="shared" si="3"/>
        <v>59</v>
      </c>
    </row>
    <row r="10" spans="1:28">
      <c r="A10" s="5" t="s">
        <v>11</v>
      </c>
      <c r="B10" s="2">
        <v>99</v>
      </c>
      <c r="C10" s="2">
        <v>12</v>
      </c>
      <c r="D10" s="2">
        <f t="shared" si="0"/>
        <v>111</v>
      </c>
      <c r="E10" s="2">
        <v>4</v>
      </c>
      <c r="F10" s="2">
        <v>1</v>
      </c>
      <c r="G10" s="2">
        <v>1</v>
      </c>
      <c r="H10" s="2">
        <f t="shared" si="1"/>
        <v>6</v>
      </c>
      <c r="I10" s="2"/>
      <c r="J10" s="2"/>
      <c r="K10" s="2"/>
      <c r="L10" s="8">
        <v>8</v>
      </c>
      <c r="M10" s="2"/>
      <c r="N10" s="2">
        <v>5</v>
      </c>
      <c r="O10" s="2"/>
      <c r="P10" s="2"/>
      <c r="Q10" s="2"/>
      <c r="R10" s="2">
        <f t="shared" si="2"/>
        <v>13</v>
      </c>
      <c r="S10" s="2"/>
      <c r="T10" s="2">
        <v>6</v>
      </c>
      <c r="U10" s="2"/>
      <c r="V10" s="2">
        <v>8</v>
      </c>
      <c r="W10" s="2">
        <v>8</v>
      </c>
      <c r="X10" s="8"/>
      <c r="Y10" s="2">
        <v>1</v>
      </c>
      <c r="Z10" s="2"/>
      <c r="AA10" s="2"/>
      <c r="AB10" s="2">
        <f t="shared" si="3"/>
        <v>23</v>
      </c>
    </row>
    <row r="11" spans="1:28">
      <c r="A11" s="5" t="s">
        <v>12</v>
      </c>
      <c r="B11" s="2">
        <v>69</v>
      </c>
      <c r="C11" s="2">
        <v>13</v>
      </c>
      <c r="D11" s="2">
        <f t="shared" si="0"/>
        <v>82</v>
      </c>
      <c r="E11" s="2"/>
      <c r="F11" s="2">
        <v>2</v>
      </c>
      <c r="G11" s="2"/>
      <c r="H11" s="2">
        <f t="shared" si="1"/>
        <v>2</v>
      </c>
      <c r="I11" s="2">
        <v>1</v>
      </c>
      <c r="J11" s="2"/>
      <c r="K11" s="2"/>
      <c r="L11" s="8">
        <v>3</v>
      </c>
      <c r="M11" s="2"/>
      <c r="N11" s="2">
        <v>6</v>
      </c>
      <c r="O11" s="2"/>
      <c r="P11" s="2"/>
      <c r="Q11" s="2"/>
      <c r="R11" s="2">
        <f t="shared" si="2"/>
        <v>10</v>
      </c>
      <c r="S11" s="2"/>
      <c r="T11" s="2">
        <v>11</v>
      </c>
      <c r="U11" s="2"/>
      <c r="V11" s="2">
        <v>16</v>
      </c>
      <c r="W11" s="2">
        <v>6</v>
      </c>
      <c r="X11" s="8"/>
      <c r="Y11" s="2">
        <v>3</v>
      </c>
      <c r="Z11" s="2"/>
      <c r="AA11" s="2"/>
      <c r="AB11" s="2">
        <f t="shared" si="3"/>
        <v>36</v>
      </c>
    </row>
    <row r="12" spans="1:28">
      <c r="A12" s="5" t="s">
        <v>13</v>
      </c>
      <c r="B12" s="2">
        <v>60</v>
      </c>
      <c r="C12" s="2">
        <v>3</v>
      </c>
      <c r="D12" s="2">
        <f t="shared" si="0"/>
        <v>63</v>
      </c>
      <c r="E12" s="2">
        <v>4</v>
      </c>
      <c r="F12" s="2"/>
      <c r="G12" s="2">
        <v>1</v>
      </c>
      <c r="H12" s="2">
        <f t="shared" si="1"/>
        <v>5</v>
      </c>
      <c r="I12" s="2">
        <v>2</v>
      </c>
      <c r="J12" s="2"/>
      <c r="K12" s="2"/>
      <c r="L12" s="8"/>
      <c r="M12" s="2"/>
      <c r="N12" s="2">
        <v>3</v>
      </c>
      <c r="O12" s="2"/>
      <c r="P12" s="2"/>
      <c r="Q12" s="2"/>
      <c r="R12" s="2">
        <f t="shared" si="2"/>
        <v>5</v>
      </c>
      <c r="S12" s="2"/>
      <c r="T12" s="2">
        <v>7</v>
      </c>
      <c r="U12" s="2"/>
      <c r="V12" s="2">
        <v>6</v>
      </c>
      <c r="W12" s="2">
        <v>8</v>
      </c>
      <c r="X12" s="8"/>
      <c r="Y12" s="2">
        <v>2</v>
      </c>
      <c r="Z12" s="2"/>
      <c r="AA12" s="2"/>
      <c r="AB12" s="2">
        <f t="shared" si="3"/>
        <v>23</v>
      </c>
    </row>
    <row r="13" spans="1:28">
      <c r="A13" s="5" t="s">
        <v>14</v>
      </c>
      <c r="B13" s="2">
        <v>252</v>
      </c>
      <c r="C13" s="2">
        <v>21</v>
      </c>
      <c r="D13" s="2">
        <f t="shared" si="0"/>
        <v>273</v>
      </c>
      <c r="E13" s="2">
        <v>4</v>
      </c>
      <c r="F13" s="2">
        <v>1</v>
      </c>
      <c r="G13" s="2">
        <v>1</v>
      </c>
      <c r="H13" s="2">
        <f t="shared" si="1"/>
        <v>6</v>
      </c>
      <c r="I13" s="2">
        <v>1</v>
      </c>
      <c r="J13" s="2"/>
      <c r="K13" s="2"/>
      <c r="L13" s="8">
        <v>13</v>
      </c>
      <c r="M13" s="2"/>
      <c r="N13" s="2">
        <v>15</v>
      </c>
      <c r="O13" s="2"/>
      <c r="P13" s="2"/>
      <c r="Q13" s="2"/>
      <c r="R13" s="2">
        <f t="shared" si="2"/>
        <v>29</v>
      </c>
      <c r="S13" s="2"/>
      <c r="T13" s="2">
        <v>10</v>
      </c>
      <c r="U13" s="2"/>
      <c r="V13" s="2">
        <v>24</v>
      </c>
      <c r="W13" s="2">
        <v>11</v>
      </c>
      <c r="X13" s="8"/>
      <c r="Y13" s="2"/>
      <c r="Z13" s="2"/>
      <c r="AA13" s="2"/>
      <c r="AB13" s="2">
        <f t="shared" si="3"/>
        <v>45</v>
      </c>
    </row>
    <row r="14" spans="1:28">
      <c r="A14" s="5" t="s">
        <v>10</v>
      </c>
      <c r="B14" s="2">
        <v>0</v>
      </c>
      <c r="C14" s="2"/>
      <c r="D14" s="2">
        <f t="shared" si="0"/>
        <v>0</v>
      </c>
      <c r="E14" s="2"/>
      <c r="F14" s="2"/>
      <c r="G14" s="2"/>
      <c r="H14" s="2">
        <f t="shared" si="1"/>
        <v>0</v>
      </c>
      <c r="I14" s="2"/>
      <c r="J14" s="2"/>
      <c r="K14" s="2"/>
      <c r="L14" s="8"/>
      <c r="M14" s="2"/>
      <c r="N14" s="2"/>
      <c r="O14" s="2"/>
      <c r="P14" s="2"/>
      <c r="Q14" s="2"/>
      <c r="R14" s="2">
        <f t="shared" si="2"/>
        <v>0</v>
      </c>
      <c r="S14" s="2"/>
      <c r="T14" s="2"/>
      <c r="U14" s="2"/>
      <c r="V14" s="2"/>
      <c r="W14" s="2"/>
      <c r="X14" s="8"/>
      <c r="Y14" s="2"/>
      <c r="Z14" s="2"/>
      <c r="AA14" s="2"/>
      <c r="AB14" s="2">
        <f t="shared" si="3"/>
        <v>0</v>
      </c>
    </row>
    <row r="15" spans="1:28">
      <c r="A15" s="5" t="s">
        <v>15</v>
      </c>
      <c r="B15" s="2">
        <v>291</v>
      </c>
      <c r="C15" s="2"/>
      <c r="D15" s="2">
        <f t="shared" si="0"/>
        <v>291</v>
      </c>
      <c r="E15" s="2">
        <v>35</v>
      </c>
      <c r="F15" s="2"/>
      <c r="G15" s="2">
        <v>11</v>
      </c>
      <c r="H15" s="2">
        <f t="shared" si="1"/>
        <v>46</v>
      </c>
      <c r="I15" s="2"/>
      <c r="J15" s="2"/>
      <c r="K15" s="2"/>
      <c r="L15" s="8">
        <v>5</v>
      </c>
      <c r="M15" s="2"/>
      <c r="N15" s="2">
        <v>14</v>
      </c>
      <c r="O15" s="2"/>
      <c r="P15" s="2"/>
      <c r="Q15" s="2"/>
      <c r="R15" s="2">
        <f t="shared" si="2"/>
        <v>19</v>
      </c>
      <c r="S15" s="2"/>
      <c r="T15" s="2">
        <v>10</v>
      </c>
      <c r="U15" s="2">
        <v>17</v>
      </c>
      <c r="V15" s="2">
        <v>163</v>
      </c>
      <c r="W15" s="2"/>
      <c r="X15" s="8"/>
      <c r="Y15" s="2"/>
      <c r="Z15" s="2"/>
      <c r="AA15" s="2"/>
      <c r="AB15" s="2">
        <f t="shared" si="3"/>
        <v>190</v>
      </c>
    </row>
    <row r="16" spans="1:28">
      <c r="A16" s="5" t="s">
        <v>16</v>
      </c>
      <c r="B16" s="2">
        <v>280</v>
      </c>
      <c r="C16" s="2"/>
      <c r="D16" s="2">
        <f t="shared" si="0"/>
        <v>280</v>
      </c>
      <c r="E16" s="2">
        <v>105</v>
      </c>
      <c r="F16" s="2"/>
      <c r="G16" s="2">
        <v>3</v>
      </c>
      <c r="H16" s="2">
        <f t="shared" si="1"/>
        <v>108</v>
      </c>
      <c r="I16" s="2"/>
      <c r="J16" s="2"/>
      <c r="K16" s="2"/>
      <c r="L16" s="8">
        <v>6</v>
      </c>
      <c r="M16" s="2"/>
      <c r="N16" s="2">
        <v>14</v>
      </c>
      <c r="O16" s="2"/>
      <c r="P16" s="2"/>
      <c r="Q16" s="2"/>
      <c r="R16" s="2">
        <f t="shared" si="2"/>
        <v>20</v>
      </c>
      <c r="S16" s="2"/>
      <c r="T16" s="2">
        <v>3</v>
      </c>
      <c r="U16" s="2">
        <v>20</v>
      </c>
      <c r="V16" s="2">
        <v>306</v>
      </c>
      <c r="W16" s="2">
        <v>2</v>
      </c>
      <c r="X16" s="8"/>
      <c r="Y16" s="2"/>
      <c r="Z16" s="2"/>
      <c r="AA16" s="2"/>
      <c r="AB16" s="2">
        <f t="shared" si="3"/>
        <v>331</v>
      </c>
    </row>
    <row r="17" spans="1:28">
      <c r="A17" s="5" t="s">
        <v>17</v>
      </c>
      <c r="B17" s="2">
        <v>84</v>
      </c>
      <c r="C17" s="2"/>
      <c r="D17" s="2">
        <f t="shared" si="0"/>
        <v>84</v>
      </c>
      <c r="E17" s="2">
        <v>14</v>
      </c>
      <c r="F17" s="2"/>
      <c r="G17" s="2"/>
      <c r="H17" s="2">
        <f t="shared" si="1"/>
        <v>14</v>
      </c>
      <c r="I17" s="2"/>
      <c r="J17" s="2"/>
      <c r="K17" s="2"/>
      <c r="L17" s="8"/>
      <c r="M17" s="2"/>
      <c r="N17" s="2">
        <v>1</v>
      </c>
      <c r="O17" s="2"/>
      <c r="P17" s="2"/>
      <c r="Q17" s="2"/>
      <c r="R17" s="2">
        <f t="shared" si="2"/>
        <v>1</v>
      </c>
      <c r="S17" s="2"/>
      <c r="T17" s="2"/>
      <c r="U17" s="2"/>
      <c r="V17" s="2">
        <v>2</v>
      </c>
      <c r="W17" s="2">
        <v>2</v>
      </c>
      <c r="X17" s="8"/>
      <c r="Y17" s="2"/>
      <c r="Z17" s="2"/>
      <c r="AA17" s="2"/>
      <c r="AB17" s="2">
        <f t="shared" si="3"/>
        <v>4</v>
      </c>
    </row>
    <row r="18" spans="1:28">
      <c r="A18" s="5" t="s">
        <v>18</v>
      </c>
      <c r="B18" s="2">
        <v>28</v>
      </c>
      <c r="C18" s="2"/>
      <c r="D18" s="2">
        <f t="shared" si="0"/>
        <v>28</v>
      </c>
      <c r="E18" s="2">
        <v>11</v>
      </c>
      <c r="F18" s="2"/>
      <c r="G18" s="2">
        <v>3</v>
      </c>
      <c r="H18" s="2">
        <f t="shared" si="1"/>
        <v>14</v>
      </c>
      <c r="I18" s="2"/>
      <c r="J18" s="2"/>
      <c r="K18" s="2"/>
      <c r="L18" s="8"/>
      <c r="M18" s="2"/>
      <c r="N18" s="2">
        <v>2</v>
      </c>
      <c r="O18" s="2"/>
      <c r="P18" s="2"/>
      <c r="Q18" s="2"/>
      <c r="R18" s="2">
        <f t="shared" si="2"/>
        <v>2</v>
      </c>
      <c r="S18" s="2"/>
      <c r="T18" s="2">
        <v>2</v>
      </c>
      <c r="U18" s="2">
        <v>2</v>
      </c>
      <c r="V18" s="2">
        <v>3</v>
      </c>
      <c r="W18" s="2"/>
      <c r="X18" s="8"/>
      <c r="Y18" s="2"/>
      <c r="Z18" s="2"/>
      <c r="AA18" s="2"/>
      <c r="AB18" s="2">
        <f t="shared" si="3"/>
        <v>7</v>
      </c>
    </row>
    <row r="19" spans="1:28">
      <c r="A19" s="5" t="s">
        <v>19</v>
      </c>
      <c r="B19" s="2">
        <v>20</v>
      </c>
      <c r="C19" s="2"/>
      <c r="D19" s="2">
        <f t="shared" si="0"/>
        <v>20</v>
      </c>
      <c r="E19" s="2">
        <v>2</v>
      </c>
      <c r="F19" s="2"/>
      <c r="G19" s="2">
        <v>8</v>
      </c>
      <c r="H19" s="2">
        <f t="shared" si="1"/>
        <v>10</v>
      </c>
      <c r="I19" s="2"/>
      <c r="J19" s="2"/>
      <c r="K19" s="2"/>
      <c r="L19" s="8">
        <v>3</v>
      </c>
      <c r="M19" s="2"/>
      <c r="N19" s="2">
        <v>1</v>
      </c>
      <c r="O19" s="2"/>
      <c r="P19" s="2"/>
      <c r="Q19" s="2"/>
      <c r="R19" s="2">
        <f t="shared" si="2"/>
        <v>4</v>
      </c>
      <c r="S19" s="2"/>
      <c r="T19" s="2">
        <v>3</v>
      </c>
      <c r="U19" s="2">
        <v>5</v>
      </c>
      <c r="V19" s="2">
        <v>18</v>
      </c>
      <c r="W19" s="2"/>
      <c r="X19" s="8"/>
      <c r="Y19" s="2"/>
      <c r="Z19" s="2"/>
      <c r="AA19" s="2"/>
      <c r="AB19" s="2">
        <f t="shared" si="3"/>
        <v>26</v>
      </c>
    </row>
    <row r="20" spans="1:28">
      <c r="A20" s="5" t="s">
        <v>20</v>
      </c>
      <c r="B20" s="2">
        <v>13</v>
      </c>
      <c r="C20" s="2"/>
      <c r="D20" s="2">
        <f t="shared" si="0"/>
        <v>13</v>
      </c>
      <c r="E20" s="2"/>
      <c r="F20" s="2"/>
      <c r="G20" s="2"/>
      <c r="H20" s="2">
        <f t="shared" si="1"/>
        <v>0</v>
      </c>
      <c r="I20" s="2"/>
      <c r="J20" s="2"/>
      <c r="K20" s="2"/>
      <c r="L20" s="8">
        <v>2</v>
      </c>
      <c r="M20" s="2"/>
      <c r="N20" s="2">
        <v>1</v>
      </c>
      <c r="O20" s="2"/>
      <c r="P20" s="2"/>
      <c r="Q20" s="2"/>
      <c r="R20" s="2">
        <f t="shared" si="2"/>
        <v>3</v>
      </c>
      <c r="S20" s="2"/>
      <c r="T20" s="2">
        <v>1</v>
      </c>
      <c r="U20" s="2">
        <v>4</v>
      </c>
      <c r="V20" s="2">
        <v>3</v>
      </c>
      <c r="W20" s="2"/>
      <c r="X20" s="8"/>
      <c r="Y20" s="2"/>
      <c r="Z20" s="2"/>
      <c r="AA20" s="2"/>
      <c r="AB20" s="2">
        <f t="shared" si="3"/>
        <v>8</v>
      </c>
    </row>
    <row r="21" spans="1:28">
      <c r="A21" s="5" t="s">
        <v>21</v>
      </c>
      <c r="B21" s="2">
        <v>27</v>
      </c>
      <c r="C21" s="2"/>
      <c r="D21" s="2">
        <f t="shared" si="0"/>
        <v>27</v>
      </c>
      <c r="E21" s="2">
        <v>2</v>
      </c>
      <c r="F21" s="2"/>
      <c r="G21" s="2"/>
      <c r="H21" s="2">
        <f t="shared" si="1"/>
        <v>2</v>
      </c>
      <c r="I21" s="2"/>
      <c r="J21" s="2"/>
      <c r="K21" s="2"/>
      <c r="L21" s="8">
        <v>2</v>
      </c>
      <c r="M21" s="2"/>
      <c r="N21" s="2"/>
      <c r="O21" s="2"/>
      <c r="P21" s="2"/>
      <c r="Q21" s="2"/>
      <c r="R21" s="2">
        <f t="shared" si="2"/>
        <v>2</v>
      </c>
      <c r="S21" s="2"/>
      <c r="T21" s="2"/>
      <c r="U21" s="2">
        <v>1</v>
      </c>
      <c r="V21" s="2">
        <v>2</v>
      </c>
      <c r="W21" s="2">
        <v>1</v>
      </c>
      <c r="X21" s="8"/>
      <c r="Y21" s="2"/>
      <c r="Z21" s="2"/>
      <c r="AA21" s="2"/>
      <c r="AB21" s="2">
        <f t="shared" si="3"/>
        <v>4</v>
      </c>
    </row>
    <row r="22" spans="1:28">
      <c r="A22" s="5" t="s">
        <v>22</v>
      </c>
      <c r="B22" s="2">
        <v>87</v>
      </c>
      <c r="C22" s="2"/>
      <c r="D22" s="2">
        <f t="shared" si="0"/>
        <v>87</v>
      </c>
      <c r="E22" s="2">
        <v>1</v>
      </c>
      <c r="F22" s="2"/>
      <c r="G22" s="2">
        <v>8</v>
      </c>
      <c r="H22" s="2">
        <f t="shared" si="1"/>
        <v>9</v>
      </c>
      <c r="I22" s="2"/>
      <c r="J22" s="2"/>
      <c r="K22" s="2"/>
      <c r="L22" s="8">
        <v>9</v>
      </c>
      <c r="M22" s="2"/>
      <c r="N22" s="2">
        <v>3</v>
      </c>
      <c r="O22" s="2"/>
      <c r="P22" s="2"/>
      <c r="Q22" s="2"/>
      <c r="R22" s="2">
        <f t="shared" si="2"/>
        <v>12</v>
      </c>
      <c r="S22" s="2"/>
      <c r="T22" s="2">
        <v>1</v>
      </c>
      <c r="U22" s="2">
        <v>14</v>
      </c>
      <c r="V22" s="2">
        <v>18</v>
      </c>
      <c r="W22" s="2"/>
      <c r="X22" s="8"/>
      <c r="Y22" s="2"/>
      <c r="Z22" s="2"/>
      <c r="AA22" s="2"/>
      <c r="AB22" s="2">
        <f t="shared" si="3"/>
        <v>33</v>
      </c>
    </row>
    <row r="23" spans="1:28">
      <c r="A23" s="5" t="s">
        <v>23</v>
      </c>
      <c r="B23" s="2">
        <v>36</v>
      </c>
      <c r="C23" s="2"/>
      <c r="D23" s="2">
        <f t="shared" si="0"/>
        <v>36</v>
      </c>
      <c r="E23" s="2">
        <v>3</v>
      </c>
      <c r="F23" s="2"/>
      <c r="G23" s="2">
        <v>9</v>
      </c>
      <c r="H23" s="2">
        <f t="shared" si="1"/>
        <v>12</v>
      </c>
      <c r="I23" s="2"/>
      <c r="J23" s="2"/>
      <c r="K23" s="2"/>
      <c r="L23" s="8">
        <v>3</v>
      </c>
      <c r="M23" s="2"/>
      <c r="N23" s="2">
        <v>2</v>
      </c>
      <c r="O23" s="2"/>
      <c r="P23" s="2"/>
      <c r="Q23" s="2"/>
      <c r="R23" s="2">
        <f t="shared" si="2"/>
        <v>5</v>
      </c>
      <c r="S23" s="2"/>
      <c r="T23" s="2"/>
      <c r="U23" s="2">
        <v>6</v>
      </c>
      <c r="V23" s="2">
        <v>33</v>
      </c>
      <c r="W23" s="2">
        <v>3</v>
      </c>
      <c r="X23" s="8"/>
      <c r="Y23" s="2"/>
      <c r="Z23" s="2"/>
      <c r="AA23" s="2"/>
      <c r="AB23" s="2">
        <f t="shared" si="3"/>
        <v>42</v>
      </c>
    </row>
    <row r="24" spans="1:28">
      <c r="A24" s="5" t="s">
        <v>24</v>
      </c>
      <c r="B24" s="2">
        <v>48</v>
      </c>
      <c r="C24" s="2"/>
      <c r="D24" s="2">
        <f t="shared" si="0"/>
        <v>48</v>
      </c>
      <c r="E24" s="2"/>
      <c r="F24" s="2"/>
      <c r="G24" s="2">
        <v>13</v>
      </c>
      <c r="H24" s="2">
        <f t="shared" si="1"/>
        <v>13</v>
      </c>
      <c r="I24" s="2"/>
      <c r="J24" s="2"/>
      <c r="K24" s="2"/>
      <c r="L24" s="8">
        <v>2</v>
      </c>
      <c r="M24" s="2"/>
      <c r="N24" s="2">
        <v>2</v>
      </c>
      <c r="O24" s="2"/>
      <c r="P24" s="2"/>
      <c r="Q24" s="2"/>
      <c r="R24" s="2">
        <f t="shared" si="2"/>
        <v>4</v>
      </c>
      <c r="S24" s="2"/>
      <c r="T24" s="2"/>
      <c r="U24" s="2">
        <v>12</v>
      </c>
      <c r="V24" s="2">
        <v>24</v>
      </c>
      <c r="W24" s="2">
        <v>1</v>
      </c>
      <c r="X24" s="8"/>
      <c r="Y24" s="2"/>
      <c r="Z24" s="2"/>
      <c r="AA24" s="2"/>
      <c r="AB24" s="2">
        <f t="shared" si="3"/>
        <v>37</v>
      </c>
    </row>
    <row r="25" spans="1:28">
      <c r="A25" s="5" t="s">
        <v>25</v>
      </c>
      <c r="B25" s="2">
        <v>18</v>
      </c>
      <c r="C25" s="2"/>
      <c r="D25" s="2">
        <f t="shared" si="0"/>
        <v>18</v>
      </c>
      <c r="E25" s="2"/>
      <c r="F25" s="2"/>
      <c r="G25" s="2">
        <v>1</v>
      </c>
      <c r="H25" s="2">
        <f t="shared" si="1"/>
        <v>1</v>
      </c>
      <c r="I25" s="2"/>
      <c r="J25" s="2"/>
      <c r="K25" s="2"/>
      <c r="L25" s="8">
        <v>2</v>
      </c>
      <c r="M25" s="2"/>
      <c r="N25" s="2"/>
      <c r="O25" s="2"/>
      <c r="P25" s="2"/>
      <c r="Q25" s="2"/>
      <c r="R25" s="2">
        <f t="shared" si="2"/>
        <v>2</v>
      </c>
      <c r="S25" s="2"/>
      <c r="T25" s="2">
        <v>2</v>
      </c>
      <c r="U25" s="2">
        <v>5</v>
      </c>
      <c r="V25" s="2">
        <v>20</v>
      </c>
      <c r="W25" s="2"/>
      <c r="X25" s="8"/>
      <c r="Y25" s="2"/>
      <c r="Z25" s="2"/>
      <c r="AA25" s="2"/>
      <c r="AB25" s="2">
        <f t="shared" si="3"/>
        <v>27</v>
      </c>
    </row>
    <row r="26" spans="1:28">
      <c r="A26" s="5" t="s">
        <v>64</v>
      </c>
      <c r="B26" s="2">
        <v>28</v>
      </c>
      <c r="C26" s="2"/>
      <c r="D26" s="2">
        <f t="shared" si="0"/>
        <v>28</v>
      </c>
      <c r="E26" s="2">
        <v>6</v>
      </c>
      <c r="F26" s="2"/>
      <c r="G26" s="2">
        <v>1</v>
      </c>
      <c r="H26" s="2">
        <f t="shared" si="1"/>
        <v>7</v>
      </c>
      <c r="I26" s="2"/>
      <c r="J26" s="2"/>
      <c r="K26" s="2"/>
      <c r="L26" s="8">
        <v>4</v>
      </c>
      <c r="M26" s="2"/>
      <c r="N26" s="2">
        <v>11</v>
      </c>
      <c r="O26" s="2"/>
      <c r="P26" s="2"/>
      <c r="Q26" s="2"/>
      <c r="R26" s="2">
        <f t="shared" si="2"/>
        <v>15</v>
      </c>
      <c r="S26" s="2"/>
      <c r="T26" s="2">
        <v>4</v>
      </c>
      <c r="U26" s="2">
        <v>8</v>
      </c>
      <c r="V26" s="2">
        <v>16</v>
      </c>
      <c r="W26" s="2">
        <v>6</v>
      </c>
      <c r="X26" s="8"/>
      <c r="Y26" s="2"/>
      <c r="Z26" s="2"/>
      <c r="AA26" s="2"/>
      <c r="AB26" s="2">
        <f t="shared" si="3"/>
        <v>34</v>
      </c>
    </row>
    <row r="27" spans="1:28">
      <c r="A27" s="5" t="s">
        <v>72</v>
      </c>
      <c r="B27" s="2">
        <v>14</v>
      </c>
      <c r="C27" s="2"/>
      <c r="D27" s="2">
        <f t="shared" si="0"/>
        <v>14</v>
      </c>
      <c r="E27" s="2"/>
      <c r="F27" s="2"/>
      <c r="G27" s="2"/>
      <c r="H27" s="2">
        <f t="shared" si="1"/>
        <v>0</v>
      </c>
      <c r="I27" s="2"/>
      <c r="J27" s="2"/>
      <c r="K27" s="2"/>
      <c r="L27" s="8"/>
      <c r="M27" s="2"/>
      <c r="N27" s="2">
        <v>1</v>
      </c>
      <c r="O27" s="2"/>
      <c r="P27" s="2"/>
      <c r="Q27" s="2"/>
      <c r="R27" s="2">
        <f t="shared" si="2"/>
        <v>1</v>
      </c>
      <c r="S27" s="2"/>
      <c r="T27" s="2"/>
      <c r="U27" s="2"/>
      <c r="V27" s="2">
        <v>7</v>
      </c>
      <c r="W27" s="2">
        <v>4</v>
      </c>
      <c r="X27" s="8"/>
      <c r="Y27" s="2"/>
      <c r="Z27" s="2"/>
      <c r="AA27" s="2"/>
      <c r="AB27" s="2">
        <f t="shared" si="3"/>
        <v>11</v>
      </c>
    </row>
    <row r="28" spans="1:28">
      <c r="A28" s="5" t="s">
        <v>26</v>
      </c>
      <c r="B28" s="2">
        <v>16</v>
      </c>
      <c r="C28" s="2"/>
      <c r="D28" s="2">
        <f t="shared" si="0"/>
        <v>16</v>
      </c>
      <c r="E28" s="2"/>
      <c r="F28" s="2">
        <v>1</v>
      </c>
      <c r="G28" s="2"/>
      <c r="H28" s="2">
        <f t="shared" si="1"/>
        <v>1</v>
      </c>
      <c r="I28" s="2"/>
      <c r="J28" s="2"/>
      <c r="K28" s="2"/>
      <c r="L28" s="8">
        <v>1</v>
      </c>
      <c r="M28" s="2"/>
      <c r="N28" s="2">
        <v>5</v>
      </c>
      <c r="O28" s="2"/>
      <c r="P28" s="2"/>
      <c r="Q28" s="2"/>
      <c r="R28" s="2">
        <f t="shared" si="2"/>
        <v>6</v>
      </c>
      <c r="S28" s="2"/>
      <c r="T28" s="2"/>
      <c r="U28" s="2">
        <v>3</v>
      </c>
      <c r="V28" s="2">
        <v>6</v>
      </c>
      <c r="W28" s="2">
        <v>4</v>
      </c>
      <c r="X28" s="8"/>
      <c r="Y28" s="2"/>
      <c r="Z28" s="2"/>
      <c r="AA28" s="2"/>
      <c r="AB28" s="2">
        <f t="shared" si="3"/>
        <v>13</v>
      </c>
    </row>
    <row r="29" spans="1:28">
      <c r="A29" s="5" t="s">
        <v>57</v>
      </c>
      <c r="B29" s="2">
        <v>37</v>
      </c>
      <c r="C29" s="2"/>
      <c r="D29" s="2">
        <f t="shared" si="0"/>
        <v>37</v>
      </c>
      <c r="E29" s="2">
        <v>4</v>
      </c>
      <c r="F29" s="2">
        <v>1</v>
      </c>
      <c r="G29" s="2"/>
      <c r="H29" s="2">
        <f t="shared" si="1"/>
        <v>5</v>
      </c>
      <c r="I29" s="2"/>
      <c r="J29" s="2"/>
      <c r="K29" s="2"/>
      <c r="L29" s="8">
        <v>3</v>
      </c>
      <c r="M29" s="2"/>
      <c r="N29" s="2">
        <v>8</v>
      </c>
      <c r="O29" s="2"/>
      <c r="P29" s="2"/>
      <c r="Q29" s="2"/>
      <c r="R29" s="2">
        <f t="shared" si="2"/>
        <v>11</v>
      </c>
      <c r="S29" s="2"/>
      <c r="T29" s="2">
        <v>5</v>
      </c>
      <c r="U29" s="2">
        <v>15</v>
      </c>
      <c r="V29" s="2">
        <v>34</v>
      </c>
      <c r="W29" s="2">
        <v>9</v>
      </c>
      <c r="X29" s="8"/>
      <c r="Y29" s="2"/>
      <c r="Z29" s="2"/>
      <c r="AA29" s="2"/>
      <c r="AB29" s="2">
        <f t="shared" si="3"/>
        <v>63</v>
      </c>
    </row>
    <row r="30" spans="1:28">
      <c r="A30" s="5" t="s">
        <v>74</v>
      </c>
      <c r="B30" s="2">
        <v>13</v>
      </c>
      <c r="C30" s="2"/>
      <c r="D30" s="2">
        <f t="shared" si="0"/>
        <v>13</v>
      </c>
      <c r="E30" s="2"/>
      <c r="F30" s="2"/>
      <c r="G30" s="2"/>
      <c r="H30" s="2">
        <f t="shared" si="1"/>
        <v>0</v>
      </c>
      <c r="I30" s="2"/>
      <c r="J30" s="2"/>
      <c r="K30" s="2"/>
      <c r="L30" s="8"/>
      <c r="M30" s="2"/>
      <c r="N30" s="2">
        <v>5</v>
      </c>
      <c r="O30" s="2"/>
      <c r="P30" s="2"/>
      <c r="Q30" s="2"/>
      <c r="R30" s="2">
        <f t="shared" si="2"/>
        <v>5</v>
      </c>
      <c r="S30" s="2"/>
      <c r="T30" s="2"/>
      <c r="U30" s="2">
        <v>2</v>
      </c>
      <c r="V30" s="2">
        <v>5</v>
      </c>
      <c r="W30" s="2">
        <v>2</v>
      </c>
      <c r="X30" s="8"/>
      <c r="Y30" s="2"/>
      <c r="Z30" s="2"/>
      <c r="AA30" s="2"/>
      <c r="AB30" s="2">
        <f t="shared" si="3"/>
        <v>9</v>
      </c>
    </row>
    <row r="31" spans="1:28">
      <c r="A31" s="5" t="s">
        <v>27</v>
      </c>
      <c r="B31" s="2">
        <v>4</v>
      </c>
      <c r="C31" s="2"/>
      <c r="D31" s="2">
        <f t="shared" si="0"/>
        <v>4</v>
      </c>
      <c r="E31" s="2"/>
      <c r="F31" s="2"/>
      <c r="G31" s="2"/>
      <c r="H31" s="2">
        <f t="shared" si="1"/>
        <v>0</v>
      </c>
      <c r="I31" s="2"/>
      <c r="J31" s="2"/>
      <c r="K31" s="2"/>
      <c r="L31" s="8"/>
      <c r="M31" s="2"/>
      <c r="N31" s="2"/>
      <c r="O31" s="2"/>
      <c r="P31" s="2"/>
      <c r="Q31" s="2"/>
      <c r="R31" s="2">
        <f t="shared" si="2"/>
        <v>0</v>
      </c>
      <c r="S31" s="2"/>
      <c r="T31" s="2"/>
      <c r="U31" s="2">
        <v>3</v>
      </c>
      <c r="V31" s="2">
        <v>6</v>
      </c>
      <c r="W31" s="2">
        <v>5</v>
      </c>
      <c r="X31" s="8"/>
      <c r="Y31" s="2"/>
      <c r="Z31" s="2"/>
      <c r="AA31" s="2"/>
      <c r="AB31" s="2">
        <f t="shared" si="3"/>
        <v>14</v>
      </c>
    </row>
    <row r="32" spans="1:28">
      <c r="A32" s="5" t="s">
        <v>28</v>
      </c>
      <c r="B32" s="2">
        <v>66</v>
      </c>
      <c r="C32" s="2"/>
      <c r="D32" s="2">
        <f t="shared" si="0"/>
        <v>66</v>
      </c>
      <c r="E32" s="2">
        <v>32</v>
      </c>
      <c r="F32" s="2">
        <v>6</v>
      </c>
      <c r="G32" s="2"/>
      <c r="H32" s="2">
        <f t="shared" si="1"/>
        <v>38</v>
      </c>
      <c r="I32" s="2"/>
      <c r="J32" s="2"/>
      <c r="K32" s="2"/>
      <c r="L32" s="8">
        <v>37</v>
      </c>
      <c r="M32" s="2"/>
      <c r="N32" s="2"/>
      <c r="O32" s="2"/>
      <c r="P32" s="2"/>
      <c r="Q32" s="2"/>
      <c r="R32" s="2">
        <f t="shared" si="2"/>
        <v>37</v>
      </c>
      <c r="S32" s="2"/>
      <c r="T32" s="2"/>
      <c r="U32" s="2">
        <v>7</v>
      </c>
      <c r="V32" s="2">
        <v>24</v>
      </c>
      <c r="W32" s="2">
        <v>12</v>
      </c>
      <c r="X32" s="8"/>
      <c r="Y32" s="2"/>
      <c r="Z32" s="2"/>
      <c r="AA32" s="2"/>
      <c r="AB32" s="2">
        <f t="shared" si="3"/>
        <v>43</v>
      </c>
    </row>
    <row r="33" spans="1:28">
      <c r="A33" s="5" t="s">
        <v>29</v>
      </c>
      <c r="B33" s="2">
        <v>18</v>
      </c>
      <c r="C33" s="2"/>
      <c r="D33" s="2">
        <f t="shared" si="0"/>
        <v>18</v>
      </c>
      <c r="E33" s="2">
        <v>1</v>
      </c>
      <c r="F33" s="2"/>
      <c r="G33" s="2"/>
      <c r="H33" s="2">
        <f t="shared" si="1"/>
        <v>1</v>
      </c>
      <c r="I33" s="2"/>
      <c r="J33" s="2"/>
      <c r="K33" s="2"/>
      <c r="L33" s="8">
        <v>6</v>
      </c>
      <c r="M33" s="2"/>
      <c r="N33" s="2"/>
      <c r="O33" s="2"/>
      <c r="P33" s="2"/>
      <c r="Q33" s="2"/>
      <c r="R33" s="2">
        <f t="shared" si="2"/>
        <v>6</v>
      </c>
      <c r="S33" s="2"/>
      <c r="T33" s="2"/>
      <c r="U33" s="2">
        <v>5</v>
      </c>
      <c r="V33" s="2">
        <v>5</v>
      </c>
      <c r="W33" s="2">
        <v>5</v>
      </c>
      <c r="X33" s="8"/>
      <c r="Y33" s="2"/>
      <c r="Z33" s="2"/>
      <c r="AA33" s="2"/>
      <c r="AB33" s="2">
        <f t="shared" si="3"/>
        <v>15</v>
      </c>
    </row>
    <row r="34" spans="1:28">
      <c r="A34" s="5" t="s">
        <v>30</v>
      </c>
      <c r="B34" s="2">
        <v>31</v>
      </c>
      <c r="C34" s="2"/>
      <c r="D34" s="2">
        <f t="shared" si="0"/>
        <v>31</v>
      </c>
      <c r="E34" s="2">
        <v>14</v>
      </c>
      <c r="F34" s="2">
        <v>1</v>
      </c>
      <c r="G34" s="2"/>
      <c r="H34" s="2">
        <f t="shared" si="1"/>
        <v>15</v>
      </c>
      <c r="I34" s="2"/>
      <c r="J34" s="2"/>
      <c r="K34" s="2"/>
      <c r="L34" s="8">
        <v>13</v>
      </c>
      <c r="M34" s="2"/>
      <c r="N34" s="2"/>
      <c r="O34" s="2"/>
      <c r="P34" s="2"/>
      <c r="Q34" s="2"/>
      <c r="R34" s="2">
        <f t="shared" si="2"/>
        <v>13</v>
      </c>
      <c r="S34" s="2"/>
      <c r="T34" s="2"/>
      <c r="U34" s="2">
        <v>6</v>
      </c>
      <c r="V34" s="2">
        <v>13</v>
      </c>
      <c r="W34" s="2">
        <v>12</v>
      </c>
      <c r="X34" s="8"/>
      <c r="Y34" s="2"/>
      <c r="Z34" s="2"/>
      <c r="AA34" s="2"/>
      <c r="AB34" s="2">
        <f t="shared" si="3"/>
        <v>31</v>
      </c>
    </row>
    <row r="35" spans="1:28">
      <c r="A35" s="5" t="s">
        <v>31</v>
      </c>
      <c r="B35" s="2">
        <v>6</v>
      </c>
      <c r="C35" s="2"/>
      <c r="D35" s="2">
        <f t="shared" si="0"/>
        <v>6</v>
      </c>
      <c r="E35" s="2"/>
      <c r="F35" s="2"/>
      <c r="G35" s="2"/>
      <c r="H35" s="2">
        <f t="shared" si="1"/>
        <v>0</v>
      </c>
      <c r="I35" s="2"/>
      <c r="J35" s="2"/>
      <c r="K35" s="2"/>
      <c r="L35" s="8">
        <v>1</v>
      </c>
      <c r="M35" s="2"/>
      <c r="N35" s="2"/>
      <c r="O35" s="2"/>
      <c r="P35" s="2"/>
      <c r="Q35" s="2"/>
      <c r="R35" s="2">
        <f t="shared" si="2"/>
        <v>1</v>
      </c>
      <c r="S35" s="2"/>
      <c r="T35" s="2"/>
      <c r="U35" s="2">
        <v>4</v>
      </c>
      <c r="V35" s="2">
        <v>4</v>
      </c>
      <c r="W35" s="2">
        <v>5</v>
      </c>
      <c r="X35" s="8"/>
      <c r="Y35" s="2"/>
      <c r="Z35" s="2"/>
      <c r="AA35" s="2"/>
      <c r="AB35" s="2">
        <f t="shared" si="3"/>
        <v>13</v>
      </c>
    </row>
    <row r="36" spans="1:28">
      <c r="A36" s="5" t="s">
        <v>32</v>
      </c>
      <c r="B36" s="2">
        <v>20</v>
      </c>
      <c r="C36" s="2"/>
      <c r="D36" s="2">
        <f t="shared" si="0"/>
        <v>20</v>
      </c>
      <c r="E36" s="2"/>
      <c r="F36" s="2"/>
      <c r="G36" s="2"/>
      <c r="H36" s="2">
        <f t="shared" si="1"/>
        <v>0</v>
      </c>
      <c r="I36" s="2"/>
      <c r="J36" s="2"/>
      <c r="K36" s="2"/>
      <c r="L36" s="8">
        <v>2</v>
      </c>
      <c r="M36" s="2"/>
      <c r="N36" s="2">
        <v>9</v>
      </c>
      <c r="O36" s="2"/>
      <c r="P36" s="2"/>
      <c r="Q36" s="2"/>
      <c r="R36" s="2">
        <f t="shared" si="2"/>
        <v>11</v>
      </c>
      <c r="S36" s="2"/>
      <c r="T36" s="2">
        <v>10</v>
      </c>
      <c r="U36" s="2">
        <v>10</v>
      </c>
      <c r="V36" s="2">
        <v>10</v>
      </c>
      <c r="W36" s="2">
        <v>2</v>
      </c>
      <c r="X36" s="8"/>
      <c r="Y36" s="2"/>
      <c r="Z36" s="2"/>
      <c r="AA36" s="2"/>
      <c r="AB36" s="2">
        <f t="shared" si="3"/>
        <v>32</v>
      </c>
    </row>
    <row r="37" spans="1:28">
      <c r="A37" s="5" t="s">
        <v>33</v>
      </c>
      <c r="B37" s="2">
        <v>9</v>
      </c>
      <c r="C37" s="2"/>
      <c r="D37" s="2">
        <f t="shared" si="0"/>
        <v>9</v>
      </c>
      <c r="E37" s="2"/>
      <c r="F37" s="2"/>
      <c r="G37" s="2"/>
      <c r="H37" s="2">
        <f t="shared" si="1"/>
        <v>0</v>
      </c>
      <c r="I37" s="2"/>
      <c r="J37" s="2"/>
      <c r="K37" s="2"/>
      <c r="L37" s="8"/>
      <c r="M37" s="2"/>
      <c r="N37" s="2">
        <v>7</v>
      </c>
      <c r="O37" s="2"/>
      <c r="P37" s="2"/>
      <c r="Q37" s="2"/>
      <c r="R37" s="2">
        <f t="shared" si="2"/>
        <v>7</v>
      </c>
      <c r="S37" s="2"/>
      <c r="T37" s="2">
        <v>1</v>
      </c>
      <c r="U37" s="2">
        <v>3</v>
      </c>
      <c r="V37" s="2">
        <v>3</v>
      </c>
      <c r="W37" s="2"/>
      <c r="X37" s="8"/>
      <c r="Y37" s="2"/>
      <c r="Z37" s="2"/>
      <c r="AA37" s="2"/>
      <c r="AB37" s="2">
        <f t="shared" si="3"/>
        <v>7</v>
      </c>
    </row>
    <row r="38" spans="1:28">
      <c r="A38" s="5" t="s">
        <v>34</v>
      </c>
      <c r="B38" s="2">
        <v>55</v>
      </c>
      <c r="C38" s="2"/>
      <c r="D38" s="2">
        <f t="shared" si="0"/>
        <v>55</v>
      </c>
      <c r="E38" s="2">
        <v>14</v>
      </c>
      <c r="F38" s="2"/>
      <c r="G38" s="2"/>
      <c r="H38" s="2">
        <f t="shared" si="1"/>
        <v>14</v>
      </c>
      <c r="I38" s="2"/>
      <c r="J38" s="2"/>
      <c r="K38" s="2"/>
      <c r="L38" s="8">
        <v>12</v>
      </c>
      <c r="M38" s="2"/>
      <c r="N38" s="2">
        <v>41</v>
      </c>
      <c r="O38" s="2"/>
      <c r="P38" s="2"/>
      <c r="Q38" s="2"/>
      <c r="R38" s="2">
        <f t="shared" si="2"/>
        <v>53</v>
      </c>
      <c r="S38" s="2"/>
      <c r="T38" s="2">
        <v>14</v>
      </c>
      <c r="U38" s="2">
        <v>43</v>
      </c>
      <c r="V38" s="2">
        <v>49</v>
      </c>
      <c r="W38" s="2">
        <v>18</v>
      </c>
      <c r="X38" s="8"/>
      <c r="Y38" s="2"/>
      <c r="Z38" s="2"/>
      <c r="AA38" s="2"/>
      <c r="AB38" s="2">
        <f t="shared" si="3"/>
        <v>124</v>
      </c>
    </row>
    <row r="39" spans="1:28">
      <c r="A39" s="5" t="s">
        <v>35</v>
      </c>
      <c r="B39" s="2">
        <v>4</v>
      </c>
      <c r="C39" s="2"/>
      <c r="D39" s="2">
        <f t="shared" si="0"/>
        <v>4</v>
      </c>
      <c r="E39" s="2"/>
      <c r="F39" s="2"/>
      <c r="G39" s="2"/>
      <c r="H39" s="2">
        <f t="shared" si="1"/>
        <v>0</v>
      </c>
      <c r="I39" s="2"/>
      <c r="J39" s="2"/>
      <c r="K39" s="2"/>
      <c r="L39" s="8"/>
      <c r="M39" s="2"/>
      <c r="N39" s="2"/>
      <c r="O39" s="2"/>
      <c r="P39" s="2"/>
      <c r="Q39" s="2"/>
      <c r="R39" s="2">
        <f t="shared" si="2"/>
        <v>0</v>
      </c>
      <c r="S39" s="2"/>
      <c r="T39" s="2"/>
      <c r="U39" s="2"/>
      <c r="V39" s="2"/>
      <c r="W39" s="2"/>
      <c r="X39" s="8"/>
      <c r="Y39" s="2"/>
      <c r="Z39" s="2"/>
      <c r="AA39" s="2"/>
      <c r="AB39" s="2">
        <f t="shared" si="3"/>
        <v>0</v>
      </c>
    </row>
    <row r="40" spans="1:28">
      <c r="A40" s="5" t="s">
        <v>36</v>
      </c>
      <c r="B40" s="2">
        <v>13</v>
      </c>
      <c r="C40" s="2"/>
      <c r="D40" s="2">
        <f t="shared" si="0"/>
        <v>13</v>
      </c>
      <c r="E40" s="2">
        <v>2</v>
      </c>
      <c r="F40" s="2"/>
      <c r="G40" s="2"/>
      <c r="H40" s="2">
        <f t="shared" si="1"/>
        <v>2</v>
      </c>
      <c r="I40" s="2"/>
      <c r="J40" s="2"/>
      <c r="K40" s="2"/>
      <c r="L40" s="8">
        <v>4</v>
      </c>
      <c r="M40" s="2"/>
      <c r="N40" s="2">
        <v>1</v>
      </c>
      <c r="O40" s="2"/>
      <c r="P40" s="2"/>
      <c r="Q40" s="2"/>
      <c r="R40" s="2">
        <f t="shared" si="2"/>
        <v>5</v>
      </c>
      <c r="S40" s="2"/>
      <c r="T40" s="2">
        <v>6</v>
      </c>
      <c r="U40" s="2">
        <v>22</v>
      </c>
      <c r="V40" s="2">
        <v>15</v>
      </c>
      <c r="W40" s="2">
        <v>1</v>
      </c>
      <c r="X40" s="8"/>
      <c r="Y40" s="2"/>
      <c r="Z40" s="2"/>
      <c r="AA40" s="2"/>
      <c r="AB40" s="2">
        <f t="shared" si="3"/>
        <v>44</v>
      </c>
    </row>
    <row r="41" spans="1:28">
      <c r="A41" s="5" t="s">
        <v>37</v>
      </c>
      <c r="B41" s="2">
        <v>10</v>
      </c>
      <c r="C41" s="2"/>
      <c r="D41" s="2">
        <f t="shared" si="0"/>
        <v>10</v>
      </c>
      <c r="E41" s="2"/>
      <c r="F41" s="2"/>
      <c r="G41" s="2"/>
      <c r="H41" s="2">
        <f t="shared" si="1"/>
        <v>0</v>
      </c>
      <c r="I41" s="2"/>
      <c r="J41" s="2"/>
      <c r="K41" s="2"/>
      <c r="L41" s="8"/>
      <c r="M41" s="2"/>
      <c r="N41" s="2">
        <v>6</v>
      </c>
      <c r="O41" s="2"/>
      <c r="P41" s="2"/>
      <c r="Q41" s="2"/>
      <c r="R41" s="2">
        <f t="shared" si="2"/>
        <v>6</v>
      </c>
      <c r="S41" s="2"/>
      <c r="T41" s="2">
        <v>2</v>
      </c>
      <c r="U41" s="2"/>
      <c r="V41" s="2">
        <v>2</v>
      </c>
      <c r="W41" s="2">
        <v>2</v>
      </c>
      <c r="X41" s="8"/>
      <c r="Y41" s="2"/>
      <c r="Z41" s="2"/>
      <c r="AA41" s="2"/>
      <c r="AB41" s="2">
        <f t="shared" si="3"/>
        <v>6</v>
      </c>
    </row>
    <row r="42" spans="1:28">
      <c r="A42" s="5" t="s">
        <v>38</v>
      </c>
      <c r="B42" s="2">
        <v>7</v>
      </c>
      <c r="C42" s="2"/>
      <c r="D42" s="2">
        <f t="shared" si="0"/>
        <v>7</v>
      </c>
      <c r="E42" s="2"/>
      <c r="F42" s="2"/>
      <c r="G42" s="2"/>
      <c r="H42" s="2">
        <f t="shared" si="1"/>
        <v>0</v>
      </c>
      <c r="I42" s="2"/>
      <c r="J42" s="2"/>
      <c r="K42" s="2"/>
      <c r="L42" s="8">
        <v>6</v>
      </c>
      <c r="M42" s="2"/>
      <c r="N42" s="2">
        <v>2</v>
      </c>
      <c r="O42" s="2"/>
      <c r="P42" s="2"/>
      <c r="Q42" s="2"/>
      <c r="R42" s="2">
        <f t="shared" si="2"/>
        <v>8</v>
      </c>
      <c r="S42" s="2"/>
      <c r="T42" s="2"/>
      <c r="U42" s="2">
        <v>9</v>
      </c>
      <c r="V42" s="2">
        <v>20</v>
      </c>
      <c r="W42" s="2">
        <v>3</v>
      </c>
      <c r="X42" s="8"/>
      <c r="Y42" s="2"/>
      <c r="Z42" s="2"/>
      <c r="AA42" s="2"/>
      <c r="AB42" s="2">
        <f t="shared" si="3"/>
        <v>32</v>
      </c>
    </row>
    <row r="43" spans="1:28">
      <c r="A43" s="5" t="s">
        <v>39</v>
      </c>
      <c r="B43" s="2">
        <v>9</v>
      </c>
      <c r="C43" s="2"/>
      <c r="D43" s="2">
        <f t="shared" si="0"/>
        <v>9</v>
      </c>
      <c r="E43" s="2"/>
      <c r="F43" s="2"/>
      <c r="G43" s="2"/>
      <c r="H43" s="2">
        <f t="shared" si="1"/>
        <v>0</v>
      </c>
      <c r="I43" s="2"/>
      <c r="J43" s="2"/>
      <c r="K43" s="2"/>
      <c r="L43" s="8">
        <v>7</v>
      </c>
      <c r="M43" s="2"/>
      <c r="N43" s="2">
        <v>3</v>
      </c>
      <c r="O43" s="2"/>
      <c r="P43" s="2"/>
      <c r="Q43" s="2"/>
      <c r="R43" s="2">
        <f t="shared" si="2"/>
        <v>10</v>
      </c>
      <c r="S43" s="2"/>
      <c r="T43" s="2"/>
      <c r="U43" s="2">
        <v>8</v>
      </c>
      <c r="V43" s="2">
        <v>19</v>
      </c>
      <c r="W43" s="2">
        <v>6</v>
      </c>
      <c r="X43" s="8"/>
      <c r="Y43" s="2"/>
      <c r="Z43" s="2"/>
      <c r="AA43" s="2"/>
      <c r="AB43" s="2">
        <f t="shared" si="3"/>
        <v>33</v>
      </c>
    </row>
    <row r="44" spans="1:28">
      <c r="A44" s="5" t="s">
        <v>40</v>
      </c>
      <c r="B44" s="2">
        <v>12</v>
      </c>
      <c r="C44" s="2"/>
      <c r="D44" s="2">
        <f t="shared" si="0"/>
        <v>12</v>
      </c>
      <c r="E44" s="2"/>
      <c r="F44" s="2"/>
      <c r="G44" s="2"/>
      <c r="H44" s="2">
        <f t="shared" si="1"/>
        <v>0</v>
      </c>
      <c r="I44" s="2"/>
      <c r="J44" s="2"/>
      <c r="K44" s="2"/>
      <c r="L44" s="8">
        <v>22</v>
      </c>
      <c r="M44" s="2"/>
      <c r="N44" s="2">
        <v>2</v>
      </c>
      <c r="O44" s="2"/>
      <c r="P44" s="2"/>
      <c r="Q44" s="2"/>
      <c r="R44" s="2">
        <f t="shared" si="2"/>
        <v>24</v>
      </c>
      <c r="S44" s="2"/>
      <c r="T44" s="2"/>
      <c r="U44" s="2">
        <v>8</v>
      </c>
      <c r="V44" s="2">
        <v>46</v>
      </c>
      <c r="W44" s="2">
        <v>11</v>
      </c>
      <c r="X44" s="8"/>
      <c r="Y44" s="2"/>
      <c r="Z44" s="2"/>
      <c r="AA44" s="2"/>
      <c r="AB44" s="2">
        <f t="shared" si="3"/>
        <v>65</v>
      </c>
    </row>
    <row r="45" spans="1:28">
      <c r="A45" s="5" t="s">
        <v>41</v>
      </c>
      <c r="B45" s="2">
        <v>4</v>
      </c>
      <c r="C45" s="2"/>
      <c r="D45" s="2">
        <f t="shared" si="0"/>
        <v>4</v>
      </c>
      <c r="E45" s="2"/>
      <c r="F45" s="2"/>
      <c r="G45" s="2"/>
      <c r="H45" s="2">
        <f t="shared" si="1"/>
        <v>0</v>
      </c>
      <c r="I45" s="2"/>
      <c r="J45" s="2"/>
      <c r="K45" s="2"/>
      <c r="L45" s="8"/>
      <c r="M45" s="2"/>
      <c r="N45" s="2">
        <v>1</v>
      </c>
      <c r="O45" s="2"/>
      <c r="P45" s="2"/>
      <c r="Q45" s="2"/>
      <c r="R45" s="2">
        <f t="shared" si="2"/>
        <v>1</v>
      </c>
      <c r="S45" s="2"/>
      <c r="T45" s="2"/>
      <c r="U45" s="2"/>
      <c r="V45" s="2">
        <v>3</v>
      </c>
      <c r="W45" s="2">
        <v>1</v>
      </c>
      <c r="X45" s="8"/>
      <c r="Y45" s="2"/>
      <c r="Z45" s="2"/>
      <c r="AA45" s="2"/>
      <c r="AB45" s="2">
        <f t="shared" si="3"/>
        <v>4</v>
      </c>
    </row>
    <row r="46" spans="1:28">
      <c r="A46" s="5" t="s">
        <v>42</v>
      </c>
      <c r="B46" s="2">
        <v>23</v>
      </c>
      <c r="C46" s="2"/>
      <c r="D46" s="2">
        <f t="shared" si="0"/>
        <v>23</v>
      </c>
      <c r="E46" s="2"/>
      <c r="F46" s="2"/>
      <c r="G46" s="2"/>
      <c r="H46" s="2">
        <f t="shared" si="1"/>
        <v>0</v>
      </c>
      <c r="I46" s="2"/>
      <c r="J46" s="2"/>
      <c r="K46" s="2"/>
      <c r="L46" s="8">
        <v>18</v>
      </c>
      <c r="M46" s="2"/>
      <c r="N46" s="2">
        <v>15</v>
      </c>
      <c r="O46" s="2"/>
      <c r="P46" s="2"/>
      <c r="Q46" s="2"/>
      <c r="R46" s="2">
        <f t="shared" si="2"/>
        <v>33</v>
      </c>
      <c r="S46" s="2"/>
      <c r="T46" s="2"/>
      <c r="U46" s="2">
        <v>8</v>
      </c>
      <c r="V46" s="2">
        <v>78</v>
      </c>
      <c r="W46" s="2">
        <v>14</v>
      </c>
      <c r="X46" s="8"/>
      <c r="Y46" s="2"/>
      <c r="Z46" s="2"/>
      <c r="AA46" s="2"/>
      <c r="AB46" s="2">
        <f t="shared" si="3"/>
        <v>100</v>
      </c>
    </row>
    <row r="47" spans="1:28">
      <c r="A47" s="5" t="s">
        <v>43</v>
      </c>
      <c r="B47" s="2">
        <v>14</v>
      </c>
      <c r="C47" s="2"/>
      <c r="D47" s="2">
        <f t="shared" si="0"/>
        <v>14</v>
      </c>
      <c r="E47" s="2"/>
      <c r="F47" s="2"/>
      <c r="G47" s="2"/>
      <c r="H47" s="2">
        <f t="shared" si="1"/>
        <v>0</v>
      </c>
      <c r="I47" s="2"/>
      <c r="J47" s="2"/>
      <c r="K47" s="2"/>
      <c r="L47" s="8">
        <v>5</v>
      </c>
      <c r="M47" s="2"/>
      <c r="N47" s="2">
        <v>5</v>
      </c>
      <c r="O47" s="2"/>
      <c r="P47" s="2"/>
      <c r="Q47" s="2"/>
      <c r="R47" s="2">
        <f t="shared" si="2"/>
        <v>10</v>
      </c>
      <c r="S47" s="2"/>
      <c r="T47" s="2"/>
      <c r="U47" s="2">
        <v>17</v>
      </c>
      <c r="V47" s="2">
        <v>10</v>
      </c>
      <c r="W47" s="2">
        <v>2</v>
      </c>
      <c r="X47" s="8"/>
      <c r="Y47" s="2"/>
      <c r="Z47" s="2"/>
      <c r="AA47" s="2"/>
      <c r="AB47" s="2">
        <f t="shared" si="3"/>
        <v>29</v>
      </c>
    </row>
    <row r="48" spans="1:28">
      <c r="A48" s="5" t="s">
        <v>77</v>
      </c>
      <c r="B48" s="2">
        <v>22</v>
      </c>
      <c r="C48" s="2"/>
      <c r="D48" s="2">
        <f t="shared" si="0"/>
        <v>22</v>
      </c>
      <c r="E48" s="2">
        <v>2</v>
      </c>
      <c r="F48" s="2"/>
      <c r="G48" s="2"/>
      <c r="H48" s="2">
        <f t="shared" si="1"/>
        <v>2</v>
      </c>
      <c r="I48" s="2"/>
      <c r="J48" s="2"/>
      <c r="K48" s="2"/>
      <c r="L48" s="8"/>
      <c r="M48" s="2"/>
      <c r="N48" s="2">
        <v>5</v>
      </c>
      <c r="O48" s="2"/>
      <c r="P48" s="2"/>
      <c r="Q48" s="2"/>
      <c r="R48" s="2">
        <f t="shared" si="2"/>
        <v>5</v>
      </c>
      <c r="S48" s="2"/>
      <c r="T48" s="2">
        <v>14</v>
      </c>
      <c r="U48" s="2">
        <v>26</v>
      </c>
      <c r="V48" s="2">
        <v>19</v>
      </c>
      <c r="W48" s="2"/>
      <c r="X48" s="8"/>
      <c r="Y48" s="2"/>
      <c r="Z48" s="2"/>
      <c r="AA48" s="2"/>
      <c r="AB48" s="2">
        <f t="shared" si="3"/>
        <v>59</v>
      </c>
    </row>
    <row r="49" spans="1:28">
      <c r="A49" s="5" t="s">
        <v>78</v>
      </c>
      <c r="B49" s="2">
        <v>17</v>
      </c>
      <c r="C49" s="2"/>
      <c r="D49" s="2">
        <f t="shared" si="0"/>
        <v>17</v>
      </c>
      <c r="E49" s="2"/>
      <c r="F49" s="2"/>
      <c r="G49" s="2"/>
      <c r="H49" s="2">
        <f t="shared" si="1"/>
        <v>0</v>
      </c>
      <c r="I49" s="2"/>
      <c r="J49" s="2"/>
      <c r="K49" s="2"/>
      <c r="L49" s="8"/>
      <c r="M49" s="2"/>
      <c r="N49" s="2"/>
      <c r="O49" s="2"/>
      <c r="P49" s="2"/>
      <c r="Q49" s="2"/>
      <c r="R49" s="2">
        <f t="shared" si="2"/>
        <v>0</v>
      </c>
      <c r="S49" s="2"/>
      <c r="T49" s="2">
        <v>13</v>
      </c>
      <c r="U49" s="2">
        <v>24</v>
      </c>
      <c r="V49" s="2">
        <v>29</v>
      </c>
      <c r="W49" s="2"/>
      <c r="X49" s="8"/>
      <c r="Y49" s="2"/>
      <c r="Z49" s="2"/>
      <c r="AA49" s="2"/>
      <c r="AB49" s="2">
        <f t="shared" si="3"/>
        <v>66</v>
      </c>
    </row>
    <row r="50" spans="1:28">
      <c r="A50" s="5" t="s">
        <v>79</v>
      </c>
      <c r="B50" s="2">
        <v>12</v>
      </c>
      <c r="C50" s="2"/>
      <c r="D50" s="2">
        <f t="shared" si="0"/>
        <v>12</v>
      </c>
      <c r="E50" s="2">
        <v>2</v>
      </c>
      <c r="F50" s="2"/>
      <c r="G50" s="2"/>
      <c r="H50" s="2">
        <f t="shared" si="1"/>
        <v>2</v>
      </c>
      <c r="I50" s="2"/>
      <c r="J50" s="2"/>
      <c r="K50" s="2"/>
      <c r="L50" s="8">
        <v>1</v>
      </c>
      <c r="M50" s="2"/>
      <c r="N50" s="2"/>
      <c r="O50" s="2"/>
      <c r="P50" s="2"/>
      <c r="Q50" s="2"/>
      <c r="R50" s="2">
        <f t="shared" si="2"/>
        <v>1</v>
      </c>
      <c r="S50" s="2"/>
      <c r="T50" s="2">
        <v>9</v>
      </c>
      <c r="U50" s="2">
        <v>27</v>
      </c>
      <c r="V50" s="2">
        <v>19</v>
      </c>
      <c r="W50" s="2"/>
      <c r="X50" s="8"/>
      <c r="Y50" s="2"/>
      <c r="Z50" s="2"/>
      <c r="AA50" s="2"/>
      <c r="AB50" s="2">
        <f t="shared" si="3"/>
        <v>55</v>
      </c>
    </row>
    <row r="51" spans="1:28">
      <c r="A51" s="5" t="s">
        <v>80</v>
      </c>
      <c r="B51" s="2">
        <v>4</v>
      </c>
      <c r="C51" s="2"/>
      <c r="D51" s="2">
        <f t="shared" si="0"/>
        <v>4</v>
      </c>
      <c r="E51" s="2"/>
      <c r="F51" s="2"/>
      <c r="G51" s="2"/>
      <c r="H51" s="2">
        <f t="shared" si="1"/>
        <v>0</v>
      </c>
      <c r="I51" s="2"/>
      <c r="J51" s="2"/>
      <c r="K51" s="2"/>
      <c r="L51" s="8"/>
      <c r="M51" s="2"/>
      <c r="N51" s="2"/>
      <c r="O51" s="2"/>
      <c r="P51" s="2"/>
      <c r="Q51" s="2"/>
      <c r="R51" s="2">
        <f t="shared" si="2"/>
        <v>0</v>
      </c>
      <c r="S51" s="2"/>
      <c r="T51" s="2">
        <v>1</v>
      </c>
      <c r="U51" s="2">
        <v>1</v>
      </c>
      <c r="V51" s="2">
        <v>17</v>
      </c>
      <c r="W51" s="2"/>
      <c r="X51" s="8"/>
      <c r="Y51" s="2"/>
      <c r="Z51" s="2"/>
      <c r="AA51" s="2"/>
      <c r="AB51" s="2">
        <f t="shared" si="3"/>
        <v>19</v>
      </c>
    </row>
    <row r="52" spans="1:28">
      <c r="A52" s="5" t="s">
        <v>44</v>
      </c>
      <c r="B52" s="2">
        <v>0</v>
      </c>
      <c r="C52" s="2"/>
      <c r="D52" s="2">
        <f t="shared" si="0"/>
        <v>0</v>
      </c>
      <c r="E52" s="2"/>
      <c r="F52" s="2"/>
      <c r="G52" s="2"/>
      <c r="H52" s="2">
        <f t="shared" si="1"/>
        <v>0</v>
      </c>
      <c r="I52" s="2"/>
      <c r="J52" s="2"/>
      <c r="K52" s="2"/>
      <c r="L52" s="8"/>
      <c r="M52" s="2"/>
      <c r="N52" s="2"/>
      <c r="O52" s="2"/>
      <c r="P52" s="2"/>
      <c r="Q52" s="2"/>
      <c r="R52" s="2">
        <f t="shared" si="2"/>
        <v>0</v>
      </c>
      <c r="S52" s="2"/>
      <c r="T52" s="2">
        <v>1</v>
      </c>
      <c r="U52" s="2">
        <v>2</v>
      </c>
      <c r="V52" s="2">
        <v>4</v>
      </c>
      <c r="W52" s="2"/>
      <c r="X52" s="8"/>
      <c r="Y52" s="2"/>
      <c r="Z52" s="2"/>
      <c r="AA52" s="2"/>
      <c r="AB52" s="2">
        <f t="shared" si="3"/>
        <v>7</v>
      </c>
    </row>
    <row r="53" spans="1:28">
      <c r="A53" s="5" t="s">
        <v>92</v>
      </c>
      <c r="B53" s="2">
        <v>5</v>
      </c>
      <c r="C53" s="2"/>
      <c r="D53" s="2">
        <f t="shared" si="0"/>
        <v>5</v>
      </c>
      <c r="E53" s="2"/>
      <c r="F53" s="2"/>
      <c r="G53" s="2"/>
      <c r="H53" s="2">
        <f t="shared" si="1"/>
        <v>0</v>
      </c>
      <c r="I53" s="2"/>
      <c r="J53" s="2"/>
      <c r="K53" s="2"/>
      <c r="L53" s="8"/>
      <c r="M53" s="2"/>
      <c r="N53" s="2">
        <v>1</v>
      </c>
      <c r="O53" s="2"/>
      <c r="P53" s="2"/>
      <c r="Q53" s="2"/>
      <c r="R53" s="2">
        <f t="shared" si="2"/>
        <v>1</v>
      </c>
      <c r="S53" s="2"/>
      <c r="T53" s="2">
        <v>1</v>
      </c>
      <c r="U53" s="2">
        <v>4</v>
      </c>
      <c r="V53" s="2">
        <v>2</v>
      </c>
      <c r="W53" s="2">
        <v>2</v>
      </c>
      <c r="X53" s="8"/>
      <c r="Y53" s="2"/>
      <c r="Z53" s="2"/>
      <c r="AA53" s="2"/>
      <c r="AB53" s="2">
        <f t="shared" si="3"/>
        <v>9</v>
      </c>
    </row>
    <row r="54" spans="1:28">
      <c r="A54" s="5" t="s">
        <v>91</v>
      </c>
      <c r="B54" s="2">
        <v>26</v>
      </c>
      <c r="C54" s="2"/>
      <c r="D54" s="2">
        <f t="shared" si="0"/>
        <v>26</v>
      </c>
      <c r="E54" s="2"/>
      <c r="F54" s="2"/>
      <c r="G54" s="2"/>
      <c r="H54" s="2">
        <f t="shared" si="1"/>
        <v>0</v>
      </c>
      <c r="I54" s="2"/>
      <c r="J54" s="2"/>
      <c r="K54" s="2"/>
      <c r="L54" s="8"/>
      <c r="M54" s="2"/>
      <c r="N54" s="2"/>
      <c r="O54" s="2"/>
      <c r="P54" s="2"/>
      <c r="Q54" s="2"/>
      <c r="R54" s="2">
        <f t="shared" si="2"/>
        <v>0</v>
      </c>
      <c r="S54" s="2"/>
      <c r="T54" s="2">
        <v>14</v>
      </c>
      <c r="U54" s="2">
        <v>42</v>
      </c>
      <c r="V54" s="2">
        <v>48</v>
      </c>
      <c r="W54" s="2">
        <v>3</v>
      </c>
      <c r="X54" s="8"/>
      <c r="Y54" s="2"/>
      <c r="Z54" s="2"/>
      <c r="AA54" s="2"/>
      <c r="AB54" s="2">
        <f t="shared" si="3"/>
        <v>107</v>
      </c>
    </row>
    <row r="55" spans="1:28">
      <c r="A55" s="5" t="s">
        <v>94</v>
      </c>
      <c r="B55" s="2">
        <v>5</v>
      </c>
      <c r="C55" s="2"/>
      <c r="D55" s="2">
        <f t="shared" si="0"/>
        <v>5</v>
      </c>
      <c r="E55" s="2"/>
      <c r="F55" s="2"/>
      <c r="G55" s="2"/>
      <c r="H55" s="2">
        <f t="shared" si="1"/>
        <v>0</v>
      </c>
      <c r="I55" s="2"/>
      <c r="J55" s="2"/>
      <c r="K55" s="2"/>
      <c r="L55" s="8"/>
      <c r="M55" s="2"/>
      <c r="N55" s="2">
        <v>2</v>
      </c>
      <c r="O55" s="2"/>
      <c r="P55" s="2"/>
      <c r="Q55" s="2"/>
      <c r="R55" s="2">
        <f t="shared" si="2"/>
        <v>2</v>
      </c>
      <c r="S55" s="2"/>
      <c r="T55" s="2">
        <v>4</v>
      </c>
      <c r="U55" s="2">
        <v>6</v>
      </c>
      <c r="V55" s="2">
        <v>5</v>
      </c>
      <c r="W55" s="2"/>
      <c r="X55" s="8"/>
      <c r="Y55" s="2"/>
      <c r="Z55" s="2"/>
      <c r="AA55" s="2"/>
      <c r="AB55" s="2">
        <f t="shared" si="3"/>
        <v>15</v>
      </c>
    </row>
    <row r="56" spans="1:28">
      <c r="A56" s="5" t="s">
        <v>45</v>
      </c>
      <c r="B56" s="2">
        <v>7</v>
      </c>
      <c r="C56" s="2"/>
      <c r="D56" s="2">
        <f t="shared" si="0"/>
        <v>7</v>
      </c>
      <c r="E56" s="2"/>
      <c r="F56" s="2"/>
      <c r="G56" s="2"/>
      <c r="H56" s="2">
        <f t="shared" si="1"/>
        <v>0</v>
      </c>
      <c r="I56" s="2"/>
      <c r="J56" s="2"/>
      <c r="K56" s="2"/>
      <c r="L56" s="8"/>
      <c r="M56" s="2"/>
      <c r="N56" s="2">
        <v>1</v>
      </c>
      <c r="O56" s="2"/>
      <c r="P56" s="2"/>
      <c r="Q56" s="2"/>
      <c r="R56" s="2">
        <f t="shared" si="2"/>
        <v>1</v>
      </c>
      <c r="S56" s="2"/>
      <c r="T56" s="2">
        <v>3</v>
      </c>
      <c r="U56" s="2">
        <v>9</v>
      </c>
      <c r="V56" s="2">
        <v>9</v>
      </c>
      <c r="W56" s="2">
        <v>1</v>
      </c>
      <c r="X56" s="8"/>
      <c r="Y56" s="2"/>
      <c r="Z56" s="2"/>
      <c r="AA56" s="2"/>
      <c r="AB56" s="2">
        <f t="shared" si="3"/>
        <v>22</v>
      </c>
    </row>
    <row r="57" spans="1:28">
      <c r="A57" s="5" t="s">
        <v>46</v>
      </c>
      <c r="B57" s="2">
        <v>2</v>
      </c>
      <c r="C57" s="2"/>
      <c r="D57" s="2">
        <f t="shared" si="0"/>
        <v>2</v>
      </c>
      <c r="E57" s="2"/>
      <c r="F57" s="2"/>
      <c r="G57" s="2"/>
      <c r="H57" s="2">
        <f t="shared" si="1"/>
        <v>0</v>
      </c>
      <c r="I57" s="2"/>
      <c r="J57" s="2"/>
      <c r="K57" s="2"/>
      <c r="L57" s="8"/>
      <c r="M57" s="2"/>
      <c r="N57" s="2"/>
      <c r="O57" s="2"/>
      <c r="P57" s="2"/>
      <c r="Q57" s="2"/>
      <c r="R57" s="2">
        <f t="shared" si="2"/>
        <v>0</v>
      </c>
      <c r="S57" s="2"/>
      <c r="T57" s="2"/>
      <c r="U57" s="2">
        <v>9</v>
      </c>
      <c r="V57" s="2">
        <v>4</v>
      </c>
      <c r="W57" s="2"/>
      <c r="X57" s="8"/>
      <c r="Y57" s="2"/>
      <c r="Z57" s="2"/>
      <c r="AA57" s="2"/>
      <c r="AB57" s="2">
        <f t="shared" si="3"/>
        <v>13</v>
      </c>
    </row>
    <row r="58" spans="1:28">
      <c r="A58" s="5" t="s">
        <v>210</v>
      </c>
      <c r="B58" s="2">
        <v>23</v>
      </c>
      <c r="C58" s="2"/>
      <c r="D58" s="2">
        <f t="shared" ref="D58:D82" si="4">SUM(B58:C58)</f>
        <v>23</v>
      </c>
      <c r="E58" s="2"/>
      <c r="F58" s="2"/>
      <c r="G58" s="2"/>
      <c r="H58" s="2">
        <f t="shared" ref="H58:H82" si="5">SUM(E58:G58)</f>
        <v>0</v>
      </c>
      <c r="I58" s="2"/>
      <c r="J58" s="2"/>
      <c r="K58" s="2"/>
      <c r="L58" s="8"/>
      <c r="M58" s="2">
        <v>2</v>
      </c>
      <c r="N58" s="2">
        <v>6</v>
      </c>
      <c r="O58" s="2">
        <v>1</v>
      </c>
      <c r="P58" s="2"/>
      <c r="Q58" s="2">
        <v>1</v>
      </c>
      <c r="R58" s="2">
        <f t="shared" ref="R58:R82" si="6">SUM(I58:Q58)</f>
        <v>10</v>
      </c>
      <c r="S58" s="2"/>
      <c r="T58" s="2">
        <v>8</v>
      </c>
      <c r="U58" s="2">
        <v>37</v>
      </c>
      <c r="V58" s="2">
        <v>41</v>
      </c>
      <c r="W58" s="2">
        <v>4</v>
      </c>
      <c r="X58" s="8"/>
      <c r="Y58" s="2"/>
      <c r="Z58" s="2"/>
      <c r="AA58" s="2"/>
      <c r="AB58" s="2">
        <f t="shared" ref="AB58:AB82" si="7">SUM(S58:AA58)</f>
        <v>90</v>
      </c>
    </row>
    <row r="59" spans="1:28">
      <c r="A59" s="5" t="s">
        <v>211</v>
      </c>
      <c r="B59" s="2">
        <v>22</v>
      </c>
      <c r="C59" s="2"/>
      <c r="D59" s="2">
        <f t="shared" si="4"/>
        <v>22</v>
      </c>
      <c r="E59" s="2"/>
      <c r="F59" s="2"/>
      <c r="G59" s="2"/>
      <c r="H59" s="2">
        <f t="shared" si="5"/>
        <v>0</v>
      </c>
      <c r="I59" s="2"/>
      <c r="J59" s="2"/>
      <c r="K59" s="2"/>
      <c r="L59" s="8">
        <v>1</v>
      </c>
      <c r="M59" s="2">
        <v>2</v>
      </c>
      <c r="N59" s="2">
        <v>5</v>
      </c>
      <c r="O59" s="2">
        <v>3</v>
      </c>
      <c r="P59" s="2"/>
      <c r="Q59" s="2">
        <v>1</v>
      </c>
      <c r="R59" s="2">
        <f t="shared" si="6"/>
        <v>12</v>
      </c>
      <c r="S59" s="2"/>
      <c r="T59" s="2">
        <v>15</v>
      </c>
      <c r="U59" s="2">
        <v>33</v>
      </c>
      <c r="V59" s="2">
        <v>64</v>
      </c>
      <c r="W59" s="2">
        <v>15</v>
      </c>
      <c r="X59" s="8"/>
      <c r="Y59" s="2"/>
      <c r="Z59" s="2"/>
      <c r="AA59" s="2"/>
      <c r="AB59" s="2">
        <f t="shared" si="7"/>
        <v>127</v>
      </c>
    </row>
    <row r="60" spans="1:28">
      <c r="A60" s="5" t="s">
        <v>47</v>
      </c>
      <c r="B60" s="2">
        <v>9</v>
      </c>
      <c r="C60" s="2"/>
      <c r="D60" s="2">
        <f t="shared" si="4"/>
        <v>9</v>
      </c>
      <c r="E60" s="2"/>
      <c r="F60" s="2"/>
      <c r="G60" s="2"/>
      <c r="H60" s="2">
        <f t="shared" si="5"/>
        <v>0</v>
      </c>
      <c r="I60" s="2"/>
      <c r="J60" s="2"/>
      <c r="K60" s="2"/>
      <c r="L60" s="8"/>
      <c r="M60" s="2">
        <v>1</v>
      </c>
      <c r="N60" s="2">
        <v>1</v>
      </c>
      <c r="O60" s="2"/>
      <c r="P60" s="2"/>
      <c r="Q60" s="2"/>
      <c r="R60" s="2">
        <f t="shared" si="6"/>
        <v>2</v>
      </c>
      <c r="S60" s="2"/>
      <c r="T60" s="2">
        <v>3</v>
      </c>
      <c r="U60" s="2">
        <v>14</v>
      </c>
      <c r="V60" s="2">
        <v>10</v>
      </c>
      <c r="W60" s="2">
        <v>2</v>
      </c>
      <c r="X60" s="8"/>
      <c r="Y60" s="2"/>
      <c r="Z60" s="2"/>
      <c r="AA60" s="2"/>
      <c r="AB60" s="2">
        <f t="shared" si="7"/>
        <v>29</v>
      </c>
    </row>
    <row r="61" spans="1:28">
      <c r="A61" s="5" t="s">
        <v>55</v>
      </c>
      <c r="B61" s="2">
        <v>96</v>
      </c>
      <c r="C61" s="2"/>
      <c r="D61" s="2">
        <f t="shared" si="4"/>
        <v>96</v>
      </c>
      <c r="E61" s="2">
        <v>22</v>
      </c>
      <c r="F61" s="2"/>
      <c r="G61" s="2">
        <v>1</v>
      </c>
      <c r="H61" s="2">
        <f t="shared" si="5"/>
        <v>23</v>
      </c>
      <c r="I61" s="2"/>
      <c r="J61" s="2"/>
      <c r="K61" s="2"/>
      <c r="L61" s="8">
        <v>7</v>
      </c>
      <c r="M61" s="2"/>
      <c r="N61" s="2">
        <v>12</v>
      </c>
      <c r="O61" s="2"/>
      <c r="P61" s="2"/>
      <c r="Q61" s="2"/>
      <c r="R61" s="2">
        <f t="shared" si="6"/>
        <v>19</v>
      </c>
      <c r="S61" s="2"/>
      <c r="T61" s="2">
        <v>11</v>
      </c>
      <c r="U61" s="2">
        <v>66</v>
      </c>
      <c r="V61" s="2">
        <v>238</v>
      </c>
      <c r="W61" s="2">
        <v>22</v>
      </c>
      <c r="X61" s="8"/>
      <c r="Y61" s="2"/>
      <c r="Z61" s="2"/>
      <c r="AA61" s="2"/>
      <c r="AB61" s="2">
        <f t="shared" si="7"/>
        <v>337</v>
      </c>
    </row>
    <row r="62" spans="1:28">
      <c r="A62" s="5" t="s">
        <v>48</v>
      </c>
      <c r="B62" s="2">
        <v>1</v>
      </c>
      <c r="C62" s="2"/>
      <c r="D62" s="2">
        <f t="shared" si="4"/>
        <v>1</v>
      </c>
      <c r="E62" s="2"/>
      <c r="F62" s="2"/>
      <c r="G62" s="2"/>
      <c r="H62" s="2">
        <f t="shared" si="5"/>
        <v>0</v>
      </c>
      <c r="I62" s="2"/>
      <c r="J62" s="2"/>
      <c r="K62" s="2"/>
      <c r="L62" s="8"/>
      <c r="M62" s="2"/>
      <c r="N62" s="2"/>
      <c r="O62" s="2"/>
      <c r="P62" s="2"/>
      <c r="Q62" s="2"/>
      <c r="R62" s="2">
        <f t="shared" si="6"/>
        <v>0</v>
      </c>
      <c r="S62" s="2"/>
      <c r="T62" s="2">
        <v>1</v>
      </c>
      <c r="U62" s="2">
        <v>1</v>
      </c>
      <c r="V62" s="2">
        <v>4</v>
      </c>
      <c r="W62" s="2">
        <v>1</v>
      </c>
      <c r="X62" s="8"/>
      <c r="Y62" s="2"/>
      <c r="Z62" s="2"/>
      <c r="AA62" s="2"/>
      <c r="AB62" s="2">
        <f t="shared" si="7"/>
        <v>7</v>
      </c>
    </row>
    <row r="63" spans="1:28">
      <c r="A63" s="5" t="s">
        <v>209</v>
      </c>
      <c r="B63" s="2">
        <v>42</v>
      </c>
      <c r="C63" s="2"/>
      <c r="D63" s="2">
        <f t="shared" si="4"/>
        <v>42</v>
      </c>
      <c r="E63" s="2">
        <v>6</v>
      </c>
      <c r="F63" s="2"/>
      <c r="G63" s="2"/>
      <c r="H63" s="2">
        <f t="shared" si="5"/>
        <v>6</v>
      </c>
      <c r="I63" s="2"/>
      <c r="J63" s="2">
        <v>1</v>
      </c>
      <c r="K63" s="2"/>
      <c r="L63" s="8">
        <v>1</v>
      </c>
      <c r="M63" s="2"/>
      <c r="N63" s="2">
        <v>3</v>
      </c>
      <c r="O63" s="2"/>
      <c r="P63" s="2"/>
      <c r="Q63" s="2"/>
      <c r="R63" s="2">
        <f t="shared" si="6"/>
        <v>5</v>
      </c>
      <c r="S63" s="2"/>
      <c r="T63" s="2">
        <v>31</v>
      </c>
      <c r="U63" s="2">
        <v>44</v>
      </c>
      <c r="V63" s="2">
        <v>107</v>
      </c>
      <c r="W63" s="2">
        <v>5</v>
      </c>
      <c r="X63" s="8"/>
      <c r="Y63" s="2"/>
      <c r="Z63" s="2"/>
      <c r="AA63" s="2"/>
      <c r="AB63" s="2">
        <f t="shared" si="7"/>
        <v>187</v>
      </c>
    </row>
    <row r="64" spans="1:28">
      <c r="A64" s="5" t="s">
        <v>59</v>
      </c>
      <c r="B64" s="2">
        <v>56</v>
      </c>
      <c r="C64" s="2"/>
      <c r="D64" s="2">
        <f t="shared" si="4"/>
        <v>56</v>
      </c>
      <c r="E64" s="2">
        <v>4</v>
      </c>
      <c r="F64" s="2"/>
      <c r="G64" s="2"/>
      <c r="H64" s="2">
        <f t="shared" si="5"/>
        <v>4</v>
      </c>
      <c r="I64" s="2"/>
      <c r="J64" s="2"/>
      <c r="K64" s="2"/>
      <c r="L64" s="8">
        <v>2</v>
      </c>
      <c r="M64" s="2"/>
      <c r="N64" s="2">
        <v>1</v>
      </c>
      <c r="O64" s="2"/>
      <c r="P64" s="2"/>
      <c r="Q64" s="2"/>
      <c r="R64" s="2">
        <f t="shared" si="6"/>
        <v>3</v>
      </c>
      <c r="S64" s="2"/>
      <c r="T64" s="2">
        <v>5</v>
      </c>
      <c r="U64" s="2">
        <v>25</v>
      </c>
      <c r="V64" s="2">
        <v>58</v>
      </c>
      <c r="W64" s="2">
        <v>7</v>
      </c>
      <c r="X64" s="8"/>
      <c r="Y64" s="2"/>
      <c r="Z64" s="2"/>
      <c r="AA64" s="2"/>
      <c r="AB64" s="2">
        <f t="shared" si="7"/>
        <v>95</v>
      </c>
    </row>
    <row r="65" spans="1:28">
      <c r="A65" s="5" t="s">
        <v>81</v>
      </c>
      <c r="B65" s="2">
        <v>26</v>
      </c>
      <c r="C65" s="2"/>
      <c r="D65" s="2">
        <f t="shared" si="4"/>
        <v>26</v>
      </c>
      <c r="E65" s="2">
        <v>2</v>
      </c>
      <c r="F65" s="2">
        <v>1</v>
      </c>
      <c r="G65" s="2"/>
      <c r="H65" s="2">
        <f t="shared" si="5"/>
        <v>3</v>
      </c>
      <c r="I65" s="2"/>
      <c r="J65" s="2"/>
      <c r="K65" s="2"/>
      <c r="L65" s="8"/>
      <c r="M65" s="2"/>
      <c r="N65" s="2">
        <v>7</v>
      </c>
      <c r="O65" s="2"/>
      <c r="P65" s="2"/>
      <c r="Q65" s="2"/>
      <c r="R65" s="2">
        <f t="shared" si="6"/>
        <v>7</v>
      </c>
      <c r="S65" s="2"/>
      <c r="T65" s="2">
        <v>3</v>
      </c>
      <c r="U65" s="2">
        <v>17</v>
      </c>
      <c r="V65" s="2">
        <v>52</v>
      </c>
      <c r="W65" s="2">
        <v>13</v>
      </c>
      <c r="X65" s="8"/>
      <c r="Y65" s="2"/>
      <c r="Z65" s="2"/>
      <c r="AA65" s="2"/>
      <c r="AB65" s="2">
        <f t="shared" si="7"/>
        <v>85</v>
      </c>
    </row>
    <row r="66" spans="1:28">
      <c r="A66" s="5" t="s">
        <v>207</v>
      </c>
      <c r="B66" s="2">
        <v>16</v>
      </c>
      <c r="C66" s="2"/>
      <c r="D66" s="2">
        <f t="shared" si="4"/>
        <v>16</v>
      </c>
      <c r="E66" s="2"/>
      <c r="F66" s="2"/>
      <c r="G66" s="2"/>
      <c r="H66" s="2">
        <f t="shared" si="5"/>
        <v>0</v>
      </c>
      <c r="I66" s="2"/>
      <c r="J66" s="2"/>
      <c r="K66" s="2"/>
      <c r="L66" s="8"/>
      <c r="M66" s="2"/>
      <c r="N66" s="2">
        <v>4</v>
      </c>
      <c r="O66" s="2"/>
      <c r="P66" s="2"/>
      <c r="Q66" s="2"/>
      <c r="R66" s="2">
        <f t="shared" si="6"/>
        <v>4</v>
      </c>
      <c r="S66" s="2"/>
      <c r="T66" s="2">
        <v>6</v>
      </c>
      <c r="U66" s="2">
        <v>18</v>
      </c>
      <c r="V66" s="2">
        <v>27</v>
      </c>
      <c r="W66" s="2">
        <v>2</v>
      </c>
      <c r="X66" s="8"/>
      <c r="Y66" s="2"/>
      <c r="Z66" s="2"/>
      <c r="AA66" s="2"/>
      <c r="AB66" s="2">
        <f t="shared" si="7"/>
        <v>53</v>
      </c>
    </row>
    <row r="67" spans="1:28">
      <c r="A67" s="5" t="s">
        <v>208</v>
      </c>
      <c r="B67" s="2">
        <v>24</v>
      </c>
      <c r="C67" s="2"/>
      <c r="D67" s="2">
        <f t="shared" si="4"/>
        <v>24</v>
      </c>
      <c r="E67" s="2"/>
      <c r="F67" s="2"/>
      <c r="G67" s="2"/>
      <c r="H67" s="2">
        <f t="shared" si="5"/>
        <v>0</v>
      </c>
      <c r="I67" s="2"/>
      <c r="J67" s="2"/>
      <c r="K67" s="2"/>
      <c r="L67" s="8"/>
      <c r="M67" s="2"/>
      <c r="N67" s="2">
        <v>2</v>
      </c>
      <c r="O67" s="2"/>
      <c r="P67" s="2"/>
      <c r="Q67" s="2"/>
      <c r="R67" s="2">
        <f t="shared" si="6"/>
        <v>2</v>
      </c>
      <c r="S67" s="2"/>
      <c r="T67" s="2">
        <v>13</v>
      </c>
      <c r="U67" s="2">
        <v>28</v>
      </c>
      <c r="V67" s="2">
        <v>38</v>
      </c>
      <c r="W67" s="2">
        <v>4</v>
      </c>
      <c r="X67" s="8"/>
      <c r="Y67" s="2"/>
      <c r="Z67" s="2"/>
      <c r="AA67" s="2"/>
      <c r="AB67" s="2">
        <f t="shared" si="7"/>
        <v>83</v>
      </c>
    </row>
    <row r="68" spans="1:28">
      <c r="A68" s="5" t="s">
        <v>83</v>
      </c>
      <c r="B68" s="2">
        <v>7</v>
      </c>
      <c r="C68" s="2"/>
      <c r="D68" s="2">
        <f t="shared" si="4"/>
        <v>7</v>
      </c>
      <c r="E68" s="2"/>
      <c r="F68" s="2"/>
      <c r="G68" s="2"/>
      <c r="H68" s="2">
        <f t="shared" si="5"/>
        <v>0</v>
      </c>
      <c r="I68" s="2"/>
      <c r="J68" s="2"/>
      <c r="K68" s="2"/>
      <c r="L68" s="8">
        <v>1</v>
      </c>
      <c r="M68" s="2"/>
      <c r="N68" s="2">
        <v>1</v>
      </c>
      <c r="O68" s="2"/>
      <c r="P68" s="2"/>
      <c r="Q68" s="2"/>
      <c r="R68" s="2">
        <f t="shared" si="6"/>
        <v>2</v>
      </c>
      <c r="S68" s="2"/>
      <c r="T68" s="2">
        <v>4</v>
      </c>
      <c r="U68" s="2">
        <v>15</v>
      </c>
      <c r="V68" s="2">
        <v>17</v>
      </c>
      <c r="W68" s="2">
        <v>1</v>
      </c>
      <c r="X68" s="8"/>
      <c r="Y68" s="2"/>
      <c r="Z68" s="2"/>
      <c r="AA68" s="2"/>
      <c r="AB68" s="2">
        <f t="shared" si="7"/>
        <v>37</v>
      </c>
    </row>
    <row r="69" spans="1:28">
      <c r="A69" s="5" t="s">
        <v>96</v>
      </c>
      <c r="B69" s="2">
        <v>11</v>
      </c>
      <c r="C69" s="2"/>
      <c r="D69" s="2">
        <f t="shared" si="4"/>
        <v>11</v>
      </c>
      <c r="E69" s="2"/>
      <c r="F69" s="2"/>
      <c r="G69" s="2"/>
      <c r="H69" s="2">
        <f t="shared" si="5"/>
        <v>0</v>
      </c>
      <c r="I69" s="2"/>
      <c r="J69" s="2"/>
      <c r="K69" s="2"/>
      <c r="L69" s="8"/>
      <c r="M69" s="2"/>
      <c r="N69" s="2">
        <v>2</v>
      </c>
      <c r="O69" s="2"/>
      <c r="P69" s="2"/>
      <c r="Q69" s="2"/>
      <c r="R69" s="2">
        <f t="shared" si="6"/>
        <v>2</v>
      </c>
      <c r="S69" s="2"/>
      <c r="T69" s="2">
        <v>11</v>
      </c>
      <c r="U69" s="2">
        <v>18</v>
      </c>
      <c r="V69" s="2">
        <v>22</v>
      </c>
      <c r="W69" s="2">
        <v>2</v>
      </c>
      <c r="X69" s="8"/>
      <c r="Y69" s="2"/>
      <c r="Z69" s="2"/>
      <c r="AA69" s="2"/>
      <c r="AB69" s="2">
        <f t="shared" si="7"/>
        <v>53</v>
      </c>
    </row>
    <row r="70" spans="1:28">
      <c r="A70" s="5" t="s">
        <v>212</v>
      </c>
      <c r="B70" s="2">
        <v>17</v>
      </c>
      <c r="C70" s="2"/>
      <c r="D70" s="2">
        <f t="shared" si="4"/>
        <v>17</v>
      </c>
      <c r="E70" s="2">
        <v>2</v>
      </c>
      <c r="F70" s="2"/>
      <c r="G70" s="2"/>
      <c r="H70" s="2">
        <f t="shared" si="5"/>
        <v>2</v>
      </c>
      <c r="I70" s="2"/>
      <c r="J70" s="2"/>
      <c r="K70" s="2"/>
      <c r="L70" s="8">
        <v>1</v>
      </c>
      <c r="M70" s="2"/>
      <c r="N70" s="2">
        <v>2</v>
      </c>
      <c r="O70" s="2"/>
      <c r="P70" s="2"/>
      <c r="Q70" s="2"/>
      <c r="R70" s="2">
        <f t="shared" si="6"/>
        <v>3</v>
      </c>
      <c r="S70" s="2"/>
      <c r="T70" s="2">
        <v>4</v>
      </c>
      <c r="U70" s="2">
        <v>25</v>
      </c>
      <c r="V70" s="2">
        <v>28</v>
      </c>
      <c r="W70" s="2">
        <v>3</v>
      </c>
      <c r="X70" s="8"/>
      <c r="Y70" s="2"/>
      <c r="Z70" s="2"/>
      <c r="AA70" s="2"/>
      <c r="AB70" s="2">
        <f t="shared" si="7"/>
        <v>60</v>
      </c>
    </row>
    <row r="71" spans="1:28">
      <c r="A71" s="5" t="s">
        <v>49</v>
      </c>
      <c r="B71" s="2">
        <v>19</v>
      </c>
      <c r="C71" s="2"/>
      <c r="D71" s="2">
        <f t="shared" si="4"/>
        <v>19</v>
      </c>
      <c r="E71" s="2"/>
      <c r="F71" s="2"/>
      <c r="G71" s="2">
        <v>2</v>
      </c>
      <c r="H71" s="2">
        <f t="shared" si="5"/>
        <v>2</v>
      </c>
      <c r="I71" s="2"/>
      <c r="J71" s="2"/>
      <c r="K71" s="2"/>
      <c r="L71" s="8"/>
      <c r="M71" s="2"/>
      <c r="N71" s="2">
        <v>4</v>
      </c>
      <c r="O71" s="2"/>
      <c r="P71" s="2"/>
      <c r="Q71" s="2"/>
      <c r="R71" s="2">
        <f t="shared" si="6"/>
        <v>4</v>
      </c>
      <c r="S71" s="2"/>
      <c r="T71" s="2"/>
      <c r="U71" s="2">
        <v>53</v>
      </c>
      <c r="V71" s="2">
        <v>63</v>
      </c>
      <c r="W71" s="2">
        <v>1</v>
      </c>
      <c r="X71" s="8"/>
      <c r="Y71" s="2"/>
      <c r="Z71" s="2"/>
      <c r="AA71" s="2"/>
      <c r="AB71" s="2">
        <f t="shared" si="7"/>
        <v>117</v>
      </c>
    </row>
    <row r="72" spans="1:28">
      <c r="A72" s="5" t="s">
        <v>50</v>
      </c>
      <c r="B72" s="2">
        <v>42</v>
      </c>
      <c r="C72" s="2"/>
      <c r="D72" s="2">
        <f t="shared" si="4"/>
        <v>42</v>
      </c>
      <c r="E72" s="2">
        <v>1</v>
      </c>
      <c r="F72" s="2">
        <v>1</v>
      </c>
      <c r="G72" s="2">
        <v>1</v>
      </c>
      <c r="H72" s="2">
        <f t="shared" si="5"/>
        <v>3</v>
      </c>
      <c r="I72" s="2"/>
      <c r="J72" s="2"/>
      <c r="K72" s="2"/>
      <c r="L72" s="8"/>
      <c r="M72" s="2"/>
      <c r="N72" s="2">
        <v>13</v>
      </c>
      <c r="O72" s="2"/>
      <c r="P72" s="2"/>
      <c r="Q72" s="2"/>
      <c r="R72" s="2">
        <f t="shared" si="6"/>
        <v>13</v>
      </c>
      <c r="S72" s="2"/>
      <c r="T72" s="2"/>
      <c r="U72" s="2">
        <v>56</v>
      </c>
      <c r="V72" s="2">
        <v>66</v>
      </c>
      <c r="W72" s="2">
        <v>2</v>
      </c>
      <c r="X72" s="8"/>
      <c r="Y72" s="2"/>
      <c r="Z72" s="2"/>
      <c r="AA72" s="2"/>
      <c r="AB72" s="2">
        <f t="shared" si="7"/>
        <v>124</v>
      </c>
    </row>
    <row r="73" spans="1:28">
      <c r="A73" s="5" t="s">
        <v>51</v>
      </c>
      <c r="B73" s="2">
        <v>41</v>
      </c>
      <c r="C73" s="2"/>
      <c r="D73" s="2">
        <f t="shared" si="4"/>
        <v>41</v>
      </c>
      <c r="E73" s="2"/>
      <c r="F73" s="2"/>
      <c r="G73" s="2">
        <v>6</v>
      </c>
      <c r="H73" s="2">
        <f t="shared" si="5"/>
        <v>6</v>
      </c>
      <c r="I73" s="2"/>
      <c r="J73" s="2"/>
      <c r="K73" s="2"/>
      <c r="L73" s="8"/>
      <c r="M73" s="2"/>
      <c r="N73" s="2">
        <v>20</v>
      </c>
      <c r="O73" s="2"/>
      <c r="P73" s="2"/>
      <c r="Q73" s="2"/>
      <c r="R73" s="2">
        <f t="shared" si="6"/>
        <v>20</v>
      </c>
      <c r="S73" s="2"/>
      <c r="T73" s="2"/>
      <c r="U73" s="2">
        <v>67</v>
      </c>
      <c r="V73" s="2">
        <v>87</v>
      </c>
      <c r="W73" s="2">
        <v>1</v>
      </c>
      <c r="X73" s="8"/>
      <c r="Y73" s="2"/>
      <c r="Z73" s="2"/>
      <c r="AA73" s="2"/>
      <c r="AB73" s="2">
        <f t="shared" si="7"/>
        <v>155</v>
      </c>
    </row>
    <row r="74" spans="1:28">
      <c r="A74" s="5" t="s">
        <v>213</v>
      </c>
      <c r="B74" s="2">
        <v>78</v>
      </c>
      <c r="C74" s="2"/>
      <c r="D74" s="2">
        <f t="shared" si="4"/>
        <v>78</v>
      </c>
      <c r="E74" s="2">
        <v>1</v>
      </c>
      <c r="F74" s="2">
        <v>1</v>
      </c>
      <c r="G74" s="2">
        <v>15</v>
      </c>
      <c r="H74" s="2">
        <f t="shared" si="5"/>
        <v>17</v>
      </c>
      <c r="I74" s="2"/>
      <c r="J74" s="2"/>
      <c r="K74" s="2"/>
      <c r="L74" s="8"/>
      <c r="M74" s="2"/>
      <c r="N74" s="2">
        <v>20</v>
      </c>
      <c r="O74" s="2"/>
      <c r="P74" s="2"/>
      <c r="Q74" s="2"/>
      <c r="R74" s="2">
        <f t="shared" si="6"/>
        <v>20</v>
      </c>
      <c r="S74" s="2"/>
      <c r="T74" s="2"/>
      <c r="U74" s="2">
        <v>79</v>
      </c>
      <c r="V74" s="2">
        <v>131</v>
      </c>
      <c r="W74" s="2"/>
      <c r="X74" s="8"/>
      <c r="Y74" s="2"/>
      <c r="Z74" s="2"/>
      <c r="AA74" s="2"/>
      <c r="AB74" s="2">
        <f t="shared" si="7"/>
        <v>210</v>
      </c>
    </row>
    <row r="75" spans="1:28">
      <c r="A75" s="5" t="s">
        <v>145</v>
      </c>
      <c r="B75" s="2">
        <v>19</v>
      </c>
      <c r="C75" s="2"/>
      <c r="D75" s="2">
        <f t="shared" si="4"/>
        <v>19</v>
      </c>
      <c r="E75" s="2">
        <v>3</v>
      </c>
      <c r="F75" s="2"/>
      <c r="G75" s="2"/>
      <c r="H75" s="2">
        <f t="shared" si="5"/>
        <v>3</v>
      </c>
      <c r="I75" s="2"/>
      <c r="J75" s="2"/>
      <c r="K75" s="2"/>
      <c r="L75" s="8"/>
      <c r="M75" s="2"/>
      <c r="N75" s="2">
        <v>9</v>
      </c>
      <c r="O75" s="2"/>
      <c r="P75" s="2">
        <v>1</v>
      </c>
      <c r="Q75" s="2"/>
      <c r="R75" s="2">
        <f t="shared" si="6"/>
        <v>10</v>
      </c>
      <c r="S75" s="2">
        <v>6</v>
      </c>
      <c r="T75" s="2">
        <v>1</v>
      </c>
      <c r="U75" s="2">
        <v>6</v>
      </c>
      <c r="V75" s="2">
        <v>8</v>
      </c>
      <c r="W75" s="2">
        <v>1</v>
      </c>
      <c r="X75" s="8">
        <v>4</v>
      </c>
      <c r="Y75" s="2"/>
      <c r="Z75" s="2">
        <v>2</v>
      </c>
      <c r="AA75" s="2"/>
      <c r="AB75" s="2">
        <f t="shared" si="7"/>
        <v>28</v>
      </c>
    </row>
    <row r="76" spans="1:28">
      <c r="A76" s="5" t="s">
        <v>204</v>
      </c>
      <c r="B76" s="2">
        <v>41</v>
      </c>
      <c r="C76" s="2"/>
      <c r="D76" s="2">
        <f t="shared" si="4"/>
        <v>41</v>
      </c>
      <c r="E76" s="2">
        <v>5</v>
      </c>
      <c r="F76" s="2">
        <v>6</v>
      </c>
      <c r="G76" s="2"/>
      <c r="H76" s="2">
        <f t="shared" si="5"/>
        <v>11</v>
      </c>
      <c r="I76" s="2"/>
      <c r="J76" s="2"/>
      <c r="K76" s="2">
        <v>1</v>
      </c>
      <c r="L76" s="8"/>
      <c r="M76" s="2"/>
      <c r="N76" s="2">
        <v>6</v>
      </c>
      <c r="O76" s="2"/>
      <c r="P76" s="2">
        <v>2</v>
      </c>
      <c r="Q76" s="2"/>
      <c r="R76" s="2">
        <f t="shared" si="6"/>
        <v>9</v>
      </c>
      <c r="S76" s="2">
        <v>3</v>
      </c>
      <c r="T76" s="2">
        <v>3</v>
      </c>
      <c r="U76" s="2">
        <v>7</v>
      </c>
      <c r="V76" s="2">
        <v>20</v>
      </c>
      <c r="W76" s="2">
        <v>4</v>
      </c>
      <c r="X76" s="8">
        <v>2</v>
      </c>
      <c r="Y76" s="2"/>
      <c r="Z76" s="2"/>
      <c r="AA76" s="2">
        <v>3</v>
      </c>
      <c r="AB76" s="2">
        <f t="shared" si="7"/>
        <v>42</v>
      </c>
    </row>
    <row r="77" spans="1:28">
      <c r="A77" s="5" t="s">
        <v>52</v>
      </c>
      <c r="B77" s="2">
        <v>4</v>
      </c>
      <c r="C77" s="2"/>
      <c r="D77" s="2">
        <f t="shared" si="4"/>
        <v>4</v>
      </c>
      <c r="E77" s="2"/>
      <c r="F77" s="2"/>
      <c r="G77" s="2"/>
      <c r="H77" s="2">
        <f t="shared" si="5"/>
        <v>0</v>
      </c>
      <c r="I77" s="2"/>
      <c r="J77" s="2"/>
      <c r="K77" s="2"/>
      <c r="L77" s="8"/>
      <c r="M77" s="2"/>
      <c r="N77" s="2"/>
      <c r="O77" s="2"/>
      <c r="P77" s="2"/>
      <c r="Q77" s="2"/>
      <c r="R77" s="2">
        <f t="shared" si="6"/>
        <v>0</v>
      </c>
      <c r="S77" s="2">
        <v>1</v>
      </c>
      <c r="T77" s="2">
        <v>2</v>
      </c>
      <c r="U77" s="2">
        <v>2</v>
      </c>
      <c r="V77" s="2">
        <v>5</v>
      </c>
      <c r="W77" s="2"/>
      <c r="X77" s="8"/>
      <c r="Y77" s="2"/>
      <c r="Z77" s="2"/>
      <c r="AA77" s="2"/>
      <c r="AB77" s="2">
        <f t="shared" si="7"/>
        <v>10</v>
      </c>
    </row>
    <row r="78" spans="1:28">
      <c r="A78" s="5" t="s">
        <v>205</v>
      </c>
      <c r="B78" s="2">
        <v>12</v>
      </c>
      <c r="C78" s="2"/>
      <c r="D78" s="2">
        <f t="shared" si="4"/>
        <v>12</v>
      </c>
      <c r="E78" s="2"/>
      <c r="F78" s="2"/>
      <c r="G78" s="2"/>
      <c r="H78" s="2">
        <f t="shared" si="5"/>
        <v>0</v>
      </c>
      <c r="I78" s="2"/>
      <c r="J78" s="2"/>
      <c r="K78" s="2"/>
      <c r="L78" s="8"/>
      <c r="M78" s="2"/>
      <c r="N78" s="2">
        <v>9</v>
      </c>
      <c r="O78" s="2"/>
      <c r="P78" s="2"/>
      <c r="Q78" s="2"/>
      <c r="R78" s="2">
        <f t="shared" si="6"/>
        <v>9</v>
      </c>
      <c r="S78" s="2">
        <v>1</v>
      </c>
      <c r="T78" s="2"/>
      <c r="U78" s="2">
        <v>10</v>
      </c>
      <c r="V78" s="2">
        <v>4</v>
      </c>
      <c r="W78" s="2">
        <v>3</v>
      </c>
      <c r="X78" s="8"/>
      <c r="Y78" s="2"/>
      <c r="Z78" s="2"/>
      <c r="AA78" s="2">
        <v>2</v>
      </c>
      <c r="AB78" s="2">
        <f t="shared" si="7"/>
        <v>20</v>
      </c>
    </row>
    <row r="79" spans="1:28">
      <c r="A79" s="5" t="s">
        <v>206</v>
      </c>
      <c r="B79" s="2">
        <v>14</v>
      </c>
      <c r="C79" s="2"/>
      <c r="D79" s="2">
        <f t="shared" si="4"/>
        <v>14</v>
      </c>
      <c r="E79" s="2">
        <v>1</v>
      </c>
      <c r="F79" s="2"/>
      <c r="G79" s="2"/>
      <c r="H79" s="2">
        <f t="shared" si="5"/>
        <v>1</v>
      </c>
      <c r="I79" s="2"/>
      <c r="J79" s="2"/>
      <c r="K79" s="2"/>
      <c r="L79" s="8"/>
      <c r="M79" s="2"/>
      <c r="N79" s="2">
        <v>3</v>
      </c>
      <c r="O79" s="2"/>
      <c r="P79" s="2">
        <v>1</v>
      </c>
      <c r="Q79" s="2"/>
      <c r="R79" s="2">
        <f t="shared" si="6"/>
        <v>4</v>
      </c>
      <c r="S79" s="2">
        <v>3</v>
      </c>
      <c r="T79" s="2">
        <v>4</v>
      </c>
      <c r="U79" s="2">
        <v>3</v>
      </c>
      <c r="V79" s="2">
        <v>2</v>
      </c>
      <c r="W79" s="2">
        <v>1</v>
      </c>
      <c r="X79" s="8"/>
      <c r="Y79" s="2"/>
      <c r="Z79" s="2"/>
      <c r="AA79" s="2">
        <v>1</v>
      </c>
      <c r="AB79" s="2">
        <f t="shared" si="7"/>
        <v>14</v>
      </c>
    </row>
    <row r="80" spans="1:28">
      <c r="A80" s="5" t="s">
        <v>160</v>
      </c>
      <c r="B80" s="2">
        <v>4</v>
      </c>
      <c r="C80" s="2"/>
      <c r="D80" s="2">
        <f t="shared" si="4"/>
        <v>4</v>
      </c>
      <c r="E80" s="2"/>
      <c r="F80" s="2"/>
      <c r="G80" s="2"/>
      <c r="H80" s="2">
        <f t="shared" si="5"/>
        <v>0</v>
      </c>
      <c r="I80" s="2"/>
      <c r="J80" s="2"/>
      <c r="K80" s="2"/>
      <c r="L80" s="8"/>
      <c r="M80" s="2"/>
      <c r="N80" s="2"/>
      <c r="O80" s="2"/>
      <c r="P80" s="2"/>
      <c r="Q80" s="2"/>
      <c r="R80" s="2">
        <f t="shared" si="6"/>
        <v>0</v>
      </c>
      <c r="S80" s="2"/>
      <c r="T80" s="2"/>
      <c r="U80" s="2">
        <v>3</v>
      </c>
      <c r="V80" s="2"/>
      <c r="W80" s="2"/>
      <c r="X80" s="8"/>
      <c r="Y80" s="2"/>
      <c r="Z80" s="2"/>
      <c r="AA80" s="2"/>
      <c r="AB80" s="2">
        <f t="shared" si="7"/>
        <v>3</v>
      </c>
    </row>
    <row r="81" spans="1:28">
      <c r="A81" s="5" t="s">
        <v>203</v>
      </c>
      <c r="B81" s="2">
        <v>0</v>
      </c>
      <c r="C81" s="2"/>
      <c r="D81" s="2">
        <f t="shared" si="4"/>
        <v>0</v>
      </c>
      <c r="E81" s="2"/>
      <c r="F81" s="2"/>
      <c r="G81" s="2"/>
      <c r="H81" s="2">
        <f t="shared" si="5"/>
        <v>0</v>
      </c>
      <c r="I81" s="2"/>
      <c r="J81" s="2"/>
      <c r="K81" s="2"/>
      <c r="L81" s="8"/>
      <c r="M81" s="2"/>
      <c r="N81" s="2"/>
      <c r="O81" s="2"/>
      <c r="P81" s="2"/>
      <c r="Q81" s="2"/>
      <c r="R81" s="2">
        <f t="shared" si="6"/>
        <v>0</v>
      </c>
      <c r="S81" s="2"/>
      <c r="T81" s="2"/>
      <c r="U81" s="2"/>
      <c r="V81" s="2">
        <v>1</v>
      </c>
      <c r="W81" s="2"/>
      <c r="X81" s="8"/>
      <c r="Y81" s="2"/>
      <c r="Z81" s="2"/>
      <c r="AA81" s="2"/>
      <c r="AB81" s="2">
        <f t="shared" si="7"/>
        <v>1</v>
      </c>
    </row>
    <row r="82" spans="1:28">
      <c r="A82" s="5" t="s">
        <v>53</v>
      </c>
      <c r="B82" s="2">
        <v>1</v>
      </c>
      <c r="C82" s="2"/>
      <c r="D82" s="2">
        <f t="shared" si="4"/>
        <v>1</v>
      </c>
      <c r="E82" s="2"/>
      <c r="F82" s="2"/>
      <c r="G82" s="2"/>
      <c r="H82" s="2">
        <f t="shared" si="5"/>
        <v>0</v>
      </c>
      <c r="I82" s="2"/>
      <c r="J82" s="2"/>
      <c r="K82" s="2"/>
      <c r="L82" s="8"/>
      <c r="M82" s="2"/>
      <c r="N82" s="2"/>
      <c r="O82" s="2"/>
      <c r="P82" s="2"/>
      <c r="Q82" s="2"/>
      <c r="R82" s="2">
        <f t="shared" si="6"/>
        <v>0</v>
      </c>
      <c r="S82" s="2"/>
      <c r="T82" s="2"/>
      <c r="U82" s="2">
        <v>7</v>
      </c>
      <c r="V82" s="2">
        <v>1</v>
      </c>
      <c r="W82" s="2"/>
      <c r="X82" s="8"/>
      <c r="Y82" s="2"/>
      <c r="Z82" s="2"/>
      <c r="AA82" s="2"/>
      <c r="AB82" s="2">
        <f t="shared" si="7"/>
        <v>8</v>
      </c>
    </row>
  </sheetData>
  <mergeCells count="4">
    <mergeCell ref="B2:D2"/>
    <mergeCell ref="E2:H2"/>
    <mergeCell ref="I2:R2"/>
    <mergeCell ref="S2:AB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2"/>
  <sheetViews>
    <sheetView topLeftCell="B2" workbookViewId="0">
      <selection activeCell="E19" sqref="E19:E25"/>
    </sheetView>
  </sheetViews>
  <sheetFormatPr defaultColWidth="8.77734375" defaultRowHeight="14.4"/>
  <cols>
    <col min="1" max="1" width="20.77734375" style="26" customWidth="1"/>
    <col min="2" max="5" width="15.77734375" style="14" customWidth="1"/>
  </cols>
  <sheetData>
    <row r="1" spans="1:5">
      <c r="A1" s="25"/>
      <c r="B1" s="17" t="s">
        <v>6</v>
      </c>
      <c r="C1" s="17" t="s">
        <v>3</v>
      </c>
      <c r="D1" s="17" t="s">
        <v>2</v>
      </c>
      <c r="E1" s="17" t="s">
        <v>8</v>
      </c>
    </row>
    <row r="2" spans="1:5" ht="43.2">
      <c r="A2" s="10" t="s">
        <v>249</v>
      </c>
      <c r="B2" s="16">
        <f>'Assumptions&amp;Calculations'!H25</f>
        <v>4800</v>
      </c>
      <c r="C2" s="16">
        <f>'Assumptions&amp;Calculations'!H26</f>
        <v>1760</v>
      </c>
      <c r="D2" s="16">
        <f>'Assumptions&amp;Calculations'!H27</f>
        <v>2160</v>
      </c>
      <c r="E2" s="16">
        <f>'Assumptions&amp;Calculations'!H28</f>
        <v>528</v>
      </c>
    </row>
    <row r="3" spans="1:5" ht="28.8">
      <c r="A3" s="16" t="s">
        <v>202</v>
      </c>
      <c r="B3" s="16" t="s">
        <v>54</v>
      </c>
      <c r="C3" s="16" t="s">
        <v>221</v>
      </c>
      <c r="D3" s="16" t="s">
        <v>222</v>
      </c>
      <c r="E3" s="16" t="s">
        <v>258</v>
      </c>
    </row>
    <row r="4" spans="1:5">
      <c r="A4" s="23" t="s">
        <v>88</v>
      </c>
      <c r="B4" s="20">
        <f>'Machinery Inventory (Corn)'!D4</f>
        <v>15</v>
      </c>
      <c r="C4" s="20">
        <f>'Machinery Inventory (Corn)'!H4</f>
        <v>1</v>
      </c>
      <c r="D4" s="20">
        <f>'Machinery Inventory (Corn)'!R4</f>
        <v>0</v>
      </c>
      <c r="E4" s="20">
        <f>'Machinery Inventory (Corn)'!AB4</f>
        <v>76</v>
      </c>
    </row>
    <row r="5" spans="1:5">
      <c r="A5" s="23" t="s">
        <v>85</v>
      </c>
      <c r="B5" s="20">
        <f>'Machinery Inventory (Corn)'!D5</f>
        <v>16</v>
      </c>
      <c r="C5" s="20">
        <f>'Machinery Inventory (Corn)'!H5</f>
        <v>9</v>
      </c>
      <c r="D5" s="20">
        <f>'Machinery Inventory (Corn)'!R5</f>
        <v>9</v>
      </c>
      <c r="E5" s="20">
        <f>'Machinery Inventory (Corn)'!AB5</f>
        <v>90</v>
      </c>
    </row>
    <row r="6" spans="1:5">
      <c r="A6" s="23" t="s">
        <v>146</v>
      </c>
      <c r="B6" s="20">
        <f>'Machinery Inventory (Corn)'!D6</f>
        <v>0</v>
      </c>
      <c r="C6" s="20">
        <f>'Machinery Inventory (Corn)'!H6</f>
        <v>0</v>
      </c>
      <c r="D6" s="20">
        <f>'Machinery Inventory (Corn)'!R6</f>
        <v>0</v>
      </c>
      <c r="E6" s="20">
        <f>'Machinery Inventory (Corn)'!AB6</f>
        <v>7</v>
      </c>
    </row>
    <row r="7" spans="1:5">
      <c r="A7" s="23" t="s">
        <v>84</v>
      </c>
      <c r="B7" s="20">
        <f>'Machinery Inventory (Corn)'!D7</f>
        <v>19</v>
      </c>
      <c r="C7" s="20">
        <f>'Machinery Inventory (Corn)'!H7</f>
        <v>11</v>
      </c>
      <c r="D7" s="20">
        <f>'Machinery Inventory (Corn)'!R7</f>
        <v>10</v>
      </c>
      <c r="E7" s="20">
        <f>'Machinery Inventory (Corn)'!AB7</f>
        <v>87</v>
      </c>
    </row>
    <row r="8" spans="1:5">
      <c r="A8" s="23" t="s">
        <v>86</v>
      </c>
      <c r="B8" s="20">
        <f>'Machinery Inventory (Corn)'!D8</f>
        <v>12</v>
      </c>
      <c r="C8" s="20">
        <f>'Machinery Inventory (Corn)'!H8</f>
        <v>6</v>
      </c>
      <c r="D8" s="20">
        <f>'Machinery Inventory (Corn)'!R8</f>
        <v>4</v>
      </c>
      <c r="E8" s="20">
        <f>'Machinery Inventory (Corn)'!AB8</f>
        <v>79</v>
      </c>
    </row>
    <row r="9" spans="1:5">
      <c r="A9" s="23" t="s">
        <v>87</v>
      </c>
      <c r="B9" s="20">
        <f>'Machinery Inventory (Corn)'!D9</f>
        <v>10</v>
      </c>
      <c r="C9" s="20">
        <f>'Machinery Inventory (Corn)'!H9</f>
        <v>0</v>
      </c>
      <c r="D9" s="20">
        <f>'Machinery Inventory (Corn)'!R9</f>
        <v>6</v>
      </c>
      <c r="E9" s="20">
        <f>'Machinery Inventory (Corn)'!AB9</f>
        <v>59</v>
      </c>
    </row>
    <row r="10" spans="1:5">
      <c r="A10" s="23" t="s">
        <v>11</v>
      </c>
      <c r="B10" s="20">
        <f>'Machinery Inventory (Corn)'!D10</f>
        <v>111</v>
      </c>
      <c r="C10" s="20">
        <f>'Machinery Inventory (Corn)'!H10</f>
        <v>6</v>
      </c>
      <c r="D10" s="20">
        <f>'Machinery Inventory (Corn)'!R10</f>
        <v>13</v>
      </c>
      <c r="E10" s="20">
        <f>'Machinery Inventory (Corn)'!AB10</f>
        <v>23</v>
      </c>
    </row>
    <row r="11" spans="1:5">
      <c r="A11" s="23" t="s">
        <v>12</v>
      </c>
      <c r="B11" s="20">
        <f>'Machinery Inventory (Corn)'!D11</f>
        <v>82</v>
      </c>
      <c r="C11" s="20">
        <f>'Machinery Inventory (Corn)'!H11</f>
        <v>2</v>
      </c>
      <c r="D11" s="20">
        <f>'Machinery Inventory (Corn)'!R11</f>
        <v>10</v>
      </c>
      <c r="E11" s="20">
        <f>'Machinery Inventory (Corn)'!AB11</f>
        <v>36</v>
      </c>
    </row>
    <row r="12" spans="1:5">
      <c r="A12" s="23" t="s">
        <v>13</v>
      </c>
      <c r="B12" s="20">
        <f>'Machinery Inventory (Corn)'!D12</f>
        <v>63</v>
      </c>
      <c r="C12" s="20">
        <f>'Machinery Inventory (Corn)'!H12</f>
        <v>5</v>
      </c>
      <c r="D12" s="20">
        <f>'Machinery Inventory (Corn)'!R12</f>
        <v>5</v>
      </c>
      <c r="E12" s="20">
        <f>'Machinery Inventory (Corn)'!AB12</f>
        <v>23</v>
      </c>
    </row>
    <row r="13" spans="1:5">
      <c r="A13" s="23" t="s">
        <v>14</v>
      </c>
      <c r="B13" s="20">
        <f>'Machinery Inventory (Corn)'!D13</f>
        <v>273</v>
      </c>
      <c r="C13" s="20">
        <f>'Machinery Inventory (Corn)'!H13</f>
        <v>6</v>
      </c>
      <c r="D13" s="20">
        <f>'Machinery Inventory (Corn)'!R13</f>
        <v>29</v>
      </c>
      <c r="E13" s="20">
        <f>'Machinery Inventory (Corn)'!AB13</f>
        <v>45</v>
      </c>
    </row>
    <row r="14" spans="1:5">
      <c r="A14" s="23" t="s">
        <v>10</v>
      </c>
      <c r="B14" s="20">
        <f>'Machinery Inventory (Corn)'!D14</f>
        <v>0</v>
      </c>
      <c r="C14" s="20">
        <f>'Machinery Inventory (Corn)'!H14</f>
        <v>0</v>
      </c>
      <c r="D14" s="20">
        <f>'Machinery Inventory (Corn)'!R14</f>
        <v>0</v>
      </c>
      <c r="E14" s="20">
        <f>'Machinery Inventory (Corn)'!AB14</f>
        <v>0</v>
      </c>
    </row>
    <row r="15" spans="1:5">
      <c r="A15" s="23" t="s">
        <v>15</v>
      </c>
      <c r="B15" s="20">
        <f>'Machinery Inventory (Corn)'!D15</f>
        <v>291</v>
      </c>
      <c r="C15" s="20">
        <f>'Machinery Inventory (Corn)'!H15</f>
        <v>46</v>
      </c>
      <c r="D15" s="20">
        <f>'Machinery Inventory (Corn)'!R15</f>
        <v>19</v>
      </c>
      <c r="E15" s="20">
        <f>'Machinery Inventory (Corn)'!AB15</f>
        <v>190</v>
      </c>
    </row>
    <row r="16" spans="1:5">
      <c r="A16" s="23" t="s">
        <v>16</v>
      </c>
      <c r="B16" s="20">
        <f>'Machinery Inventory (Corn)'!D16</f>
        <v>280</v>
      </c>
      <c r="C16" s="20">
        <f>'Machinery Inventory (Corn)'!H16</f>
        <v>108</v>
      </c>
      <c r="D16" s="20">
        <f>'Machinery Inventory (Corn)'!R16</f>
        <v>20</v>
      </c>
      <c r="E16" s="20">
        <f>'Machinery Inventory (Corn)'!AB16</f>
        <v>331</v>
      </c>
    </row>
    <row r="17" spans="1:5">
      <c r="A17" s="23" t="s">
        <v>17</v>
      </c>
      <c r="B17" s="20">
        <f>'Machinery Inventory (Corn)'!D17</f>
        <v>84</v>
      </c>
      <c r="C17" s="20">
        <f>'Machinery Inventory (Corn)'!H17</f>
        <v>14</v>
      </c>
      <c r="D17" s="20">
        <f>'Machinery Inventory (Corn)'!R17</f>
        <v>1</v>
      </c>
      <c r="E17" s="20">
        <f>'Machinery Inventory (Corn)'!AB17</f>
        <v>4</v>
      </c>
    </row>
    <row r="18" spans="1:5">
      <c r="A18" s="23" t="s">
        <v>18</v>
      </c>
      <c r="B18" s="20">
        <f>'Machinery Inventory (Corn)'!D18</f>
        <v>28</v>
      </c>
      <c r="C18" s="20">
        <f>'Machinery Inventory (Corn)'!H18</f>
        <v>14</v>
      </c>
      <c r="D18" s="20">
        <f>'Machinery Inventory (Corn)'!R18</f>
        <v>2</v>
      </c>
      <c r="E18" s="20">
        <f>'Machinery Inventory (Corn)'!AB18</f>
        <v>7</v>
      </c>
    </row>
    <row r="19" spans="1:5">
      <c r="A19" s="23" t="s">
        <v>19</v>
      </c>
      <c r="B19" s="20">
        <f>'Machinery Inventory (Corn)'!D19</f>
        <v>20</v>
      </c>
      <c r="C19" s="20">
        <f>'Machinery Inventory (Corn)'!H19</f>
        <v>10</v>
      </c>
      <c r="D19" s="20">
        <f>'Machinery Inventory (Corn)'!R19</f>
        <v>4</v>
      </c>
      <c r="E19" s="20">
        <f>'Machinery Inventory (Corn)'!AB19</f>
        <v>26</v>
      </c>
    </row>
    <row r="20" spans="1:5">
      <c r="A20" s="23" t="s">
        <v>20</v>
      </c>
      <c r="B20" s="20">
        <f>'Machinery Inventory (Corn)'!D20</f>
        <v>13</v>
      </c>
      <c r="C20" s="20">
        <f>'Machinery Inventory (Corn)'!H20</f>
        <v>0</v>
      </c>
      <c r="D20" s="20">
        <f>'Machinery Inventory (Corn)'!R20</f>
        <v>3</v>
      </c>
      <c r="E20" s="20">
        <f>'Machinery Inventory (Corn)'!AB20</f>
        <v>8</v>
      </c>
    </row>
    <row r="21" spans="1:5">
      <c r="A21" s="23" t="s">
        <v>21</v>
      </c>
      <c r="B21" s="20">
        <f>'Machinery Inventory (Corn)'!D21</f>
        <v>27</v>
      </c>
      <c r="C21" s="20">
        <f>'Machinery Inventory (Corn)'!H21</f>
        <v>2</v>
      </c>
      <c r="D21" s="20">
        <f>'Machinery Inventory (Corn)'!R21</f>
        <v>2</v>
      </c>
      <c r="E21" s="20">
        <f>'Machinery Inventory (Corn)'!AB21</f>
        <v>4</v>
      </c>
    </row>
    <row r="22" spans="1:5">
      <c r="A22" s="23" t="s">
        <v>22</v>
      </c>
      <c r="B22" s="20">
        <f>'Machinery Inventory (Corn)'!D22</f>
        <v>87</v>
      </c>
      <c r="C22" s="20">
        <f>'Machinery Inventory (Corn)'!H22</f>
        <v>9</v>
      </c>
      <c r="D22" s="20">
        <f>'Machinery Inventory (Corn)'!R22</f>
        <v>12</v>
      </c>
      <c r="E22" s="20">
        <f>'Machinery Inventory (Corn)'!AB22</f>
        <v>33</v>
      </c>
    </row>
    <row r="23" spans="1:5">
      <c r="A23" s="23" t="s">
        <v>23</v>
      </c>
      <c r="B23" s="20">
        <f>'Machinery Inventory (Corn)'!D23</f>
        <v>36</v>
      </c>
      <c r="C23" s="20">
        <f>'Machinery Inventory (Corn)'!H23</f>
        <v>12</v>
      </c>
      <c r="D23" s="20">
        <f>'Machinery Inventory (Corn)'!R23</f>
        <v>5</v>
      </c>
      <c r="E23" s="20">
        <f>'Machinery Inventory (Corn)'!AB23</f>
        <v>42</v>
      </c>
    </row>
    <row r="24" spans="1:5">
      <c r="A24" s="23" t="s">
        <v>24</v>
      </c>
      <c r="B24" s="20">
        <f>'Machinery Inventory (Corn)'!D24</f>
        <v>48</v>
      </c>
      <c r="C24" s="20">
        <f>'Machinery Inventory (Corn)'!H24</f>
        <v>13</v>
      </c>
      <c r="D24" s="20">
        <f>'Machinery Inventory (Corn)'!R24</f>
        <v>4</v>
      </c>
      <c r="E24" s="20">
        <f>'Machinery Inventory (Corn)'!AB24</f>
        <v>37</v>
      </c>
    </row>
    <row r="25" spans="1:5">
      <c r="A25" s="23" t="s">
        <v>25</v>
      </c>
      <c r="B25" s="20">
        <f>'Machinery Inventory (Corn)'!D25</f>
        <v>18</v>
      </c>
      <c r="C25" s="20">
        <f>'Machinery Inventory (Corn)'!H25</f>
        <v>1</v>
      </c>
      <c r="D25" s="20">
        <f>'Machinery Inventory (Corn)'!R25</f>
        <v>2</v>
      </c>
      <c r="E25" s="20">
        <f>'Machinery Inventory (Corn)'!AB25</f>
        <v>27</v>
      </c>
    </row>
    <row r="26" spans="1:5">
      <c r="A26" s="23" t="s">
        <v>64</v>
      </c>
      <c r="B26" s="20">
        <f>'Machinery Inventory (Corn)'!D26</f>
        <v>28</v>
      </c>
      <c r="C26" s="20">
        <f>'Machinery Inventory (Corn)'!H26</f>
        <v>7</v>
      </c>
      <c r="D26" s="20">
        <f>'Machinery Inventory (Corn)'!R26</f>
        <v>15</v>
      </c>
      <c r="E26" s="20">
        <f>'Machinery Inventory (Corn)'!AB26</f>
        <v>34</v>
      </c>
    </row>
    <row r="27" spans="1:5">
      <c r="A27" s="23" t="s">
        <v>72</v>
      </c>
      <c r="B27" s="20">
        <f>'Machinery Inventory (Corn)'!D27</f>
        <v>14</v>
      </c>
      <c r="C27" s="20">
        <f>'Machinery Inventory (Corn)'!H27</f>
        <v>0</v>
      </c>
      <c r="D27" s="20">
        <f>'Machinery Inventory (Corn)'!R27</f>
        <v>1</v>
      </c>
      <c r="E27" s="20">
        <f>'Machinery Inventory (Corn)'!AB27</f>
        <v>11</v>
      </c>
    </row>
    <row r="28" spans="1:5">
      <c r="A28" s="23" t="s">
        <v>26</v>
      </c>
      <c r="B28" s="20">
        <f>'Machinery Inventory (Corn)'!D28</f>
        <v>16</v>
      </c>
      <c r="C28" s="20">
        <f>'Machinery Inventory (Corn)'!H28</f>
        <v>1</v>
      </c>
      <c r="D28" s="20">
        <f>'Machinery Inventory (Corn)'!R28</f>
        <v>6</v>
      </c>
      <c r="E28" s="20">
        <f>'Machinery Inventory (Corn)'!AB28</f>
        <v>13</v>
      </c>
    </row>
    <row r="29" spans="1:5">
      <c r="A29" s="23" t="s">
        <v>57</v>
      </c>
      <c r="B29" s="20">
        <f>'Machinery Inventory (Corn)'!D29</f>
        <v>37</v>
      </c>
      <c r="C29" s="20">
        <f>'Machinery Inventory (Corn)'!H29</f>
        <v>5</v>
      </c>
      <c r="D29" s="20">
        <f>'Machinery Inventory (Corn)'!R29</f>
        <v>11</v>
      </c>
      <c r="E29" s="20">
        <f>'Machinery Inventory (Corn)'!AB29</f>
        <v>63</v>
      </c>
    </row>
    <row r="30" spans="1:5">
      <c r="A30" s="23" t="s">
        <v>74</v>
      </c>
      <c r="B30" s="20">
        <f>'Machinery Inventory (Corn)'!D30</f>
        <v>13</v>
      </c>
      <c r="C30" s="20">
        <f>'Machinery Inventory (Corn)'!H30</f>
        <v>0</v>
      </c>
      <c r="D30" s="20">
        <f>'Machinery Inventory (Corn)'!R30</f>
        <v>5</v>
      </c>
      <c r="E30" s="20">
        <f>'Machinery Inventory (Corn)'!AB30</f>
        <v>9</v>
      </c>
    </row>
    <row r="31" spans="1:5">
      <c r="A31" s="23" t="s">
        <v>27</v>
      </c>
      <c r="B31" s="20">
        <f>'Machinery Inventory (Corn)'!D31</f>
        <v>4</v>
      </c>
      <c r="C31" s="20">
        <f>'Machinery Inventory (Corn)'!H31</f>
        <v>0</v>
      </c>
      <c r="D31" s="20">
        <f>'Machinery Inventory (Corn)'!R31</f>
        <v>0</v>
      </c>
      <c r="E31" s="20">
        <f>'Machinery Inventory (Corn)'!AB31</f>
        <v>14</v>
      </c>
    </row>
    <row r="32" spans="1:5">
      <c r="A32" s="23" t="s">
        <v>28</v>
      </c>
      <c r="B32" s="20">
        <f>'Machinery Inventory (Corn)'!D32</f>
        <v>66</v>
      </c>
      <c r="C32" s="20">
        <f>'Machinery Inventory (Corn)'!H32</f>
        <v>38</v>
      </c>
      <c r="D32" s="20">
        <f>'Machinery Inventory (Corn)'!R32</f>
        <v>37</v>
      </c>
      <c r="E32" s="20">
        <f>'Machinery Inventory (Corn)'!AB32</f>
        <v>43</v>
      </c>
    </row>
    <row r="33" spans="1:5">
      <c r="A33" s="23" t="s">
        <v>29</v>
      </c>
      <c r="B33" s="20">
        <f>'Machinery Inventory (Corn)'!D33</f>
        <v>18</v>
      </c>
      <c r="C33" s="20">
        <f>'Machinery Inventory (Corn)'!H33</f>
        <v>1</v>
      </c>
      <c r="D33" s="20">
        <f>'Machinery Inventory (Corn)'!R33</f>
        <v>6</v>
      </c>
      <c r="E33" s="20">
        <f>'Machinery Inventory (Corn)'!AB33</f>
        <v>15</v>
      </c>
    </row>
    <row r="34" spans="1:5">
      <c r="A34" s="23" t="s">
        <v>30</v>
      </c>
      <c r="B34" s="20">
        <f>'Machinery Inventory (Corn)'!D34</f>
        <v>31</v>
      </c>
      <c r="C34" s="20">
        <f>'Machinery Inventory (Corn)'!H34</f>
        <v>15</v>
      </c>
      <c r="D34" s="20">
        <f>'Machinery Inventory (Corn)'!R34</f>
        <v>13</v>
      </c>
      <c r="E34" s="20">
        <f>'Machinery Inventory (Corn)'!AB34</f>
        <v>31</v>
      </c>
    </row>
    <row r="35" spans="1:5">
      <c r="A35" s="23" t="s">
        <v>31</v>
      </c>
      <c r="B35" s="20">
        <f>'Machinery Inventory (Corn)'!D35</f>
        <v>6</v>
      </c>
      <c r="C35" s="20">
        <f>'Machinery Inventory (Corn)'!H35</f>
        <v>0</v>
      </c>
      <c r="D35" s="20">
        <f>'Machinery Inventory (Corn)'!R35</f>
        <v>1</v>
      </c>
      <c r="E35" s="20">
        <f>'Machinery Inventory (Corn)'!AB35</f>
        <v>13</v>
      </c>
    </row>
    <row r="36" spans="1:5">
      <c r="A36" s="23" t="s">
        <v>32</v>
      </c>
      <c r="B36" s="20">
        <f>'Machinery Inventory (Corn)'!D36</f>
        <v>20</v>
      </c>
      <c r="C36" s="20">
        <f>'Machinery Inventory (Corn)'!H36</f>
        <v>0</v>
      </c>
      <c r="D36" s="20">
        <f>'Machinery Inventory (Corn)'!R36</f>
        <v>11</v>
      </c>
      <c r="E36" s="20">
        <f>'Machinery Inventory (Corn)'!AB36</f>
        <v>32</v>
      </c>
    </row>
    <row r="37" spans="1:5">
      <c r="A37" s="23" t="s">
        <v>33</v>
      </c>
      <c r="B37" s="20">
        <f>'Machinery Inventory (Corn)'!D37</f>
        <v>9</v>
      </c>
      <c r="C37" s="20">
        <f>'Machinery Inventory (Corn)'!H37</f>
        <v>0</v>
      </c>
      <c r="D37" s="20">
        <f>'Machinery Inventory (Corn)'!R37</f>
        <v>7</v>
      </c>
      <c r="E37" s="20">
        <f>'Machinery Inventory (Corn)'!AB37</f>
        <v>7</v>
      </c>
    </row>
    <row r="38" spans="1:5">
      <c r="A38" s="23" t="s">
        <v>34</v>
      </c>
      <c r="B38" s="20">
        <f>'Machinery Inventory (Corn)'!D38</f>
        <v>55</v>
      </c>
      <c r="C38" s="20">
        <f>'Machinery Inventory (Corn)'!H38</f>
        <v>14</v>
      </c>
      <c r="D38" s="20">
        <f>'Machinery Inventory (Corn)'!R38</f>
        <v>53</v>
      </c>
      <c r="E38" s="20">
        <f>'Machinery Inventory (Corn)'!AB38</f>
        <v>124</v>
      </c>
    </row>
    <row r="39" spans="1:5">
      <c r="A39" s="23" t="s">
        <v>35</v>
      </c>
      <c r="B39" s="20">
        <f>'Machinery Inventory (Corn)'!D39</f>
        <v>4</v>
      </c>
      <c r="C39" s="20">
        <f>'Machinery Inventory (Corn)'!H39</f>
        <v>0</v>
      </c>
      <c r="D39" s="20">
        <f>'Machinery Inventory (Corn)'!R39</f>
        <v>0</v>
      </c>
      <c r="E39" s="20">
        <f>'Machinery Inventory (Corn)'!AB39</f>
        <v>0</v>
      </c>
    </row>
    <row r="40" spans="1:5">
      <c r="A40" s="23" t="s">
        <v>36</v>
      </c>
      <c r="B40" s="20">
        <f>'Machinery Inventory (Corn)'!D40</f>
        <v>13</v>
      </c>
      <c r="C40" s="20">
        <f>'Machinery Inventory (Corn)'!H40</f>
        <v>2</v>
      </c>
      <c r="D40" s="20">
        <f>'Machinery Inventory (Corn)'!R40</f>
        <v>5</v>
      </c>
      <c r="E40" s="20">
        <f>'Machinery Inventory (Corn)'!AB40</f>
        <v>44</v>
      </c>
    </row>
    <row r="41" spans="1:5">
      <c r="A41" s="23" t="s">
        <v>37</v>
      </c>
      <c r="B41" s="20">
        <f>'Machinery Inventory (Corn)'!D41</f>
        <v>10</v>
      </c>
      <c r="C41" s="20">
        <f>'Machinery Inventory (Corn)'!H41</f>
        <v>0</v>
      </c>
      <c r="D41" s="20">
        <f>'Machinery Inventory (Corn)'!R41</f>
        <v>6</v>
      </c>
      <c r="E41" s="20">
        <f>'Machinery Inventory (Corn)'!AB41</f>
        <v>6</v>
      </c>
    </row>
    <row r="42" spans="1:5">
      <c r="A42" s="23" t="s">
        <v>38</v>
      </c>
      <c r="B42" s="20">
        <f>'Machinery Inventory (Corn)'!D42</f>
        <v>7</v>
      </c>
      <c r="C42" s="20">
        <f>'Machinery Inventory (Corn)'!H42</f>
        <v>0</v>
      </c>
      <c r="D42" s="20">
        <f>'Machinery Inventory (Corn)'!R42</f>
        <v>8</v>
      </c>
      <c r="E42" s="20">
        <f>'Machinery Inventory (Corn)'!AB42</f>
        <v>32</v>
      </c>
    </row>
    <row r="43" spans="1:5">
      <c r="A43" s="23" t="s">
        <v>39</v>
      </c>
      <c r="B43" s="20">
        <f>'Machinery Inventory (Corn)'!D43</f>
        <v>9</v>
      </c>
      <c r="C43" s="20">
        <f>'Machinery Inventory (Corn)'!H43</f>
        <v>0</v>
      </c>
      <c r="D43" s="20">
        <f>'Machinery Inventory (Corn)'!R43</f>
        <v>10</v>
      </c>
      <c r="E43" s="20">
        <f>'Machinery Inventory (Corn)'!AB43</f>
        <v>33</v>
      </c>
    </row>
    <row r="44" spans="1:5">
      <c r="A44" s="23" t="s">
        <v>40</v>
      </c>
      <c r="B44" s="20">
        <f>'Machinery Inventory (Corn)'!D44</f>
        <v>12</v>
      </c>
      <c r="C44" s="20">
        <f>'Machinery Inventory (Corn)'!H44</f>
        <v>0</v>
      </c>
      <c r="D44" s="20">
        <f>'Machinery Inventory (Corn)'!R44</f>
        <v>24</v>
      </c>
      <c r="E44" s="20">
        <f>'Machinery Inventory (Corn)'!AB44</f>
        <v>65</v>
      </c>
    </row>
    <row r="45" spans="1:5">
      <c r="A45" s="23" t="s">
        <v>41</v>
      </c>
      <c r="B45" s="20">
        <f>'Machinery Inventory (Corn)'!D45</f>
        <v>4</v>
      </c>
      <c r="C45" s="20">
        <f>'Machinery Inventory (Corn)'!H45</f>
        <v>0</v>
      </c>
      <c r="D45" s="20">
        <f>'Machinery Inventory (Corn)'!R45</f>
        <v>1</v>
      </c>
      <c r="E45" s="20">
        <f>'Machinery Inventory (Corn)'!AB45</f>
        <v>4</v>
      </c>
    </row>
    <row r="46" spans="1:5">
      <c r="A46" s="23" t="s">
        <v>42</v>
      </c>
      <c r="B46" s="20">
        <f>'Machinery Inventory (Corn)'!D46</f>
        <v>23</v>
      </c>
      <c r="C46" s="20">
        <f>'Machinery Inventory (Corn)'!H46</f>
        <v>0</v>
      </c>
      <c r="D46" s="20">
        <f>'Machinery Inventory (Corn)'!R46</f>
        <v>33</v>
      </c>
      <c r="E46" s="20">
        <f>'Machinery Inventory (Corn)'!AB46</f>
        <v>100</v>
      </c>
    </row>
    <row r="47" spans="1:5">
      <c r="A47" s="23" t="s">
        <v>43</v>
      </c>
      <c r="B47" s="20">
        <f>'Machinery Inventory (Corn)'!D47</f>
        <v>14</v>
      </c>
      <c r="C47" s="20">
        <f>'Machinery Inventory (Corn)'!H47</f>
        <v>0</v>
      </c>
      <c r="D47" s="20">
        <f>'Machinery Inventory (Corn)'!R47</f>
        <v>10</v>
      </c>
      <c r="E47" s="20">
        <f>'Machinery Inventory (Corn)'!AB47</f>
        <v>29</v>
      </c>
    </row>
    <row r="48" spans="1:5">
      <c r="A48" s="23" t="s">
        <v>77</v>
      </c>
      <c r="B48" s="20">
        <f>'Machinery Inventory (Corn)'!D48</f>
        <v>22</v>
      </c>
      <c r="C48" s="20">
        <f>'Machinery Inventory (Corn)'!H48</f>
        <v>2</v>
      </c>
      <c r="D48" s="20">
        <f>'Machinery Inventory (Corn)'!R48</f>
        <v>5</v>
      </c>
      <c r="E48" s="20">
        <f>'Machinery Inventory (Corn)'!AB48</f>
        <v>59</v>
      </c>
    </row>
    <row r="49" spans="1:5">
      <c r="A49" s="23" t="s">
        <v>78</v>
      </c>
      <c r="B49" s="20">
        <f>'Machinery Inventory (Corn)'!D49</f>
        <v>17</v>
      </c>
      <c r="C49" s="20">
        <f>'Machinery Inventory (Corn)'!H49</f>
        <v>0</v>
      </c>
      <c r="D49" s="20">
        <f>'Machinery Inventory (Corn)'!R49</f>
        <v>0</v>
      </c>
      <c r="E49" s="20">
        <f>'Machinery Inventory (Corn)'!AB49</f>
        <v>66</v>
      </c>
    </row>
    <row r="50" spans="1:5">
      <c r="A50" s="23" t="s">
        <v>79</v>
      </c>
      <c r="B50" s="20">
        <f>'Machinery Inventory (Corn)'!D50</f>
        <v>12</v>
      </c>
      <c r="C50" s="20">
        <f>'Machinery Inventory (Corn)'!H50</f>
        <v>2</v>
      </c>
      <c r="D50" s="20">
        <f>'Machinery Inventory (Corn)'!R50</f>
        <v>1</v>
      </c>
      <c r="E50" s="20">
        <f>'Machinery Inventory (Corn)'!AB50</f>
        <v>55</v>
      </c>
    </row>
    <row r="51" spans="1:5">
      <c r="A51" s="23" t="s">
        <v>80</v>
      </c>
      <c r="B51" s="20">
        <f>'Machinery Inventory (Corn)'!D51</f>
        <v>4</v>
      </c>
      <c r="C51" s="20">
        <f>'Machinery Inventory (Corn)'!H51</f>
        <v>0</v>
      </c>
      <c r="D51" s="20">
        <f>'Machinery Inventory (Corn)'!R51</f>
        <v>0</v>
      </c>
      <c r="E51" s="20">
        <f>'Machinery Inventory (Corn)'!AB51</f>
        <v>19</v>
      </c>
    </row>
    <row r="52" spans="1:5">
      <c r="A52" s="23" t="s">
        <v>44</v>
      </c>
      <c r="B52" s="20">
        <f>'Machinery Inventory (Corn)'!D52</f>
        <v>0</v>
      </c>
      <c r="C52" s="20">
        <f>'Machinery Inventory (Corn)'!H52</f>
        <v>0</v>
      </c>
      <c r="D52" s="20">
        <f>'Machinery Inventory (Corn)'!R52</f>
        <v>0</v>
      </c>
      <c r="E52" s="20">
        <f>'Machinery Inventory (Corn)'!AB52</f>
        <v>7</v>
      </c>
    </row>
    <row r="53" spans="1:5">
      <c r="A53" s="23" t="s">
        <v>92</v>
      </c>
      <c r="B53" s="20">
        <f>'Machinery Inventory (Corn)'!D53</f>
        <v>5</v>
      </c>
      <c r="C53" s="20">
        <f>'Machinery Inventory (Corn)'!H53</f>
        <v>0</v>
      </c>
      <c r="D53" s="20">
        <f>'Machinery Inventory (Corn)'!R53</f>
        <v>1</v>
      </c>
      <c r="E53" s="20">
        <f>'Machinery Inventory (Corn)'!AB53</f>
        <v>9</v>
      </c>
    </row>
    <row r="54" spans="1:5">
      <c r="A54" s="23" t="s">
        <v>91</v>
      </c>
      <c r="B54" s="20">
        <f>'Machinery Inventory (Corn)'!D54</f>
        <v>26</v>
      </c>
      <c r="C54" s="20">
        <f>'Machinery Inventory (Corn)'!H54</f>
        <v>0</v>
      </c>
      <c r="D54" s="20">
        <f>'Machinery Inventory (Corn)'!R54</f>
        <v>0</v>
      </c>
      <c r="E54" s="20">
        <f>'Machinery Inventory (Corn)'!AB54</f>
        <v>107</v>
      </c>
    </row>
    <row r="55" spans="1:5">
      <c r="A55" s="23" t="s">
        <v>94</v>
      </c>
      <c r="B55" s="20">
        <f>'Machinery Inventory (Corn)'!D55</f>
        <v>5</v>
      </c>
      <c r="C55" s="20">
        <f>'Machinery Inventory (Corn)'!H55</f>
        <v>0</v>
      </c>
      <c r="D55" s="20">
        <f>'Machinery Inventory (Corn)'!R55</f>
        <v>2</v>
      </c>
      <c r="E55" s="20">
        <f>'Machinery Inventory (Corn)'!AB55</f>
        <v>15</v>
      </c>
    </row>
    <row r="56" spans="1:5">
      <c r="A56" s="23" t="s">
        <v>45</v>
      </c>
      <c r="B56" s="20">
        <f>'Machinery Inventory (Corn)'!D56</f>
        <v>7</v>
      </c>
      <c r="C56" s="20">
        <f>'Machinery Inventory (Corn)'!H56</f>
        <v>0</v>
      </c>
      <c r="D56" s="20">
        <f>'Machinery Inventory (Corn)'!R56</f>
        <v>1</v>
      </c>
      <c r="E56" s="20">
        <f>'Machinery Inventory (Corn)'!AB56</f>
        <v>22</v>
      </c>
    </row>
    <row r="57" spans="1:5">
      <c r="A57" s="23" t="s">
        <v>46</v>
      </c>
      <c r="B57" s="20">
        <f>'Machinery Inventory (Corn)'!D57</f>
        <v>2</v>
      </c>
      <c r="C57" s="20">
        <f>'Machinery Inventory (Corn)'!H57</f>
        <v>0</v>
      </c>
      <c r="D57" s="20">
        <f>'Machinery Inventory (Corn)'!R57</f>
        <v>0</v>
      </c>
      <c r="E57" s="20">
        <f>'Machinery Inventory (Corn)'!AB57</f>
        <v>13</v>
      </c>
    </row>
    <row r="58" spans="1:5">
      <c r="A58" s="23" t="s">
        <v>210</v>
      </c>
      <c r="B58" s="20">
        <f>'Machinery Inventory (Corn)'!D58</f>
        <v>23</v>
      </c>
      <c r="C58" s="20">
        <f>'Machinery Inventory (Corn)'!H58</f>
        <v>0</v>
      </c>
      <c r="D58" s="20">
        <f>'Machinery Inventory (Corn)'!R58</f>
        <v>10</v>
      </c>
      <c r="E58" s="20">
        <f>'Machinery Inventory (Corn)'!AB58</f>
        <v>90</v>
      </c>
    </row>
    <row r="59" spans="1:5">
      <c r="A59" s="23" t="s">
        <v>211</v>
      </c>
      <c r="B59" s="20">
        <f>'Machinery Inventory (Corn)'!D59</f>
        <v>22</v>
      </c>
      <c r="C59" s="20">
        <f>'Machinery Inventory (Corn)'!H59</f>
        <v>0</v>
      </c>
      <c r="D59" s="20">
        <f>'Machinery Inventory (Corn)'!R59</f>
        <v>12</v>
      </c>
      <c r="E59" s="20">
        <f>'Machinery Inventory (Corn)'!AB59</f>
        <v>127</v>
      </c>
    </row>
    <row r="60" spans="1:5">
      <c r="A60" s="23" t="s">
        <v>47</v>
      </c>
      <c r="B60" s="20">
        <f>'Machinery Inventory (Corn)'!D60</f>
        <v>9</v>
      </c>
      <c r="C60" s="20">
        <f>'Machinery Inventory (Corn)'!H60</f>
        <v>0</v>
      </c>
      <c r="D60" s="20">
        <f>'Machinery Inventory (Corn)'!R60</f>
        <v>2</v>
      </c>
      <c r="E60" s="20">
        <f>'Machinery Inventory (Corn)'!AB60</f>
        <v>29</v>
      </c>
    </row>
    <row r="61" spans="1:5">
      <c r="A61" s="23" t="s">
        <v>55</v>
      </c>
      <c r="B61" s="20">
        <f>'Machinery Inventory (Corn)'!D61</f>
        <v>96</v>
      </c>
      <c r="C61" s="20">
        <f>'Machinery Inventory (Corn)'!H61</f>
        <v>23</v>
      </c>
      <c r="D61" s="20">
        <f>'Machinery Inventory (Corn)'!R61</f>
        <v>19</v>
      </c>
      <c r="E61" s="20">
        <f>'Machinery Inventory (Corn)'!AB61</f>
        <v>337</v>
      </c>
    </row>
    <row r="62" spans="1:5">
      <c r="A62" s="23" t="s">
        <v>48</v>
      </c>
      <c r="B62" s="20">
        <f>'Machinery Inventory (Corn)'!D62</f>
        <v>1</v>
      </c>
      <c r="C62" s="20">
        <f>'Machinery Inventory (Corn)'!H62</f>
        <v>0</v>
      </c>
      <c r="D62" s="20">
        <f>'Machinery Inventory (Corn)'!R62</f>
        <v>0</v>
      </c>
      <c r="E62" s="20">
        <f>'Machinery Inventory (Corn)'!AB62</f>
        <v>7</v>
      </c>
    </row>
    <row r="63" spans="1:5">
      <c r="A63" s="23" t="s">
        <v>209</v>
      </c>
      <c r="B63" s="20">
        <f>'Machinery Inventory (Corn)'!D63</f>
        <v>42</v>
      </c>
      <c r="C63" s="20">
        <f>'Machinery Inventory (Corn)'!H63</f>
        <v>6</v>
      </c>
      <c r="D63" s="20">
        <f>'Machinery Inventory (Corn)'!R63</f>
        <v>5</v>
      </c>
      <c r="E63" s="20">
        <f>'Machinery Inventory (Corn)'!AB63</f>
        <v>187</v>
      </c>
    </row>
    <row r="64" spans="1:5">
      <c r="A64" s="23" t="s">
        <v>59</v>
      </c>
      <c r="B64" s="20">
        <f>'Machinery Inventory (Corn)'!D64</f>
        <v>56</v>
      </c>
      <c r="C64" s="20">
        <f>'Machinery Inventory (Corn)'!H64</f>
        <v>4</v>
      </c>
      <c r="D64" s="20">
        <f>'Machinery Inventory (Corn)'!R64</f>
        <v>3</v>
      </c>
      <c r="E64" s="20">
        <f>'Machinery Inventory (Corn)'!AB64</f>
        <v>95</v>
      </c>
    </row>
    <row r="65" spans="1:5">
      <c r="A65" s="23" t="s">
        <v>81</v>
      </c>
      <c r="B65" s="20">
        <f>'Machinery Inventory (Corn)'!D65</f>
        <v>26</v>
      </c>
      <c r="C65" s="20">
        <f>'Machinery Inventory (Corn)'!H65</f>
        <v>3</v>
      </c>
      <c r="D65" s="20">
        <f>'Machinery Inventory (Corn)'!R65</f>
        <v>7</v>
      </c>
      <c r="E65" s="20">
        <f>'Machinery Inventory (Corn)'!AB65</f>
        <v>85</v>
      </c>
    </row>
    <row r="66" spans="1:5">
      <c r="A66" s="23" t="s">
        <v>207</v>
      </c>
      <c r="B66" s="20">
        <f>'Machinery Inventory (Corn)'!D66</f>
        <v>16</v>
      </c>
      <c r="C66" s="20">
        <f>'Machinery Inventory (Corn)'!H66</f>
        <v>0</v>
      </c>
      <c r="D66" s="20">
        <f>'Machinery Inventory (Corn)'!R66</f>
        <v>4</v>
      </c>
      <c r="E66" s="20">
        <f>'Machinery Inventory (Corn)'!AB66</f>
        <v>53</v>
      </c>
    </row>
    <row r="67" spans="1:5">
      <c r="A67" s="23" t="s">
        <v>208</v>
      </c>
      <c r="B67" s="20">
        <f>'Machinery Inventory (Corn)'!D67</f>
        <v>24</v>
      </c>
      <c r="C67" s="20">
        <f>'Machinery Inventory (Corn)'!H67</f>
        <v>0</v>
      </c>
      <c r="D67" s="20">
        <f>'Machinery Inventory (Corn)'!R67</f>
        <v>2</v>
      </c>
      <c r="E67" s="20">
        <f>'Machinery Inventory (Corn)'!AB67</f>
        <v>83</v>
      </c>
    </row>
    <row r="68" spans="1:5">
      <c r="A68" s="23" t="s">
        <v>83</v>
      </c>
      <c r="B68" s="20">
        <f>'Machinery Inventory (Corn)'!D68</f>
        <v>7</v>
      </c>
      <c r="C68" s="20">
        <f>'Machinery Inventory (Corn)'!H68</f>
        <v>0</v>
      </c>
      <c r="D68" s="20">
        <f>'Machinery Inventory (Corn)'!R68</f>
        <v>2</v>
      </c>
      <c r="E68" s="20">
        <f>'Machinery Inventory (Corn)'!AB68</f>
        <v>37</v>
      </c>
    </row>
    <row r="69" spans="1:5">
      <c r="A69" s="23" t="s">
        <v>96</v>
      </c>
      <c r="B69" s="20">
        <f>'Machinery Inventory (Corn)'!D69</f>
        <v>11</v>
      </c>
      <c r="C69" s="20">
        <f>'Machinery Inventory (Corn)'!H69</f>
        <v>0</v>
      </c>
      <c r="D69" s="20">
        <f>'Machinery Inventory (Corn)'!R69</f>
        <v>2</v>
      </c>
      <c r="E69" s="20">
        <f>'Machinery Inventory (Corn)'!AB69</f>
        <v>53</v>
      </c>
    </row>
    <row r="70" spans="1:5">
      <c r="A70" s="23" t="s">
        <v>212</v>
      </c>
      <c r="B70" s="20">
        <f>'Machinery Inventory (Corn)'!D70</f>
        <v>17</v>
      </c>
      <c r="C70" s="20">
        <f>'Machinery Inventory (Corn)'!H70</f>
        <v>2</v>
      </c>
      <c r="D70" s="20">
        <f>'Machinery Inventory (Corn)'!R70</f>
        <v>3</v>
      </c>
      <c r="E70" s="20">
        <f>'Machinery Inventory (Corn)'!AB70</f>
        <v>60</v>
      </c>
    </row>
    <row r="71" spans="1:5">
      <c r="A71" s="23" t="s">
        <v>49</v>
      </c>
      <c r="B71" s="20">
        <f>'Machinery Inventory (Corn)'!D71</f>
        <v>19</v>
      </c>
      <c r="C71" s="20">
        <f>'Machinery Inventory (Corn)'!H71</f>
        <v>2</v>
      </c>
      <c r="D71" s="20">
        <f>'Machinery Inventory (Corn)'!R71</f>
        <v>4</v>
      </c>
      <c r="E71" s="20">
        <f>'Machinery Inventory (Corn)'!AB71</f>
        <v>117</v>
      </c>
    </row>
    <row r="72" spans="1:5">
      <c r="A72" s="23" t="s">
        <v>50</v>
      </c>
      <c r="B72" s="20">
        <f>'Machinery Inventory (Corn)'!D72</f>
        <v>42</v>
      </c>
      <c r="C72" s="20">
        <f>'Machinery Inventory (Corn)'!H72</f>
        <v>3</v>
      </c>
      <c r="D72" s="20">
        <f>'Machinery Inventory (Corn)'!R72</f>
        <v>13</v>
      </c>
      <c r="E72" s="20">
        <f>'Machinery Inventory (Corn)'!AB72</f>
        <v>124</v>
      </c>
    </row>
    <row r="73" spans="1:5">
      <c r="A73" s="23" t="s">
        <v>51</v>
      </c>
      <c r="B73" s="20">
        <f>'Machinery Inventory (Corn)'!D73</f>
        <v>41</v>
      </c>
      <c r="C73" s="20">
        <f>'Machinery Inventory (Corn)'!H73</f>
        <v>6</v>
      </c>
      <c r="D73" s="20">
        <f>'Machinery Inventory (Corn)'!R73</f>
        <v>20</v>
      </c>
      <c r="E73" s="20">
        <f>'Machinery Inventory (Corn)'!AB73</f>
        <v>155</v>
      </c>
    </row>
    <row r="74" spans="1:5">
      <c r="A74" s="23" t="s">
        <v>213</v>
      </c>
      <c r="B74" s="20">
        <f>'Machinery Inventory (Corn)'!D74</f>
        <v>78</v>
      </c>
      <c r="C74" s="20">
        <f>'Machinery Inventory (Corn)'!H74</f>
        <v>17</v>
      </c>
      <c r="D74" s="20">
        <f>'Machinery Inventory (Corn)'!R74</f>
        <v>20</v>
      </c>
      <c r="E74" s="20">
        <f>'Machinery Inventory (Corn)'!AB74</f>
        <v>210</v>
      </c>
    </row>
    <row r="75" spans="1:5">
      <c r="A75" s="23" t="s">
        <v>145</v>
      </c>
      <c r="B75" s="20">
        <f>'Machinery Inventory (Corn)'!D75</f>
        <v>19</v>
      </c>
      <c r="C75" s="20">
        <f>'Machinery Inventory (Corn)'!H75</f>
        <v>3</v>
      </c>
      <c r="D75" s="20">
        <f>'Machinery Inventory (Corn)'!R75</f>
        <v>10</v>
      </c>
      <c r="E75" s="20">
        <f>'Machinery Inventory (Corn)'!AB75</f>
        <v>28</v>
      </c>
    </row>
    <row r="76" spans="1:5">
      <c r="A76" s="23" t="s">
        <v>204</v>
      </c>
      <c r="B76" s="20">
        <f>'Machinery Inventory (Corn)'!D76</f>
        <v>41</v>
      </c>
      <c r="C76" s="20">
        <f>'Machinery Inventory (Corn)'!H76</f>
        <v>11</v>
      </c>
      <c r="D76" s="20">
        <f>'Machinery Inventory (Corn)'!R76</f>
        <v>9</v>
      </c>
      <c r="E76" s="20">
        <f>'Machinery Inventory (Corn)'!AB76</f>
        <v>42</v>
      </c>
    </row>
    <row r="77" spans="1:5">
      <c r="A77" s="23" t="s">
        <v>52</v>
      </c>
      <c r="B77" s="20">
        <f>'Machinery Inventory (Corn)'!D77</f>
        <v>4</v>
      </c>
      <c r="C77" s="20">
        <f>'Machinery Inventory (Corn)'!H77</f>
        <v>0</v>
      </c>
      <c r="D77" s="20">
        <f>'Machinery Inventory (Corn)'!R77</f>
        <v>0</v>
      </c>
      <c r="E77" s="20">
        <f>'Machinery Inventory (Corn)'!AB77</f>
        <v>10</v>
      </c>
    </row>
    <row r="78" spans="1:5">
      <c r="A78" s="23" t="s">
        <v>205</v>
      </c>
      <c r="B78" s="20">
        <f>'Machinery Inventory (Corn)'!D78</f>
        <v>12</v>
      </c>
      <c r="C78" s="20">
        <f>'Machinery Inventory (Corn)'!H78</f>
        <v>0</v>
      </c>
      <c r="D78" s="20">
        <f>'Machinery Inventory (Corn)'!R78</f>
        <v>9</v>
      </c>
      <c r="E78" s="20">
        <f>'Machinery Inventory (Corn)'!AB78</f>
        <v>20</v>
      </c>
    </row>
    <row r="79" spans="1:5">
      <c r="A79" s="23" t="s">
        <v>206</v>
      </c>
      <c r="B79" s="20">
        <f>'Machinery Inventory (Corn)'!D79</f>
        <v>14</v>
      </c>
      <c r="C79" s="20">
        <f>'Machinery Inventory (Corn)'!H79</f>
        <v>1</v>
      </c>
      <c r="D79" s="20">
        <f>'Machinery Inventory (Corn)'!R79</f>
        <v>4</v>
      </c>
      <c r="E79" s="20">
        <f>'Machinery Inventory (Corn)'!AB79</f>
        <v>14</v>
      </c>
    </row>
    <row r="80" spans="1:5">
      <c r="A80" s="23" t="s">
        <v>160</v>
      </c>
      <c r="B80" s="20">
        <f>'Machinery Inventory (Corn)'!D80</f>
        <v>4</v>
      </c>
      <c r="C80" s="20">
        <f>'Machinery Inventory (Corn)'!H80</f>
        <v>0</v>
      </c>
      <c r="D80" s="20">
        <f>'Machinery Inventory (Corn)'!R80</f>
        <v>0</v>
      </c>
      <c r="E80" s="20">
        <f>'Machinery Inventory (Corn)'!AB80</f>
        <v>3</v>
      </c>
    </row>
    <row r="81" spans="1:5">
      <c r="A81" s="23" t="s">
        <v>203</v>
      </c>
      <c r="B81" s="20">
        <f>'Machinery Inventory (Corn)'!D81</f>
        <v>0</v>
      </c>
      <c r="C81" s="20">
        <f>'Machinery Inventory (Corn)'!H81</f>
        <v>0</v>
      </c>
      <c r="D81" s="20">
        <f>'Machinery Inventory (Corn)'!R81</f>
        <v>0</v>
      </c>
      <c r="E81" s="20">
        <f>'Machinery Inventory (Corn)'!AB81</f>
        <v>1</v>
      </c>
    </row>
    <row r="82" spans="1:5">
      <c r="A82" s="23" t="s">
        <v>53</v>
      </c>
      <c r="B82" s="20">
        <f>'Machinery Inventory (Corn)'!D82</f>
        <v>1</v>
      </c>
      <c r="C82" s="20">
        <f>'Machinery Inventory (Corn)'!H82</f>
        <v>0</v>
      </c>
      <c r="D82" s="20">
        <f>'Machinery Inventory (Corn)'!R82</f>
        <v>0</v>
      </c>
      <c r="E82" s="20">
        <f>'Machinery Inventory (Corn)'!AB82</f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83"/>
  <sheetViews>
    <sheetView topLeftCell="A59" workbookViewId="0">
      <selection activeCell="C4" sqref="C4:C83"/>
    </sheetView>
  </sheetViews>
  <sheetFormatPr defaultColWidth="8.77734375" defaultRowHeight="14.4"/>
  <cols>
    <col min="1" max="1" width="20.77734375" customWidth="1"/>
    <col min="2" max="6" width="15.77734375" style="12" customWidth="1"/>
  </cols>
  <sheetData>
    <row r="1" spans="1:6" s="31" customFormat="1">
      <c r="A1" s="38"/>
      <c r="B1" s="16"/>
      <c r="C1" s="593" t="s">
        <v>6</v>
      </c>
      <c r="D1" s="593" t="s">
        <v>3</v>
      </c>
      <c r="E1" s="16" t="s">
        <v>2</v>
      </c>
      <c r="F1" s="16" t="s">
        <v>8</v>
      </c>
    </row>
    <row r="2" spans="1:6" s="31" customFormat="1" ht="43.2">
      <c r="A2" s="16" t="s">
        <v>249</v>
      </c>
      <c r="B2" s="593" t="s">
        <v>256</v>
      </c>
      <c r="C2" s="16">
        <v>4500</v>
      </c>
      <c r="D2" s="16">
        <f>'Operation Inventory (Corn)'!C2</f>
        <v>1760</v>
      </c>
      <c r="E2" s="593">
        <f>'Operation Inventory (Corn)'!D2</f>
        <v>2160</v>
      </c>
      <c r="F2" s="16">
        <f>'Operation Inventory (Corn)'!E2</f>
        <v>528</v>
      </c>
    </row>
    <row r="3" spans="1:6" s="31" customFormat="1" ht="28.8">
      <c r="A3" s="16" t="s">
        <v>202</v>
      </c>
      <c r="B3" s="593"/>
      <c r="C3" s="16" t="s">
        <v>54</v>
      </c>
      <c r="D3" s="16" t="s">
        <v>221</v>
      </c>
      <c r="E3" s="593" t="s">
        <v>222</v>
      </c>
      <c r="F3" s="16" t="s">
        <v>8</v>
      </c>
    </row>
    <row r="4" spans="1:6">
      <c r="A4" s="5" t="s">
        <v>88</v>
      </c>
      <c r="B4" s="39">
        <v>0.83</v>
      </c>
      <c r="C4" s="21">
        <f>ROUND('Operation Inventory (Corn)'!B4*$B4/(1-$B4), 0)</f>
        <v>73</v>
      </c>
      <c r="D4" s="21">
        <f>ROUND('Operation Inventory (Corn)'!C4*$B4/(1-$B4), 0)</f>
        <v>5</v>
      </c>
      <c r="E4" s="21">
        <f>ROUND('Operation Inventory (Corn)'!D4*$B4/(1-$B4), 0)</f>
        <v>0</v>
      </c>
      <c r="F4" s="21">
        <f>ROUND('Operation Inventory (Corn)'!E4*$B4/(1-$B4), 0)</f>
        <v>371</v>
      </c>
    </row>
    <row r="5" spans="1:6">
      <c r="A5" s="5" t="s">
        <v>85</v>
      </c>
      <c r="B5" s="39">
        <v>0.83</v>
      </c>
      <c r="C5" s="21">
        <f>ROUND('Operation Inventory (Corn)'!B5*$B5/(1-$B5), 0)</f>
        <v>78</v>
      </c>
      <c r="D5" s="21">
        <f>ROUND('Operation Inventory (Corn)'!C5*$B5/(1-$B5), 0)</f>
        <v>44</v>
      </c>
      <c r="E5" s="21">
        <f>ROUND('Operation Inventory (Corn)'!D5*$B5/(1-$B5), 0)</f>
        <v>44</v>
      </c>
      <c r="F5" s="21">
        <f>ROUND('Operation Inventory (Corn)'!E5*$B5/(1-$B5), 0)</f>
        <v>439</v>
      </c>
    </row>
    <row r="6" spans="1:6">
      <c r="A6" s="5" t="s">
        <v>146</v>
      </c>
      <c r="B6" s="39">
        <v>0.83</v>
      </c>
      <c r="C6" s="21">
        <f>ROUND('Operation Inventory (Corn)'!B6*$B6/(1-$B6), 0)</f>
        <v>0</v>
      </c>
      <c r="D6" s="21">
        <f>ROUND('Operation Inventory (Corn)'!C6*$B6/(1-$B6), 0)</f>
        <v>0</v>
      </c>
      <c r="E6" s="21">
        <f>ROUND('Operation Inventory (Corn)'!D6*$B6/(1-$B6), 0)</f>
        <v>0</v>
      </c>
      <c r="F6" s="21">
        <f>ROUND('Operation Inventory (Corn)'!E6*$B6/(1-$B6), 0)</f>
        <v>34</v>
      </c>
    </row>
    <row r="7" spans="1:6">
      <c r="A7" s="5" t="s">
        <v>84</v>
      </c>
      <c r="B7" s="39">
        <v>0.83</v>
      </c>
      <c r="C7" s="21">
        <f>ROUND('Operation Inventory (Corn)'!B7*$B7/(1-$B7), 0)</f>
        <v>93</v>
      </c>
      <c r="D7" s="21">
        <f>ROUND('Operation Inventory (Corn)'!C7*$B7/(1-$B7), 0)</f>
        <v>54</v>
      </c>
      <c r="E7" s="21">
        <f>ROUND('Operation Inventory (Corn)'!D7*$B7/(1-$B7), 0)</f>
        <v>49</v>
      </c>
      <c r="F7" s="21">
        <f>ROUND('Operation Inventory (Corn)'!E7*$B7/(1-$B7), 0)</f>
        <v>425</v>
      </c>
    </row>
    <row r="8" spans="1:6">
      <c r="A8" s="5" t="s">
        <v>86</v>
      </c>
      <c r="B8" s="39">
        <v>0.83</v>
      </c>
      <c r="C8" s="21">
        <f>ROUND('Operation Inventory (Corn)'!B8*$B8/(1-$B8), 0)</f>
        <v>59</v>
      </c>
      <c r="D8" s="21">
        <f>ROUND('Operation Inventory (Corn)'!C8*$B8/(1-$B8), 0)</f>
        <v>29</v>
      </c>
      <c r="E8" s="21">
        <f>ROUND('Operation Inventory (Corn)'!D8*$B8/(1-$B8), 0)</f>
        <v>20</v>
      </c>
      <c r="F8" s="21">
        <f>ROUND('Operation Inventory (Corn)'!E8*$B8/(1-$B8), 0)</f>
        <v>386</v>
      </c>
    </row>
    <row r="9" spans="1:6">
      <c r="A9" s="5" t="s">
        <v>87</v>
      </c>
      <c r="B9" s="39">
        <v>0.83</v>
      </c>
      <c r="C9" s="21">
        <f>ROUND('Operation Inventory (Corn)'!B9*$B9/(1-$B9), 0)</f>
        <v>49</v>
      </c>
      <c r="D9" s="21">
        <f>ROUND('Operation Inventory (Corn)'!C9*$B9/(1-$B9), 0)</f>
        <v>0</v>
      </c>
      <c r="E9" s="21">
        <f>ROUND('Operation Inventory (Corn)'!D9*$B9/(1-$B9), 0)</f>
        <v>29</v>
      </c>
      <c r="F9" s="21">
        <f>ROUND('Operation Inventory (Corn)'!E9*$B9/(1-$B9), 0)</f>
        <v>288</v>
      </c>
    </row>
    <row r="10" spans="1:6">
      <c r="A10" s="5" t="s">
        <v>11</v>
      </c>
      <c r="B10" s="39">
        <v>0.83</v>
      </c>
      <c r="C10" s="21">
        <f>ROUND('Operation Inventory (Corn)'!B10*$B10/(1-$B10), 0)</f>
        <v>542</v>
      </c>
      <c r="D10" s="21">
        <f>ROUND('Operation Inventory (Corn)'!C10*$B10/(1-$B10), 0)</f>
        <v>29</v>
      </c>
      <c r="E10" s="21">
        <f>ROUND('Operation Inventory (Corn)'!D10*$B10/(1-$B10), 0)</f>
        <v>63</v>
      </c>
      <c r="F10" s="21">
        <f>ROUND('Operation Inventory (Corn)'!E10*$B10/(1-$B10), 0)</f>
        <v>112</v>
      </c>
    </row>
    <row r="11" spans="1:6">
      <c r="A11" s="5" t="s">
        <v>12</v>
      </c>
      <c r="B11" s="39">
        <v>0.83</v>
      </c>
      <c r="C11" s="21">
        <f>ROUND('Operation Inventory (Corn)'!B11*$B11/(1-$B11), 0)</f>
        <v>400</v>
      </c>
      <c r="D11" s="21">
        <f>ROUND('Operation Inventory (Corn)'!C11*$B11/(1-$B11), 0)</f>
        <v>10</v>
      </c>
      <c r="E11" s="21">
        <f>ROUND('Operation Inventory (Corn)'!D11*$B11/(1-$B11), 0)</f>
        <v>49</v>
      </c>
      <c r="F11" s="21">
        <f>ROUND('Operation Inventory (Corn)'!E11*$B11/(1-$B11), 0)</f>
        <v>176</v>
      </c>
    </row>
    <row r="12" spans="1:6">
      <c r="A12" s="5" t="s">
        <v>13</v>
      </c>
      <c r="B12" s="39">
        <v>0.83</v>
      </c>
      <c r="C12" s="21">
        <f>ROUND('Operation Inventory (Corn)'!B12*$B12/(1-$B12), 0)</f>
        <v>308</v>
      </c>
      <c r="D12" s="21">
        <f>ROUND('Operation Inventory (Corn)'!C12*$B12/(1-$B12), 0)</f>
        <v>24</v>
      </c>
      <c r="E12" s="21">
        <f>ROUND('Operation Inventory (Corn)'!D12*$B12/(1-$B12), 0)</f>
        <v>24</v>
      </c>
      <c r="F12" s="21">
        <f>ROUND('Operation Inventory (Corn)'!E12*$B12/(1-$B12), 0)</f>
        <v>112</v>
      </c>
    </row>
    <row r="13" spans="1:6">
      <c r="A13" s="5" t="s">
        <v>14</v>
      </c>
      <c r="B13" s="39">
        <v>0.83</v>
      </c>
      <c r="C13" s="21">
        <f>ROUND('Operation Inventory (Corn)'!B13*$B13/(1-$B13), 0)</f>
        <v>1333</v>
      </c>
      <c r="D13" s="21">
        <f>ROUND('Operation Inventory (Corn)'!C13*$B13/(1-$B13), 0)</f>
        <v>29</v>
      </c>
      <c r="E13" s="21">
        <f>ROUND('Operation Inventory (Corn)'!D13*$B13/(1-$B13), 0)</f>
        <v>142</v>
      </c>
      <c r="F13" s="21">
        <f>ROUND('Operation Inventory (Corn)'!E13*$B13/(1-$B13), 0)</f>
        <v>220</v>
      </c>
    </row>
    <row r="14" spans="1:6">
      <c r="A14" s="5" t="s">
        <v>10</v>
      </c>
      <c r="B14" s="39">
        <v>0.83</v>
      </c>
      <c r="C14" s="21">
        <f>ROUND('Operation Inventory (Corn)'!B14*$B14/(1-$B14), 0)</f>
        <v>0</v>
      </c>
      <c r="D14" s="21">
        <f>ROUND('Operation Inventory (Corn)'!C14*$B14/(1-$B14), 0)</f>
        <v>0</v>
      </c>
      <c r="E14" s="21">
        <f>ROUND('Operation Inventory (Corn)'!D14*$B14/(1-$B14), 0)</f>
        <v>0</v>
      </c>
      <c r="F14" s="21">
        <f>ROUND('Operation Inventory (Corn)'!E14*$B14/(1-$B14), 0)</f>
        <v>0</v>
      </c>
    </row>
    <row r="15" spans="1:6">
      <c r="A15" s="5" t="s">
        <v>15</v>
      </c>
      <c r="B15" s="39">
        <v>0.83</v>
      </c>
      <c r="C15" s="21">
        <f>ROUND('Operation Inventory (Corn)'!B15*$B15/(1-$B15), 0)</f>
        <v>1421</v>
      </c>
      <c r="D15" s="21">
        <f>ROUND('Operation Inventory (Corn)'!C15*$B15/(1-$B15), 0)</f>
        <v>225</v>
      </c>
      <c r="E15" s="21">
        <f>ROUND('Operation Inventory (Corn)'!D15*$B15/(1-$B15), 0)</f>
        <v>93</v>
      </c>
      <c r="F15" s="21">
        <f>ROUND('Operation Inventory (Corn)'!E15*$B15/(1-$B15), 0)</f>
        <v>928</v>
      </c>
    </row>
    <row r="16" spans="1:6">
      <c r="A16" s="5" t="s">
        <v>16</v>
      </c>
      <c r="B16" s="39">
        <v>0.83</v>
      </c>
      <c r="C16" s="21">
        <f>ROUND('Operation Inventory (Corn)'!B16*$B16/(1-$B16), 0)</f>
        <v>1367</v>
      </c>
      <c r="D16" s="21">
        <f>ROUND('Operation Inventory (Corn)'!C16*$B16/(1-$B16), 0)</f>
        <v>527</v>
      </c>
      <c r="E16" s="21">
        <f>ROUND('Operation Inventory (Corn)'!D16*$B16/(1-$B16), 0)</f>
        <v>98</v>
      </c>
      <c r="F16" s="21">
        <f>ROUND('Operation Inventory (Corn)'!E16*$B16/(1-$B16), 0)</f>
        <v>1616</v>
      </c>
    </row>
    <row r="17" spans="1:6">
      <c r="A17" s="5" t="s">
        <v>17</v>
      </c>
      <c r="B17" s="39">
        <v>0.83</v>
      </c>
      <c r="C17" s="21">
        <f>ROUND('Operation Inventory (Corn)'!B17*$B17/(1-$B17), 0)</f>
        <v>410</v>
      </c>
      <c r="D17" s="21">
        <f>ROUND('Operation Inventory (Corn)'!C17*$B17/(1-$B17), 0)</f>
        <v>68</v>
      </c>
      <c r="E17" s="21">
        <f>ROUND('Operation Inventory (Corn)'!D17*$B17/(1-$B17), 0)</f>
        <v>5</v>
      </c>
      <c r="F17" s="21">
        <f>ROUND('Operation Inventory (Corn)'!E17*$B17/(1-$B17), 0)</f>
        <v>20</v>
      </c>
    </row>
    <row r="18" spans="1:6">
      <c r="A18" s="5" t="s">
        <v>18</v>
      </c>
      <c r="B18" s="39">
        <v>0.83</v>
      </c>
      <c r="C18" s="21">
        <f>ROUND('Operation Inventory (Corn)'!B18*$B18/(1-$B18), 0)</f>
        <v>137</v>
      </c>
      <c r="D18" s="21">
        <f>ROUND('Operation Inventory (Corn)'!C18*$B18/(1-$B18), 0)</f>
        <v>68</v>
      </c>
      <c r="E18" s="21">
        <f>ROUND('Operation Inventory (Corn)'!D18*$B18/(1-$B18), 0)</f>
        <v>10</v>
      </c>
      <c r="F18" s="21">
        <f>ROUND('Operation Inventory (Corn)'!E18*$B18/(1-$B18), 0)</f>
        <v>34</v>
      </c>
    </row>
    <row r="19" spans="1:6">
      <c r="A19" s="5" t="s">
        <v>19</v>
      </c>
      <c r="B19" s="39">
        <v>0.83</v>
      </c>
      <c r="C19" s="21">
        <f>ROUND('Operation Inventory (Corn)'!B19*$B19/(1-$B19), 0)</f>
        <v>98</v>
      </c>
      <c r="D19" s="21">
        <f>ROUND('Operation Inventory (Corn)'!C19*$B19/(1-$B19), 0)</f>
        <v>49</v>
      </c>
      <c r="E19" s="21">
        <f>ROUND('Operation Inventory (Corn)'!D19*$B19/(1-$B19), 0)</f>
        <v>20</v>
      </c>
      <c r="F19" s="21">
        <f>ROUND('Operation Inventory (Corn)'!E19*$B19/(1-$B19), 0)</f>
        <v>127</v>
      </c>
    </row>
    <row r="20" spans="1:6">
      <c r="A20" s="5" t="s">
        <v>20</v>
      </c>
      <c r="B20" s="39">
        <v>0.83</v>
      </c>
      <c r="C20" s="21">
        <f>ROUND('Operation Inventory (Corn)'!B20*$B20/(1-$B20), 0)</f>
        <v>63</v>
      </c>
      <c r="D20" s="21">
        <f>ROUND('Operation Inventory (Corn)'!C20*$B20/(1-$B20), 0)</f>
        <v>0</v>
      </c>
      <c r="E20" s="21">
        <f>ROUND('Operation Inventory (Corn)'!D20*$B20/(1-$B20), 0)</f>
        <v>15</v>
      </c>
      <c r="F20" s="21">
        <f>ROUND('Operation Inventory (Corn)'!E20*$B20/(1-$B20), 0)</f>
        <v>39</v>
      </c>
    </row>
    <row r="21" spans="1:6">
      <c r="A21" s="5" t="s">
        <v>21</v>
      </c>
      <c r="B21" s="39">
        <v>0.83</v>
      </c>
      <c r="C21" s="21">
        <f>ROUND('Operation Inventory (Corn)'!B21*$B21/(1-$B21), 0)</f>
        <v>132</v>
      </c>
      <c r="D21" s="21">
        <f>ROUND('Operation Inventory (Corn)'!C21*$B21/(1-$B21), 0)</f>
        <v>10</v>
      </c>
      <c r="E21" s="21">
        <f>ROUND('Operation Inventory (Corn)'!D21*$B21/(1-$B21), 0)</f>
        <v>10</v>
      </c>
      <c r="F21" s="21">
        <f>ROUND('Operation Inventory (Corn)'!E21*$B21/(1-$B21), 0)</f>
        <v>20</v>
      </c>
    </row>
    <row r="22" spans="1:6">
      <c r="A22" s="5" t="s">
        <v>22</v>
      </c>
      <c r="B22" s="39">
        <v>0.83</v>
      </c>
      <c r="C22" s="21">
        <f>ROUND('Operation Inventory (Corn)'!B22*$B22/(1-$B22), 0)</f>
        <v>425</v>
      </c>
      <c r="D22" s="21">
        <f>ROUND('Operation Inventory (Corn)'!C22*$B22/(1-$B22), 0)</f>
        <v>44</v>
      </c>
      <c r="E22" s="21">
        <f>ROUND('Operation Inventory (Corn)'!D22*$B22/(1-$B22), 0)</f>
        <v>59</v>
      </c>
      <c r="F22" s="21">
        <f>ROUND('Operation Inventory (Corn)'!E22*$B22/(1-$B22), 0)</f>
        <v>161</v>
      </c>
    </row>
    <row r="23" spans="1:6">
      <c r="A23" s="5" t="s">
        <v>23</v>
      </c>
      <c r="B23" s="39">
        <v>0.83</v>
      </c>
      <c r="C23" s="21">
        <f>ROUND('Operation Inventory (Corn)'!B23*$B23/(1-$B23), 0)</f>
        <v>176</v>
      </c>
      <c r="D23" s="21">
        <f>ROUND('Operation Inventory (Corn)'!C23*$B23/(1-$B23), 0)</f>
        <v>59</v>
      </c>
      <c r="E23" s="21">
        <f>ROUND('Operation Inventory (Corn)'!D23*$B23/(1-$B23), 0)</f>
        <v>24</v>
      </c>
      <c r="F23" s="21">
        <f>ROUND('Operation Inventory (Corn)'!E23*$B23/(1-$B23), 0)</f>
        <v>205</v>
      </c>
    </row>
    <row r="24" spans="1:6">
      <c r="A24" s="5" t="s">
        <v>24</v>
      </c>
      <c r="B24" s="39">
        <v>0.83</v>
      </c>
      <c r="C24" s="21">
        <f>ROUND('Operation Inventory (Corn)'!B24*$B24/(1-$B24), 0)</f>
        <v>234</v>
      </c>
      <c r="D24" s="21">
        <f>ROUND('Operation Inventory (Corn)'!C24*$B24/(1-$B24), 0)</f>
        <v>63</v>
      </c>
      <c r="E24" s="21">
        <f>ROUND('Operation Inventory (Corn)'!D24*$B24/(1-$B24), 0)</f>
        <v>20</v>
      </c>
      <c r="F24" s="21">
        <f>ROUND('Operation Inventory (Corn)'!E24*$B24/(1-$B24), 0)</f>
        <v>181</v>
      </c>
    </row>
    <row r="25" spans="1:6">
      <c r="A25" s="5" t="s">
        <v>25</v>
      </c>
      <c r="B25" s="39">
        <v>0.83</v>
      </c>
      <c r="C25" s="21">
        <f>ROUND('Operation Inventory (Corn)'!B25*$B25/(1-$B25), 0)</f>
        <v>88</v>
      </c>
      <c r="D25" s="21">
        <f>ROUND('Operation Inventory (Corn)'!C25*$B25/(1-$B25), 0)</f>
        <v>5</v>
      </c>
      <c r="E25" s="21">
        <f>ROUND('Operation Inventory (Corn)'!D25*$B25/(1-$B25), 0)</f>
        <v>10</v>
      </c>
      <c r="F25" s="21">
        <f>ROUND('Operation Inventory (Corn)'!E25*$B25/(1-$B25), 0)</f>
        <v>132</v>
      </c>
    </row>
    <row r="26" spans="1:6">
      <c r="A26" s="5" t="s">
        <v>64</v>
      </c>
      <c r="B26" s="39">
        <v>0.83</v>
      </c>
      <c r="C26" s="21">
        <f>ROUND('Operation Inventory (Corn)'!B26*$B26/(1-$B26), 0)</f>
        <v>137</v>
      </c>
      <c r="D26" s="21">
        <f>ROUND('Operation Inventory (Corn)'!C26*$B26/(1-$B26), 0)</f>
        <v>34</v>
      </c>
      <c r="E26" s="21">
        <f>ROUND('Operation Inventory (Corn)'!D26*$B26/(1-$B26), 0)</f>
        <v>73</v>
      </c>
      <c r="F26" s="21">
        <f>ROUND('Operation Inventory (Corn)'!E26*$B26/(1-$B26), 0)</f>
        <v>166</v>
      </c>
    </row>
    <row r="27" spans="1:6">
      <c r="A27" s="5" t="s">
        <v>72</v>
      </c>
      <c r="B27" s="39">
        <v>0.83</v>
      </c>
      <c r="C27" s="21">
        <f>ROUND('Operation Inventory (Corn)'!B27*$B27/(1-$B27), 0)</f>
        <v>68</v>
      </c>
      <c r="D27" s="21">
        <f>ROUND('Operation Inventory (Corn)'!C27*$B27/(1-$B27), 0)</f>
        <v>0</v>
      </c>
      <c r="E27" s="21">
        <f>ROUND('Operation Inventory (Corn)'!D27*$B27/(1-$B27), 0)</f>
        <v>5</v>
      </c>
      <c r="F27" s="21">
        <f>ROUND('Operation Inventory (Corn)'!E27*$B27/(1-$B27), 0)</f>
        <v>54</v>
      </c>
    </row>
    <row r="28" spans="1:6">
      <c r="A28" s="5" t="s">
        <v>26</v>
      </c>
      <c r="B28" s="39">
        <v>0.83</v>
      </c>
      <c r="C28" s="21">
        <f>ROUND('Operation Inventory (Corn)'!B28*$B28/(1-$B28), 0)</f>
        <v>78</v>
      </c>
      <c r="D28" s="21">
        <f>ROUND('Operation Inventory (Corn)'!C28*$B28/(1-$B28), 0)</f>
        <v>5</v>
      </c>
      <c r="E28" s="21">
        <f>ROUND('Operation Inventory (Corn)'!D28*$B28/(1-$B28), 0)</f>
        <v>29</v>
      </c>
      <c r="F28" s="21">
        <f>ROUND('Operation Inventory (Corn)'!E28*$B28/(1-$B28), 0)</f>
        <v>63</v>
      </c>
    </row>
    <row r="29" spans="1:6">
      <c r="A29" s="5" t="s">
        <v>57</v>
      </c>
      <c r="B29" s="39">
        <v>0.83</v>
      </c>
      <c r="C29" s="21">
        <f>ROUND('Operation Inventory (Corn)'!B29*$B29/(1-$B29), 0)</f>
        <v>181</v>
      </c>
      <c r="D29" s="21">
        <f>ROUND('Operation Inventory (Corn)'!C29*$B29/(1-$B29), 0)</f>
        <v>24</v>
      </c>
      <c r="E29" s="21">
        <f>ROUND('Operation Inventory (Corn)'!D29*$B29/(1-$B29), 0)</f>
        <v>54</v>
      </c>
      <c r="F29" s="21">
        <f>ROUND('Operation Inventory (Corn)'!E29*$B29/(1-$B29), 0)</f>
        <v>308</v>
      </c>
    </row>
    <row r="30" spans="1:6">
      <c r="A30" s="5" t="s">
        <v>74</v>
      </c>
      <c r="B30" s="39">
        <v>0.83</v>
      </c>
      <c r="C30" s="21">
        <f>ROUND('Operation Inventory (Corn)'!B30*$B30/(1-$B30), 0)</f>
        <v>63</v>
      </c>
      <c r="D30" s="21">
        <f>ROUND('Operation Inventory (Corn)'!C30*$B30/(1-$B30), 0)</f>
        <v>0</v>
      </c>
      <c r="E30" s="21">
        <f>ROUND('Operation Inventory (Corn)'!D30*$B30/(1-$B30), 0)</f>
        <v>24</v>
      </c>
      <c r="F30" s="21">
        <f>ROUND('Operation Inventory (Corn)'!E30*$B30/(1-$B30), 0)</f>
        <v>44</v>
      </c>
    </row>
    <row r="31" spans="1:6">
      <c r="A31" s="5" t="s">
        <v>27</v>
      </c>
      <c r="B31" s="39">
        <v>0.83</v>
      </c>
      <c r="C31" s="21">
        <f>ROUND('Operation Inventory (Corn)'!B31*$B31/(1-$B31), 0)</f>
        <v>20</v>
      </c>
      <c r="D31" s="21">
        <f>ROUND('Operation Inventory (Corn)'!C31*$B31/(1-$B31), 0)</f>
        <v>0</v>
      </c>
      <c r="E31" s="21">
        <f>ROUND('Operation Inventory (Corn)'!D31*$B31/(1-$B31), 0)</f>
        <v>0</v>
      </c>
      <c r="F31" s="21">
        <f>ROUND('Operation Inventory (Corn)'!E31*$B31/(1-$B31), 0)</f>
        <v>68</v>
      </c>
    </row>
    <row r="32" spans="1:6">
      <c r="A32" s="5" t="s">
        <v>28</v>
      </c>
      <c r="B32" s="39">
        <v>0.83</v>
      </c>
      <c r="C32" s="21">
        <f>ROUND('Operation Inventory (Corn)'!B32*$B32/(1-$B32), 0)</f>
        <v>322</v>
      </c>
      <c r="D32" s="21">
        <f>ROUND('Operation Inventory (Corn)'!C32*$B32/(1-$B32), 0)</f>
        <v>186</v>
      </c>
      <c r="E32" s="21">
        <f>ROUND('Operation Inventory (Corn)'!D32*$B32/(1-$B32), 0)</f>
        <v>181</v>
      </c>
      <c r="F32" s="21">
        <f>ROUND('Operation Inventory (Corn)'!E32*$B32/(1-$B32), 0)</f>
        <v>210</v>
      </c>
    </row>
    <row r="33" spans="1:6">
      <c r="A33" s="5" t="s">
        <v>29</v>
      </c>
      <c r="B33" s="39">
        <v>0.83</v>
      </c>
      <c r="C33" s="21">
        <f>ROUND('Operation Inventory (Corn)'!B33*$B33/(1-$B33), 0)</f>
        <v>88</v>
      </c>
      <c r="D33" s="21">
        <f>ROUND('Operation Inventory (Corn)'!C33*$B33/(1-$B33), 0)</f>
        <v>5</v>
      </c>
      <c r="E33" s="21">
        <f>ROUND('Operation Inventory (Corn)'!D33*$B33/(1-$B33), 0)</f>
        <v>29</v>
      </c>
      <c r="F33" s="21">
        <f>ROUND('Operation Inventory (Corn)'!E33*$B33/(1-$B33), 0)</f>
        <v>73</v>
      </c>
    </row>
    <row r="34" spans="1:6">
      <c r="A34" s="5" t="s">
        <v>30</v>
      </c>
      <c r="B34" s="39">
        <v>0.83</v>
      </c>
      <c r="C34" s="21">
        <f>ROUND('Operation Inventory (Corn)'!B34*$B34/(1-$B34), 0)</f>
        <v>151</v>
      </c>
      <c r="D34" s="21">
        <f>ROUND('Operation Inventory (Corn)'!C34*$B34/(1-$B34), 0)</f>
        <v>73</v>
      </c>
      <c r="E34" s="21">
        <f>ROUND('Operation Inventory (Corn)'!D34*$B34/(1-$B34), 0)</f>
        <v>63</v>
      </c>
      <c r="F34" s="21">
        <f>ROUND('Operation Inventory (Corn)'!E34*$B34/(1-$B34), 0)</f>
        <v>151</v>
      </c>
    </row>
    <row r="35" spans="1:6">
      <c r="A35" s="5" t="s">
        <v>31</v>
      </c>
      <c r="B35" s="39">
        <v>0.83</v>
      </c>
      <c r="C35" s="21">
        <f>ROUND('Operation Inventory (Corn)'!B35*$B35/(1-$B35), 0)</f>
        <v>29</v>
      </c>
      <c r="D35" s="21">
        <f>ROUND('Operation Inventory (Corn)'!C35*$B35/(1-$B35), 0)</f>
        <v>0</v>
      </c>
      <c r="E35" s="21">
        <f>ROUND('Operation Inventory (Corn)'!D35*$B35/(1-$B35), 0)</f>
        <v>5</v>
      </c>
      <c r="F35" s="21">
        <f>ROUND('Operation Inventory (Corn)'!E35*$B35/(1-$B35), 0)</f>
        <v>63</v>
      </c>
    </row>
    <row r="36" spans="1:6">
      <c r="A36" s="5" t="s">
        <v>32</v>
      </c>
      <c r="B36" s="39">
        <v>0.83</v>
      </c>
      <c r="C36" s="21">
        <f>ROUND('Operation Inventory (Corn)'!B36*$B36/(1-$B36), 0)</f>
        <v>98</v>
      </c>
      <c r="D36" s="21">
        <f>ROUND('Operation Inventory (Corn)'!C36*$B36/(1-$B36), 0)</f>
        <v>0</v>
      </c>
      <c r="E36" s="21">
        <f>ROUND('Operation Inventory (Corn)'!D36*$B36/(1-$B36), 0)</f>
        <v>54</v>
      </c>
      <c r="F36" s="21">
        <f>ROUND('Operation Inventory (Corn)'!E36*$B36/(1-$B36), 0)</f>
        <v>156</v>
      </c>
    </row>
    <row r="37" spans="1:6">
      <c r="A37" s="5" t="s">
        <v>33</v>
      </c>
      <c r="B37" s="39">
        <v>0.83</v>
      </c>
      <c r="C37" s="21">
        <f>ROUND('Operation Inventory (Corn)'!B37*$B37/(1-$B37), 0)</f>
        <v>44</v>
      </c>
      <c r="D37" s="21">
        <f>ROUND('Operation Inventory (Corn)'!C37*$B37/(1-$B37), 0)</f>
        <v>0</v>
      </c>
      <c r="E37" s="21">
        <f>ROUND('Operation Inventory (Corn)'!D37*$B37/(1-$B37), 0)</f>
        <v>34</v>
      </c>
      <c r="F37" s="21">
        <f>ROUND('Operation Inventory (Corn)'!E37*$B37/(1-$B37), 0)</f>
        <v>34</v>
      </c>
    </row>
    <row r="38" spans="1:6">
      <c r="A38" s="5" t="s">
        <v>34</v>
      </c>
      <c r="B38" s="39">
        <v>0.83</v>
      </c>
      <c r="C38" s="21">
        <f>ROUND('Operation Inventory (Corn)'!B38*$B38/(1-$B38), 0)</f>
        <v>269</v>
      </c>
      <c r="D38" s="21">
        <f>ROUND('Operation Inventory (Corn)'!C38*$B38/(1-$B38), 0)</f>
        <v>68</v>
      </c>
      <c r="E38" s="21">
        <f>ROUND('Operation Inventory (Corn)'!D38*$B38/(1-$B38), 0)</f>
        <v>259</v>
      </c>
      <c r="F38" s="21">
        <f>ROUND('Operation Inventory (Corn)'!E38*$B38/(1-$B38), 0)</f>
        <v>605</v>
      </c>
    </row>
    <row r="39" spans="1:6">
      <c r="A39" s="5" t="s">
        <v>35</v>
      </c>
      <c r="B39" s="39">
        <v>0.83</v>
      </c>
      <c r="C39" s="21">
        <f>ROUND('Operation Inventory (Corn)'!B39*$B39/(1-$B39), 0)</f>
        <v>20</v>
      </c>
      <c r="D39" s="21">
        <f>ROUND('Operation Inventory (Corn)'!C39*$B39/(1-$B39), 0)</f>
        <v>0</v>
      </c>
      <c r="E39" s="21">
        <f>ROUND('Operation Inventory (Corn)'!D39*$B39/(1-$B39), 0)</f>
        <v>0</v>
      </c>
      <c r="F39" s="21">
        <f>ROUND('Operation Inventory (Corn)'!E39*$B39/(1-$B39), 0)</f>
        <v>0</v>
      </c>
    </row>
    <row r="40" spans="1:6">
      <c r="A40" s="5" t="s">
        <v>36</v>
      </c>
      <c r="B40" s="39">
        <v>0.83</v>
      </c>
      <c r="C40" s="21">
        <f>ROUND('Operation Inventory (Corn)'!B40*$B40/(1-$B40), 0)</f>
        <v>63</v>
      </c>
      <c r="D40" s="21">
        <f>ROUND('Operation Inventory (Corn)'!C40*$B40/(1-$B40), 0)</f>
        <v>10</v>
      </c>
      <c r="E40" s="21">
        <f>ROUND('Operation Inventory (Corn)'!D40*$B40/(1-$B40), 0)</f>
        <v>24</v>
      </c>
      <c r="F40" s="21">
        <f>ROUND('Operation Inventory (Corn)'!E40*$B40/(1-$B40), 0)</f>
        <v>215</v>
      </c>
    </row>
    <row r="41" spans="1:6">
      <c r="A41" s="5" t="s">
        <v>37</v>
      </c>
      <c r="B41" s="39">
        <v>0.83</v>
      </c>
      <c r="C41" s="21">
        <f>ROUND('Operation Inventory (Corn)'!B41*$B41/(1-$B41), 0)</f>
        <v>49</v>
      </c>
      <c r="D41" s="21">
        <f>ROUND('Operation Inventory (Corn)'!C41*$B41/(1-$B41), 0)</f>
        <v>0</v>
      </c>
      <c r="E41" s="21">
        <f>ROUND('Operation Inventory (Corn)'!D41*$B41/(1-$B41), 0)</f>
        <v>29</v>
      </c>
      <c r="F41" s="21">
        <f>ROUND('Operation Inventory (Corn)'!E41*$B41/(1-$B41), 0)</f>
        <v>29</v>
      </c>
    </row>
    <row r="42" spans="1:6">
      <c r="A42" s="5" t="s">
        <v>38</v>
      </c>
      <c r="B42" s="39">
        <v>0.83</v>
      </c>
      <c r="C42" s="21">
        <f>ROUND('Operation Inventory (Corn)'!B42*$B42/(1-$B42), 0)</f>
        <v>34</v>
      </c>
      <c r="D42" s="21">
        <f>ROUND('Operation Inventory (Corn)'!C42*$B42/(1-$B42), 0)</f>
        <v>0</v>
      </c>
      <c r="E42" s="21">
        <f>ROUND('Operation Inventory (Corn)'!D42*$B42/(1-$B42), 0)</f>
        <v>39</v>
      </c>
      <c r="F42" s="21">
        <f>ROUND('Operation Inventory (Corn)'!E42*$B42/(1-$B42), 0)</f>
        <v>156</v>
      </c>
    </row>
    <row r="43" spans="1:6">
      <c r="A43" s="5" t="s">
        <v>39</v>
      </c>
      <c r="B43" s="39">
        <v>0.83</v>
      </c>
      <c r="C43" s="21">
        <f>ROUND('Operation Inventory (Corn)'!B43*$B43/(1-$B43), 0)</f>
        <v>44</v>
      </c>
      <c r="D43" s="21">
        <f>ROUND('Operation Inventory (Corn)'!C43*$B43/(1-$B43), 0)</f>
        <v>0</v>
      </c>
      <c r="E43" s="21">
        <f>ROUND('Operation Inventory (Corn)'!D43*$B43/(1-$B43), 0)</f>
        <v>49</v>
      </c>
      <c r="F43" s="21">
        <f>ROUND('Operation Inventory (Corn)'!E43*$B43/(1-$B43), 0)</f>
        <v>161</v>
      </c>
    </row>
    <row r="44" spans="1:6">
      <c r="A44" s="5" t="s">
        <v>40</v>
      </c>
      <c r="B44" s="39">
        <v>0.83</v>
      </c>
      <c r="C44" s="21">
        <f>ROUND('Operation Inventory (Corn)'!B44*$B44/(1-$B44), 0)</f>
        <v>59</v>
      </c>
      <c r="D44" s="21">
        <f>ROUND('Operation Inventory (Corn)'!C44*$B44/(1-$B44), 0)</f>
        <v>0</v>
      </c>
      <c r="E44" s="21">
        <f>ROUND('Operation Inventory (Corn)'!D44*$B44/(1-$B44), 0)</f>
        <v>117</v>
      </c>
      <c r="F44" s="21">
        <f>ROUND('Operation Inventory (Corn)'!E44*$B44/(1-$B44), 0)</f>
        <v>317</v>
      </c>
    </row>
    <row r="45" spans="1:6">
      <c r="A45" s="5" t="s">
        <v>41</v>
      </c>
      <c r="B45" s="39">
        <v>0.83</v>
      </c>
      <c r="C45" s="21">
        <f>ROUND('Operation Inventory (Corn)'!B45*$B45/(1-$B45), 0)</f>
        <v>20</v>
      </c>
      <c r="D45" s="21">
        <f>ROUND('Operation Inventory (Corn)'!C45*$B45/(1-$B45), 0)</f>
        <v>0</v>
      </c>
      <c r="E45" s="21">
        <f>ROUND('Operation Inventory (Corn)'!D45*$B45/(1-$B45), 0)</f>
        <v>5</v>
      </c>
      <c r="F45" s="21">
        <f>ROUND('Operation Inventory (Corn)'!E45*$B45/(1-$B45), 0)</f>
        <v>20</v>
      </c>
    </row>
    <row r="46" spans="1:6">
      <c r="A46" s="5" t="s">
        <v>42</v>
      </c>
      <c r="B46" s="39">
        <v>0.83</v>
      </c>
      <c r="C46" s="21">
        <f>ROUND('Operation Inventory (Corn)'!B46*$B46/(1-$B46), 0)</f>
        <v>112</v>
      </c>
      <c r="D46" s="21">
        <f>ROUND('Operation Inventory (Corn)'!C46*$B46/(1-$B46), 0)</f>
        <v>0</v>
      </c>
      <c r="E46" s="21">
        <f>ROUND('Operation Inventory (Corn)'!D46*$B46/(1-$B46), 0)</f>
        <v>161</v>
      </c>
      <c r="F46" s="21">
        <f>ROUND('Operation Inventory (Corn)'!E46*$B46/(1-$B46), 0)</f>
        <v>488</v>
      </c>
    </row>
    <row r="47" spans="1:6">
      <c r="A47" s="5" t="s">
        <v>43</v>
      </c>
      <c r="B47" s="39">
        <v>0.83</v>
      </c>
      <c r="C47" s="21">
        <f>ROUND('Operation Inventory (Corn)'!B47*$B47/(1-$B47), 0)</f>
        <v>68</v>
      </c>
      <c r="D47" s="21">
        <f>ROUND('Operation Inventory (Corn)'!C47*$B47/(1-$B47), 0)</f>
        <v>0</v>
      </c>
      <c r="E47" s="21">
        <f>ROUND('Operation Inventory (Corn)'!D47*$B47/(1-$B47), 0)</f>
        <v>49</v>
      </c>
      <c r="F47" s="21">
        <f>ROUND('Operation Inventory (Corn)'!E47*$B47/(1-$B47), 0)</f>
        <v>142</v>
      </c>
    </row>
    <row r="48" spans="1:6">
      <c r="A48" s="5" t="s">
        <v>77</v>
      </c>
      <c r="B48" s="39">
        <v>0.83</v>
      </c>
      <c r="C48" s="21">
        <f>ROUND('Operation Inventory (Corn)'!B48*$B48/(1-$B48), 0)</f>
        <v>107</v>
      </c>
      <c r="D48" s="21">
        <f>ROUND('Operation Inventory (Corn)'!C48*$B48/(1-$B48), 0)</f>
        <v>10</v>
      </c>
      <c r="E48" s="21">
        <f>ROUND('Operation Inventory (Corn)'!D48*$B48/(1-$B48), 0)</f>
        <v>24</v>
      </c>
      <c r="F48" s="21">
        <f>ROUND('Operation Inventory (Corn)'!E48*$B48/(1-$B48), 0)</f>
        <v>288</v>
      </c>
    </row>
    <row r="49" spans="1:6">
      <c r="A49" s="5" t="s">
        <v>78</v>
      </c>
      <c r="B49" s="39">
        <v>0.83</v>
      </c>
      <c r="C49" s="21">
        <f>ROUND('Operation Inventory (Corn)'!B49*$B49/(1-$B49), 0)</f>
        <v>83</v>
      </c>
      <c r="D49" s="21">
        <f>ROUND('Operation Inventory (Corn)'!C49*$B49/(1-$B49), 0)</f>
        <v>0</v>
      </c>
      <c r="E49" s="21">
        <f>ROUND('Operation Inventory (Corn)'!D49*$B49/(1-$B49), 0)</f>
        <v>0</v>
      </c>
      <c r="F49" s="21">
        <f>ROUND('Operation Inventory (Corn)'!E49*$B49/(1-$B49), 0)</f>
        <v>322</v>
      </c>
    </row>
    <row r="50" spans="1:6">
      <c r="A50" s="5" t="s">
        <v>79</v>
      </c>
      <c r="B50" s="39">
        <v>0.83</v>
      </c>
      <c r="C50" s="21">
        <f>ROUND('Operation Inventory (Corn)'!B50*$B50/(1-$B50), 0)</f>
        <v>59</v>
      </c>
      <c r="D50" s="21">
        <f>ROUND('Operation Inventory (Corn)'!C50*$B50/(1-$B50), 0)</f>
        <v>10</v>
      </c>
      <c r="E50" s="21">
        <f>ROUND('Operation Inventory (Corn)'!D50*$B50/(1-$B50), 0)</f>
        <v>5</v>
      </c>
      <c r="F50" s="21">
        <f>ROUND('Operation Inventory (Corn)'!E50*$B50/(1-$B50), 0)</f>
        <v>269</v>
      </c>
    </row>
    <row r="51" spans="1:6">
      <c r="A51" s="5" t="s">
        <v>80</v>
      </c>
      <c r="B51" s="39">
        <v>0.83</v>
      </c>
      <c r="C51" s="21">
        <f>ROUND('Operation Inventory (Corn)'!B51*$B51/(1-$B51), 0)</f>
        <v>20</v>
      </c>
      <c r="D51" s="21">
        <f>ROUND('Operation Inventory (Corn)'!C51*$B51/(1-$B51), 0)</f>
        <v>0</v>
      </c>
      <c r="E51" s="21">
        <f>ROUND('Operation Inventory (Corn)'!D51*$B51/(1-$B51), 0)</f>
        <v>0</v>
      </c>
      <c r="F51" s="21">
        <f>ROUND('Operation Inventory (Corn)'!E51*$B51/(1-$B51), 0)</f>
        <v>93</v>
      </c>
    </row>
    <row r="52" spans="1:6">
      <c r="A52" s="5" t="s">
        <v>44</v>
      </c>
      <c r="B52" s="39">
        <v>0.83</v>
      </c>
      <c r="C52" s="21">
        <f>ROUND('Operation Inventory (Corn)'!B52*$B52/(1-$B52), 0)</f>
        <v>0</v>
      </c>
      <c r="D52" s="21">
        <f>ROUND('Operation Inventory (Corn)'!C52*$B52/(1-$B52), 0)</f>
        <v>0</v>
      </c>
      <c r="E52" s="21">
        <f>ROUND('Operation Inventory (Corn)'!D52*$B52/(1-$B52), 0)</f>
        <v>0</v>
      </c>
      <c r="F52" s="21">
        <f>ROUND('Operation Inventory (Corn)'!E52*$B52/(1-$B52), 0)</f>
        <v>34</v>
      </c>
    </row>
    <row r="53" spans="1:6">
      <c r="A53" s="5" t="s">
        <v>92</v>
      </c>
      <c r="B53" s="39">
        <v>0.83</v>
      </c>
      <c r="C53" s="21">
        <f>ROUND('Operation Inventory (Corn)'!B53*$B53/(1-$B53), 0)</f>
        <v>24</v>
      </c>
      <c r="D53" s="21">
        <f>ROUND('Operation Inventory (Corn)'!C53*$B53/(1-$B53), 0)</f>
        <v>0</v>
      </c>
      <c r="E53" s="21">
        <f>ROUND('Operation Inventory (Corn)'!D53*$B53/(1-$B53), 0)</f>
        <v>5</v>
      </c>
      <c r="F53" s="21">
        <f>ROUND('Operation Inventory (Corn)'!E53*$B53/(1-$B53), 0)</f>
        <v>44</v>
      </c>
    </row>
    <row r="54" spans="1:6">
      <c r="A54" s="5" t="s">
        <v>91</v>
      </c>
      <c r="B54" s="39">
        <v>0.83</v>
      </c>
      <c r="C54" s="21">
        <f>ROUND('Operation Inventory (Corn)'!B54*$B54/(1-$B54), 0)</f>
        <v>127</v>
      </c>
      <c r="D54" s="21">
        <f>ROUND('Operation Inventory (Corn)'!C54*$B54/(1-$B54), 0)</f>
        <v>0</v>
      </c>
      <c r="E54" s="21">
        <f>ROUND('Operation Inventory (Corn)'!D54*$B54/(1-$B54), 0)</f>
        <v>0</v>
      </c>
      <c r="F54" s="21">
        <f>ROUND('Operation Inventory (Corn)'!E54*$B54/(1-$B54), 0)</f>
        <v>522</v>
      </c>
    </row>
    <row r="55" spans="1:6">
      <c r="A55" s="5" t="s">
        <v>94</v>
      </c>
      <c r="B55" s="39">
        <v>0.83</v>
      </c>
      <c r="C55" s="21">
        <f>ROUND('Operation Inventory (Corn)'!B55*$B55/(1-$B55), 0)</f>
        <v>24</v>
      </c>
      <c r="D55" s="21">
        <f>ROUND('Operation Inventory (Corn)'!C55*$B55/(1-$B55), 0)</f>
        <v>0</v>
      </c>
      <c r="E55" s="21">
        <f>ROUND('Operation Inventory (Corn)'!D55*$B55/(1-$B55), 0)</f>
        <v>10</v>
      </c>
      <c r="F55" s="21">
        <f>ROUND('Operation Inventory (Corn)'!E55*$B55/(1-$B55), 0)</f>
        <v>73</v>
      </c>
    </row>
    <row r="56" spans="1:6">
      <c r="A56" s="5" t="s">
        <v>45</v>
      </c>
      <c r="B56" s="39">
        <v>0.83</v>
      </c>
      <c r="C56" s="21">
        <f>ROUND('Operation Inventory (Corn)'!B56*$B56/(1-$B56), 0)</f>
        <v>34</v>
      </c>
      <c r="D56" s="21">
        <f>ROUND('Operation Inventory (Corn)'!C56*$B56/(1-$B56), 0)</f>
        <v>0</v>
      </c>
      <c r="E56" s="21">
        <f>ROUND('Operation Inventory (Corn)'!D56*$B56/(1-$B56), 0)</f>
        <v>5</v>
      </c>
      <c r="F56" s="21">
        <f>ROUND('Operation Inventory (Corn)'!E56*$B56/(1-$B56), 0)</f>
        <v>107</v>
      </c>
    </row>
    <row r="57" spans="1:6">
      <c r="A57" s="5" t="s">
        <v>46</v>
      </c>
      <c r="B57" s="39">
        <v>0.83</v>
      </c>
      <c r="C57" s="21">
        <f>ROUND('Operation Inventory (Corn)'!B57*$B57/(1-$B57), 0)</f>
        <v>10</v>
      </c>
      <c r="D57" s="21">
        <f>ROUND('Operation Inventory (Corn)'!C57*$B57/(1-$B57), 0)</f>
        <v>0</v>
      </c>
      <c r="E57" s="21">
        <f>ROUND('Operation Inventory (Corn)'!D57*$B57/(1-$B57), 0)</f>
        <v>0</v>
      </c>
      <c r="F57" s="21">
        <f>ROUND('Operation Inventory (Corn)'!E57*$B57/(1-$B57), 0)</f>
        <v>63</v>
      </c>
    </row>
    <row r="58" spans="1:6">
      <c r="A58" s="5" t="s">
        <v>210</v>
      </c>
      <c r="B58" s="39">
        <v>0.83</v>
      </c>
      <c r="C58" s="21">
        <f>ROUND('Operation Inventory (Corn)'!B58*$B58/(1-$B58), 0)</f>
        <v>112</v>
      </c>
      <c r="D58" s="21">
        <f>ROUND('Operation Inventory (Corn)'!C58*$B58/(1-$B58), 0)</f>
        <v>0</v>
      </c>
      <c r="E58" s="21">
        <f>ROUND('Operation Inventory (Corn)'!D58*$B58/(1-$B58), 0)</f>
        <v>49</v>
      </c>
      <c r="F58" s="21">
        <f>ROUND('Operation Inventory (Corn)'!E58*$B58/(1-$B58), 0)</f>
        <v>439</v>
      </c>
    </row>
    <row r="59" spans="1:6">
      <c r="A59" s="5" t="s">
        <v>211</v>
      </c>
      <c r="B59" s="39">
        <v>0.83</v>
      </c>
      <c r="C59" s="21">
        <f>ROUND('Operation Inventory (Corn)'!B59*$B59/(1-$B59), 0)</f>
        <v>107</v>
      </c>
      <c r="D59" s="21">
        <f>ROUND('Operation Inventory (Corn)'!C59*$B59/(1-$B59), 0)</f>
        <v>0</v>
      </c>
      <c r="E59" s="21">
        <f>ROUND('Operation Inventory (Corn)'!D59*$B59/(1-$B59), 0)</f>
        <v>59</v>
      </c>
      <c r="F59" s="21">
        <f>ROUND('Operation Inventory (Corn)'!E59*$B59/(1-$B59), 0)</f>
        <v>620</v>
      </c>
    </row>
    <row r="60" spans="1:6">
      <c r="A60" s="5" t="s">
        <v>47</v>
      </c>
      <c r="B60" s="39">
        <v>0.83</v>
      </c>
      <c r="C60" s="21">
        <f>ROUND('Operation Inventory (Corn)'!B60*$B60/(1-$B60), 0)</f>
        <v>44</v>
      </c>
      <c r="D60" s="21">
        <f>ROUND('Operation Inventory (Corn)'!C60*$B60/(1-$B60), 0)</f>
        <v>0</v>
      </c>
      <c r="E60" s="21">
        <f>ROUND('Operation Inventory (Corn)'!D60*$B60/(1-$B60), 0)</f>
        <v>10</v>
      </c>
      <c r="F60" s="21">
        <f>ROUND('Operation Inventory (Corn)'!E60*$B60/(1-$B60), 0)</f>
        <v>142</v>
      </c>
    </row>
    <row r="61" spans="1:6">
      <c r="A61" s="5" t="s">
        <v>55</v>
      </c>
      <c r="B61" s="39">
        <v>0.83</v>
      </c>
      <c r="C61" s="21">
        <f>ROUND('Operation Inventory (Corn)'!B61*$B61/(1-$B61), 0)</f>
        <v>469</v>
      </c>
      <c r="D61" s="21">
        <f>ROUND('Operation Inventory (Corn)'!C61*$B61/(1-$B61), 0)</f>
        <v>112</v>
      </c>
      <c r="E61" s="21">
        <f>ROUND('Operation Inventory (Corn)'!D61*$B61/(1-$B61), 0)</f>
        <v>93</v>
      </c>
      <c r="F61" s="21">
        <f>ROUND('Operation Inventory (Corn)'!E61*$B61/(1-$B61), 0)</f>
        <v>1645</v>
      </c>
    </row>
    <row r="62" spans="1:6">
      <c r="A62" s="5" t="s">
        <v>48</v>
      </c>
      <c r="B62" s="39">
        <v>0.83</v>
      </c>
      <c r="C62" s="21">
        <f>ROUND('Operation Inventory (Corn)'!B62*$B62/(1-$B62), 0)</f>
        <v>5</v>
      </c>
      <c r="D62" s="21">
        <f>ROUND('Operation Inventory (Corn)'!C62*$B62/(1-$B62), 0)</f>
        <v>0</v>
      </c>
      <c r="E62" s="21">
        <f>ROUND('Operation Inventory (Corn)'!D62*$B62/(1-$B62), 0)</f>
        <v>0</v>
      </c>
      <c r="F62" s="21">
        <f>ROUND('Operation Inventory (Corn)'!E62*$B62/(1-$B62), 0)</f>
        <v>34</v>
      </c>
    </row>
    <row r="63" spans="1:6">
      <c r="A63" s="5" t="s">
        <v>209</v>
      </c>
      <c r="B63" s="39">
        <v>0.83</v>
      </c>
      <c r="C63" s="21">
        <f>ROUND('Operation Inventory (Corn)'!B63*$B63/(1-$B63), 0)</f>
        <v>205</v>
      </c>
      <c r="D63" s="21">
        <f>ROUND('Operation Inventory (Corn)'!C63*$B63/(1-$B63), 0)</f>
        <v>29</v>
      </c>
      <c r="E63" s="21">
        <f>ROUND('Operation Inventory (Corn)'!D63*$B63/(1-$B63), 0)</f>
        <v>24</v>
      </c>
      <c r="F63" s="21">
        <f>ROUND('Operation Inventory (Corn)'!E63*$B63/(1-$B63), 0)</f>
        <v>913</v>
      </c>
    </row>
    <row r="64" spans="1:6">
      <c r="A64" s="5" t="s">
        <v>59</v>
      </c>
      <c r="B64" s="39">
        <v>0.83</v>
      </c>
      <c r="C64" s="21">
        <f>ROUND('Operation Inventory (Corn)'!B64*$B64/(1-$B64), 0)</f>
        <v>273</v>
      </c>
      <c r="D64" s="21">
        <f>ROUND('Operation Inventory (Corn)'!C64*$B64/(1-$B64), 0)</f>
        <v>20</v>
      </c>
      <c r="E64" s="21">
        <f>ROUND('Operation Inventory (Corn)'!D64*$B64/(1-$B64), 0)</f>
        <v>15</v>
      </c>
      <c r="F64" s="21">
        <f>ROUND('Operation Inventory (Corn)'!E64*$B64/(1-$B64), 0)</f>
        <v>464</v>
      </c>
    </row>
    <row r="65" spans="1:6">
      <c r="A65" s="5" t="s">
        <v>81</v>
      </c>
      <c r="B65" s="39">
        <v>0.83</v>
      </c>
      <c r="C65" s="21">
        <f>ROUND('Operation Inventory (Corn)'!B65*$B65/(1-$B65), 0)</f>
        <v>127</v>
      </c>
      <c r="D65" s="21">
        <f>ROUND('Operation Inventory (Corn)'!C65*$B65/(1-$B65), 0)</f>
        <v>15</v>
      </c>
      <c r="E65" s="21">
        <f>ROUND('Operation Inventory (Corn)'!D65*$B65/(1-$B65), 0)</f>
        <v>34</v>
      </c>
      <c r="F65" s="21">
        <f>ROUND('Operation Inventory (Corn)'!E65*$B65/(1-$B65), 0)</f>
        <v>415</v>
      </c>
    </row>
    <row r="66" spans="1:6">
      <c r="A66" s="5" t="s">
        <v>207</v>
      </c>
      <c r="B66" s="39">
        <v>0.83</v>
      </c>
      <c r="C66" s="21">
        <f>ROUND('Operation Inventory (Corn)'!B66*$B66/(1-$B66), 0)</f>
        <v>78</v>
      </c>
      <c r="D66" s="21">
        <f>ROUND('Operation Inventory (Corn)'!C66*$B66/(1-$B66), 0)</f>
        <v>0</v>
      </c>
      <c r="E66" s="21">
        <f>ROUND('Operation Inventory (Corn)'!D66*$B66/(1-$B66), 0)</f>
        <v>20</v>
      </c>
      <c r="F66" s="21">
        <f>ROUND('Operation Inventory (Corn)'!E66*$B66/(1-$B66), 0)</f>
        <v>259</v>
      </c>
    </row>
    <row r="67" spans="1:6">
      <c r="A67" s="5" t="s">
        <v>208</v>
      </c>
      <c r="B67" s="39">
        <v>0.83</v>
      </c>
      <c r="C67" s="21">
        <f>ROUND('Operation Inventory (Corn)'!B67*$B67/(1-$B67), 0)</f>
        <v>117</v>
      </c>
      <c r="D67" s="21">
        <f>ROUND('Operation Inventory (Corn)'!C67*$B67/(1-$B67), 0)</f>
        <v>0</v>
      </c>
      <c r="E67" s="21">
        <f>ROUND('Operation Inventory (Corn)'!D67*$B67/(1-$B67), 0)</f>
        <v>10</v>
      </c>
      <c r="F67" s="21">
        <f>ROUND('Operation Inventory (Corn)'!E67*$B67/(1-$B67), 0)</f>
        <v>405</v>
      </c>
    </row>
    <row r="68" spans="1:6">
      <c r="A68" s="5" t="s">
        <v>83</v>
      </c>
      <c r="B68" s="39">
        <v>0.83</v>
      </c>
      <c r="C68" s="21">
        <f>ROUND('Operation Inventory (Corn)'!B68*$B68/(1-$B68), 0)</f>
        <v>34</v>
      </c>
      <c r="D68" s="21">
        <f>ROUND('Operation Inventory (Corn)'!C68*$B68/(1-$B68), 0)</f>
        <v>0</v>
      </c>
      <c r="E68" s="21">
        <f>ROUND('Operation Inventory (Corn)'!D68*$B68/(1-$B68), 0)</f>
        <v>10</v>
      </c>
      <c r="F68" s="21">
        <f>ROUND('Operation Inventory (Corn)'!E68*$B68/(1-$B68), 0)</f>
        <v>181</v>
      </c>
    </row>
    <row r="69" spans="1:6">
      <c r="A69" s="5" t="s">
        <v>96</v>
      </c>
      <c r="B69" s="39">
        <v>0.83</v>
      </c>
      <c r="C69" s="21">
        <f>ROUND('Operation Inventory (Corn)'!B69*$B69/(1-$B69), 0)</f>
        <v>54</v>
      </c>
      <c r="D69" s="21">
        <f>ROUND('Operation Inventory (Corn)'!C69*$B69/(1-$B69), 0)</f>
        <v>0</v>
      </c>
      <c r="E69" s="21">
        <f>ROUND('Operation Inventory (Corn)'!D69*$B69/(1-$B69), 0)</f>
        <v>10</v>
      </c>
      <c r="F69" s="21">
        <f>ROUND('Operation Inventory (Corn)'!E69*$B69/(1-$B69), 0)</f>
        <v>259</v>
      </c>
    </row>
    <row r="70" spans="1:6">
      <c r="A70" s="5" t="s">
        <v>212</v>
      </c>
      <c r="B70" s="39">
        <v>0.83</v>
      </c>
      <c r="C70" s="21">
        <f>ROUND('Operation Inventory (Corn)'!B70*$B70/(1-$B70), 0)</f>
        <v>83</v>
      </c>
      <c r="D70" s="21">
        <f>ROUND('Operation Inventory (Corn)'!C70*$B70/(1-$B70), 0)</f>
        <v>10</v>
      </c>
      <c r="E70" s="21">
        <f>ROUND('Operation Inventory (Corn)'!D70*$B70/(1-$B70), 0)</f>
        <v>15</v>
      </c>
      <c r="F70" s="21">
        <f>ROUND('Operation Inventory (Corn)'!E70*$B70/(1-$B70), 0)</f>
        <v>293</v>
      </c>
    </row>
    <row r="71" spans="1:6">
      <c r="A71" s="5" t="s">
        <v>49</v>
      </c>
      <c r="B71" s="39">
        <v>0.83</v>
      </c>
      <c r="C71" s="21">
        <f>ROUND('Operation Inventory (Corn)'!B71*$B71/(1-$B71), 0)</f>
        <v>93</v>
      </c>
      <c r="D71" s="21">
        <f>ROUND('Operation Inventory (Corn)'!C71*$B71/(1-$B71), 0)</f>
        <v>10</v>
      </c>
      <c r="E71" s="21">
        <f>ROUND('Operation Inventory (Corn)'!D71*$B71/(1-$B71), 0)</f>
        <v>20</v>
      </c>
      <c r="F71" s="21">
        <f>ROUND('Operation Inventory (Corn)'!E71*$B71/(1-$B71), 0)</f>
        <v>571</v>
      </c>
    </row>
    <row r="72" spans="1:6">
      <c r="A72" s="5" t="s">
        <v>50</v>
      </c>
      <c r="B72" s="39">
        <v>0.83</v>
      </c>
      <c r="C72" s="21">
        <f>ROUND('Operation Inventory (Corn)'!B72*$B72/(1-$B72), 0)</f>
        <v>205</v>
      </c>
      <c r="D72" s="21">
        <f>ROUND('Operation Inventory (Corn)'!C72*$B72/(1-$B72), 0)</f>
        <v>15</v>
      </c>
      <c r="E72" s="21">
        <f>ROUND('Operation Inventory (Corn)'!D72*$B72/(1-$B72), 0)</f>
        <v>63</v>
      </c>
      <c r="F72" s="21">
        <f>ROUND('Operation Inventory (Corn)'!E72*$B72/(1-$B72), 0)</f>
        <v>605</v>
      </c>
    </row>
    <row r="73" spans="1:6">
      <c r="A73" s="5" t="s">
        <v>51</v>
      </c>
      <c r="B73" s="39">
        <v>0.83</v>
      </c>
      <c r="C73" s="21">
        <f>ROUND('Operation Inventory (Corn)'!B73*$B73/(1-$B73), 0)</f>
        <v>200</v>
      </c>
      <c r="D73" s="21">
        <f>ROUND('Operation Inventory (Corn)'!C73*$B73/(1-$B73), 0)</f>
        <v>29</v>
      </c>
      <c r="E73" s="21">
        <f>ROUND('Operation Inventory (Corn)'!D73*$B73/(1-$B73), 0)</f>
        <v>98</v>
      </c>
      <c r="F73" s="21">
        <f>ROUND('Operation Inventory (Corn)'!E73*$B73/(1-$B73), 0)</f>
        <v>757</v>
      </c>
    </row>
    <row r="74" spans="1:6">
      <c r="A74" s="5" t="s">
        <v>213</v>
      </c>
      <c r="B74" s="39">
        <v>0.83</v>
      </c>
      <c r="C74" s="21">
        <f>ROUND('Operation Inventory (Corn)'!B74*$B74/(1-$B74), 0)</f>
        <v>381</v>
      </c>
      <c r="D74" s="21">
        <f>ROUND('Operation Inventory (Corn)'!C74*$B74/(1-$B74), 0)</f>
        <v>83</v>
      </c>
      <c r="E74" s="21">
        <f>ROUND('Operation Inventory (Corn)'!D74*$B74/(1-$B74), 0)</f>
        <v>98</v>
      </c>
      <c r="F74" s="21">
        <f>ROUND('Operation Inventory (Corn)'!E74*$B74/(1-$B74), 0)</f>
        <v>1025</v>
      </c>
    </row>
    <row r="75" spans="1:6">
      <c r="A75" s="5" t="s">
        <v>145</v>
      </c>
      <c r="B75" s="39">
        <v>0.83</v>
      </c>
      <c r="C75" s="21">
        <f>ROUND('Operation Inventory (Corn)'!B75*$B75/(1-$B75), 0)</f>
        <v>93</v>
      </c>
      <c r="D75" s="21">
        <f>ROUND('Operation Inventory (Corn)'!C75*$B75/(1-$B75), 0)</f>
        <v>15</v>
      </c>
      <c r="E75" s="21">
        <f>ROUND('Operation Inventory (Corn)'!D75*$B75/(1-$B75), 0)</f>
        <v>49</v>
      </c>
      <c r="F75" s="21">
        <f>ROUND('Operation Inventory (Corn)'!E75*$B75/(1-$B75), 0)</f>
        <v>137</v>
      </c>
    </row>
    <row r="76" spans="1:6">
      <c r="A76" s="5" t="s">
        <v>204</v>
      </c>
      <c r="B76" s="39">
        <v>0.83</v>
      </c>
      <c r="C76" s="21">
        <f>ROUND('Operation Inventory (Corn)'!B76*$B76/(1-$B76), 0)</f>
        <v>200</v>
      </c>
      <c r="D76" s="21">
        <f>ROUND('Operation Inventory (Corn)'!C76*$B76/(1-$B76), 0)</f>
        <v>54</v>
      </c>
      <c r="E76" s="21">
        <f>ROUND('Operation Inventory (Corn)'!D76*$B76/(1-$B76), 0)</f>
        <v>44</v>
      </c>
      <c r="F76" s="21">
        <f>ROUND('Operation Inventory (Corn)'!E76*$B76/(1-$B76), 0)</f>
        <v>205</v>
      </c>
    </row>
    <row r="77" spans="1:6">
      <c r="A77" s="5" t="s">
        <v>52</v>
      </c>
      <c r="B77" s="39">
        <v>0.83</v>
      </c>
      <c r="C77" s="21">
        <f>ROUND('Operation Inventory (Corn)'!B77*$B77/(1-$B77), 0)</f>
        <v>20</v>
      </c>
      <c r="D77" s="21">
        <f>ROUND('Operation Inventory (Corn)'!C77*$B77/(1-$B77), 0)</f>
        <v>0</v>
      </c>
      <c r="E77" s="21">
        <f>ROUND('Operation Inventory (Corn)'!D77*$B77/(1-$B77), 0)</f>
        <v>0</v>
      </c>
      <c r="F77" s="21">
        <f>ROUND('Operation Inventory (Corn)'!E77*$B77/(1-$B77), 0)</f>
        <v>49</v>
      </c>
    </row>
    <row r="78" spans="1:6">
      <c r="A78" s="5" t="s">
        <v>205</v>
      </c>
      <c r="B78" s="39">
        <v>0.83</v>
      </c>
      <c r="C78" s="21">
        <f>ROUND('Operation Inventory (Corn)'!B78*$B78/(1-$B78), 0)</f>
        <v>59</v>
      </c>
      <c r="D78" s="21">
        <f>ROUND('Operation Inventory (Corn)'!C78*$B78/(1-$B78), 0)</f>
        <v>0</v>
      </c>
      <c r="E78" s="21">
        <f>ROUND('Operation Inventory (Corn)'!D78*$B78/(1-$B78), 0)</f>
        <v>44</v>
      </c>
      <c r="F78" s="21">
        <f>ROUND('Operation Inventory (Corn)'!E78*$B78/(1-$B78), 0)</f>
        <v>98</v>
      </c>
    </row>
    <row r="79" spans="1:6">
      <c r="A79" s="5" t="s">
        <v>206</v>
      </c>
      <c r="B79" s="39">
        <v>0.83</v>
      </c>
      <c r="C79" s="21">
        <f>ROUND('Operation Inventory (Corn)'!B79*$B79/(1-$B79), 0)</f>
        <v>68</v>
      </c>
      <c r="D79" s="21">
        <f>ROUND('Operation Inventory (Corn)'!C79*$B79/(1-$B79), 0)</f>
        <v>5</v>
      </c>
      <c r="E79" s="21">
        <f>ROUND('Operation Inventory (Corn)'!D79*$B79/(1-$B79), 0)</f>
        <v>20</v>
      </c>
      <c r="F79" s="21">
        <f>ROUND('Operation Inventory (Corn)'!E79*$B79/(1-$B79), 0)</f>
        <v>68</v>
      </c>
    </row>
    <row r="80" spans="1:6">
      <c r="A80" s="5" t="s">
        <v>160</v>
      </c>
      <c r="B80" s="39">
        <v>0.83</v>
      </c>
      <c r="C80" s="21">
        <f>ROUND('Operation Inventory (Corn)'!B80*$B80/(1-$B80), 0)</f>
        <v>20</v>
      </c>
      <c r="D80" s="21">
        <f>ROUND('Operation Inventory (Corn)'!C80*$B80/(1-$B80), 0)</f>
        <v>0</v>
      </c>
      <c r="E80" s="21">
        <f>ROUND('Operation Inventory (Corn)'!D80*$B80/(1-$B80), 0)</f>
        <v>0</v>
      </c>
      <c r="F80" s="21">
        <f>ROUND('Operation Inventory (Corn)'!E80*$B80/(1-$B80), 0)</f>
        <v>15</v>
      </c>
    </row>
    <row r="81" spans="1:6">
      <c r="A81" s="5" t="s">
        <v>203</v>
      </c>
      <c r="B81" s="39">
        <v>0.83</v>
      </c>
      <c r="C81" s="21">
        <f>ROUND('Operation Inventory (Corn)'!B81*$B81/(1-$B81), 0)</f>
        <v>0</v>
      </c>
      <c r="D81" s="21">
        <f>ROUND('Operation Inventory (Corn)'!C81*$B81/(1-$B81), 0)</f>
        <v>0</v>
      </c>
      <c r="E81" s="21">
        <f>ROUND('Operation Inventory (Corn)'!D81*$B81/(1-$B81), 0)</f>
        <v>0</v>
      </c>
      <c r="F81" s="21">
        <f>ROUND('Operation Inventory (Corn)'!E81*$B81/(1-$B81), 0)</f>
        <v>5</v>
      </c>
    </row>
    <row r="82" spans="1:6">
      <c r="A82" s="5" t="s">
        <v>53</v>
      </c>
      <c r="B82" s="39">
        <v>0.83</v>
      </c>
      <c r="C82" s="21">
        <f>ROUND('Operation Inventory (Corn)'!B82*$B82/(1-$B82), 0)</f>
        <v>5</v>
      </c>
      <c r="D82" s="21">
        <f>ROUND('Operation Inventory (Corn)'!C82*$B82/(1-$B82), 0)</f>
        <v>0</v>
      </c>
      <c r="E82" s="21">
        <f>ROUND('Operation Inventory (Corn)'!D82*$B82/(1-$B82), 0)</f>
        <v>0</v>
      </c>
      <c r="F82" s="21">
        <f>ROUND('Operation Inventory (Corn)'!E82*$B82/(1-$B82), 0)</f>
        <v>39</v>
      </c>
    </row>
    <row r="83" spans="1:6">
      <c r="A83" s="2"/>
      <c r="B83" s="21"/>
      <c r="C83" s="21">
        <f>SUM(C4:C82)</f>
        <v>13043</v>
      </c>
      <c r="D83" s="21">
        <f>SUM(D4:D82)</f>
        <v>2164</v>
      </c>
      <c r="E83" s="21">
        <f>SUM(E4:E82)</f>
        <v>2901</v>
      </c>
      <c r="F83" s="21">
        <f>SUM(F4:F82)</f>
        <v>21007</v>
      </c>
    </row>
  </sheetData>
  <mergeCells count="3">
    <mergeCell ref="C1:D1"/>
    <mergeCell ref="B2:B3"/>
    <mergeCell ref="E2:E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83"/>
  <sheetViews>
    <sheetView topLeftCell="A38" workbookViewId="0">
      <selection activeCell="A50" sqref="A50:XFD51"/>
    </sheetView>
  </sheetViews>
  <sheetFormatPr defaultColWidth="20.77734375" defaultRowHeight="14.4"/>
  <cols>
    <col min="2" max="5" width="20.77734375" style="32"/>
    <col min="8" max="20" width="20.77734375" style="31"/>
  </cols>
  <sheetData>
    <row r="1" spans="1:20">
      <c r="A1" s="16"/>
      <c r="B1" s="19" t="s">
        <v>6</v>
      </c>
      <c r="C1" s="19" t="s">
        <v>3</v>
      </c>
      <c r="D1" s="19" t="s">
        <v>2</v>
      </c>
      <c r="E1" s="19" t="s">
        <v>8</v>
      </c>
      <c r="G1" s="593" t="s">
        <v>253</v>
      </c>
      <c r="H1" s="630" t="s">
        <v>238</v>
      </c>
      <c r="I1" s="630" t="s">
        <v>239</v>
      </c>
      <c r="J1" s="630" t="s">
        <v>240</v>
      </c>
      <c r="K1" s="630" t="s">
        <v>241</v>
      </c>
      <c r="L1" s="630" t="s">
        <v>236</v>
      </c>
      <c r="M1" s="630" t="s">
        <v>237</v>
      </c>
      <c r="N1" s="630" t="s">
        <v>242</v>
      </c>
      <c r="O1" s="630" t="s">
        <v>243</v>
      </c>
      <c r="P1" s="630" t="s">
        <v>244</v>
      </c>
      <c r="Q1" s="630" t="s">
        <v>245</v>
      </c>
      <c r="R1" s="630" t="s">
        <v>246</v>
      </c>
      <c r="S1" s="630" t="s">
        <v>247</v>
      </c>
      <c r="T1" s="593" t="s">
        <v>254</v>
      </c>
    </row>
    <row r="2" spans="1:20" ht="43.2">
      <c r="A2" s="16" t="s">
        <v>249</v>
      </c>
      <c r="B2" s="19">
        <f>'Operation Inventory (Corn)'!B2</f>
        <v>4800</v>
      </c>
      <c r="C2" s="19">
        <f>'Operation Inventory (Corn)'!C2</f>
        <v>1760</v>
      </c>
      <c r="D2" s="19">
        <f>'Operation Inventory (Corn)'!D2</f>
        <v>2160</v>
      </c>
      <c r="E2" s="19">
        <f>'Operation Inventory (Corn)'!E2</f>
        <v>528</v>
      </c>
      <c r="G2" s="593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593"/>
    </row>
    <row r="3" spans="1:20">
      <c r="A3" s="16" t="s">
        <v>253</v>
      </c>
      <c r="B3" s="19" t="s">
        <v>54</v>
      </c>
      <c r="C3" s="19" t="s">
        <v>221</v>
      </c>
      <c r="D3" s="19" t="s">
        <v>222</v>
      </c>
      <c r="E3" s="19" t="s">
        <v>8</v>
      </c>
      <c r="G3" s="593"/>
      <c r="H3" s="630"/>
      <c r="I3" s="630"/>
      <c r="J3" s="630"/>
      <c r="K3" s="630"/>
      <c r="L3" s="630"/>
      <c r="M3" s="630"/>
      <c r="N3" s="630"/>
      <c r="O3" s="630"/>
      <c r="P3" s="630"/>
      <c r="Q3" s="630"/>
      <c r="R3" s="630"/>
      <c r="S3" s="630"/>
      <c r="T3" s="593"/>
    </row>
    <row r="4" spans="1:20">
      <c r="A4" s="5" t="s">
        <v>88</v>
      </c>
      <c r="B4" s="42">
        <f>B$2*'Total Inventory (Corn)'!C4</f>
        <v>350400</v>
      </c>
      <c r="C4" s="42">
        <f>C$2*'Total Inventory (Corn)'!D4</f>
        <v>8800</v>
      </c>
      <c r="D4" s="42">
        <f>D$2*'Total Inventory (Corn)'!E4</f>
        <v>0</v>
      </c>
      <c r="E4" s="42">
        <f>E$2*'Total Inventory (Corn)'!F4</f>
        <v>195888</v>
      </c>
      <c r="G4" s="2" t="s">
        <v>88</v>
      </c>
      <c r="H4" s="36">
        <f>$C4+$D4+$E4</f>
        <v>204688</v>
      </c>
      <c r="I4" s="36"/>
      <c r="J4" s="36"/>
      <c r="K4" s="36">
        <f>$B4</f>
        <v>350400</v>
      </c>
      <c r="L4" s="36"/>
      <c r="M4" s="36"/>
      <c r="N4" s="36">
        <f>$C4+$D4+$E4</f>
        <v>204688</v>
      </c>
      <c r="O4" s="36"/>
      <c r="P4" s="36"/>
      <c r="Q4" s="36">
        <f>$B4</f>
        <v>350400</v>
      </c>
      <c r="R4" s="36"/>
      <c r="S4" s="36"/>
      <c r="T4" s="36">
        <f>SUM(H4:S4)</f>
        <v>1110176</v>
      </c>
    </row>
    <row r="5" spans="1:20">
      <c r="A5" s="5" t="s">
        <v>85</v>
      </c>
      <c r="B5" s="42">
        <f>B$2*'Total Inventory (Corn)'!C5</f>
        <v>374400</v>
      </c>
      <c r="C5" s="42">
        <f>C$2*'Total Inventory (Corn)'!D5</f>
        <v>77440</v>
      </c>
      <c r="D5" s="42">
        <f>D$2*'Total Inventory (Corn)'!E5</f>
        <v>95040</v>
      </c>
      <c r="E5" s="42">
        <f>E$2*'Total Inventory (Corn)'!F5</f>
        <v>231792</v>
      </c>
      <c r="G5" s="2" t="s">
        <v>85</v>
      </c>
      <c r="H5" s="36">
        <f>$C5+$D5+$E5</f>
        <v>404272</v>
      </c>
      <c r="I5" s="36">
        <f>$B5</f>
        <v>374400</v>
      </c>
      <c r="J5" s="36"/>
      <c r="K5" s="36"/>
      <c r="L5" s="36">
        <f>$C5+$D5+$E5</f>
        <v>404272</v>
      </c>
      <c r="M5" s="36"/>
      <c r="N5" s="36"/>
      <c r="O5" s="36"/>
      <c r="P5" s="36"/>
      <c r="Q5" s="36">
        <f>$B5</f>
        <v>374400</v>
      </c>
      <c r="R5" s="36"/>
      <c r="S5" s="36"/>
      <c r="T5" s="36">
        <f t="shared" ref="T5:T68" si="0">SUM(H5:S5)</f>
        <v>1557344</v>
      </c>
    </row>
    <row r="6" spans="1:20">
      <c r="A6" s="5" t="s">
        <v>146</v>
      </c>
      <c r="B6" s="42">
        <f>B$2*'Total Inventory (Corn)'!C6</f>
        <v>0</v>
      </c>
      <c r="C6" s="42">
        <f>C$2*'Total Inventory (Corn)'!D6</f>
        <v>0</v>
      </c>
      <c r="D6" s="42">
        <f>D$2*'Total Inventory (Corn)'!E6</f>
        <v>0</v>
      </c>
      <c r="E6" s="42">
        <f>E$2*'Total Inventory (Corn)'!F6</f>
        <v>17952</v>
      </c>
      <c r="G6" s="2" t="s">
        <v>146</v>
      </c>
      <c r="H6" s="36">
        <f>$C6+$D6+$E6</f>
        <v>17952</v>
      </c>
      <c r="I6" s="36"/>
      <c r="J6" s="36"/>
      <c r="K6" s="36">
        <f>$B6</f>
        <v>0</v>
      </c>
      <c r="L6" s="36"/>
      <c r="M6" s="36"/>
      <c r="N6" s="36">
        <f>$C6+$D6+$E6</f>
        <v>17952</v>
      </c>
      <c r="O6" s="36"/>
      <c r="P6" s="36"/>
      <c r="Q6" s="36">
        <f>$B6</f>
        <v>0</v>
      </c>
      <c r="R6" s="36"/>
      <c r="S6" s="36"/>
      <c r="T6" s="36">
        <f t="shared" si="0"/>
        <v>35904</v>
      </c>
    </row>
    <row r="7" spans="1:20">
      <c r="A7" s="5" t="s">
        <v>84</v>
      </c>
      <c r="B7" s="42">
        <f>B$2*'Total Inventory (Corn)'!C7</f>
        <v>446400</v>
      </c>
      <c r="C7" s="42">
        <f>C$2*'Total Inventory (Corn)'!D7</f>
        <v>95040</v>
      </c>
      <c r="D7" s="42">
        <f>D$2*'Total Inventory (Corn)'!E7</f>
        <v>105840</v>
      </c>
      <c r="E7" s="42">
        <f>E$2*'Total Inventory (Corn)'!F7</f>
        <v>224400</v>
      </c>
      <c r="G7" s="2" t="s">
        <v>84</v>
      </c>
      <c r="H7" s="38"/>
      <c r="I7" s="38">
        <f>$C7+$D7+$E7</f>
        <v>425280</v>
      </c>
      <c r="J7" s="38"/>
      <c r="K7" s="38">
        <f>$B7</f>
        <v>446400</v>
      </c>
      <c r="L7" s="38"/>
      <c r="M7" s="38"/>
      <c r="N7" s="38">
        <f>$C7+$D7+$E7</f>
        <v>425280</v>
      </c>
      <c r="O7" s="38"/>
      <c r="P7" s="38"/>
      <c r="Q7" s="38"/>
      <c r="R7" s="38">
        <f>$B7</f>
        <v>446400</v>
      </c>
      <c r="S7" s="38"/>
      <c r="T7" s="38">
        <f t="shared" si="0"/>
        <v>1743360</v>
      </c>
    </row>
    <row r="8" spans="1:20">
      <c r="A8" s="5" t="s">
        <v>86</v>
      </c>
      <c r="B8" s="42">
        <f>B$2*'Total Inventory (Corn)'!C8</f>
        <v>283200</v>
      </c>
      <c r="C8" s="42">
        <f>C$2*'Total Inventory (Corn)'!D8</f>
        <v>51040</v>
      </c>
      <c r="D8" s="42">
        <f>D$2*'Total Inventory (Corn)'!E8</f>
        <v>43200</v>
      </c>
      <c r="E8" s="42">
        <f>E$2*'Total Inventory (Corn)'!F8</f>
        <v>203808</v>
      </c>
      <c r="G8" s="2" t="s">
        <v>86</v>
      </c>
      <c r="H8" s="36"/>
      <c r="I8" s="36">
        <f>$C8+$D8+$E8</f>
        <v>298048</v>
      </c>
      <c r="J8" s="36"/>
      <c r="K8" s="36">
        <f>$B8</f>
        <v>283200</v>
      </c>
      <c r="L8" s="36"/>
      <c r="M8" s="36"/>
      <c r="N8" s="36">
        <f>$C8+$D8+$E8</f>
        <v>298048</v>
      </c>
      <c r="O8" s="36"/>
      <c r="P8" s="36"/>
      <c r="Q8" s="36"/>
      <c r="R8" s="36">
        <f>$B8</f>
        <v>283200</v>
      </c>
      <c r="S8" s="36"/>
      <c r="T8" s="36">
        <f t="shared" si="0"/>
        <v>1162496</v>
      </c>
    </row>
    <row r="9" spans="1:20">
      <c r="A9" s="5" t="s">
        <v>87</v>
      </c>
      <c r="B9" s="42">
        <f>B$2*'Total Inventory (Corn)'!C9</f>
        <v>235200</v>
      </c>
      <c r="C9" s="42">
        <f>C$2*'Total Inventory (Corn)'!D9</f>
        <v>0</v>
      </c>
      <c r="D9" s="42">
        <f>D$2*'Total Inventory (Corn)'!E9</f>
        <v>62640</v>
      </c>
      <c r="E9" s="42">
        <f>E$2*'Total Inventory (Corn)'!F9</f>
        <v>152064</v>
      </c>
      <c r="G9" s="2" t="s">
        <v>87</v>
      </c>
      <c r="H9" s="36"/>
      <c r="I9" s="36">
        <f>$C9+$D9+$E9</f>
        <v>214704</v>
      </c>
      <c r="J9" s="36"/>
      <c r="K9" s="36">
        <f>$B9</f>
        <v>235200</v>
      </c>
      <c r="L9" s="36"/>
      <c r="M9" s="36"/>
      <c r="N9" s="36">
        <f>$C9+$D9+$E9</f>
        <v>214704</v>
      </c>
      <c r="O9" s="36"/>
      <c r="P9" s="36"/>
      <c r="Q9" s="36"/>
      <c r="R9" s="36">
        <f>$B9</f>
        <v>235200</v>
      </c>
      <c r="S9" s="36"/>
      <c r="T9" s="36">
        <f t="shared" si="0"/>
        <v>899808</v>
      </c>
    </row>
    <row r="10" spans="1:20">
      <c r="A10" s="5" t="s">
        <v>11</v>
      </c>
      <c r="B10" s="42">
        <f>B$2*'Total Inventory (Corn)'!C10</f>
        <v>2601600</v>
      </c>
      <c r="C10" s="42">
        <f>C$2*'Total Inventory (Corn)'!D10</f>
        <v>51040</v>
      </c>
      <c r="D10" s="42">
        <f>D$2*'Total Inventory (Corn)'!E10</f>
        <v>136080</v>
      </c>
      <c r="E10" s="42">
        <f>E$2*'Total Inventory (Corn)'!F10</f>
        <v>59136</v>
      </c>
      <c r="G10" s="2" t="s">
        <v>11</v>
      </c>
      <c r="H10" s="36"/>
      <c r="I10" s="36">
        <f>$B10</f>
        <v>2601600</v>
      </c>
      <c r="J10" s="36"/>
      <c r="K10" s="36"/>
      <c r="L10" s="36">
        <f>$C10+$D10+$E10</f>
        <v>246256</v>
      </c>
      <c r="M10" s="36"/>
      <c r="N10" s="36"/>
      <c r="O10" s="36">
        <f>$B10</f>
        <v>2601600</v>
      </c>
      <c r="P10" s="36"/>
      <c r="Q10" s="36"/>
      <c r="R10" s="36">
        <f>$C10+$D10+$E10</f>
        <v>246256</v>
      </c>
      <c r="S10" s="36"/>
      <c r="T10" s="36">
        <f t="shared" si="0"/>
        <v>5695712</v>
      </c>
    </row>
    <row r="11" spans="1:20">
      <c r="A11" s="5" t="s">
        <v>12</v>
      </c>
      <c r="B11" s="42">
        <f>B$2*'Total Inventory (Corn)'!C11</f>
        <v>1920000</v>
      </c>
      <c r="C11" s="42">
        <f>C$2*'Total Inventory (Corn)'!D11</f>
        <v>17600</v>
      </c>
      <c r="D11" s="42">
        <f>D$2*'Total Inventory (Corn)'!E11</f>
        <v>105840</v>
      </c>
      <c r="E11" s="42">
        <f>E$2*'Total Inventory (Corn)'!F11</f>
        <v>92928</v>
      </c>
      <c r="G11" s="2" t="s">
        <v>12</v>
      </c>
      <c r="H11" s="36"/>
      <c r="I11" s="36">
        <f>$B11</f>
        <v>1920000</v>
      </c>
      <c r="J11" s="36"/>
      <c r="K11" s="36"/>
      <c r="L11" s="36">
        <f>$C11+$D11+$E11</f>
        <v>216368</v>
      </c>
      <c r="M11" s="36"/>
      <c r="N11" s="36">
        <f>$B11</f>
        <v>1920000</v>
      </c>
      <c r="O11" s="36"/>
      <c r="P11" s="36"/>
      <c r="Q11" s="36">
        <f>$C11+$D11+$E11</f>
        <v>216368</v>
      </c>
      <c r="R11" s="36"/>
      <c r="S11" s="36"/>
      <c r="T11" s="36">
        <f t="shared" si="0"/>
        <v>4272736</v>
      </c>
    </row>
    <row r="12" spans="1:20">
      <c r="A12" s="5" t="s">
        <v>13</v>
      </c>
      <c r="B12" s="42">
        <f>B$2*'Total Inventory (Corn)'!C12</f>
        <v>1478400</v>
      </c>
      <c r="C12" s="42">
        <f>C$2*'Total Inventory (Corn)'!D12</f>
        <v>42240</v>
      </c>
      <c r="D12" s="42">
        <f>D$2*'Total Inventory (Corn)'!E12</f>
        <v>51840</v>
      </c>
      <c r="E12" s="42">
        <f>E$2*'Total Inventory (Corn)'!F12</f>
        <v>59136</v>
      </c>
      <c r="G12" s="2" t="s">
        <v>13</v>
      </c>
      <c r="H12" s="36"/>
      <c r="I12" s="36">
        <f>$B12</f>
        <v>1478400</v>
      </c>
      <c r="J12" s="36"/>
      <c r="K12" s="36"/>
      <c r="L12" s="36">
        <f>$C12+$D12+$E12</f>
        <v>153216</v>
      </c>
      <c r="M12" s="36">
        <f>$B12</f>
        <v>1478400</v>
      </c>
      <c r="N12" s="36"/>
      <c r="O12" s="36"/>
      <c r="P12" s="36">
        <f>$C12+$D12+$E12</f>
        <v>153216</v>
      </c>
      <c r="Q12" s="36"/>
      <c r="R12" s="36"/>
      <c r="S12" s="36"/>
      <c r="T12" s="36">
        <f t="shared" si="0"/>
        <v>3263232</v>
      </c>
    </row>
    <row r="13" spans="1:20">
      <c r="A13" s="5" t="s">
        <v>14</v>
      </c>
      <c r="B13" s="42">
        <f>B$2*'Total Inventory (Corn)'!C13</f>
        <v>6398400</v>
      </c>
      <c r="C13" s="42">
        <f>C$2*'Total Inventory (Corn)'!D13</f>
        <v>51040</v>
      </c>
      <c r="D13" s="42">
        <f>D$2*'Total Inventory (Corn)'!E13</f>
        <v>306720</v>
      </c>
      <c r="E13" s="42">
        <f>E$2*'Total Inventory (Corn)'!F13</f>
        <v>116160</v>
      </c>
      <c r="G13" s="2" t="s">
        <v>14</v>
      </c>
      <c r="H13" s="36"/>
      <c r="I13" s="36">
        <f>$B13</f>
        <v>6398400</v>
      </c>
      <c r="J13" s="36"/>
      <c r="K13" s="36"/>
      <c r="L13" s="36">
        <f>$C13+$D13+$E13</f>
        <v>473920</v>
      </c>
      <c r="M13" s="36"/>
      <c r="N13" s="36"/>
      <c r="O13" s="36">
        <f>$B13</f>
        <v>6398400</v>
      </c>
      <c r="P13" s="36"/>
      <c r="Q13" s="36"/>
      <c r="R13" s="36">
        <f>$C13+$D13+$E13</f>
        <v>473920</v>
      </c>
      <c r="S13" s="36"/>
      <c r="T13" s="36">
        <f t="shared" si="0"/>
        <v>13744640</v>
      </c>
    </row>
    <row r="14" spans="1:20">
      <c r="A14" s="5" t="s">
        <v>10</v>
      </c>
      <c r="B14" s="42">
        <f>B$2*'Total Inventory (Corn)'!C14</f>
        <v>0</v>
      </c>
      <c r="C14" s="42">
        <f>C$2*'Total Inventory (Corn)'!D14</f>
        <v>0</v>
      </c>
      <c r="D14" s="42">
        <f>D$2*'Total Inventory (Corn)'!E14</f>
        <v>0</v>
      </c>
      <c r="E14" s="42">
        <f>E$2*'Total Inventory (Corn)'!F14</f>
        <v>0</v>
      </c>
      <c r="G14" s="2" t="s">
        <v>10</v>
      </c>
      <c r="H14" s="36">
        <f>$C14+$D14+$E14</f>
        <v>0</v>
      </c>
      <c r="I14" s="36"/>
      <c r="J14" s="36"/>
      <c r="K14" s="36">
        <f t="shared" ref="K14:K19" si="1">$B14</f>
        <v>0</v>
      </c>
      <c r="L14" s="36"/>
      <c r="M14" s="36"/>
      <c r="N14" s="36">
        <f t="shared" ref="N14:N19" si="2">$C14+$D14+$E14</f>
        <v>0</v>
      </c>
      <c r="O14" s="36"/>
      <c r="P14" s="36"/>
      <c r="Q14" s="36">
        <f>$B14</f>
        <v>0</v>
      </c>
      <c r="R14" s="36"/>
      <c r="S14" s="36"/>
      <c r="T14" s="36">
        <f t="shared" si="0"/>
        <v>0</v>
      </c>
    </row>
    <row r="15" spans="1:20">
      <c r="A15" s="5" t="s">
        <v>15</v>
      </c>
      <c r="B15" s="42">
        <f>B$2*'Total Inventory (Corn)'!C15</f>
        <v>6820800</v>
      </c>
      <c r="C15" s="42">
        <f>C$2*'Total Inventory (Corn)'!D15</f>
        <v>396000</v>
      </c>
      <c r="D15" s="42">
        <f>D$2*'Total Inventory (Corn)'!E15</f>
        <v>200880</v>
      </c>
      <c r="E15" s="42">
        <f>E$2*'Total Inventory (Corn)'!F15</f>
        <v>489984</v>
      </c>
      <c r="G15" s="2" t="s">
        <v>15</v>
      </c>
      <c r="H15" s="36">
        <f t="shared" ref="H15:H30" si="3">$C15+$D15+$E15</f>
        <v>1086864</v>
      </c>
      <c r="I15" s="36"/>
      <c r="J15" s="36"/>
      <c r="K15" s="36">
        <f t="shared" si="1"/>
        <v>6820800</v>
      </c>
      <c r="L15" s="36"/>
      <c r="M15" s="36"/>
      <c r="N15" s="36">
        <f t="shared" si="2"/>
        <v>1086864</v>
      </c>
      <c r="O15" s="36"/>
      <c r="P15" s="36"/>
      <c r="Q15" s="36">
        <f t="shared" ref="Q15:Q30" si="4">$B15</f>
        <v>6820800</v>
      </c>
      <c r="R15" s="36"/>
      <c r="S15" s="36"/>
      <c r="T15" s="36">
        <f t="shared" si="0"/>
        <v>15815328</v>
      </c>
    </row>
    <row r="16" spans="1:20">
      <c r="A16" s="5" t="s">
        <v>16</v>
      </c>
      <c r="B16" s="42">
        <f>B$2*'Total Inventory (Corn)'!C16</f>
        <v>6561600</v>
      </c>
      <c r="C16" s="42">
        <f>C$2*'Total Inventory (Corn)'!D16</f>
        <v>927520</v>
      </c>
      <c r="D16" s="42">
        <f>D$2*'Total Inventory (Corn)'!E16</f>
        <v>211680</v>
      </c>
      <c r="E16" s="42">
        <f>E$2*'Total Inventory (Corn)'!F16</f>
        <v>853248</v>
      </c>
      <c r="G16" s="2" t="s">
        <v>16</v>
      </c>
      <c r="H16" s="36">
        <f t="shared" si="3"/>
        <v>1992448</v>
      </c>
      <c r="I16" s="36"/>
      <c r="J16" s="36"/>
      <c r="K16" s="36">
        <f t="shared" si="1"/>
        <v>6561600</v>
      </c>
      <c r="L16" s="36"/>
      <c r="M16" s="36"/>
      <c r="N16" s="36">
        <f t="shared" si="2"/>
        <v>1992448</v>
      </c>
      <c r="O16" s="36"/>
      <c r="P16" s="36"/>
      <c r="Q16" s="36">
        <f t="shared" si="4"/>
        <v>6561600</v>
      </c>
      <c r="R16" s="36"/>
      <c r="S16" s="36"/>
      <c r="T16" s="36">
        <f t="shared" si="0"/>
        <v>17108096</v>
      </c>
    </row>
    <row r="17" spans="1:20">
      <c r="A17" s="5" t="s">
        <v>17</v>
      </c>
      <c r="B17" s="42">
        <f>B$2*'Total Inventory (Corn)'!C17</f>
        <v>1968000</v>
      </c>
      <c r="C17" s="42">
        <f>C$2*'Total Inventory (Corn)'!D17</f>
        <v>119680</v>
      </c>
      <c r="D17" s="42">
        <f>D$2*'Total Inventory (Corn)'!E17</f>
        <v>10800</v>
      </c>
      <c r="E17" s="42">
        <f>E$2*'Total Inventory (Corn)'!F17</f>
        <v>10560</v>
      </c>
      <c r="G17" s="2" t="s">
        <v>17</v>
      </c>
      <c r="H17" s="36">
        <f t="shared" si="3"/>
        <v>141040</v>
      </c>
      <c r="I17" s="36"/>
      <c r="J17" s="36"/>
      <c r="K17" s="36">
        <f t="shared" si="1"/>
        <v>1968000</v>
      </c>
      <c r="L17" s="36"/>
      <c r="M17" s="36"/>
      <c r="N17" s="36">
        <f t="shared" si="2"/>
        <v>141040</v>
      </c>
      <c r="O17" s="36"/>
      <c r="P17" s="36"/>
      <c r="Q17" s="36">
        <f t="shared" si="4"/>
        <v>1968000</v>
      </c>
      <c r="R17" s="36"/>
      <c r="S17" s="36"/>
      <c r="T17" s="36">
        <f t="shared" si="0"/>
        <v>4218080</v>
      </c>
    </row>
    <row r="18" spans="1:20">
      <c r="A18" s="5" t="s">
        <v>18</v>
      </c>
      <c r="B18" s="42">
        <f>B$2*'Total Inventory (Corn)'!C18</f>
        <v>657600</v>
      </c>
      <c r="C18" s="42">
        <f>C$2*'Total Inventory (Corn)'!D18</f>
        <v>119680</v>
      </c>
      <c r="D18" s="42">
        <f>D$2*'Total Inventory (Corn)'!E18</f>
        <v>21600</v>
      </c>
      <c r="E18" s="42">
        <f>E$2*'Total Inventory (Corn)'!F18</f>
        <v>17952</v>
      </c>
      <c r="G18" s="2" t="s">
        <v>18</v>
      </c>
      <c r="H18" s="38">
        <f t="shared" si="3"/>
        <v>159232</v>
      </c>
      <c r="I18" s="38"/>
      <c r="J18" s="38"/>
      <c r="K18" s="38">
        <f t="shared" si="1"/>
        <v>657600</v>
      </c>
      <c r="L18" s="38"/>
      <c r="M18" s="38"/>
      <c r="N18" s="38">
        <f t="shared" si="2"/>
        <v>159232</v>
      </c>
      <c r="O18" s="38"/>
      <c r="P18" s="38"/>
      <c r="Q18" s="38">
        <f t="shared" si="4"/>
        <v>657600</v>
      </c>
      <c r="R18" s="38"/>
      <c r="S18" s="38"/>
      <c r="T18" s="38">
        <f t="shared" si="0"/>
        <v>1633664</v>
      </c>
    </row>
    <row r="19" spans="1:20">
      <c r="A19" s="5" t="s">
        <v>19</v>
      </c>
      <c r="B19" s="42">
        <f>B$2*'Total Inventory (Corn)'!C19</f>
        <v>470400</v>
      </c>
      <c r="C19" s="42">
        <f>C$2*'Total Inventory (Corn)'!D19</f>
        <v>86240</v>
      </c>
      <c r="D19" s="42">
        <f>D$2*'Total Inventory (Corn)'!E19</f>
        <v>43200</v>
      </c>
      <c r="E19" s="42">
        <f>E$2*'Total Inventory (Corn)'!F19</f>
        <v>67056</v>
      </c>
      <c r="G19" s="2" t="s">
        <v>19</v>
      </c>
      <c r="H19" s="36">
        <f t="shared" si="3"/>
        <v>196496</v>
      </c>
      <c r="I19" s="36"/>
      <c r="J19" s="36"/>
      <c r="K19" s="36">
        <f t="shared" si="1"/>
        <v>470400</v>
      </c>
      <c r="L19" s="36"/>
      <c r="M19" s="36"/>
      <c r="N19" s="36">
        <f t="shared" si="2"/>
        <v>196496</v>
      </c>
      <c r="O19" s="36"/>
      <c r="P19" s="36"/>
      <c r="Q19" s="36">
        <f t="shared" si="4"/>
        <v>470400</v>
      </c>
      <c r="R19" s="36"/>
      <c r="S19" s="36"/>
      <c r="T19" s="36">
        <f t="shared" si="0"/>
        <v>1333792</v>
      </c>
    </row>
    <row r="20" spans="1:20">
      <c r="A20" s="5" t="s">
        <v>20</v>
      </c>
      <c r="B20" s="42">
        <f>B$2*'Total Inventory (Corn)'!C20</f>
        <v>302400</v>
      </c>
      <c r="C20" s="42">
        <f>C$2*'Total Inventory (Corn)'!D20</f>
        <v>0</v>
      </c>
      <c r="D20" s="42">
        <f>D$2*'Total Inventory (Corn)'!E20</f>
        <v>32400</v>
      </c>
      <c r="E20" s="42">
        <f>E$2*'Total Inventory (Corn)'!F20</f>
        <v>20592</v>
      </c>
      <c r="G20" s="2" t="s">
        <v>20</v>
      </c>
      <c r="H20" s="36">
        <f t="shared" si="3"/>
        <v>52992</v>
      </c>
      <c r="I20" s="36"/>
      <c r="J20" s="36">
        <f t="shared" ref="J20:J25" si="5">$B20</f>
        <v>302400</v>
      </c>
      <c r="K20" s="36"/>
      <c r="L20" s="36"/>
      <c r="M20" s="36">
        <f t="shared" ref="M20:M25" si="6">$C20+$D20+$E20</f>
        <v>52992</v>
      </c>
      <c r="N20" s="36"/>
      <c r="O20" s="36"/>
      <c r="P20" s="36"/>
      <c r="Q20" s="36">
        <f t="shared" si="4"/>
        <v>302400</v>
      </c>
      <c r="R20" s="36"/>
      <c r="S20" s="36"/>
      <c r="T20" s="36">
        <f t="shared" si="0"/>
        <v>710784</v>
      </c>
    </row>
    <row r="21" spans="1:20">
      <c r="A21" s="5" t="s">
        <v>21</v>
      </c>
      <c r="B21" s="42">
        <f>B$2*'Total Inventory (Corn)'!C21</f>
        <v>633600</v>
      </c>
      <c r="C21" s="42">
        <f>C$2*'Total Inventory (Corn)'!D21</f>
        <v>17600</v>
      </c>
      <c r="D21" s="42">
        <f>D$2*'Total Inventory (Corn)'!E21</f>
        <v>21600</v>
      </c>
      <c r="E21" s="42">
        <f>E$2*'Total Inventory (Corn)'!F21</f>
        <v>10560</v>
      </c>
      <c r="G21" s="2" t="s">
        <v>21</v>
      </c>
      <c r="H21" s="36">
        <f t="shared" si="3"/>
        <v>49760</v>
      </c>
      <c r="I21" s="36"/>
      <c r="J21" s="36">
        <f t="shared" si="5"/>
        <v>633600</v>
      </c>
      <c r="K21" s="36"/>
      <c r="L21" s="36"/>
      <c r="M21" s="36">
        <f t="shared" si="6"/>
        <v>49760</v>
      </c>
      <c r="N21" s="36"/>
      <c r="O21" s="36"/>
      <c r="P21" s="36"/>
      <c r="Q21" s="36">
        <f t="shared" si="4"/>
        <v>633600</v>
      </c>
      <c r="R21" s="36"/>
      <c r="S21" s="36"/>
      <c r="T21" s="36">
        <f t="shared" si="0"/>
        <v>1366720</v>
      </c>
    </row>
    <row r="22" spans="1:20">
      <c r="A22" s="5" t="s">
        <v>22</v>
      </c>
      <c r="B22" s="42">
        <f>B$2*'Total Inventory (Corn)'!C22</f>
        <v>2040000</v>
      </c>
      <c r="C22" s="42">
        <f>C$2*'Total Inventory (Corn)'!D22</f>
        <v>77440</v>
      </c>
      <c r="D22" s="42">
        <f>D$2*'Total Inventory (Corn)'!E22</f>
        <v>127440</v>
      </c>
      <c r="E22" s="42">
        <f>E$2*'Total Inventory (Corn)'!F22</f>
        <v>85008</v>
      </c>
      <c r="G22" s="2" t="s">
        <v>22</v>
      </c>
      <c r="H22" s="36">
        <f t="shared" si="3"/>
        <v>289888</v>
      </c>
      <c r="I22" s="36"/>
      <c r="J22" s="36">
        <f t="shared" si="5"/>
        <v>2040000</v>
      </c>
      <c r="K22" s="36"/>
      <c r="L22" s="36"/>
      <c r="M22" s="36">
        <f t="shared" si="6"/>
        <v>289888</v>
      </c>
      <c r="N22" s="36"/>
      <c r="O22" s="36"/>
      <c r="P22" s="36"/>
      <c r="Q22" s="36">
        <f t="shared" si="4"/>
        <v>2040000</v>
      </c>
      <c r="R22" s="36"/>
      <c r="S22" s="36"/>
      <c r="T22" s="36">
        <f t="shared" si="0"/>
        <v>4659776</v>
      </c>
    </row>
    <row r="23" spans="1:20">
      <c r="A23" s="5" t="s">
        <v>23</v>
      </c>
      <c r="B23" s="42">
        <f>B$2*'Total Inventory (Corn)'!C23</f>
        <v>844800</v>
      </c>
      <c r="C23" s="42">
        <f>C$2*'Total Inventory (Corn)'!D23</f>
        <v>103840</v>
      </c>
      <c r="D23" s="42">
        <f>D$2*'Total Inventory (Corn)'!E23</f>
        <v>51840</v>
      </c>
      <c r="E23" s="42">
        <f>E$2*'Total Inventory (Corn)'!F23</f>
        <v>108240</v>
      </c>
      <c r="G23" s="2" t="s">
        <v>23</v>
      </c>
      <c r="H23" s="36">
        <f t="shared" si="3"/>
        <v>263920</v>
      </c>
      <c r="I23" s="36"/>
      <c r="J23" s="36">
        <f t="shared" si="5"/>
        <v>844800</v>
      </c>
      <c r="K23" s="36"/>
      <c r="L23" s="36"/>
      <c r="M23" s="36">
        <f t="shared" si="6"/>
        <v>263920</v>
      </c>
      <c r="N23" s="36"/>
      <c r="O23" s="36"/>
      <c r="P23" s="36"/>
      <c r="Q23" s="36">
        <f t="shared" si="4"/>
        <v>844800</v>
      </c>
      <c r="R23" s="36"/>
      <c r="S23" s="36"/>
      <c r="T23" s="36">
        <f t="shared" si="0"/>
        <v>2217440</v>
      </c>
    </row>
    <row r="24" spans="1:20">
      <c r="A24" s="5" t="s">
        <v>24</v>
      </c>
      <c r="B24" s="42">
        <f>B$2*'Total Inventory (Corn)'!C24</f>
        <v>1123200</v>
      </c>
      <c r="C24" s="42">
        <f>C$2*'Total Inventory (Corn)'!D24</f>
        <v>110880</v>
      </c>
      <c r="D24" s="42">
        <f>D$2*'Total Inventory (Corn)'!E24</f>
        <v>43200</v>
      </c>
      <c r="E24" s="42">
        <f>E$2*'Total Inventory (Corn)'!F24</f>
        <v>95568</v>
      </c>
      <c r="G24" s="2" t="s">
        <v>24</v>
      </c>
      <c r="H24" s="36">
        <f t="shared" si="3"/>
        <v>249648</v>
      </c>
      <c r="I24" s="36"/>
      <c r="J24" s="36">
        <f t="shared" si="5"/>
        <v>1123200</v>
      </c>
      <c r="K24" s="36"/>
      <c r="L24" s="36"/>
      <c r="M24" s="36">
        <f t="shared" si="6"/>
        <v>249648</v>
      </c>
      <c r="N24" s="36"/>
      <c r="O24" s="36"/>
      <c r="P24" s="36"/>
      <c r="Q24" s="36">
        <f t="shared" si="4"/>
        <v>1123200</v>
      </c>
      <c r="R24" s="36"/>
      <c r="S24" s="36"/>
      <c r="T24" s="36">
        <f t="shared" si="0"/>
        <v>2745696</v>
      </c>
    </row>
    <row r="25" spans="1:20">
      <c r="A25" s="5" t="s">
        <v>25</v>
      </c>
      <c r="B25" s="42">
        <f>B$2*'Total Inventory (Corn)'!C25</f>
        <v>422400</v>
      </c>
      <c r="C25" s="42">
        <f>C$2*'Total Inventory (Corn)'!D25</f>
        <v>8800</v>
      </c>
      <c r="D25" s="42">
        <f>D$2*'Total Inventory (Corn)'!E25</f>
        <v>21600</v>
      </c>
      <c r="E25" s="42">
        <f>E$2*'Total Inventory (Corn)'!F25</f>
        <v>69696</v>
      </c>
      <c r="G25" s="2" t="s">
        <v>25</v>
      </c>
      <c r="H25" s="36">
        <f t="shared" si="3"/>
        <v>100096</v>
      </c>
      <c r="I25" s="36"/>
      <c r="J25" s="36">
        <f t="shared" si="5"/>
        <v>422400</v>
      </c>
      <c r="K25" s="36"/>
      <c r="L25" s="36"/>
      <c r="M25" s="36">
        <f t="shared" si="6"/>
        <v>100096</v>
      </c>
      <c r="N25" s="36"/>
      <c r="O25" s="36"/>
      <c r="P25" s="36"/>
      <c r="Q25" s="36">
        <f t="shared" si="4"/>
        <v>422400</v>
      </c>
      <c r="R25" s="36"/>
      <c r="S25" s="36"/>
      <c r="T25" s="36">
        <f t="shared" si="0"/>
        <v>1044992</v>
      </c>
    </row>
    <row r="26" spans="1:20">
      <c r="A26" s="5" t="s">
        <v>64</v>
      </c>
      <c r="B26" s="42">
        <f>B$2*'Total Inventory (Corn)'!C26</f>
        <v>657600</v>
      </c>
      <c r="C26" s="42">
        <f>C$2*'Total Inventory (Corn)'!D26</f>
        <v>59840</v>
      </c>
      <c r="D26" s="42">
        <f>D$2*'Total Inventory (Corn)'!E26</f>
        <v>157680</v>
      </c>
      <c r="E26" s="42">
        <f>E$2*'Total Inventory (Corn)'!F26</f>
        <v>87648</v>
      </c>
      <c r="G26" s="2" t="s">
        <v>64</v>
      </c>
      <c r="H26" s="36">
        <f t="shared" si="3"/>
        <v>305168</v>
      </c>
      <c r="I26" s="36"/>
      <c r="J26" s="36"/>
      <c r="K26" s="36"/>
      <c r="L26" s="36">
        <f t="shared" ref="L26:L37" si="7">$B26</f>
        <v>657600</v>
      </c>
      <c r="M26" s="36"/>
      <c r="N26" s="36"/>
      <c r="O26" s="36">
        <f t="shared" ref="O26:O31" si="8">$C26+$D26+$E26</f>
        <v>305168</v>
      </c>
      <c r="P26" s="36"/>
      <c r="Q26" s="36">
        <f t="shared" si="4"/>
        <v>657600</v>
      </c>
      <c r="R26" s="36"/>
      <c r="S26" s="36"/>
      <c r="T26" s="36">
        <f t="shared" si="0"/>
        <v>1925536</v>
      </c>
    </row>
    <row r="27" spans="1:20">
      <c r="A27" s="5" t="s">
        <v>72</v>
      </c>
      <c r="B27" s="42">
        <f>B$2*'Total Inventory (Corn)'!C27</f>
        <v>326400</v>
      </c>
      <c r="C27" s="42">
        <f>C$2*'Total Inventory (Corn)'!D27</f>
        <v>0</v>
      </c>
      <c r="D27" s="42">
        <f>D$2*'Total Inventory (Corn)'!E27</f>
        <v>10800</v>
      </c>
      <c r="E27" s="42">
        <f>E$2*'Total Inventory (Corn)'!F27</f>
        <v>28512</v>
      </c>
      <c r="G27" s="2" t="s">
        <v>72</v>
      </c>
      <c r="H27" s="36">
        <f t="shared" si="3"/>
        <v>39312</v>
      </c>
      <c r="I27" s="36"/>
      <c r="J27" s="36"/>
      <c r="K27" s="36"/>
      <c r="L27" s="36">
        <f t="shared" si="7"/>
        <v>326400</v>
      </c>
      <c r="M27" s="36"/>
      <c r="N27" s="36"/>
      <c r="O27" s="36">
        <f t="shared" si="8"/>
        <v>39312</v>
      </c>
      <c r="P27" s="36"/>
      <c r="Q27" s="36">
        <f t="shared" si="4"/>
        <v>326400</v>
      </c>
      <c r="R27" s="36"/>
      <c r="S27" s="36"/>
      <c r="T27" s="36">
        <f t="shared" si="0"/>
        <v>731424</v>
      </c>
    </row>
    <row r="28" spans="1:20">
      <c r="A28" s="5" t="s">
        <v>26</v>
      </c>
      <c r="B28" s="42">
        <f>B$2*'Total Inventory (Corn)'!C28</f>
        <v>374400</v>
      </c>
      <c r="C28" s="42">
        <f>C$2*'Total Inventory (Corn)'!D28</f>
        <v>8800</v>
      </c>
      <c r="D28" s="42">
        <f>D$2*'Total Inventory (Corn)'!E28</f>
        <v>62640</v>
      </c>
      <c r="E28" s="42">
        <f>E$2*'Total Inventory (Corn)'!F28</f>
        <v>33264</v>
      </c>
      <c r="G28" s="2" t="s">
        <v>26</v>
      </c>
      <c r="H28" s="36">
        <f t="shared" si="3"/>
        <v>104704</v>
      </c>
      <c r="I28" s="36"/>
      <c r="J28" s="36"/>
      <c r="K28" s="36"/>
      <c r="L28" s="36">
        <f t="shared" si="7"/>
        <v>374400</v>
      </c>
      <c r="M28" s="36"/>
      <c r="N28" s="36"/>
      <c r="O28" s="36">
        <f t="shared" si="8"/>
        <v>104704</v>
      </c>
      <c r="P28" s="36"/>
      <c r="Q28" s="36">
        <f t="shared" si="4"/>
        <v>374400</v>
      </c>
      <c r="R28" s="36"/>
      <c r="S28" s="36"/>
      <c r="T28" s="36">
        <f t="shared" si="0"/>
        <v>958208</v>
      </c>
    </row>
    <row r="29" spans="1:20">
      <c r="A29" s="5" t="s">
        <v>57</v>
      </c>
      <c r="B29" s="42">
        <f>B$2*'Total Inventory (Corn)'!C29</f>
        <v>868800</v>
      </c>
      <c r="C29" s="42">
        <f>C$2*'Total Inventory (Corn)'!D29</f>
        <v>42240</v>
      </c>
      <c r="D29" s="42">
        <f>D$2*'Total Inventory (Corn)'!E29</f>
        <v>116640</v>
      </c>
      <c r="E29" s="42">
        <f>E$2*'Total Inventory (Corn)'!F29</f>
        <v>162624</v>
      </c>
      <c r="G29" s="2" t="s">
        <v>57</v>
      </c>
      <c r="H29" s="36">
        <f t="shared" si="3"/>
        <v>321504</v>
      </c>
      <c r="I29" s="36"/>
      <c r="J29" s="36"/>
      <c r="K29" s="36"/>
      <c r="L29" s="36">
        <f t="shared" si="7"/>
        <v>868800</v>
      </c>
      <c r="M29" s="36"/>
      <c r="N29" s="36"/>
      <c r="O29" s="36">
        <f t="shared" si="8"/>
        <v>321504</v>
      </c>
      <c r="P29" s="36"/>
      <c r="Q29" s="36">
        <f t="shared" si="4"/>
        <v>868800</v>
      </c>
      <c r="R29" s="36"/>
      <c r="S29" s="36"/>
      <c r="T29" s="36">
        <f t="shared" si="0"/>
        <v>2380608</v>
      </c>
    </row>
    <row r="30" spans="1:20">
      <c r="A30" s="5" t="s">
        <v>74</v>
      </c>
      <c r="B30" s="42">
        <f>B$2*'Total Inventory (Corn)'!C30</f>
        <v>302400</v>
      </c>
      <c r="C30" s="42">
        <f>C$2*'Total Inventory (Corn)'!D30</f>
        <v>0</v>
      </c>
      <c r="D30" s="42">
        <f>D$2*'Total Inventory (Corn)'!E30</f>
        <v>51840</v>
      </c>
      <c r="E30" s="42">
        <f>E$2*'Total Inventory (Corn)'!F30</f>
        <v>23232</v>
      </c>
      <c r="G30" s="2" t="s">
        <v>74</v>
      </c>
      <c r="H30" s="36">
        <f t="shared" si="3"/>
        <v>75072</v>
      </c>
      <c r="I30" s="36"/>
      <c r="J30" s="36"/>
      <c r="K30" s="36"/>
      <c r="L30" s="36">
        <f t="shared" si="7"/>
        <v>302400</v>
      </c>
      <c r="M30" s="36"/>
      <c r="N30" s="36"/>
      <c r="O30" s="36">
        <f t="shared" si="8"/>
        <v>75072</v>
      </c>
      <c r="P30" s="36"/>
      <c r="Q30" s="36">
        <f t="shared" si="4"/>
        <v>302400</v>
      </c>
      <c r="R30" s="36"/>
      <c r="S30" s="36"/>
      <c r="T30" s="36">
        <f t="shared" si="0"/>
        <v>754944</v>
      </c>
    </row>
    <row r="31" spans="1:20">
      <c r="A31" s="5" t="s">
        <v>27</v>
      </c>
      <c r="B31" s="42">
        <f>B$2*'Total Inventory (Corn)'!C31</f>
        <v>96000</v>
      </c>
      <c r="C31" s="42">
        <f>C$2*'Total Inventory (Corn)'!D31</f>
        <v>0</v>
      </c>
      <c r="D31" s="42">
        <f>D$2*'Total Inventory (Corn)'!E31</f>
        <v>0</v>
      </c>
      <c r="E31" s="42">
        <f>E$2*'Total Inventory (Corn)'!F31</f>
        <v>35904</v>
      </c>
      <c r="G31" s="2" t="s">
        <v>27</v>
      </c>
      <c r="H31" s="36"/>
      <c r="I31" s="36"/>
      <c r="J31" s="36"/>
      <c r="K31" s="36"/>
      <c r="L31" s="36">
        <f t="shared" si="7"/>
        <v>96000</v>
      </c>
      <c r="M31" s="36"/>
      <c r="N31" s="36"/>
      <c r="O31" s="36">
        <f t="shared" si="8"/>
        <v>35904</v>
      </c>
      <c r="P31" s="36">
        <f>$B31</f>
        <v>96000</v>
      </c>
      <c r="Q31" s="36"/>
      <c r="R31" s="36"/>
      <c r="S31" s="36">
        <f>$C31+$D31+$E31</f>
        <v>35904</v>
      </c>
      <c r="T31" s="36">
        <f t="shared" si="0"/>
        <v>263808</v>
      </c>
    </row>
    <row r="32" spans="1:20">
      <c r="A32" s="5" t="s">
        <v>28</v>
      </c>
      <c r="B32" s="42">
        <f>B$2*'Total Inventory (Corn)'!C32</f>
        <v>1545600</v>
      </c>
      <c r="C32" s="42">
        <f>C$2*'Total Inventory (Corn)'!D32</f>
        <v>327360</v>
      </c>
      <c r="D32" s="42">
        <f>D$2*'Total Inventory (Corn)'!E32</f>
        <v>390960</v>
      </c>
      <c r="E32" s="42">
        <f>E$2*'Total Inventory (Corn)'!F32</f>
        <v>110880</v>
      </c>
      <c r="G32" s="2" t="s">
        <v>28</v>
      </c>
      <c r="H32" s="36"/>
      <c r="I32" s="36"/>
      <c r="J32" s="36"/>
      <c r="K32" s="36"/>
      <c r="L32" s="36">
        <f t="shared" si="7"/>
        <v>1545600</v>
      </c>
      <c r="M32" s="36"/>
      <c r="N32" s="36"/>
      <c r="O32" s="36">
        <f t="shared" ref="O32:O37" si="9">$C32+$D32+$E32</f>
        <v>829200</v>
      </c>
      <c r="P32" s="36">
        <f>$B32</f>
        <v>1545600</v>
      </c>
      <c r="Q32" s="36"/>
      <c r="R32" s="36"/>
      <c r="S32" s="36">
        <f>$C32+$D32+$E32</f>
        <v>829200</v>
      </c>
      <c r="T32" s="36">
        <f t="shared" si="0"/>
        <v>4749600</v>
      </c>
    </row>
    <row r="33" spans="1:20">
      <c r="A33" s="5" t="s">
        <v>29</v>
      </c>
      <c r="B33" s="42">
        <f>B$2*'Total Inventory (Corn)'!C33</f>
        <v>422400</v>
      </c>
      <c r="C33" s="42">
        <f>C$2*'Total Inventory (Corn)'!D33</f>
        <v>8800</v>
      </c>
      <c r="D33" s="42">
        <f>D$2*'Total Inventory (Corn)'!E33</f>
        <v>62640</v>
      </c>
      <c r="E33" s="42">
        <f>E$2*'Total Inventory (Corn)'!F33</f>
        <v>38544</v>
      </c>
      <c r="G33" s="2" t="s">
        <v>29</v>
      </c>
      <c r="H33" s="36"/>
      <c r="I33" s="36"/>
      <c r="J33" s="36"/>
      <c r="K33" s="36"/>
      <c r="L33" s="36">
        <f t="shared" si="7"/>
        <v>422400</v>
      </c>
      <c r="M33" s="36"/>
      <c r="N33" s="36"/>
      <c r="O33" s="36">
        <f t="shared" si="9"/>
        <v>109984</v>
      </c>
      <c r="P33" s="36">
        <f>$B33</f>
        <v>422400</v>
      </c>
      <c r="Q33" s="36"/>
      <c r="R33" s="36"/>
      <c r="S33" s="36">
        <f>$C33+$D33+$E33</f>
        <v>109984</v>
      </c>
      <c r="T33" s="36">
        <f t="shared" si="0"/>
        <v>1064768</v>
      </c>
    </row>
    <row r="34" spans="1:20">
      <c r="A34" s="5" t="s">
        <v>30</v>
      </c>
      <c r="B34" s="42">
        <f>B$2*'Total Inventory (Corn)'!C34</f>
        <v>724800</v>
      </c>
      <c r="C34" s="42">
        <f>C$2*'Total Inventory (Corn)'!D34</f>
        <v>128480</v>
      </c>
      <c r="D34" s="42">
        <f>D$2*'Total Inventory (Corn)'!E34</f>
        <v>136080</v>
      </c>
      <c r="E34" s="42">
        <f>E$2*'Total Inventory (Corn)'!F34</f>
        <v>79728</v>
      </c>
      <c r="G34" s="2" t="s">
        <v>30</v>
      </c>
      <c r="H34" s="36"/>
      <c r="I34" s="36"/>
      <c r="J34" s="36"/>
      <c r="K34" s="36"/>
      <c r="L34" s="36">
        <f t="shared" si="7"/>
        <v>724800</v>
      </c>
      <c r="M34" s="36"/>
      <c r="N34" s="36"/>
      <c r="O34" s="36">
        <f t="shared" si="9"/>
        <v>344288</v>
      </c>
      <c r="P34" s="36">
        <f>$B34</f>
        <v>724800</v>
      </c>
      <c r="Q34" s="36"/>
      <c r="R34" s="36"/>
      <c r="S34" s="36">
        <f>$C34+$D34+$E34</f>
        <v>344288</v>
      </c>
      <c r="T34" s="36">
        <f t="shared" si="0"/>
        <v>2138176</v>
      </c>
    </row>
    <row r="35" spans="1:20">
      <c r="A35" s="5" t="s">
        <v>31</v>
      </c>
      <c r="B35" s="42">
        <f>B$2*'Total Inventory (Corn)'!C35</f>
        <v>139200</v>
      </c>
      <c r="C35" s="42">
        <f>C$2*'Total Inventory (Corn)'!D35</f>
        <v>0</v>
      </c>
      <c r="D35" s="42">
        <f>D$2*'Total Inventory (Corn)'!E35</f>
        <v>10800</v>
      </c>
      <c r="E35" s="42">
        <f>E$2*'Total Inventory (Corn)'!F35</f>
        <v>33264</v>
      </c>
      <c r="G35" s="2" t="s">
        <v>31</v>
      </c>
      <c r="H35" s="36"/>
      <c r="I35" s="36"/>
      <c r="J35" s="36"/>
      <c r="K35" s="36"/>
      <c r="L35" s="36">
        <f t="shared" si="7"/>
        <v>139200</v>
      </c>
      <c r="M35" s="36"/>
      <c r="N35" s="36"/>
      <c r="O35" s="36">
        <f t="shared" si="9"/>
        <v>44064</v>
      </c>
      <c r="P35" s="36">
        <f>$B35</f>
        <v>139200</v>
      </c>
      <c r="Q35" s="36"/>
      <c r="R35" s="36"/>
      <c r="S35" s="36">
        <f>$C35+$D35+$E35</f>
        <v>44064</v>
      </c>
      <c r="T35" s="36">
        <f t="shared" si="0"/>
        <v>366528</v>
      </c>
    </row>
    <row r="36" spans="1:20">
      <c r="A36" s="5" t="s">
        <v>32</v>
      </c>
      <c r="B36" s="42">
        <f>B$2*'Total Inventory (Corn)'!C36</f>
        <v>470400</v>
      </c>
      <c r="C36" s="42">
        <f>C$2*'Total Inventory (Corn)'!D36</f>
        <v>0</v>
      </c>
      <c r="D36" s="42">
        <f>D$2*'Total Inventory (Corn)'!E36</f>
        <v>116640</v>
      </c>
      <c r="E36" s="42">
        <f>E$2*'Total Inventory (Corn)'!F36</f>
        <v>82368</v>
      </c>
      <c r="G36" s="2" t="s">
        <v>32</v>
      </c>
      <c r="H36" s="36">
        <f>$B36</f>
        <v>470400</v>
      </c>
      <c r="I36" s="36"/>
      <c r="J36" s="36"/>
      <c r="K36" s="36">
        <f t="shared" ref="K36:K41" si="10">$C36+$D36+$E36</f>
        <v>199008</v>
      </c>
      <c r="L36" s="36">
        <f t="shared" si="7"/>
        <v>470400</v>
      </c>
      <c r="M36" s="36"/>
      <c r="N36" s="36"/>
      <c r="O36" s="36">
        <f t="shared" si="9"/>
        <v>199008</v>
      </c>
      <c r="P36" s="36"/>
      <c r="Q36" s="36"/>
      <c r="R36" s="36"/>
      <c r="S36" s="36"/>
      <c r="T36" s="36">
        <f t="shared" si="0"/>
        <v>1338816</v>
      </c>
    </row>
    <row r="37" spans="1:20">
      <c r="A37" s="5" t="s">
        <v>33</v>
      </c>
      <c r="B37" s="42">
        <f>B$2*'Total Inventory (Corn)'!C37</f>
        <v>211200</v>
      </c>
      <c r="C37" s="42">
        <f>C$2*'Total Inventory (Corn)'!D37</f>
        <v>0</v>
      </c>
      <c r="D37" s="42">
        <f>D$2*'Total Inventory (Corn)'!E37</f>
        <v>73440</v>
      </c>
      <c r="E37" s="42">
        <f>E$2*'Total Inventory (Corn)'!F37</f>
        <v>17952</v>
      </c>
      <c r="G37" s="2" t="s">
        <v>33</v>
      </c>
      <c r="H37" s="36">
        <f>$B37</f>
        <v>211200</v>
      </c>
      <c r="I37" s="36"/>
      <c r="J37" s="36"/>
      <c r="K37" s="36">
        <f t="shared" si="10"/>
        <v>91392</v>
      </c>
      <c r="L37" s="36">
        <f t="shared" si="7"/>
        <v>211200</v>
      </c>
      <c r="M37" s="36"/>
      <c r="N37" s="36"/>
      <c r="O37" s="36">
        <f t="shared" si="9"/>
        <v>91392</v>
      </c>
      <c r="P37" s="36"/>
      <c r="Q37" s="36"/>
      <c r="R37" s="36"/>
      <c r="S37" s="36"/>
      <c r="T37" s="36">
        <f t="shared" si="0"/>
        <v>605184</v>
      </c>
    </row>
    <row r="38" spans="1:20">
      <c r="A38" s="5" t="s">
        <v>34</v>
      </c>
      <c r="B38" s="42">
        <f>B$2*'Total Inventory (Corn)'!C38</f>
        <v>1291200</v>
      </c>
      <c r="C38" s="42">
        <f>C$2*'Total Inventory (Corn)'!D38</f>
        <v>119680</v>
      </c>
      <c r="D38" s="42">
        <f>D$2*'Total Inventory (Corn)'!E38</f>
        <v>559440</v>
      </c>
      <c r="E38" s="42">
        <f>E$2*'Total Inventory (Corn)'!F38</f>
        <v>319440</v>
      </c>
      <c r="G38" s="2" t="s">
        <v>34</v>
      </c>
      <c r="H38" s="36">
        <f>$B38</f>
        <v>1291200</v>
      </c>
      <c r="I38" s="36"/>
      <c r="J38" s="36"/>
      <c r="K38" s="36">
        <f t="shared" si="10"/>
        <v>998560</v>
      </c>
      <c r="L38" s="36"/>
      <c r="M38" s="36"/>
      <c r="N38" s="36">
        <f t="shared" ref="N38:N57" si="11">$C38+$D38+$E38</f>
        <v>998560</v>
      </c>
      <c r="O38" s="36"/>
      <c r="P38" s="36"/>
      <c r="Q38" s="36"/>
      <c r="R38" s="36"/>
      <c r="S38" s="36"/>
      <c r="T38" s="36">
        <f t="shared" si="0"/>
        <v>3288320</v>
      </c>
    </row>
    <row r="39" spans="1:20">
      <c r="A39" s="5" t="s">
        <v>35</v>
      </c>
      <c r="B39" s="42">
        <f>B$2*'Total Inventory (Corn)'!C39</f>
        <v>96000</v>
      </c>
      <c r="C39" s="42">
        <f>C$2*'Total Inventory (Corn)'!D39</f>
        <v>0</v>
      </c>
      <c r="D39" s="42">
        <f>D$2*'Total Inventory (Corn)'!E39</f>
        <v>0</v>
      </c>
      <c r="E39" s="42">
        <f>E$2*'Total Inventory (Corn)'!F39</f>
        <v>0</v>
      </c>
      <c r="G39" s="2" t="s">
        <v>35</v>
      </c>
      <c r="H39" s="38"/>
      <c r="I39" s="38"/>
      <c r="J39" s="38"/>
      <c r="K39" s="38">
        <f>$B39</f>
        <v>96000</v>
      </c>
      <c r="L39" s="38"/>
      <c r="M39" s="38"/>
      <c r="N39" s="38">
        <f t="shared" si="11"/>
        <v>0</v>
      </c>
      <c r="O39" s="38"/>
      <c r="P39" s="38"/>
      <c r="Q39" s="38"/>
      <c r="R39" s="38"/>
      <c r="S39" s="38"/>
      <c r="T39" s="38">
        <f t="shared" si="0"/>
        <v>96000</v>
      </c>
    </row>
    <row r="40" spans="1:20">
      <c r="A40" s="5" t="s">
        <v>36</v>
      </c>
      <c r="B40" s="42">
        <f>B$2*'Total Inventory (Corn)'!C40</f>
        <v>302400</v>
      </c>
      <c r="C40" s="42">
        <f>C$2*'Total Inventory (Corn)'!D40</f>
        <v>17600</v>
      </c>
      <c r="D40" s="42">
        <f>D$2*'Total Inventory (Corn)'!E40</f>
        <v>51840</v>
      </c>
      <c r="E40" s="42">
        <f>E$2*'Total Inventory (Corn)'!F40</f>
        <v>113520</v>
      </c>
      <c r="G40" s="2" t="s">
        <v>36</v>
      </c>
      <c r="H40" s="36">
        <f>$B40</f>
        <v>302400</v>
      </c>
      <c r="I40" s="36"/>
      <c r="J40" s="36"/>
      <c r="K40" s="36">
        <f t="shared" si="10"/>
        <v>182960</v>
      </c>
      <c r="L40" s="36"/>
      <c r="M40" s="36"/>
      <c r="N40" s="36">
        <f t="shared" si="11"/>
        <v>182960</v>
      </c>
      <c r="O40" s="36"/>
      <c r="P40" s="36"/>
      <c r="Q40" s="36"/>
      <c r="R40" s="36"/>
      <c r="S40" s="36"/>
      <c r="T40" s="36">
        <f t="shared" si="0"/>
        <v>668320</v>
      </c>
    </row>
    <row r="41" spans="1:20">
      <c r="A41" s="5" t="s">
        <v>37</v>
      </c>
      <c r="B41" s="42">
        <f>B$2*'Total Inventory (Corn)'!C41</f>
        <v>235200</v>
      </c>
      <c r="C41" s="42">
        <f>C$2*'Total Inventory (Corn)'!D41</f>
        <v>0</v>
      </c>
      <c r="D41" s="42">
        <f>D$2*'Total Inventory (Corn)'!E41</f>
        <v>62640</v>
      </c>
      <c r="E41" s="42">
        <f>E$2*'Total Inventory (Corn)'!F41</f>
        <v>15312</v>
      </c>
      <c r="G41" s="2" t="s">
        <v>37</v>
      </c>
      <c r="H41" s="36">
        <f>$B41</f>
        <v>235200</v>
      </c>
      <c r="I41" s="36"/>
      <c r="J41" s="36"/>
      <c r="K41" s="36">
        <f t="shared" si="10"/>
        <v>77952</v>
      </c>
      <c r="L41" s="36"/>
      <c r="M41" s="36"/>
      <c r="N41" s="36">
        <f t="shared" si="11"/>
        <v>77952</v>
      </c>
      <c r="O41" s="36"/>
      <c r="P41" s="36"/>
      <c r="Q41" s="36"/>
      <c r="R41" s="36"/>
      <c r="S41" s="36"/>
      <c r="T41" s="36">
        <f t="shared" si="0"/>
        <v>391104</v>
      </c>
    </row>
    <row r="42" spans="1:20">
      <c r="A42" s="5" t="s">
        <v>38</v>
      </c>
      <c r="B42" s="42">
        <f>B$2*'Total Inventory (Corn)'!C42</f>
        <v>163200</v>
      </c>
      <c r="C42" s="42">
        <f>C$2*'Total Inventory (Corn)'!D42</f>
        <v>0</v>
      </c>
      <c r="D42" s="42">
        <f>D$2*'Total Inventory (Corn)'!E42</f>
        <v>84240</v>
      </c>
      <c r="E42" s="42">
        <f>E$2*'Total Inventory (Corn)'!F42</f>
        <v>82368</v>
      </c>
      <c r="G42" s="2" t="s">
        <v>38</v>
      </c>
      <c r="H42" s="36">
        <f t="shared" ref="H42:H47" si="12">$C42+$D42+$E42</f>
        <v>166608</v>
      </c>
      <c r="I42" s="36"/>
      <c r="J42" s="36"/>
      <c r="K42" s="36">
        <f t="shared" ref="K42:K57" si="13">$B42</f>
        <v>163200</v>
      </c>
      <c r="L42" s="36"/>
      <c r="M42" s="36"/>
      <c r="N42" s="36">
        <f t="shared" si="11"/>
        <v>166608</v>
      </c>
      <c r="O42" s="36"/>
      <c r="P42" s="36"/>
      <c r="Q42" s="36">
        <f t="shared" ref="Q42:Q47" si="14">$B42</f>
        <v>163200</v>
      </c>
      <c r="R42" s="36"/>
      <c r="S42" s="36"/>
      <c r="T42" s="36">
        <f t="shared" si="0"/>
        <v>659616</v>
      </c>
    </row>
    <row r="43" spans="1:20">
      <c r="A43" s="5" t="s">
        <v>39</v>
      </c>
      <c r="B43" s="42">
        <f>B$2*'Total Inventory (Corn)'!C43</f>
        <v>211200</v>
      </c>
      <c r="C43" s="42">
        <f>C$2*'Total Inventory (Corn)'!D43</f>
        <v>0</v>
      </c>
      <c r="D43" s="42">
        <f>D$2*'Total Inventory (Corn)'!E43</f>
        <v>105840</v>
      </c>
      <c r="E43" s="42">
        <f>E$2*'Total Inventory (Corn)'!F43</f>
        <v>85008</v>
      </c>
      <c r="G43" s="2" t="s">
        <v>39</v>
      </c>
      <c r="H43" s="36">
        <f t="shared" si="12"/>
        <v>190848</v>
      </c>
      <c r="I43" s="36"/>
      <c r="J43" s="36"/>
      <c r="K43" s="36">
        <f t="shared" si="13"/>
        <v>211200</v>
      </c>
      <c r="L43" s="36"/>
      <c r="M43" s="36"/>
      <c r="N43" s="36">
        <f t="shared" si="11"/>
        <v>190848</v>
      </c>
      <c r="O43" s="36"/>
      <c r="P43" s="36"/>
      <c r="Q43" s="36">
        <f t="shared" si="14"/>
        <v>211200</v>
      </c>
      <c r="R43" s="36"/>
      <c r="S43" s="36"/>
      <c r="T43" s="36">
        <f t="shared" si="0"/>
        <v>804096</v>
      </c>
    </row>
    <row r="44" spans="1:20">
      <c r="A44" s="5" t="s">
        <v>40</v>
      </c>
      <c r="B44" s="42">
        <f>B$2*'Total Inventory (Corn)'!C44</f>
        <v>283200</v>
      </c>
      <c r="C44" s="42">
        <f>C$2*'Total Inventory (Corn)'!D44</f>
        <v>0</v>
      </c>
      <c r="D44" s="42">
        <f>D$2*'Total Inventory (Corn)'!E44</f>
        <v>252720</v>
      </c>
      <c r="E44" s="42">
        <f>E$2*'Total Inventory (Corn)'!F44</f>
        <v>167376</v>
      </c>
      <c r="G44" s="2" t="s">
        <v>40</v>
      </c>
      <c r="H44" s="36">
        <f t="shared" si="12"/>
        <v>420096</v>
      </c>
      <c r="I44" s="36"/>
      <c r="J44" s="36"/>
      <c r="K44" s="36">
        <f t="shared" si="13"/>
        <v>283200</v>
      </c>
      <c r="L44" s="36"/>
      <c r="M44" s="36"/>
      <c r="N44" s="36">
        <f t="shared" si="11"/>
        <v>420096</v>
      </c>
      <c r="O44" s="36"/>
      <c r="P44" s="36"/>
      <c r="Q44" s="36">
        <f t="shared" si="14"/>
        <v>283200</v>
      </c>
      <c r="R44" s="36"/>
      <c r="S44" s="36"/>
      <c r="T44" s="36">
        <f t="shared" si="0"/>
        <v>1406592</v>
      </c>
    </row>
    <row r="45" spans="1:20">
      <c r="A45" s="5" t="s">
        <v>41</v>
      </c>
      <c r="B45" s="42">
        <f>B$2*'Total Inventory (Corn)'!C45</f>
        <v>96000</v>
      </c>
      <c r="C45" s="42">
        <f>C$2*'Total Inventory (Corn)'!D45</f>
        <v>0</v>
      </c>
      <c r="D45" s="42">
        <f>D$2*'Total Inventory (Corn)'!E45</f>
        <v>10800</v>
      </c>
      <c r="E45" s="42">
        <f>E$2*'Total Inventory (Corn)'!F45</f>
        <v>10560</v>
      </c>
      <c r="G45" s="2" t="s">
        <v>41</v>
      </c>
      <c r="H45" s="36">
        <f t="shared" si="12"/>
        <v>21360</v>
      </c>
      <c r="I45" s="36"/>
      <c r="J45" s="36"/>
      <c r="K45" s="36">
        <f t="shared" si="13"/>
        <v>96000</v>
      </c>
      <c r="L45" s="36"/>
      <c r="M45" s="36"/>
      <c r="N45" s="36">
        <f t="shared" si="11"/>
        <v>21360</v>
      </c>
      <c r="O45" s="36"/>
      <c r="P45" s="36"/>
      <c r="Q45" s="36">
        <f t="shared" si="14"/>
        <v>96000</v>
      </c>
      <c r="R45" s="36"/>
      <c r="S45" s="36"/>
      <c r="T45" s="36">
        <f t="shared" si="0"/>
        <v>234720</v>
      </c>
    </row>
    <row r="46" spans="1:20">
      <c r="A46" s="5" t="s">
        <v>42</v>
      </c>
      <c r="B46" s="42">
        <f>B$2*'Total Inventory (Corn)'!C46</f>
        <v>537600</v>
      </c>
      <c r="C46" s="42">
        <f>C$2*'Total Inventory (Corn)'!D46</f>
        <v>0</v>
      </c>
      <c r="D46" s="42">
        <f>D$2*'Total Inventory (Corn)'!E46</f>
        <v>347760</v>
      </c>
      <c r="E46" s="42">
        <f>E$2*'Total Inventory (Corn)'!F46</f>
        <v>257664</v>
      </c>
      <c r="G46" s="2" t="s">
        <v>42</v>
      </c>
      <c r="H46" s="36">
        <f t="shared" si="12"/>
        <v>605424</v>
      </c>
      <c r="I46" s="36"/>
      <c r="J46" s="36"/>
      <c r="K46" s="36">
        <f t="shared" si="13"/>
        <v>537600</v>
      </c>
      <c r="L46" s="36"/>
      <c r="M46" s="36"/>
      <c r="N46" s="36">
        <f t="shared" si="11"/>
        <v>605424</v>
      </c>
      <c r="O46" s="36"/>
      <c r="P46" s="36"/>
      <c r="Q46" s="36">
        <f t="shared" si="14"/>
        <v>537600</v>
      </c>
      <c r="R46" s="36"/>
      <c r="S46" s="36"/>
      <c r="T46" s="36">
        <f t="shared" si="0"/>
        <v>2286048</v>
      </c>
    </row>
    <row r="47" spans="1:20">
      <c r="A47" s="5" t="s">
        <v>43</v>
      </c>
      <c r="B47" s="42">
        <f>B$2*'Total Inventory (Corn)'!C47</f>
        <v>326400</v>
      </c>
      <c r="C47" s="42">
        <f>C$2*'Total Inventory (Corn)'!D47</f>
        <v>0</v>
      </c>
      <c r="D47" s="42">
        <f>D$2*'Total Inventory (Corn)'!E47</f>
        <v>105840</v>
      </c>
      <c r="E47" s="42">
        <f>E$2*'Total Inventory (Corn)'!F47</f>
        <v>74976</v>
      </c>
      <c r="G47" s="2" t="s">
        <v>43</v>
      </c>
      <c r="H47" s="36">
        <f t="shared" si="12"/>
        <v>180816</v>
      </c>
      <c r="I47" s="36"/>
      <c r="J47" s="36"/>
      <c r="K47" s="36">
        <f t="shared" si="13"/>
        <v>326400</v>
      </c>
      <c r="L47" s="36"/>
      <c r="M47" s="36"/>
      <c r="N47" s="36">
        <f t="shared" si="11"/>
        <v>180816</v>
      </c>
      <c r="O47" s="36"/>
      <c r="P47" s="36"/>
      <c r="Q47" s="36">
        <f t="shared" si="14"/>
        <v>326400</v>
      </c>
      <c r="R47" s="36"/>
      <c r="S47" s="36"/>
      <c r="T47" s="36">
        <f t="shared" si="0"/>
        <v>1014432</v>
      </c>
    </row>
    <row r="48" spans="1:20">
      <c r="A48" s="5" t="s">
        <v>79</v>
      </c>
      <c r="B48" s="42">
        <f>B$2*'Total Inventory (Corn)'!C50</f>
        <v>283200</v>
      </c>
      <c r="C48" s="42">
        <f>C$2*'Total Inventory (Corn)'!D50</f>
        <v>17600</v>
      </c>
      <c r="D48" s="42">
        <f>D$2*'Total Inventory (Corn)'!E50</f>
        <v>10800</v>
      </c>
      <c r="E48" s="42">
        <f>E$2*'Total Inventory (Corn)'!F50</f>
        <v>142032</v>
      </c>
      <c r="G48" s="2" t="s">
        <v>79</v>
      </c>
      <c r="H48" s="36">
        <f t="shared" ref="H48:H57" si="15">$C48+$D48+$E48</f>
        <v>170432</v>
      </c>
      <c r="I48" s="36"/>
      <c r="J48" s="36"/>
      <c r="K48" s="36">
        <f t="shared" si="13"/>
        <v>283200</v>
      </c>
      <c r="L48" s="36"/>
      <c r="M48" s="36"/>
      <c r="N48" s="36">
        <f t="shared" si="11"/>
        <v>170432</v>
      </c>
      <c r="O48" s="36"/>
      <c r="P48" s="36"/>
      <c r="Q48" s="36">
        <f t="shared" ref="Q48:Q57" si="16">$B48</f>
        <v>283200</v>
      </c>
      <c r="R48" s="36"/>
      <c r="S48" s="36"/>
      <c r="T48" s="36">
        <f t="shared" si="0"/>
        <v>907264</v>
      </c>
    </row>
    <row r="49" spans="1:21">
      <c r="A49" s="5" t="s">
        <v>80</v>
      </c>
      <c r="B49" s="42">
        <f>B$2*'Total Inventory (Corn)'!C51</f>
        <v>96000</v>
      </c>
      <c r="C49" s="42">
        <f>C$2*'Total Inventory (Corn)'!D51</f>
        <v>0</v>
      </c>
      <c r="D49" s="42">
        <f>D$2*'Total Inventory (Corn)'!E51</f>
        <v>0</v>
      </c>
      <c r="E49" s="42">
        <f>E$2*'Total Inventory (Corn)'!F51</f>
        <v>49104</v>
      </c>
      <c r="G49" s="2" t="s">
        <v>80</v>
      </c>
      <c r="H49" s="36">
        <f t="shared" si="15"/>
        <v>49104</v>
      </c>
      <c r="I49" s="36"/>
      <c r="J49" s="36"/>
      <c r="K49" s="36">
        <f t="shared" si="13"/>
        <v>96000</v>
      </c>
      <c r="L49" s="36"/>
      <c r="M49" s="36"/>
      <c r="N49" s="36">
        <f t="shared" si="11"/>
        <v>49104</v>
      </c>
      <c r="O49" s="36"/>
      <c r="P49" s="36"/>
      <c r="Q49" s="36">
        <f t="shared" si="16"/>
        <v>96000</v>
      </c>
      <c r="R49" s="36"/>
      <c r="S49" s="36"/>
      <c r="T49" s="36">
        <f t="shared" si="0"/>
        <v>290208</v>
      </c>
    </row>
    <row r="50" spans="1:21">
      <c r="A50" s="5" t="s">
        <v>77</v>
      </c>
      <c r="B50" s="42">
        <f>B$2*'Total Inventory (Corn)'!C48</f>
        <v>513600</v>
      </c>
      <c r="C50" s="42">
        <f>C$2*'Total Inventory (Corn)'!D48</f>
        <v>17600</v>
      </c>
      <c r="D50" s="42">
        <f>D$2*'Total Inventory (Corn)'!E48</f>
        <v>51840</v>
      </c>
      <c r="E50" s="42">
        <f>E$2*'Total Inventory (Corn)'!F48</f>
        <v>152064</v>
      </c>
      <c r="G50" s="2" t="s">
        <v>77</v>
      </c>
      <c r="H50" s="38"/>
      <c r="I50" s="38"/>
      <c r="J50" s="38"/>
      <c r="K50" s="38">
        <f>$B50</f>
        <v>513600</v>
      </c>
      <c r="L50" s="38"/>
      <c r="M50" s="38"/>
      <c r="N50" s="38">
        <f>$C50+$D50+$E50</f>
        <v>221504</v>
      </c>
      <c r="O50" s="38"/>
      <c r="P50" s="38">
        <f>$B50</f>
        <v>513600</v>
      </c>
      <c r="Q50" s="38"/>
      <c r="R50" s="38"/>
      <c r="S50" s="38">
        <f>$C50+$D50+$E50</f>
        <v>221504</v>
      </c>
      <c r="T50" s="38">
        <f>SUM(H50:S50)</f>
        <v>1470208</v>
      </c>
    </row>
    <row r="51" spans="1:21">
      <c r="A51" s="5" t="s">
        <v>78</v>
      </c>
      <c r="B51" s="42">
        <f>B$2*'Total Inventory (Corn)'!C49</f>
        <v>398400</v>
      </c>
      <c r="C51" s="42">
        <f>C$2*'Total Inventory (Corn)'!D49</f>
        <v>0</v>
      </c>
      <c r="D51" s="42">
        <f>D$2*'Total Inventory (Corn)'!E49</f>
        <v>0</v>
      </c>
      <c r="E51" s="42">
        <f>E$2*'Total Inventory (Corn)'!F49</f>
        <v>170016</v>
      </c>
      <c r="G51" s="2" t="s">
        <v>78</v>
      </c>
      <c r="H51" s="38"/>
      <c r="I51" s="38"/>
      <c r="J51" s="38"/>
      <c r="K51" s="38">
        <f>$B51</f>
        <v>398400</v>
      </c>
      <c r="L51" s="38"/>
      <c r="M51" s="38"/>
      <c r="N51" s="38">
        <f>$C51+$D51+$E51</f>
        <v>170016</v>
      </c>
      <c r="O51" s="38"/>
      <c r="P51" s="38">
        <f>$B51</f>
        <v>398400</v>
      </c>
      <c r="Q51" s="38"/>
      <c r="R51" s="38"/>
      <c r="S51" s="38">
        <f>$C51+$D51+$E51</f>
        <v>170016</v>
      </c>
      <c r="T51" s="38">
        <f>SUM(H51:S51)</f>
        <v>1136832</v>
      </c>
    </row>
    <row r="52" spans="1:21">
      <c r="A52" s="5" t="s">
        <v>44</v>
      </c>
      <c r="B52" s="42">
        <f>B$2*'Total Inventory (Corn)'!C52</f>
        <v>0</v>
      </c>
      <c r="C52" s="42">
        <f>C$2*'Total Inventory (Corn)'!D52</f>
        <v>0</v>
      </c>
      <c r="D52" s="42">
        <f>D$2*'Total Inventory (Corn)'!E52</f>
        <v>0</v>
      </c>
      <c r="E52" s="42">
        <f>E$2*'Total Inventory (Corn)'!F52</f>
        <v>17952</v>
      </c>
      <c r="G52" s="2" t="s">
        <v>44</v>
      </c>
      <c r="H52" s="36">
        <f t="shared" si="15"/>
        <v>17952</v>
      </c>
      <c r="I52" s="36"/>
      <c r="J52" s="36"/>
      <c r="K52" s="36">
        <f t="shared" si="13"/>
        <v>0</v>
      </c>
      <c r="L52" s="36"/>
      <c r="M52" s="36"/>
      <c r="N52" s="36">
        <f t="shared" si="11"/>
        <v>17952</v>
      </c>
      <c r="O52" s="36"/>
      <c r="P52" s="36"/>
      <c r="Q52" s="36">
        <f t="shared" si="16"/>
        <v>0</v>
      </c>
      <c r="R52" s="36"/>
      <c r="S52" s="36"/>
      <c r="T52" s="36">
        <f t="shared" si="0"/>
        <v>35904</v>
      </c>
    </row>
    <row r="53" spans="1:21">
      <c r="A53" s="5" t="s">
        <v>92</v>
      </c>
      <c r="B53" s="42">
        <f>B$2*'Total Inventory (Corn)'!C53</f>
        <v>115200</v>
      </c>
      <c r="C53" s="42">
        <f>C$2*'Total Inventory (Corn)'!D53</f>
        <v>0</v>
      </c>
      <c r="D53" s="42">
        <f>D$2*'Total Inventory (Corn)'!E53</f>
        <v>10800</v>
      </c>
      <c r="E53" s="42">
        <f>E$2*'Total Inventory (Corn)'!F53</f>
        <v>23232</v>
      </c>
      <c r="G53" s="2" t="s">
        <v>92</v>
      </c>
      <c r="H53" s="36">
        <f t="shared" si="15"/>
        <v>34032</v>
      </c>
      <c r="I53" s="36"/>
      <c r="J53" s="36"/>
      <c r="K53" s="36">
        <f t="shared" si="13"/>
        <v>115200</v>
      </c>
      <c r="L53" s="36"/>
      <c r="M53" s="36"/>
      <c r="N53" s="36">
        <f t="shared" si="11"/>
        <v>34032</v>
      </c>
      <c r="O53" s="36"/>
      <c r="P53" s="36"/>
      <c r="Q53" s="36">
        <f t="shared" si="16"/>
        <v>115200</v>
      </c>
      <c r="R53" s="36"/>
      <c r="S53" s="36"/>
      <c r="T53" s="36">
        <f t="shared" si="0"/>
        <v>298464</v>
      </c>
    </row>
    <row r="54" spans="1:21">
      <c r="A54" s="5" t="s">
        <v>91</v>
      </c>
      <c r="B54" s="42">
        <f>B$2*'Total Inventory (Corn)'!C54</f>
        <v>609600</v>
      </c>
      <c r="C54" s="42">
        <f>C$2*'Total Inventory (Corn)'!D54</f>
        <v>0</v>
      </c>
      <c r="D54" s="42">
        <f>D$2*'Total Inventory (Corn)'!E54</f>
        <v>0</v>
      </c>
      <c r="E54" s="42">
        <f>E$2*'Total Inventory (Corn)'!F54</f>
        <v>275616</v>
      </c>
      <c r="G54" s="2" t="s">
        <v>91</v>
      </c>
      <c r="H54" s="36">
        <f t="shared" si="15"/>
        <v>275616</v>
      </c>
      <c r="I54" s="36"/>
      <c r="J54" s="36"/>
      <c r="K54" s="36">
        <f t="shared" si="13"/>
        <v>609600</v>
      </c>
      <c r="L54" s="36"/>
      <c r="M54" s="36"/>
      <c r="N54" s="36">
        <f t="shared" si="11"/>
        <v>275616</v>
      </c>
      <c r="O54" s="36"/>
      <c r="P54" s="36"/>
      <c r="Q54" s="36">
        <f t="shared" si="16"/>
        <v>609600</v>
      </c>
      <c r="R54" s="36"/>
      <c r="S54" s="36"/>
      <c r="T54" s="36">
        <f t="shared" si="0"/>
        <v>1770432</v>
      </c>
    </row>
    <row r="55" spans="1:21">
      <c r="A55" s="5" t="s">
        <v>94</v>
      </c>
      <c r="B55" s="42">
        <f>B$2*'Total Inventory (Corn)'!C55</f>
        <v>115200</v>
      </c>
      <c r="C55" s="42">
        <f>C$2*'Total Inventory (Corn)'!D55</f>
        <v>0</v>
      </c>
      <c r="D55" s="42">
        <f>D$2*'Total Inventory (Corn)'!E55</f>
        <v>21600</v>
      </c>
      <c r="E55" s="42">
        <f>E$2*'Total Inventory (Corn)'!F55</f>
        <v>38544</v>
      </c>
      <c r="G55" s="2" t="s">
        <v>94</v>
      </c>
      <c r="H55" s="36">
        <f t="shared" si="15"/>
        <v>60144</v>
      </c>
      <c r="I55" s="36"/>
      <c r="J55" s="36"/>
      <c r="K55" s="36">
        <f t="shared" si="13"/>
        <v>115200</v>
      </c>
      <c r="L55" s="36"/>
      <c r="M55" s="36"/>
      <c r="N55" s="36">
        <f t="shared" si="11"/>
        <v>60144</v>
      </c>
      <c r="O55" s="36"/>
      <c r="P55" s="36"/>
      <c r="Q55" s="36">
        <f t="shared" si="16"/>
        <v>115200</v>
      </c>
      <c r="R55" s="36"/>
      <c r="S55" s="36"/>
      <c r="T55" s="36">
        <f t="shared" si="0"/>
        <v>350688</v>
      </c>
    </row>
    <row r="56" spans="1:21">
      <c r="A56" s="5" t="s">
        <v>45</v>
      </c>
      <c r="B56" s="42">
        <f>B$2*'Total Inventory (Corn)'!C56</f>
        <v>163200</v>
      </c>
      <c r="C56" s="42">
        <f>C$2*'Total Inventory (Corn)'!D56</f>
        <v>0</v>
      </c>
      <c r="D56" s="42">
        <f>D$2*'Total Inventory (Corn)'!E56</f>
        <v>10800</v>
      </c>
      <c r="E56" s="42">
        <f>E$2*'Total Inventory (Corn)'!F56</f>
        <v>56496</v>
      </c>
      <c r="G56" s="2" t="s">
        <v>45</v>
      </c>
      <c r="H56" s="36">
        <f t="shared" si="15"/>
        <v>67296</v>
      </c>
      <c r="I56" s="36"/>
      <c r="J56" s="36"/>
      <c r="K56" s="36">
        <f t="shared" si="13"/>
        <v>163200</v>
      </c>
      <c r="L56" s="36"/>
      <c r="M56" s="36"/>
      <c r="N56" s="36">
        <f t="shared" si="11"/>
        <v>67296</v>
      </c>
      <c r="O56" s="36"/>
      <c r="P56" s="36"/>
      <c r="Q56" s="36">
        <f t="shared" si="16"/>
        <v>163200</v>
      </c>
      <c r="R56" s="36"/>
      <c r="S56" s="36"/>
      <c r="T56" s="36">
        <f t="shared" si="0"/>
        <v>460992</v>
      </c>
    </row>
    <row r="57" spans="1:21">
      <c r="A57" s="5" t="s">
        <v>46</v>
      </c>
      <c r="B57" s="42">
        <f>B$2*'Total Inventory (Corn)'!C57</f>
        <v>48000</v>
      </c>
      <c r="C57" s="42">
        <f>C$2*'Total Inventory (Corn)'!D57</f>
        <v>0</v>
      </c>
      <c r="D57" s="42">
        <f>D$2*'Total Inventory (Corn)'!E57</f>
        <v>0</v>
      </c>
      <c r="E57" s="42">
        <f>E$2*'Total Inventory (Corn)'!F57</f>
        <v>33264</v>
      </c>
      <c r="G57" s="2" t="s">
        <v>46</v>
      </c>
      <c r="H57" s="36">
        <f t="shared" si="15"/>
        <v>33264</v>
      </c>
      <c r="I57" s="36"/>
      <c r="J57" s="36"/>
      <c r="K57" s="36">
        <f t="shared" si="13"/>
        <v>48000</v>
      </c>
      <c r="L57" s="36"/>
      <c r="M57" s="36"/>
      <c r="N57" s="36">
        <f t="shared" si="11"/>
        <v>33264</v>
      </c>
      <c r="O57" s="36"/>
      <c r="P57" s="36"/>
      <c r="Q57" s="36">
        <f t="shared" si="16"/>
        <v>48000</v>
      </c>
      <c r="R57" s="36"/>
      <c r="S57" s="36"/>
      <c r="T57" s="36">
        <f t="shared" si="0"/>
        <v>162528</v>
      </c>
    </row>
    <row r="58" spans="1:21">
      <c r="A58" s="5" t="s">
        <v>210</v>
      </c>
      <c r="B58" s="42">
        <f>B$2*'Total Inventory (Corn)'!C58</f>
        <v>537600</v>
      </c>
      <c r="C58" s="42">
        <f>C$2*'Total Inventory (Corn)'!D58</f>
        <v>0</v>
      </c>
      <c r="D58" s="42">
        <f>D$2*'Total Inventory (Corn)'!E58</f>
        <v>105840</v>
      </c>
      <c r="E58" s="42">
        <f>E$2*'Total Inventory (Corn)'!F58</f>
        <v>231792</v>
      </c>
      <c r="G58" s="2" t="s">
        <v>210</v>
      </c>
      <c r="H58" s="36"/>
      <c r="I58" s="36">
        <f>$B58</f>
        <v>537600</v>
      </c>
      <c r="J58" s="36"/>
      <c r="K58" s="36"/>
      <c r="L58" s="36">
        <f>$C58+$D58+$E58</f>
        <v>337632</v>
      </c>
      <c r="M58" s="36"/>
      <c r="N58" s="36"/>
      <c r="O58" s="36">
        <f>$B58</f>
        <v>537600</v>
      </c>
      <c r="P58" s="36"/>
      <c r="Q58" s="36"/>
      <c r="R58" s="36">
        <f>$C58+$D58+$E58</f>
        <v>337632</v>
      </c>
      <c r="S58" s="36"/>
      <c r="T58" s="36">
        <f t="shared" si="0"/>
        <v>1750464</v>
      </c>
    </row>
    <row r="59" spans="1:21">
      <c r="A59" s="5" t="s">
        <v>211</v>
      </c>
      <c r="B59" s="42">
        <f>B$2*'Total Inventory (Corn)'!C59</f>
        <v>513600</v>
      </c>
      <c r="C59" s="42">
        <f>C$2*'Total Inventory (Corn)'!D59</f>
        <v>0</v>
      </c>
      <c r="D59" s="42">
        <f>D$2*'Total Inventory (Corn)'!E59</f>
        <v>127440</v>
      </c>
      <c r="E59" s="42">
        <f>E$2*'Total Inventory (Corn)'!F59</f>
        <v>327360</v>
      </c>
      <c r="G59" s="2" t="s">
        <v>211</v>
      </c>
      <c r="H59" s="36"/>
      <c r="I59" s="36">
        <f>$B59</f>
        <v>513600</v>
      </c>
      <c r="J59" s="36"/>
      <c r="K59" s="36"/>
      <c r="L59" s="36">
        <f>$C59+$D59+$E59</f>
        <v>454800</v>
      </c>
      <c r="M59" s="36"/>
      <c r="N59" s="36"/>
      <c r="O59" s="36">
        <f>$B59</f>
        <v>513600</v>
      </c>
      <c r="P59" s="36"/>
      <c r="Q59" s="36"/>
      <c r="R59" s="36">
        <f>$C59+$D59+$E59</f>
        <v>454800</v>
      </c>
      <c r="S59" s="36"/>
      <c r="T59" s="36">
        <f t="shared" si="0"/>
        <v>1936800</v>
      </c>
    </row>
    <row r="60" spans="1:21">
      <c r="A60" s="5" t="s">
        <v>47</v>
      </c>
      <c r="B60" s="42">
        <f>B$2*'Total Inventory (Corn)'!C60</f>
        <v>211200</v>
      </c>
      <c r="C60" s="42">
        <f>C$2*'Total Inventory (Corn)'!D60</f>
        <v>0</v>
      </c>
      <c r="D60" s="42">
        <f>D$2*'Total Inventory (Corn)'!E60</f>
        <v>21600</v>
      </c>
      <c r="E60" s="42">
        <f>E$2*'Total Inventory (Corn)'!F60</f>
        <v>74976</v>
      </c>
      <c r="G60" s="2" t="s">
        <v>47</v>
      </c>
      <c r="H60" s="36"/>
      <c r="I60" s="36"/>
      <c r="J60" s="36">
        <f>$B60</f>
        <v>211200</v>
      </c>
      <c r="K60" s="36"/>
      <c r="L60" s="36"/>
      <c r="M60" s="36">
        <f>$C60+$D60+$E60</f>
        <v>96576</v>
      </c>
      <c r="N60" s="36"/>
      <c r="O60" s="36"/>
      <c r="P60" s="36">
        <f>$B60</f>
        <v>211200</v>
      </c>
      <c r="Q60" s="36"/>
      <c r="R60" s="36"/>
      <c r="S60" s="36">
        <f>$C60+$D60+$E60</f>
        <v>96576</v>
      </c>
      <c r="T60" s="36">
        <f t="shared" si="0"/>
        <v>615552</v>
      </c>
    </row>
    <row r="61" spans="1:21">
      <c r="A61" s="5" t="s">
        <v>55</v>
      </c>
      <c r="B61" s="42">
        <f>B$2*'Total Inventory (Corn)'!C61</f>
        <v>2251200</v>
      </c>
      <c r="C61" s="42">
        <f>C$2*'Total Inventory (Corn)'!D61</f>
        <v>197120</v>
      </c>
      <c r="D61" s="42">
        <f>D$2*'Total Inventory (Corn)'!E61</f>
        <v>200880</v>
      </c>
      <c r="E61" s="42">
        <f>E$2*'Total Inventory (Corn)'!F61</f>
        <v>868560</v>
      </c>
      <c r="G61" s="2" t="s">
        <v>55</v>
      </c>
      <c r="H61" s="36">
        <f>$C61+$D61+$E61</f>
        <v>1266560</v>
      </c>
      <c r="I61" s="36">
        <f>$B61</f>
        <v>2251200</v>
      </c>
      <c r="J61" s="36"/>
      <c r="K61" s="36"/>
      <c r="L61" s="36">
        <f>$C61+$D61+$E61</f>
        <v>1266560</v>
      </c>
      <c r="M61" s="36"/>
      <c r="N61" s="36"/>
      <c r="O61" s="36"/>
      <c r="P61" s="36"/>
      <c r="Q61" s="36">
        <f t="shared" ref="Q61:R65" si="17">$B61</f>
        <v>2251200</v>
      </c>
      <c r="R61" s="36"/>
      <c r="S61" s="36"/>
      <c r="T61" s="36">
        <f t="shared" si="0"/>
        <v>7035520</v>
      </c>
    </row>
    <row r="62" spans="1:21">
      <c r="A62" s="5" t="s">
        <v>48</v>
      </c>
      <c r="B62" s="42">
        <f>B$2*'Total Inventory (Corn)'!C62</f>
        <v>24000</v>
      </c>
      <c r="C62" s="42">
        <f>C$2*'Total Inventory (Corn)'!D62</f>
        <v>0</v>
      </c>
      <c r="D62" s="42">
        <f>D$2*'Total Inventory (Corn)'!E62</f>
        <v>0</v>
      </c>
      <c r="E62" s="42">
        <f>E$2*'Total Inventory (Corn)'!F62</f>
        <v>17952</v>
      </c>
      <c r="G62" s="2" t="s">
        <v>48</v>
      </c>
      <c r="H62" s="36"/>
      <c r="I62" s="36">
        <f>$B62+$C62+$D62+$E62</f>
        <v>41952</v>
      </c>
      <c r="J62" s="36"/>
      <c r="K62" s="36"/>
      <c r="L62" s="36">
        <f>$C62+$D62+$E62</f>
        <v>17952</v>
      </c>
      <c r="M62" s="36"/>
      <c r="N62" s="36"/>
      <c r="O62" s="36"/>
      <c r="P62" s="36"/>
      <c r="Q62" s="36"/>
      <c r="R62" s="36">
        <f t="shared" si="17"/>
        <v>24000</v>
      </c>
      <c r="S62" s="36"/>
      <c r="T62" s="36">
        <f t="shared" si="0"/>
        <v>83904</v>
      </c>
      <c r="U62" s="4"/>
    </row>
    <row r="63" spans="1:21">
      <c r="A63" s="5" t="s">
        <v>209</v>
      </c>
      <c r="B63" s="42">
        <f>B$2*'Total Inventory (Corn)'!C63</f>
        <v>984000</v>
      </c>
      <c r="C63" s="42">
        <f>C$2*'Total Inventory (Corn)'!D63</f>
        <v>51040</v>
      </c>
      <c r="D63" s="42">
        <f>D$2*'Total Inventory (Corn)'!E63</f>
        <v>51840</v>
      </c>
      <c r="E63" s="42">
        <f>E$2*'Total Inventory (Corn)'!F63</f>
        <v>482064</v>
      </c>
      <c r="G63" s="2" t="s">
        <v>209</v>
      </c>
      <c r="H63" s="36"/>
      <c r="I63" s="36">
        <f>$B63+$C63+$D63+$E63</f>
        <v>1568944</v>
      </c>
      <c r="J63" s="36"/>
      <c r="K63" s="36"/>
      <c r="L63" s="36">
        <f>$C63+$D63+$E63</f>
        <v>584944</v>
      </c>
      <c r="M63" s="36"/>
      <c r="N63" s="36"/>
      <c r="O63" s="36"/>
      <c r="P63" s="36"/>
      <c r="Q63" s="36"/>
      <c r="R63" s="36">
        <f t="shared" si="17"/>
        <v>984000</v>
      </c>
      <c r="S63" s="36"/>
      <c r="T63" s="36">
        <f t="shared" si="0"/>
        <v>3137888</v>
      </c>
      <c r="U63" s="4"/>
    </row>
    <row r="64" spans="1:21">
      <c r="A64" s="5" t="s">
        <v>59</v>
      </c>
      <c r="B64" s="42">
        <f>B$2*'Total Inventory (Corn)'!C64</f>
        <v>1310400</v>
      </c>
      <c r="C64" s="42">
        <f>C$2*'Total Inventory (Corn)'!D64</f>
        <v>35200</v>
      </c>
      <c r="D64" s="42">
        <f>D$2*'Total Inventory (Corn)'!E64</f>
        <v>32400</v>
      </c>
      <c r="E64" s="42">
        <f>E$2*'Total Inventory (Corn)'!F64</f>
        <v>244992</v>
      </c>
      <c r="G64" s="2" t="s">
        <v>59</v>
      </c>
      <c r="H64" s="36"/>
      <c r="I64" s="36">
        <f>$B64+$C64+$D64+$E64</f>
        <v>1622992</v>
      </c>
      <c r="J64" s="36"/>
      <c r="K64" s="36"/>
      <c r="L64" s="36">
        <f>$C64+$D64+$E64</f>
        <v>312592</v>
      </c>
      <c r="M64" s="36"/>
      <c r="N64" s="36"/>
      <c r="O64" s="36"/>
      <c r="P64" s="36"/>
      <c r="Q64" s="36"/>
      <c r="R64" s="36">
        <f t="shared" si="17"/>
        <v>1310400</v>
      </c>
      <c r="S64" s="36"/>
      <c r="T64" s="36">
        <f t="shared" si="0"/>
        <v>3245984</v>
      </c>
      <c r="U64" s="4"/>
    </row>
    <row r="65" spans="1:21">
      <c r="A65" s="5" t="s">
        <v>81</v>
      </c>
      <c r="B65" s="42">
        <f>B$2*'Total Inventory (Corn)'!C65</f>
        <v>609600</v>
      </c>
      <c r="C65" s="42">
        <f>C$2*'Total Inventory (Corn)'!D65</f>
        <v>26400</v>
      </c>
      <c r="D65" s="42">
        <f>D$2*'Total Inventory (Corn)'!E65</f>
        <v>73440</v>
      </c>
      <c r="E65" s="42">
        <f>E$2*'Total Inventory (Corn)'!F65</f>
        <v>219120</v>
      </c>
      <c r="G65" s="2" t="s">
        <v>81</v>
      </c>
      <c r="H65" s="36"/>
      <c r="I65" s="36">
        <f>$B65+$C65+$D65+$E65</f>
        <v>928560</v>
      </c>
      <c r="J65" s="36"/>
      <c r="K65" s="36"/>
      <c r="L65" s="36">
        <f>$C65+$D65+$E65</f>
        <v>318960</v>
      </c>
      <c r="M65" s="36"/>
      <c r="N65" s="36"/>
      <c r="O65" s="36"/>
      <c r="P65" s="36"/>
      <c r="Q65" s="36"/>
      <c r="R65" s="36">
        <f t="shared" si="17"/>
        <v>609600</v>
      </c>
      <c r="S65" s="36"/>
      <c r="T65" s="36">
        <f t="shared" si="0"/>
        <v>1857120</v>
      </c>
      <c r="U65" s="4"/>
    </row>
    <row r="66" spans="1:21">
      <c r="A66" s="5" t="s">
        <v>207</v>
      </c>
      <c r="B66" s="42">
        <f>B$2*'Total Inventory (Corn)'!C66</f>
        <v>374400</v>
      </c>
      <c r="C66" s="42">
        <f>C$2*'Total Inventory (Corn)'!D66</f>
        <v>0</v>
      </c>
      <c r="D66" s="42">
        <f>D$2*'Total Inventory (Corn)'!E66</f>
        <v>43200</v>
      </c>
      <c r="E66" s="42">
        <f>E$2*'Total Inventory (Corn)'!F66</f>
        <v>136752</v>
      </c>
      <c r="G66" s="2" t="s">
        <v>207</v>
      </c>
      <c r="H66" s="36">
        <f>$B66</f>
        <v>374400</v>
      </c>
      <c r="I66" s="36"/>
      <c r="J66" s="36"/>
      <c r="K66" s="36">
        <f>$C66+$D66+$E66</f>
        <v>179952</v>
      </c>
      <c r="L66" s="36"/>
      <c r="M66" s="36"/>
      <c r="N66" s="36">
        <f>$B66</f>
        <v>374400</v>
      </c>
      <c r="O66" s="36"/>
      <c r="P66" s="36"/>
      <c r="Q66" s="36">
        <f>$C66+$D66+$E66</f>
        <v>179952</v>
      </c>
      <c r="R66" s="36"/>
      <c r="S66" s="36"/>
      <c r="T66" s="36">
        <f t="shared" si="0"/>
        <v>1108704</v>
      </c>
    </row>
    <row r="67" spans="1:21">
      <c r="A67" s="5" t="s">
        <v>208</v>
      </c>
      <c r="B67" s="42">
        <f>B$2*'Total Inventory (Corn)'!C67</f>
        <v>561600</v>
      </c>
      <c r="C67" s="42">
        <f>C$2*'Total Inventory (Corn)'!D67</f>
        <v>0</v>
      </c>
      <c r="D67" s="42">
        <f>D$2*'Total Inventory (Corn)'!E67</f>
        <v>21600</v>
      </c>
      <c r="E67" s="42">
        <f>E$2*'Total Inventory (Corn)'!F67</f>
        <v>213840</v>
      </c>
      <c r="G67" s="2" t="s">
        <v>208</v>
      </c>
      <c r="H67" s="36">
        <f>$B67</f>
        <v>561600</v>
      </c>
      <c r="I67" s="36"/>
      <c r="J67" s="36"/>
      <c r="K67" s="36">
        <f>$C67+$D67+$E67</f>
        <v>235440</v>
      </c>
      <c r="L67" s="36"/>
      <c r="M67" s="36"/>
      <c r="N67" s="36">
        <f>$B67</f>
        <v>561600</v>
      </c>
      <c r="O67" s="36"/>
      <c r="P67" s="36"/>
      <c r="Q67" s="36">
        <f>$C67+$D67+$E67</f>
        <v>235440</v>
      </c>
      <c r="R67" s="36"/>
      <c r="S67" s="36"/>
      <c r="T67" s="36">
        <f t="shared" si="0"/>
        <v>1594080</v>
      </c>
    </row>
    <row r="68" spans="1:21">
      <c r="A68" s="5" t="s">
        <v>83</v>
      </c>
      <c r="B68" s="42">
        <f>B$2*'Total Inventory (Corn)'!C68</f>
        <v>163200</v>
      </c>
      <c r="C68" s="42">
        <f>C$2*'Total Inventory (Corn)'!D68</f>
        <v>0</v>
      </c>
      <c r="D68" s="42">
        <f>D$2*'Total Inventory (Corn)'!E68</f>
        <v>21600</v>
      </c>
      <c r="E68" s="42">
        <f>E$2*'Total Inventory (Corn)'!F68</f>
        <v>95568</v>
      </c>
      <c r="G68" s="2" t="s">
        <v>83</v>
      </c>
      <c r="H68" s="36">
        <f>$B68</f>
        <v>163200</v>
      </c>
      <c r="I68" s="36"/>
      <c r="J68" s="36"/>
      <c r="K68" s="36">
        <f>$C68+$D68+$E68</f>
        <v>117168</v>
      </c>
      <c r="L68" s="36"/>
      <c r="M68" s="36"/>
      <c r="N68" s="36">
        <f>$B68</f>
        <v>163200</v>
      </c>
      <c r="O68" s="36"/>
      <c r="P68" s="36"/>
      <c r="Q68" s="36">
        <f>$C68+$D68+$E68</f>
        <v>117168</v>
      </c>
      <c r="R68" s="36"/>
      <c r="S68" s="36"/>
      <c r="T68" s="36">
        <f t="shared" si="0"/>
        <v>560736</v>
      </c>
    </row>
    <row r="69" spans="1:21">
      <c r="A69" s="5" t="s">
        <v>96</v>
      </c>
      <c r="B69" s="42">
        <f>B$2*'Total Inventory (Corn)'!C69</f>
        <v>259200</v>
      </c>
      <c r="C69" s="42">
        <f>C$2*'Total Inventory (Corn)'!D69</f>
        <v>0</v>
      </c>
      <c r="D69" s="42">
        <f>D$2*'Total Inventory (Corn)'!E69</f>
        <v>21600</v>
      </c>
      <c r="E69" s="42">
        <f>E$2*'Total Inventory (Corn)'!F69</f>
        <v>136752</v>
      </c>
      <c r="G69" s="2" t="s">
        <v>96</v>
      </c>
      <c r="H69" s="36">
        <f>$B69</f>
        <v>259200</v>
      </c>
      <c r="I69" s="36"/>
      <c r="J69" s="36"/>
      <c r="K69" s="36">
        <f>$C69+$D69+$E69</f>
        <v>158352</v>
      </c>
      <c r="L69" s="36"/>
      <c r="M69" s="36"/>
      <c r="N69" s="36">
        <f>$B69</f>
        <v>259200</v>
      </c>
      <c r="O69" s="36"/>
      <c r="P69" s="36"/>
      <c r="Q69" s="36">
        <f>$C69+$D69+$E69</f>
        <v>158352</v>
      </c>
      <c r="R69" s="36"/>
      <c r="S69" s="36"/>
      <c r="T69" s="36">
        <f t="shared" ref="T69:T82" si="18">SUM(H69:S69)</f>
        <v>835104</v>
      </c>
    </row>
    <row r="70" spans="1:21">
      <c r="A70" s="5" t="s">
        <v>212</v>
      </c>
      <c r="B70" s="42">
        <f>B$2*'Total Inventory (Corn)'!C70</f>
        <v>398400</v>
      </c>
      <c r="C70" s="42">
        <f>C$2*'Total Inventory (Corn)'!D70</f>
        <v>17600</v>
      </c>
      <c r="D70" s="42">
        <f>D$2*'Total Inventory (Corn)'!E70</f>
        <v>32400</v>
      </c>
      <c r="E70" s="42">
        <f>E$2*'Total Inventory (Corn)'!F70</f>
        <v>154704</v>
      </c>
      <c r="G70" s="2" t="s">
        <v>212</v>
      </c>
      <c r="H70" s="36">
        <f>$B70</f>
        <v>398400</v>
      </c>
      <c r="I70" s="36"/>
      <c r="J70" s="36"/>
      <c r="K70" s="36">
        <f>$C70+$D70+$E70</f>
        <v>204704</v>
      </c>
      <c r="L70" s="36"/>
      <c r="M70" s="36"/>
      <c r="N70" s="36">
        <f>$B70</f>
        <v>398400</v>
      </c>
      <c r="O70" s="36"/>
      <c r="P70" s="36"/>
      <c r="Q70" s="36">
        <f>$C70+$D70+$E70</f>
        <v>204704</v>
      </c>
      <c r="R70" s="36"/>
      <c r="S70" s="36"/>
      <c r="T70" s="36">
        <f t="shared" si="18"/>
        <v>1206208</v>
      </c>
    </row>
    <row r="71" spans="1:21">
      <c r="A71" s="5" t="s">
        <v>49</v>
      </c>
      <c r="B71" s="42">
        <f>B$2*'Total Inventory (Corn)'!C71</f>
        <v>446400</v>
      </c>
      <c r="C71" s="42">
        <f>C$2*'Total Inventory (Corn)'!D71</f>
        <v>17600</v>
      </c>
      <c r="D71" s="42">
        <f>D$2*'Total Inventory (Corn)'!E71</f>
        <v>43200</v>
      </c>
      <c r="E71" s="42">
        <f>E$2*'Total Inventory (Corn)'!F71</f>
        <v>301488</v>
      </c>
      <c r="G71" s="2" t="s">
        <v>49</v>
      </c>
      <c r="H71" s="36"/>
      <c r="I71" s="36"/>
      <c r="J71" s="36"/>
      <c r="K71" s="36">
        <f>$B71</f>
        <v>446400</v>
      </c>
      <c r="L71" s="36"/>
      <c r="M71" s="36"/>
      <c r="N71" s="36">
        <f>$C71+$D71+$E71</f>
        <v>362288</v>
      </c>
      <c r="O71" s="36"/>
      <c r="P71" s="36">
        <f>$B71</f>
        <v>446400</v>
      </c>
      <c r="Q71" s="36"/>
      <c r="R71" s="36"/>
      <c r="S71" s="36">
        <f>$C71+$D71+$E71</f>
        <v>362288</v>
      </c>
      <c r="T71" s="36">
        <f t="shared" si="18"/>
        <v>1617376</v>
      </c>
    </row>
    <row r="72" spans="1:21">
      <c r="A72" s="5" t="s">
        <v>50</v>
      </c>
      <c r="B72" s="42">
        <f>B$2*'Total Inventory (Corn)'!C72</f>
        <v>984000</v>
      </c>
      <c r="C72" s="42">
        <f>C$2*'Total Inventory (Corn)'!D72</f>
        <v>26400</v>
      </c>
      <c r="D72" s="42">
        <f>D$2*'Total Inventory (Corn)'!E72</f>
        <v>136080</v>
      </c>
      <c r="E72" s="42">
        <f>E$2*'Total Inventory (Corn)'!F72</f>
        <v>319440</v>
      </c>
      <c r="G72" s="2" t="s">
        <v>50</v>
      </c>
      <c r="H72" s="36"/>
      <c r="I72" s="36"/>
      <c r="J72" s="36"/>
      <c r="K72" s="36">
        <f>$B72</f>
        <v>984000</v>
      </c>
      <c r="L72" s="36"/>
      <c r="M72" s="36"/>
      <c r="N72" s="36">
        <f>$C72+$D72+$E72</f>
        <v>481920</v>
      </c>
      <c r="O72" s="36"/>
      <c r="P72" s="36">
        <f>$B72</f>
        <v>984000</v>
      </c>
      <c r="Q72" s="36"/>
      <c r="R72" s="36"/>
      <c r="S72" s="36">
        <f>$C72+$D72+$E72</f>
        <v>481920</v>
      </c>
      <c r="T72" s="36">
        <f t="shared" si="18"/>
        <v>2931840</v>
      </c>
    </row>
    <row r="73" spans="1:21">
      <c r="A73" s="5" t="s">
        <v>51</v>
      </c>
      <c r="B73" s="42">
        <f>B$2*'Total Inventory (Corn)'!C73</f>
        <v>960000</v>
      </c>
      <c r="C73" s="42">
        <f>C$2*'Total Inventory (Corn)'!D73</f>
        <v>51040</v>
      </c>
      <c r="D73" s="42">
        <f>D$2*'Total Inventory (Corn)'!E73</f>
        <v>211680</v>
      </c>
      <c r="E73" s="42">
        <f>E$2*'Total Inventory (Corn)'!F73</f>
        <v>399696</v>
      </c>
      <c r="G73" s="2" t="s">
        <v>51</v>
      </c>
      <c r="H73" s="36"/>
      <c r="I73" s="36"/>
      <c r="J73" s="36"/>
      <c r="K73" s="36">
        <f>$B73</f>
        <v>960000</v>
      </c>
      <c r="L73" s="36"/>
      <c r="M73" s="36"/>
      <c r="N73" s="36">
        <f>$C73+$D73+$E73</f>
        <v>662416</v>
      </c>
      <c r="O73" s="36"/>
      <c r="P73" s="36">
        <f>$B73</f>
        <v>960000</v>
      </c>
      <c r="Q73" s="36"/>
      <c r="R73" s="36"/>
      <c r="S73" s="36">
        <f>$C73+$D73+$E73</f>
        <v>662416</v>
      </c>
      <c r="T73" s="36">
        <f t="shared" si="18"/>
        <v>3244832</v>
      </c>
    </row>
    <row r="74" spans="1:21">
      <c r="A74" s="5" t="s">
        <v>213</v>
      </c>
      <c r="B74" s="42">
        <f>B$2*'Total Inventory (Corn)'!C74</f>
        <v>1828800</v>
      </c>
      <c r="C74" s="42">
        <f>C$2*'Total Inventory (Corn)'!D74</f>
        <v>146080</v>
      </c>
      <c r="D74" s="42">
        <f>D$2*'Total Inventory (Corn)'!E74</f>
        <v>211680</v>
      </c>
      <c r="E74" s="42">
        <f>E$2*'Total Inventory (Corn)'!F74</f>
        <v>541200</v>
      </c>
      <c r="G74" s="2" t="s">
        <v>213</v>
      </c>
      <c r="H74" s="36"/>
      <c r="I74" s="36"/>
      <c r="J74" s="36"/>
      <c r="K74" s="36">
        <f>$B74</f>
        <v>1828800</v>
      </c>
      <c r="L74" s="36"/>
      <c r="M74" s="36"/>
      <c r="N74" s="36">
        <f>$C74+$D74+$E74</f>
        <v>898960</v>
      </c>
      <c r="O74" s="36"/>
      <c r="P74" s="36">
        <f>$B74</f>
        <v>1828800</v>
      </c>
      <c r="Q74" s="36"/>
      <c r="R74" s="36"/>
      <c r="S74" s="36">
        <f>$C74+$D74+$E74</f>
        <v>898960</v>
      </c>
      <c r="T74" s="36">
        <f t="shared" si="18"/>
        <v>5455520</v>
      </c>
    </row>
    <row r="75" spans="1:21">
      <c r="A75" s="5" t="s">
        <v>145</v>
      </c>
      <c r="B75" s="42">
        <f>B$2*'Total Inventory (Corn)'!C75</f>
        <v>446400</v>
      </c>
      <c r="C75" s="42">
        <f>C$2*'Total Inventory (Corn)'!D75</f>
        <v>26400</v>
      </c>
      <c r="D75" s="42">
        <f>D$2*'Total Inventory (Corn)'!E75</f>
        <v>105840</v>
      </c>
      <c r="E75" s="42">
        <f>E$2*'Total Inventory (Corn)'!F75</f>
        <v>72336</v>
      </c>
      <c r="G75" s="2" t="s">
        <v>145</v>
      </c>
      <c r="H75" s="36"/>
      <c r="I75" s="36">
        <f>$C75+$D75+$E75</f>
        <v>204576</v>
      </c>
      <c r="J75" s="36"/>
      <c r="K75" s="36"/>
      <c r="L75" s="36">
        <f>$B75</f>
        <v>446400</v>
      </c>
      <c r="M75" s="36"/>
      <c r="N75" s="36"/>
      <c r="O75" s="36">
        <f>$C75+$D75+$E75</f>
        <v>204576</v>
      </c>
      <c r="P75" s="36"/>
      <c r="Q75" s="36"/>
      <c r="R75" s="36">
        <f>$B75</f>
        <v>446400</v>
      </c>
      <c r="S75" s="36"/>
      <c r="T75" s="36">
        <f t="shared" si="18"/>
        <v>1301952</v>
      </c>
    </row>
    <row r="76" spans="1:21">
      <c r="A76" s="5" t="s">
        <v>204</v>
      </c>
      <c r="B76" s="42">
        <f>B$2*'Total Inventory (Corn)'!C76</f>
        <v>960000</v>
      </c>
      <c r="C76" s="42">
        <f>C$2*'Total Inventory (Corn)'!D76</f>
        <v>95040</v>
      </c>
      <c r="D76" s="42">
        <f>D$2*'Total Inventory (Corn)'!E76</f>
        <v>95040</v>
      </c>
      <c r="E76" s="42">
        <f>E$2*'Total Inventory (Corn)'!F76</f>
        <v>108240</v>
      </c>
      <c r="G76" s="2" t="s">
        <v>204</v>
      </c>
      <c r="H76" s="36"/>
      <c r="I76" s="36">
        <f>$C76+$D76+$E76</f>
        <v>298320</v>
      </c>
      <c r="J76" s="36"/>
      <c r="K76" s="36"/>
      <c r="L76" s="36">
        <f>$B76</f>
        <v>960000</v>
      </c>
      <c r="M76" s="36"/>
      <c r="N76" s="36"/>
      <c r="O76" s="36">
        <f>$C76+$D76+$E76</f>
        <v>298320</v>
      </c>
      <c r="P76" s="36"/>
      <c r="Q76" s="36"/>
      <c r="R76" s="36">
        <f>$B76</f>
        <v>960000</v>
      </c>
      <c r="S76" s="36"/>
      <c r="T76" s="36">
        <f t="shared" si="18"/>
        <v>2516640</v>
      </c>
    </row>
    <row r="77" spans="1:21">
      <c r="A77" s="5" t="s">
        <v>52</v>
      </c>
      <c r="B77" s="42">
        <f>B$2*'Total Inventory (Corn)'!C77</f>
        <v>96000</v>
      </c>
      <c r="C77" s="42">
        <f>C$2*'Total Inventory (Corn)'!D77</f>
        <v>0</v>
      </c>
      <c r="D77" s="42">
        <f>D$2*'Total Inventory (Corn)'!E77</f>
        <v>0</v>
      </c>
      <c r="E77" s="42">
        <f>E$2*'Total Inventory (Corn)'!F77</f>
        <v>25872</v>
      </c>
      <c r="G77" s="2" t="s">
        <v>52</v>
      </c>
      <c r="H77" s="36"/>
      <c r="I77" s="36">
        <f>$C77+$D77+$E77</f>
        <v>25872</v>
      </c>
      <c r="J77" s="36"/>
      <c r="K77" s="36"/>
      <c r="L77" s="36">
        <f>$B77</f>
        <v>96000</v>
      </c>
      <c r="M77" s="36"/>
      <c r="N77" s="36"/>
      <c r="O77" s="36">
        <f>$C77+$D77+$E77</f>
        <v>25872</v>
      </c>
      <c r="P77" s="36"/>
      <c r="Q77" s="36"/>
      <c r="R77" s="36">
        <f>$B77</f>
        <v>96000</v>
      </c>
      <c r="S77" s="36"/>
      <c r="T77" s="36">
        <f t="shared" si="18"/>
        <v>243744</v>
      </c>
    </row>
    <row r="78" spans="1:21">
      <c r="A78" s="5" t="s">
        <v>205</v>
      </c>
      <c r="B78" s="42">
        <f>B$2*'Total Inventory (Corn)'!C78</f>
        <v>283200</v>
      </c>
      <c r="C78" s="42">
        <f>C$2*'Total Inventory (Corn)'!D78</f>
        <v>0</v>
      </c>
      <c r="D78" s="42">
        <f>D$2*'Total Inventory (Corn)'!E78</f>
        <v>95040</v>
      </c>
      <c r="E78" s="42">
        <f>E$2*'Total Inventory (Corn)'!F78</f>
        <v>51744</v>
      </c>
      <c r="G78" s="2" t="s">
        <v>205</v>
      </c>
      <c r="H78" s="36"/>
      <c r="I78" s="36">
        <f>$C78+$D78+$E78</f>
        <v>146784</v>
      </c>
      <c r="J78" s="36"/>
      <c r="K78" s="36"/>
      <c r="L78" s="36">
        <f>$B78</f>
        <v>283200</v>
      </c>
      <c r="M78" s="36"/>
      <c r="N78" s="36"/>
      <c r="O78" s="36">
        <f>$C78+$D78+$E78</f>
        <v>146784</v>
      </c>
      <c r="P78" s="36"/>
      <c r="Q78" s="36"/>
      <c r="R78" s="36">
        <f>$B78</f>
        <v>283200</v>
      </c>
      <c r="S78" s="36"/>
      <c r="T78" s="36">
        <f t="shared" si="18"/>
        <v>859968</v>
      </c>
    </row>
    <row r="79" spans="1:21">
      <c r="A79" s="5" t="s">
        <v>206</v>
      </c>
      <c r="B79" s="42">
        <f>B$2*'Total Inventory (Corn)'!C79</f>
        <v>326400</v>
      </c>
      <c r="C79" s="42">
        <f>C$2*'Total Inventory (Corn)'!D79</f>
        <v>8800</v>
      </c>
      <c r="D79" s="42">
        <f>D$2*'Total Inventory (Corn)'!E79</f>
        <v>43200</v>
      </c>
      <c r="E79" s="42">
        <f>E$2*'Total Inventory (Corn)'!F79</f>
        <v>35904</v>
      </c>
      <c r="G79" s="2" t="s">
        <v>206</v>
      </c>
      <c r="H79" s="36"/>
      <c r="I79" s="36">
        <f>$C79+$D79+$E79</f>
        <v>87904</v>
      </c>
      <c r="J79" s="36"/>
      <c r="K79" s="36"/>
      <c r="L79" s="36">
        <f>$B79</f>
        <v>326400</v>
      </c>
      <c r="M79" s="36"/>
      <c r="N79" s="36"/>
      <c r="O79" s="36">
        <f>$C79+$D79+$E79</f>
        <v>87904</v>
      </c>
      <c r="P79" s="36"/>
      <c r="Q79" s="36"/>
      <c r="R79" s="36">
        <f>$B79</f>
        <v>326400</v>
      </c>
      <c r="S79" s="36"/>
      <c r="T79" s="36">
        <f t="shared" si="18"/>
        <v>828608</v>
      </c>
    </row>
    <row r="80" spans="1:21">
      <c r="A80" s="5" t="s">
        <v>160</v>
      </c>
      <c r="B80" s="42">
        <f>B$2*'Total Inventory (Corn)'!C80</f>
        <v>96000</v>
      </c>
      <c r="C80" s="42">
        <f>C$2*'Total Inventory (Corn)'!D80</f>
        <v>0</v>
      </c>
      <c r="D80" s="42">
        <f>D$2*'Total Inventory (Corn)'!E80</f>
        <v>0</v>
      </c>
      <c r="E80" s="42">
        <f>E$2*'Total Inventory (Corn)'!F80</f>
        <v>7920</v>
      </c>
      <c r="G80" s="2" t="s">
        <v>160</v>
      </c>
      <c r="H80" s="36"/>
      <c r="I80" s="36"/>
      <c r="J80" s="36">
        <f>$B80</f>
        <v>96000</v>
      </c>
      <c r="K80" s="36">
        <f>$C80+$D80+$E80</f>
        <v>7920</v>
      </c>
      <c r="L80" s="36"/>
      <c r="M80" s="36"/>
      <c r="N80" s="36">
        <f>$B80</f>
        <v>96000</v>
      </c>
      <c r="O80" s="36"/>
      <c r="P80" s="36">
        <f>$C80+$D80+$E80</f>
        <v>7920</v>
      </c>
      <c r="Q80" s="36"/>
      <c r="R80" s="36"/>
      <c r="S80" s="36">
        <f>$B80+$C80+$D80+$E80</f>
        <v>103920</v>
      </c>
      <c r="T80" s="36">
        <f t="shared" si="18"/>
        <v>311760</v>
      </c>
    </row>
    <row r="81" spans="1:20">
      <c r="A81" s="5" t="s">
        <v>203</v>
      </c>
      <c r="B81" s="42">
        <f>B$2*'Total Inventory (Corn)'!C81</f>
        <v>0</v>
      </c>
      <c r="C81" s="42">
        <f>C$2*'Total Inventory (Corn)'!D81</f>
        <v>0</v>
      </c>
      <c r="D81" s="42">
        <f>D$2*'Total Inventory (Corn)'!E81</f>
        <v>0</v>
      </c>
      <c r="E81" s="42">
        <f>E$2*'Total Inventory (Corn)'!F81</f>
        <v>2640</v>
      </c>
      <c r="G81" s="2" t="s">
        <v>203</v>
      </c>
      <c r="H81" s="36"/>
      <c r="I81" s="36"/>
      <c r="J81" s="36">
        <f>$B81</f>
        <v>0</v>
      </c>
      <c r="K81" s="36">
        <f>$C81+$D81+$E81</f>
        <v>2640</v>
      </c>
      <c r="L81" s="36"/>
      <c r="M81" s="36"/>
      <c r="N81" s="36">
        <f>$B81</f>
        <v>0</v>
      </c>
      <c r="O81" s="36"/>
      <c r="P81" s="36">
        <f>$C81+$D81+$E81</f>
        <v>2640</v>
      </c>
      <c r="Q81" s="36"/>
      <c r="R81" s="36"/>
      <c r="S81" s="36">
        <f>$B81+$C81+$D81+$E81</f>
        <v>2640</v>
      </c>
      <c r="T81" s="36">
        <f t="shared" si="18"/>
        <v>7920</v>
      </c>
    </row>
    <row r="82" spans="1:20">
      <c r="A82" s="5" t="s">
        <v>53</v>
      </c>
      <c r="B82" s="42">
        <f>B$2*'Total Inventory (Corn)'!C82</f>
        <v>24000</v>
      </c>
      <c r="C82" s="42">
        <f>C$2*'Total Inventory (Corn)'!D82</f>
        <v>0</v>
      </c>
      <c r="D82" s="42">
        <f>D$2*'Total Inventory (Corn)'!E82</f>
        <v>0</v>
      </c>
      <c r="E82" s="42">
        <f>E$2*'Total Inventory (Corn)'!F82</f>
        <v>20592</v>
      </c>
      <c r="G82" s="2" t="s">
        <v>53</v>
      </c>
      <c r="H82" s="36"/>
      <c r="I82" s="36"/>
      <c r="J82" s="36">
        <f>$B82</f>
        <v>24000</v>
      </c>
      <c r="K82" s="36">
        <f>$C82+$D82+$E82</f>
        <v>20592</v>
      </c>
      <c r="L82" s="36"/>
      <c r="M82" s="36"/>
      <c r="N82" s="36">
        <f>$B82</f>
        <v>24000</v>
      </c>
      <c r="O82" s="36"/>
      <c r="P82" s="36">
        <f>$C82+$D82+$E82</f>
        <v>20592</v>
      </c>
      <c r="Q82" s="36"/>
      <c r="R82" s="36"/>
      <c r="S82" s="36">
        <f>$B82+$C82+$D82+$E82</f>
        <v>44592</v>
      </c>
      <c r="T82" s="36">
        <f t="shared" si="18"/>
        <v>133776</v>
      </c>
    </row>
    <row r="83" spans="1:20">
      <c r="G83" s="30" t="s">
        <v>255</v>
      </c>
      <c r="H83" s="36">
        <f>SUM(H4:H82)</f>
        <v>13881808</v>
      </c>
      <c r="I83" s="36">
        <f t="shared" ref="I83:S83" si="19">SUM(I4:I82)</f>
        <v>21939136</v>
      </c>
      <c r="J83" s="36">
        <f t="shared" si="19"/>
        <v>5697600</v>
      </c>
      <c r="K83" s="36">
        <f t="shared" si="19"/>
        <v>28545440</v>
      </c>
      <c r="L83" s="36">
        <f t="shared" si="19"/>
        <v>13038672</v>
      </c>
      <c r="M83" s="36">
        <f t="shared" si="19"/>
        <v>2581280</v>
      </c>
      <c r="N83" s="36">
        <f t="shared" si="19"/>
        <v>14883120</v>
      </c>
      <c r="O83" s="36">
        <f t="shared" si="19"/>
        <v>13314256</v>
      </c>
      <c r="P83" s="36">
        <f t="shared" si="19"/>
        <v>8454768</v>
      </c>
      <c r="Q83" s="36">
        <f t="shared" si="19"/>
        <v>31510384</v>
      </c>
      <c r="R83" s="36">
        <f t="shared" si="19"/>
        <v>7517408</v>
      </c>
      <c r="S83" s="36">
        <f t="shared" si="19"/>
        <v>4408272</v>
      </c>
      <c r="T83" s="36">
        <f>SUM(T4:T82)</f>
        <v>165772144</v>
      </c>
    </row>
  </sheetData>
  <mergeCells count="14">
    <mergeCell ref="T1:T3"/>
    <mergeCell ref="G1:G3"/>
    <mergeCell ref="N1:N3"/>
    <mergeCell ref="O1:O3"/>
    <mergeCell ref="P1:P3"/>
    <mergeCell ref="Q1:Q3"/>
    <mergeCell ref="R1:R3"/>
    <mergeCell ref="S1:S3"/>
    <mergeCell ref="H1:H3"/>
    <mergeCell ref="I1:I3"/>
    <mergeCell ref="J1:J3"/>
    <mergeCell ref="K1:K3"/>
    <mergeCell ref="L1:L3"/>
    <mergeCell ref="M1:M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BL82"/>
  <sheetViews>
    <sheetView topLeftCell="A15" workbookViewId="0">
      <selection activeCell="E19" sqref="E19:E25"/>
    </sheetView>
  </sheetViews>
  <sheetFormatPr defaultColWidth="15.77734375" defaultRowHeight="14.4"/>
  <cols>
    <col min="2" max="3" width="15.77734375" style="31"/>
    <col min="4" max="4" width="15.77734375" style="40"/>
    <col min="5" max="7" width="15.77734375" style="31"/>
    <col min="8" max="8" width="15.77734375" style="40"/>
    <col min="9" max="9" width="15.77734375" style="31"/>
    <col min="10" max="10" width="15.77734375" style="40"/>
    <col min="11" max="17" width="15.77734375" style="31"/>
    <col min="18" max="18" width="15.77734375" style="40"/>
    <col min="19" max="19" width="15.77734375" style="31"/>
    <col min="20" max="20" width="15.77734375" style="40"/>
    <col min="21" max="26" width="15.77734375" style="31"/>
    <col min="27" max="27" width="15.77734375" style="40"/>
    <col min="28" max="60" width="15.77734375" style="31"/>
    <col min="61" max="62" width="15.77734375" style="40"/>
    <col min="63" max="63" width="15.77734375" style="31"/>
    <col min="64" max="64" width="15.77734375" style="40"/>
  </cols>
  <sheetData>
    <row r="2" spans="1:64">
      <c r="A2" s="2"/>
      <c r="B2" s="632" t="s">
        <v>6</v>
      </c>
      <c r="C2" s="632"/>
      <c r="D2" s="632"/>
      <c r="E2" s="632" t="s">
        <v>5</v>
      </c>
      <c r="F2" s="632"/>
      <c r="G2" s="632"/>
      <c r="H2" s="632"/>
      <c r="I2" s="632" t="s">
        <v>7</v>
      </c>
      <c r="J2" s="632"/>
      <c r="K2" s="632" t="s">
        <v>1</v>
      </c>
      <c r="L2" s="632"/>
      <c r="M2" s="632"/>
      <c r="N2" s="632"/>
      <c r="O2" s="632"/>
      <c r="P2" s="632"/>
      <c r="Q2" s="632"/>
      <c r="R2" s="632"/>
      <c r="S2" s="632" t="s">
        <v>3</v>
      </c>
      <c r="T2" s="632"/>
      <c r="U2" s="632" t="s">
        <v>2</v>
      </c>
      <c r="V2" s="632"/>
      <c r="W2" s="632"/>
      <c r="X2" s="632"/>
      <c r="Y2" s="632"/>
      <c r="Z2" s="632"/>
      <c r="AA2" s="632"/>
      <c r="AB2" s="632" t="s">
        <v>8</v>
      </c>
      <c r="AC2" s="632"/>
      <c r="AD2" s="632"/>
      <c r="AE2" s="632"/>
      <c r="AF2" s="632"/>
      <c r="AG2" s="632"/>
      <c r="AH2" s="632"/>
      <c r="AI2" s="632"/>
      <c r="AJ2" s="632"/>
      <c r="AK2" s="632"/>
      <c r="AL2" s="632"/>
      <c r="AM2" s="632"/>
      <c r="AN2" s="632"/>
      <c r="AO2" s="632"/>
      <c r="AP2" s="632"/>
      <c r="AQ2" s="632"/>
      <c r="AR2" s="632"/>
      <c r="AS2" s="632"/>
      <c r="AT2" s="632"/>
      <c r="AU2" s="632"/>
      <c r="AV2" s="632"/>
      <c r="AW2" s="632"/>
      <c r="AX2" s="632"/>
      <c r="AY2" s="632"/>
      <c r="AZ2" s="632"/>
      <c r="BA2" s="632"/>
      <c r="BB2" s="632"/>
      <c r="BC2" s="632"/>
      <c r="BD2" s="632"/>
      <c r="BE2" s="632"/>
      <c r="BF2" s="632"/>
      <c r="BG2" s="632"/>
      <c r="BH2" s="632"/>
      <c r="BI2" s="632"/>
      <c r="BJ2" s="633" t="s">
        <v>259</v>
      </c>
      <c r="BK2" s="632" t="s">
        <v>4</v>
      </c>
      <c r="BL2" s="632"/>
    </row>
    <row r="3" spans="1:64" ht="57.6">
      <c r="A3" s="16" t="s">
        <v>0</v>
      </c>
      <c r="B3" s="16" t="s">
        <v>179</v>
      </c>
      <c r="C3" s="16" t="s">
        <v>103</v>
      </c>
      <c r="D3" s="18" t="s">
        <v>257</v>
      </c>
      <c r="E3" s="16" t="s">
        <v>183</v>
      </c>
      <c r="F3" s="16" t="s">
        <v>128</v>
      </c>
      <c r="G3" s="16" t="s">
        <v>181</v>
      </c>
      <c r="H3" s="18" t="s">
        <v>257</v>
      </c>
      <c r="I3" s="16" t="s">
        <v>170</v>
      </c>
      <c r="J3" s="18" t="s">
        <v>257</v>
      </c>
      <c r="K3" s="16" t="s">
        <v>131</v>
      </c>
      <c r="L3" s="16" t="s">
        <v>174</v>
      </c>
      <c r="M3" s="16" t="s">
        <v>163</v>
      </c>
      <c r="N3" s="16" t="s">
        <v>130</v>
      </c>
      <c r="O3" s="16" t="s">
        <v>151</v>
      </c>
      <c r="P3" s="16" t="s">
        <v>102</v>
      </c>
      <c r="Q3" s="16" t="s">
        <v>104</v>
      </c>
      <c r="R3" s="18" t="s">
        <v>257</v>
      </c>
      <c r="S3" s="16" t="s">
        <v>152</v>
      </c>
      <c r="T3" s="18" t="s">
        <v>257</v>
      </c>
      <c r="U3" s="16" t="s">
        <v>132</v>
      </c>
      <c r="V3" s="16" t="s">
        <v>186</v>
      </c>
      <c r="W3" s="16" t="s">
        <v>127</v>
      </c>
      <c r="X3" s="16" t="s">
        <v>56</v>
      </c>
      <c r="Y3" s="16" t="s">
        <v>182</v>
      </c>
      <c r="Z3" s="16" t="s">
        <v>123</v>
      </c>
      <c r="AA3" s="18" t="s">
        <v>257</v>
      </c>
      <c r="AB3" s="16" t="s">
        <v>177</v>
      </c>
      <c r="AC3" s="16" t="s">
        <v>201</v>
      </c>
      <c r="AD3" s="16" t="s">
        <v>129</v>
      </c>
      <c r="AE3" s="16" t="s">
        <v>153</v>
      </c>
      <c r="AF3" s="16" t="s">
        <v>180</v>
      </c>
      <c r="AG3" s="16" t="s">
        <v>148</v>
      </c>
      <c r="AH3" s="16" t="s">
        <v>65</v>
      </c>
      <c r="AI3" s="16" t="s">
        <v>134</v>
      </c>
      <c r="AJ3" s="16" t="s">
        <v>121</v>
      </c>
      <c r="AK3" s="16" t="s">
        <v>135</v>
      </c>
      <c r="AL3" s="16" t="s">
        <v>122</v>
      </c>
      <c r="AM3" s="16" t="s">
        <v>63</v>
      </c>
      <c r="AN3" s="16" t="s">
        <v>171</v>
      </c>
      <c r="AO3" s="16" t="s">
        <v>126</v>
      </c>
      <c r="AP3" s="16" t="s">
        <v>124</v>
      </c>
      <c r="AQ3" s="16" t="s">
        <v>125</v>
      </c>
      <c r="AR3" s="16" t="s">
        <v>172</v>
      </c>
      <c r="AS3" s="16" t="s">
        <v>70</v>
      </c>
      <c r="AT3" s="16" t="s">
        <v>150</v>
      </c>
      <c r="AU3" s="16" t="s">
        <v>199</v>
      </c>
      <c r="AV3" s="16" t="s">
        <v>66</v>
      </c>
      <c r="AW3" s="16" t="s">
        <v>67</v>
      </c>
      <c r="AX3" s="16" t="s">
        <v>155</v>
      </c>
      <c r="AY3" s="16" t="s">
        <v>158</v>
      </c>
      <c r="AZ3" s="16" t="s">
        <v>111</v>
      </c>
      <c r="BA3" s="16" t="s">
        <v>192</v>
      </c>
      <c r="BB3" s="16" t="s">
        <v>191</v>
      </c>
      <c r="BC3" s="16" t="s">
        <v>110</v>
      </c>
      <c r="BD3" s="16" t="s">
        <v>95</v>
      </c>
      <c r="BE3" s="16" t="s">
        <v>195</v>
      </c>
      <c r="BF3" s="16" t="s">
        <v>190</v>
      </c>
      <c r="BG3" s="16" t="s">
        <v>173</v>
      </c>
      <c r="BH3" s="16" t="s">
        <v>154</v>
      </c>
      <c r="BI3" s="18" t="s">
        <v>257</v>
      </c>
      <c r="BJ3" s="634"/>
      <c r="BK3" s="16" t="s">
        <v>169</v>
      </c>
      <c r="BL3" s="18" t="s">
        <v>257</v>
      </c>
    </row>
    <row r="4" spans="1:64">
      <c r="A4" s="5" t="s">
        <v>88</v>
      </c>
      <c r="B4" s="38">
        <v>4</v>
      </c>
      <c r="C4" s="38">
        <v>24</v>
      </c>
      <c r="D4" s="41">
        <f t="shared" ref="D4:D57" si="0">SUM(B4:C4)</f>
        <v>28</v>
      </c>
      <c r="E4" s="38"/>
      <c r="F4" s="38"/>
      <c r="G4" s="38"/>
      <c r="H4" s="41">
        <f t="shared" ref="H4:H57" si="1">SUM(E4:G4)</f>
        <v>0</v>
      </c>
      <c r="I4" s="38"/>
      <c r="J4" s="41">
        <f t="shared" ref="J4:J57" si="2">SUM(I4)</f>
        <v>0</v>
      </c>
      <c r="K4" s="38"/>
      <c r="L4" s="38"/>
      <c r="M4" s="38">
        <v>3</v>
      </c>
      <c r="N4" s="38">
        <v>10</v>
      </c>
      <c r="O4" s="38"/>
      <c r="P4" s="38">
        <v>65</v>
      </c>
      <c r="Q4" s="38"/>
      <c r="R4" s="41">
        <f t="shared" ref="R4:R57" si="3">SUM(K4:Q4)</f>
        <v>78</v>
      </c>
      <c r="S4" s="38"/>
      <c r="T4" s="41">
        <f t="shared" ref="T4:T35" si="4">SUM(S4)</f>
        <v>0</v>
      </c>
      <c r="U4" s="38"/>
      <c r="V4" s="38"/>
      <c r="W4" s="38"/>
      <c r="X4" s="38"/>
      <c r="Y4" s="38"/>
      <c r="Z4" s="38"/>
      <c r="AA4" s="41">
        <f t="shared" ref="AA4:AA57" si="5">SUM(U4:Z4)</f>
        <v>0</v>
      </c>
      <c r="AB4" s="38"/>
      <c r="AC4" s="38"/>
      <c r="AD4" s="38"/>
      <c r="AE4" s="38"/>
      <c r="AF4" s="38"/>
      <c r="AG4" s="38">
        <v>4</v>
      </c>
      <c r="AH4" s="38">
        <v>9</v>
      </c>
      <c r="AI4" s="38"/>
      <c r="AJ4" s="38">
        <v>2</v>
      </c>
      <c r="AK4" s="38"/>
      <c r="AL4" s="38"/>
      <c r="AM4" s="38">
        <v>4</v>
      </c>
      <c r="AN4" s="38"/>
      <c r="AO4" s="38"/>
      <c r="AP4" s="38">
        <v>1</v>
      </c>
      <c r="AQ4" s="38">
        <v>6</v>
      </c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41">
        <f t="shared" ref="BI4:BI57" si="6">SUM(AB4:BH4)</f>
        <v>26</v>
      </c>
      <c r="BJ4" s="41">
        <f t="shared" ref="BJ4:BJ35" si="7">SUM(K4:BH4)</f>
        <v>182</v>
      </c>
      <c r="BK4" s="38">
        <v>3</v>
      </c>
      <c r="BL4" s="41">
        <f t="shared" ref="BL4:BL57" si="8">SUM(BK4)</f>
        <v>3</v>
      </c>
    </row>
    <row r="5" spans="1:64">
      <c r="A5" s="5" t="s">
        <v>85</v>
      </c>
      <c r="B5" s="38">
        <v>61</v>
      </c>
      <c r="C5" s="38">
        <v>42</v>
      </c>
      <c r="D5" s="41">
        <f t="shared" si="0"/>
        <v>103</v>
      </c>
      <c r="E5" s="38"/>
      <c r="F5" s="38"/>
      <c r="G5" s="38"/>
      <c r="H5" s="41">
        <f t="shared" si="1"/>
        <v>0</v>
      </c>
      <c r="I5" s="38"/>
      <c r="J5" s="41">
        <f t="shared" si="2"/>
        <v>0</v>
      </c>
      <c r="K5" s="38"/>
      <c r="L5" s="38">
        <v>20</v>
      </c>
      <c r="M5" s="38">
        <v>11</v>
      </c>
      <c r="N5" s="38">
        <v>10</v>
      </c>
      <c r="O5" s="38"/>
      <c r="P5" s="38">
        <v>25</v>
      </c>
      <c r="Q5" s="38"/>
      <c r="R5" s="41">
        <f t="shared" si="3"/>
        <v>66</v>
      </c>
      <c r="S5" s="38"/>
      <c r="T5" s="41">
        <f t="shared" si="4"/>
        <v>0</v>
      </c>
      <c r="U5" s="38"/>
      <c r="V5" s="38"/>
      <c r="W5" s="38"/>
      <c r="X5" s="38"/>
      <c r="Y5" s="38"/>
      <c r="Z5" s="38"/>
      <c r="AA5" s="41">
        <f t="shared" si="5"/>
        <v>0</v>
      </c>
      <c r="AB5" s="38"/>
      <c r="AC5" s="38"/>
      <c r="AD5" s="38"/>
      <c r="AE5" s="38"/>
      <c r="AF5" s="38"/>
      <c r="AG5" s="38">
        <v>1</v>
      </c>
      <c r="AH5" s="38">
        <v>6</v>
      </c>
      <c r="AI5" s="38"/>
      <c r="AJ5" s="38"/>
      <c r="AK5" s="38"/>
      <c r="AL5" s="38"/>
      <c r="AM5" s="38">
        <v>11</v>
      </c>
      <c r="AN5" s="38"/>
      <c r="AO5" s="38"/>
      <c r="AP5" s="38">
        <v>3</v>
      </c>
      <c r="AQ5" s="38">
        <v>5</v>
      </c>
      <c r="AR5" s="38"/>
      <c r="AS5" s="38"/>
      <c r="AT5" s="38"/>
      <c r="AU5" s="38"/>
      <c r="AV5" s="38"/>
      <c r="AW5" s="38">
        <v>1</v>
      </c>
      <c r="AX5" s="38"/>
      <c r="AY5" s="38"/>
      <c r="AZ5" s="38"/>
      <c r="BA5" s="38"/>
      <c r="BB5" s="38"/>
      <c r="BC5" s="38"/>
      <c r="BD5" s="38">
        <v>1</v>
      </c>
      <c r="BE5" s="38"/>
      <c r="BF5" s="38"/>
      <c r="BG5" s="38"/>
      <c r="BH5" s="38"/>
      <c r="BI5" s="41">
        <f t="shared" si="6"/>
        <v>28</v>
      </c>
      <c r="BJ5" s="41">
        <f t="shared" si="7"/>
        <v>160</v>
      </c>
      <c r="BK5" s="38">
        <v>3</v>
      </c>
      <c r="BL5" s="41">
        <f t="shared" si="8"/>
        <v>3</v>
      </c>
    </row>
    <row r="6" spans="1:64">
      <c r="A6" s="5" t="s">
        <v>146</v>
      </c>
      <c r="B6" s="38">
        <v>27</v>
      </c>
      <c r="C6" s="38">
        <v>125</v>
      </c>
      <c r="D6" s="41">
        <f t="shared" si="0"/>
        <v>152</v>
      </c>
      <c r="E6" s="38"/>
      <c r="F6" s="38"/>
      <c r="G6" s="38"/>
      <c r="H6" s="41">
        <f t="shared" si="1"/>
        <v>0</v>
      </c>
      <c r="I6" s="38"/>
      <c r="J6" s="41">
        <f t="shared" si="2"/>
        <v>0</v>
      </c>
      <c r="K6" s="38"/>
      <c r="L6" s="38"/>
      <c r="M6" s="38">
        <v>13</v>
      </c>
      <c r="N6" s="38"/>
      <c r="O6" s="38"/>
      <c r="P6" s="38">
        <v>139</v>
      </c>
      <c r="Q6" s="38"/>
      <c r="R6" s="41">
        <f t="shared" si="3"/>
        <v>152</v>
      </c>
      <c r="S6" s="38"/>
      <c r="T6" s="41">
        <f t="shared" si="4"/>
        <v>0</v>
      </c>
      <c r="U6" s="38"/>
      <c r="V6" s="38"/>
      <c r="W6" s="38"/>
      <c r="X6" s="38"/>
      <c r="Y6" s="38"/>
      <c r="Z6" s="38"/>
      <c r="AA6" s="41">
        <f t="shared" si="5"/>
        <v>0</v>
      </c>
      <c r="AB6" s="38"/>
      <c r="AC6" s="38"/>
      <c r="AD6" s="38"/>
      <c r="AE6" s="38"/>
      <c r="AF6" s="38"/>
      <c r="AG6" s="38"/>
      <c r="AH6" s="38">
        <v>4</v>
      </c>
      <c r="AI6" s="38"/>
      <c r="AJ6" s="38"/>
      <c r="AK6" s="38"/>
      <c r="AL6" s="38"/>
      <c r="AM6" s="38">
        <v>7</v>
      </c>
      <c r="AN6" s="38"/>
      <c r="AO6" s="38"/>
      <c r="AP6" s="38">
        <v>3</v>
      </c>
      <c r="AQ6" s="38">
        <v>11</v>
      </c>
      <c r="AR6" s="38"/>
      <c r="AS6" s="38">
        <v>1</v>
      </c>
      <c r="AT6" s="38"/>
      <c r="AU6" s="38"/>
      <c r="AV6" s="38">
        <v>1</v>
      </c>
      <c r="AW6" s="38">
        <v>3</v>
      </c>
      <c r="AX6" s="38"/>
      <c r="AY6" s="38"/>
      <c r="AZ6" s="38"/>
      <c r="BA6" s="38"/>
      <c r="BB6" s="38"/>
      <c r="BC6" s="38"/>
      <c r="BD6" s="38">
        <v>8</v>
      </c>
      <c r="BE6" s="38"/>
      <c r="BF6" s="38"/>
      <c r="BG6" s="38"/>
      <c r="BH6" s="38"/>
      <c r="BI6" s="41">
        <f t="shared" si="6"/>
        <v>38</v>
      </c>
      <c r="BJ6" s="41">
        <f t="shared" si="7"/>
        <v>342</v>
      </c>
      <c r="BK6" s="38">
        <v>1</v>
      </c>
      <c r="BL6" s="41">
        <f t="shared" si="8"/>
        <v>1</v>
      </c>
    </row>
    <row r="7" spans="1:64">
      <c r="A7" s="5" t="s">
        <v>84</v>
      </c>
      <c r="B7" s="38">
        <v>7</v>
      </c>
      <c r="C7" s="38">
        <v>21</v>
      </c>
      <c r="D7" s="41">
        <f t="shared" si="0"/>
        <v>28</v>
      </c>
      <c r="E7" s="38"/>
      <c r="F7" s="38"/>
      <c r="G7" s="38">
        <v>1</v>
      </c>
      <c r="H7" s="41">
        <f t="shared" si="1"/>
        <v>1</v>
      </c>
      <c r="I7" s="38"/>
      <c r="J7" s="41">
        <f t="shared" si="2"/>
        <v>0</v>
      </c>
      <c r="K7" s="38"/>
      <c r="L7" s="38"/>
      <c r="M7" s="38">
        <v>75</v>
      </c>
      <c r="N7" s="38">
        <v>10</v>
      </c>
      <c r="O7" s="38"/>
      <c r="P7" s="38">
        <v>114</v>
      </c>
      <c r="Q7" s="38"/>
      <c r="R7" s="41">
        <f t="shared" si="3"/>
        <v>199</v>
      </c>
      <c r="S7" s="38"/>
      <c r="T7" s="41">
        <f t="shared" si="4"/>
        <v>0</v>
      </c>
      <c r="U7" s="38"/>
      <c r="V7" s="38"/>
      <c r="W7" s="38"/>
      <c r="X7" s="38"/>
      <c r="Y7" s="38"/>
      <c r="Z7" s="38"/>
      <c r="AA7" s="41">
        <f t="shared" si="5"/>
        <v>0</v>
      </c>
      <c r="AB7" s="38"/>
      <c r="AC7" s="38"/>
      <c r="AD7" s="38"/>
      <c r="AE7" s="38"/>
      <c r="AF7" s="38"/>
      <c r="AG7" s="38">
        <v>4</v>
      </c>
      <c r="AH7" s="38">
        <v>13</v>
      </c>
      <c r="AI7" s="38"/>
      <c r="AJ7" s="38"/>
      <c r="AK7" s="38"/>
      <c r="AL7" s="38">
        <v>2</v>
      </c>
      <c r="AM7" s="38">
        <v>13</v>
      </c>
      <c r="AN7" s="38"/>
      <c r="AO7" s="38"/>
      <c r="AP7" s="38"/>
      <c r="AQ7" s="38">
        <v>3</v>
      </c>
      <c r="AR7" s="38"/>
      <c r="AS7" s="38"/>
      <c r="AT7" s="38"/>
      <c r="AU7" s="38"/>
      <c r="AV7" s="38"/>
      <c r="AW7" s="38">
        <v>1</v>
      </c>
      <c r="AX7" s="38"/>
      <c r="AY7" s="38"/>
      <c r="AZ7" s="38"/>
      <c r="BA7" s="38"/>
      <c r="BB7" s="38"/>
      <c r="BC7" s="38"/>
      <c r="BD7" s="38">
        <v>3</v>
      </c>
      <c r="BE7" s="38"/>
      <c r="BF7" s="38"/>
      <c r="BG7" s="38"/>
      <c r="BH7" s="38"/>
      <c r="BI7" s="41">
        <f t="shared" si="6"/>
        <v>39</v>
      </c>
      <c r="BJ7" s="41">
        <f t="shared" si="7"/>
        <v>437</v>
      </c>
      <c r="BK7" s="38"/>
      <c r="BL7" s="41">
        <f t="shared" si="8"/>
        <v>0</v>
      </c>
    </row>
    <row r="8" spans="1:64">
      <c r="A8" s="5" t="s">
        <v>86</v>
      </c>
      <c r="B8" s="38">
        <v>4</v>
      </c>
      <c r="C8" s="38">
        <v>15</v>
      </c>
      <c r="D8" s="41">
        <f t="shared" si="0"/>
        <v>19</v>
      </c>
      <c r="E8" s="38"/>
      <c r="F8" s="38"/>
      <c r="G8" s="38"/>
      <c r="H8" s="41">
        <f t="shared" si="1"/>
        <v>0</v>
      </c>
      <c r="I8" s="38"/>
      <c r="J8" s="41">
        <f t="shared" si="2"/>
        <v>0</v>
      </c>
      <c r="K8" s="38"/>
      <c r="L8" s="38"/>
      <c r="M8" s="38">
        <v>3</v>
      </c>
      <c r="N8" s="38">
        <v>10</v>
      </c>
      <c r="O8" s="38"/>
      <c r="P8" s="38">
        <v>25</v>
      </c>
      <c r="Q8" s="38"/>
      <c r="R8" s="41">
        <f t="shared" si="3"/>
        <v>38</v>
      </c>
      <c r="S8" s="38"/>
      <c r="T8" s="41">
        <f t="shared" si="4"/>
        <v>0</v>
      </c>
      <c r="U8" s="38"/>
      <c r="V8" s="38"/>
      <c r="W8" s="38"/>
      <c r="X8" s="38"/>
      <c r="Y8" s="38"/>
      <c r="Z8" s="38"/>
      <c r="AA8" s="41">
        <f t="shared" si="5"/>
        <v>0</v>
      </c>
      <c r="AB8" s="38"/>
      <c r="AC8" s="38"/>
      <c r="AD8" s="38"/>
      <c r="AE8" s="38"/>
      <c r="AF8" s="38"/>
      <c r="AG8" s="38"/>
      <c r="AH8" s="38">
        <v>4</v>
      </c>
      <c r="AI8" s="38"/>
      <c r="AJ8" s="38">
        <v>1</v>
      </c>
      <c r="AK8" s="38"/>
      <c r="AL8" s="38"/>
      <c r="AM8" s="38">
        <v>9</v>
      </c>
      <c r="AN8" s="38"/>
      <c r="AO8" s="38"/>
      <c r="AP8" s="38">
        <v>1</v>
      </c>
      <c r="AQ8" s="38">
        <v>2</v>
      </c>
      <c r="AR8" s="38"/>
      <c r="AS8" s="38"/>
      <c r="AT8" s="38"/>
      <c r="AU8" s="38"/>
      <c r="AV8" s="38"/>
      <c r="AW8" s="38">
        <v>2</v>
      </c>
      <c r="AX8" s="38"/>
      <c r="AY8" s="38"/>
      <c r="AZ8" s="38"/>
      <c r="BA8" s="38"/>
      <c r="BB8" s="38"/>
      <c r="BC8" s="38"/>
      <c r="BD8" s="38">
        <v>1</v>
      </c>
      <c r="BE8" s="38"/>
      <c r="BF8" s="38"/>
      <c r="BG8" s="38"/>
      <c r="BH8" s="38"/>
      <c r="BI8" s="41">
        <f t="shared" si="6"/>
        <v>20</v>
      </c>
      <c r="BJ8" s="41">
        <f t="shared" si="7"/>
        <v>96</v>
      </c>
      <c r="BK8" s="38"/>
      <c r="BL8" s="41">
        <f t="shared" si="8"/>
        <v>0</v>
      </c>
    </row>
    <row r="9" spans="1:64">
      <c r="A9" s="5" t="s">
        <v>87</v>
      </c>
      <c r="B9" s="38">
        <v>10</v>
      </c>
      <c r="C9" s="38">
        <v>45</v>
      </c>
      <c r="D9" s="41">
        <f t="shared" si="0"/>
        <v>55</v>
      </c>
      <c r="E9" s="38"/>
      <c r="F9" s="38"/>
      <c r="G9" s="38"/>
      <c r="H9" s="41">
        <f t="shared" si="1"/>
        <v>0</v>
      </c>
      <c r="I9" s="38"/>
      <c r="J9" s="41">
        <f t="shared" si="2"/>
        <v>0</v>
      </c>
      <c r="K9" s="38"/>
      <c r="L9" s="38"/>
      <c r="M9" s="38">
        <v>3</v>
      </c>
      <c r="N9" s="38">
        <v>10</v>
      </c>
      <c r="O9" s="38"/>
      <c r="P9" s="38">
        <v>23</v>
      </c>
      <c r="Q9" s="38"/>
      <c r="R9" s="41">
        <f t="shared" si="3"/>
        <v>36</v>
      </c>
      <c r="S9" s="38"/>
      <c r="T9" s="41">
        <f t="shared" si="4"/>
        <v>0</v>
      </c>
      <c r="U9" s="38"/>
      <c r="V9" s="38"/>
      <c r="W9" s="38"/>
      <c r="X9" s="38">
        <v>2</v>
      </c>
      <c r="Y9" s="38"/>
      <c r="Z9" s="38"/>
      <c r="AA9" s="41">
        <f t="shared" si="5"/>
        <v>2</v>
      </c>
      <c r="AB9" s="38"/>
      <c r="AC9" s="38"/>
      <c r="AD9" s="38"/>
      <c r="AE9" s="38"/>
      <c r="AF9" s="38"/>
      <c r="AG9" s="38"/>
      <c r="AH9" s="38">
        <v>7</v>
      </c>
      <c r="AI9" s="38"/>
      <c r="AJ9" s="38"/>
      <c r="AK9" s="38"/>
      <c r="AL9" s="38"/>
      <c r="AM9" s="38">
        <v>7</v>
      </c>
      <c r="AN9" s="38"/>
      <c r="AO9" s="38"/>
      <c r="AP9" s="38">
        <v>3</v>
      </c>
      <c r="AQ9" s="38">
        <v>18</v>
      </c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>
        <v>5</v>
      </c>
      <c r="BE9" s="38"/>
      <c r="BF9" s="38"/>
      <c r="BG9" s="38"/>
      <c r="BH9" s="38"/>
      <c r="BI9" s="41">
        <f t="shared" si="6"/>
        <v>40</v>
      </c>
      <c r="BJ9" s="41">
        <f t="shared" si="7"/>
        <v>116</v>
      </c>
      <c r="BK9" s="38">
        <v>1</v>
      </c>
      <c r="BL9" s="41">
        <f t="shared" si="8"/>
        <v>1</v>
      </c>
    </row>
    <row r="10" spans="1:64">
      <c r="A10" s="5" t="s">
        <v>11</v>
      </c>
      <c r="B10" s="38">
        <v>1</v>
      </c>
      <c r="C10" s="38">
        <v>64</v>
      </c>
      <c r="D10" s="41">
        <f t="shared" si="0"/>
        <v>65</v>
      </c>
      <c r="E10" s="38">
        <v>18</v>
      </c>
      <c r="F10" s="38"/>
      <c r="G10" s="38"/>
      <c r="H10" s="41">
        <f t="shared" si="1"/>
        <v>18</v>
      </c>
      <c r="I10" s="38"/>
      <c r="J10" s="41">
        <f t="shared" si="2"/>
        <v>0</v>
      </c>
      <c r="K10" s="38"/>
      <c r="L10" s="38">
        <v>2</v>
      </c>
      <c r="M10" s="38">
        <v>13</v>
      </c>
      <c r="N10" s="38">
        <v>227</v>
      </c>
      <c r="O10" s="38"/>
      <c r="P10" s="38">
        <v>61</v>
      </c>
      <c r="Q10" s="38"/>
      <c r="R10" s="41">
        <f t="shared" si="3"/>
        <v>303</v>
      </c>
      <c r="S10" s="38"/>
      <c r="T10" s="41">
        <f t="shared" si="4"/>
        <v>0</v>
      </c>
      <c r="U10" s="38"/>
      <c r="V10" s="38"/>
      <c r="W10" s="38"/>
      <c r="X10" s="38">
        <v>2</v>
      </c>
      <c r="Y10" s="38"/>
      <c r="Z10" s="38"/>
      <c r="AA10" s="41">
        <f t="shared" si="5"/>
        <v>2</v>
      </c>
      <c r="AB10" s="38"/>
      <c r="AC10" s="38"/>
      <c r="AD10" s="38"/>
      <c r="AE10" s="38"/>
      <c r="AF10" s="38"/>
      <c r="AG10" s="38"/>
      <c r="AH10" s="38">
        <v>1</v>
      </c>
      <c r="AI10" s="38"/>
      <c r="AJ10" s="38">
        <v>7</v>
      </c>
      <c r="AK10" s="38"/>
      <c r="AL10" s="38">
        <v>5</v>
      </c>
      <c r="AM10" s="38">
        <v>1</v>
      </c>
      <c r="AN10" s="38"/>
      <c r="AO10" s="38"/>
      <c r="AP10" s="38">
        <v>1</v>
      </c>
      <c r="AQ10" s="38">
        <v>1</v>
      </c>
      <c r="AR10" s="38"/>
      <c r="AS10" s="38">
        <v>2</v>
      </c>
      <c r="AT10" s="38"/>
      <c r="AU10" s="38"/>
      <c r="AV10" s="38">
        <v>2</v>
      </c>
      <c r="AW10" s="38">
        <v>2</v>
      </c>
      <c r="AX10" s="38">
        <v>2</v>
      </c>
      <c r="AY10" s="38"/>
      <c r="AZ10" s="38"/>
      <c r="BA10" s="38"/>
      <c r="BB10" s="38"/>
      <c r="BC10" s="38"/>
      <c r="BD10" s="38">
        <v>23</v>
      </c>
      <c r="BE10" s="38"/>
      <c r="BF10" s="38"/>
      <c r="BG10" s="38"/>
      <c r="BH10" s="38"/>
      <c r="BI10" s="41">
        <f t="shared" si="6"/>
        <v>47</v>
      </c>
      <c r="BJ10" s="41">
        <f t="shared" si="7"/>
        <v>657</v>
      </c>
      <c r="BK10" s="38">
        <v>5</v>
      </c>
      <c r="BL10" s="41">
        <f t="shared" si="8"/>
        <v>5</v>
      </c>
    </row>
    <row r="11" spans="1:64">
      <c r="A11" s="5" t="s">
        <v>12</v>
      </c>
      <c r="B11" s="38">
        <v>1</v>
      </c>
      <c r="C11" s="38">
        <v>47</v>
      </c>
      <c r="D11" s="41">
        <f t="shared" si="0"/>
        <v>48</v>
      </c>
      <c r="E11" s="38">
        <v>9</v>
      </c>
      <c r="F11" s="38"/>
      <c r="G11" s="38"/>
      <c r="H11" s="41">
        <f t="shared" si="1"/>
        <v>9</v>
      </c>
      <c r="I11" s="38"/>
      <c r="J11" s="41">
        <f t="shared" si="2"/>
        <v>0</v>
      </c>
      <c r="K11" s="38"/>
      <c r="L11" s="38">
        <v>3</v>
      </c>
      <c r="M11" s="38">
        <v>9</v>
      </c>
      <c r="N11" s="38">
        <v>97</v>
      </c>
      <c r="O11" s="38"/>
      <c r="P11" s="38">
        <v>37</v>
      </c>
      <c r="Q11" s="38"/>
      <c r="R11" s="41">
        <f t="shared" si="3"/>
        <v>146</v>
      </c>
      <c r="S11" s="38"/>
      <c r="T11" s="41">
        <f t="shared" si="4"/>
        <v>0</v>
      </c>
      <c r="U11" s="38"/>
      <c r="V11" s="38"/>
      <c r="W11" s="38"/>
      <c r="X11" s="38"/>
      <c r="Y11" s="38"/>
      <c r="Z11" s="38"/>
      <c r="AA11" s="41">
        <f t="shared" si="5"/>
        <v>0</v>
      </c>
      <c r="AB11" s="38"/>
      <c r="AC11" s="38"/>
      <c r="AD11" s="38"/>
      <c r="AE11" s="38"/>
      <c r="AF11" s="38"/>
      <c r="AG11" s="38"/>
      <c r="AH11" s="38"/>
      <c r="AI11" s="38"/>
      <c r="AJ11" s="38">
        <v>4</v>
      </c>
      <c r="AK11" s="38"/>
      <c r="AL11" s="38">
        <v>4</v>
      </c>
      <c r="AM11" s="38"/>
      <c r="AN11" s="38"/>
      <c r="AO11" s="38"/>
      <c r="AP11" s="38">
        <v>3</v>
      </c>
      <c r="AQ11" s="38">
        <v>3</v>
      </c>
      <c r="AR11" s="38"/>
      <c r="AS11" s="38">
        <v>9</v>
      </c>
      <c r="AT11" s="38"/>
      <c r="AU11" s="38"/>
      <c r="AV11" s="38">
        <v>4</v>
      </c>
      <c r="AW11" s="38">
        <v>4</v>
      </c>
      <c r="AX11" s="38"/>
      <c r="AY11" s="38"/>
      <c r="AZ11" s="38"/>
      <c r="BA11" s="38"/>
      <c r="BB11" s="38"/>
      <c r="BC11" s="38"/>
      <c r="BD11" s="38">
        <v>15</v>
      </c>
      <c r="BE11" s="38"/>
      <c r="BF11" s="38"/>
      <c r="BG11" s="38"/>
      <c r="BH11" s="38"/>
      <c r="BI11" s="41">
        <f t="shared" si="6"/>
        <v>46</v>
      </c>
      <c r="BJ11" s="41">
        <f t="shared" si="7"/>
        <v>338</v>
      </c>
      <c r="BK11" s="38">
        <v>1</v>
      </c>
      <c r="BL11" s="41">
        <f t="shared" si="8"/>
        <v>1</v>
      </c>
    </row>
    <row r="12" spans="1:64">
      <c r="A12" s="5" t="s">
        <v>13</v>
      </c>
      <c r="B12" s="38">
        <v>2</v>
      </c>
      <c r="C12" s="38">
        <v>31</v>
      </c>
      <c r="D12" s="41">
        <f t="shared" si="0"/>
        <v>33</v>
      </c>
      <c r="E12" s="38">
        <v>15</v>
      </c>
      <c r="F12" s="38"/>
      <c r="G12" s="38"/>
      <c r="H12" s="41">
        <f t="shared" si="1"/>
        <v>15</v>
      </c>
      <c r="I12" s="38"/>
      <c r="J12" s="41">
        <f t="shared" si="2"/>
        <v>0</v>
      </c>
      <c r="K12" s="38"/>
      <c r="L12" s="38">
        <v>2</v>
      </c>
      <c r="M12" s="38">
        <v>13</v>
      </c>
      <c r="N12" s="38">
        <v>190</v>
      </c>
      <c r="O12" s="38"/>
      <c r="P12" s="38">
        <v>60</v>
      </c>
      <c r="Q12" s="38"/>
      <c r="R12" s="41">
        <f t="shared" si="3"/>
        <v>265</v>
      </c>
      <c r="S12" s="38"/>
      <c r="T12" s="41">
        <f t="shared" si="4"/>
        <v>0</v>
      </c>
      <c r="U12" s="38"/>
      <c r="V12" s="38"/>
      <c r="W12" s="38"/>
      <c r="X12" s="38">
        <v>1</v>
      </c>
      <c r="Y12" s="38"/>
      <c r="Z12" s="38"/>
      <c r="AA12" s="41">
        <f t="shared" si="5"/>
        <v>1</v>
      </c>
      <c r="AB12" s="38">
        <v>1</v>
      </c>
      <c r="AC12" s="38"/>
      <c r="AD12" s="38"/>
      <c r="AE12" s="38"/>
      <c r="AF12" s="38"/>
      <c r="AG12" s="38"/>
      <c r="AH12" s="38"/>
      <c r="AI12" s="38"/>
      <c r="AJ12" s="38">
        <v>3</v>
      </c>
      <c r="AK12" s="38"/>
      <c r="AL12" s="38">
        <v>3</v>
      </c>
      <c r="AM12" s="38"/>
      <c r="AN12" s="38"/>
      <c r="AO12" s="38"/>
      <c r="AP12" s="38"/>
      <c r="AQ12" s="38"/>
      <c r="AR12" s="38"/>
      <c r="AS12" s="38">
        <v>11</v>
      </c>
      <c r="AT12" s="38"/>
      <c r="AU12" s="38"/>
      <c r="AV12" s="38">
        <v>4</v>
      </c>
      <c r="AW12" s="38">
        <v>3</v>
      </c>
      <c r="AX12" s="38"/>
      <c r="AY12" s="38"/>
      <c r="AZ12" s="38"/>
      <c r="BA12" s="38"/>
      <c r="BB12" s="38"/>
      <c r="BC12" s="38"/>
      <c r="BD12" s="38">
        <v>12</v>
      </c>
      <c r="BE12" s="38"/>
      <c r="BF12" s="38"/>
      <c r="BG12" s="38"/>
      <c r="BH12" s="38"/>
      <c r="BI12" s="41">
        <f t="shared" si="6"/>
        <v>37</v>
      </c>
      <c r="BJ12" s="41">
        <f t="shared" si="7"/>
        <v>569</v>
      </c>
      <c r="BK12" s="38">
        <v>1</v>
      </c>
      <c r="BL12" s="41">
        <f t="shared" si="8"/>
        <v>1</v>
      </c>
    </row>
    <row r="13" spans="1:64">
      <c r="A13" s="5" t="s">
        <v>14</v>
      </c>
      <c r="B13" s="38">
        <v>6</v>
      </c>
      <c r="C13" s="38">
        <v>170</v>
      </c>
      <c r="D13" s="41">
        <f t="shared" si="0"/>
        <v>176</v>
      </c>
      <c r="E13" s="38"/>
      <c r="F13" s="38"/>
      <c r="G13" s="38"/>
      <c r="H13" s="41">
        <f t="shared" si="1"/>
        <v>0</v>
      </c>
      <c r="I13" s="38"/>
      <c r="J13" s="41">
        <f t="shared" si="2"/>
        <v>0</v>
      </c>
      <c r="K13" s="38"/>
      <c r="L13" s="38">
        <v>3</v>
      </c>
      <c r="M13" s="38">
        <v>17</v>
      </c>
      <c r="N13" s="38">
        <v>373</v>
      </c>
      <c r="O13" s="38"/>
      <c r="P13" s="38">
        <v>89</v>
      </c>
      <c r="Q13" s="38"/>
      <c r="R13" s="41">
        <f t="shared" si="3"/>
        <v>482</v>
      </c>
      <c r="S13" s="38"/>
      <c r="T13" s="41">
        <f t="shared" si="4"/>
        <v>0</v>
      </c>
      <c r="U13" s="38"/>
      <c r="V13" s="38"/>
      <c r="W13" s="38"/>
      <c r="X13" s="38"/>
      <c r="Y13" s="38"/>
      <c r="Z13" s="38"/>
      <c r="AA13" s="41">
        <f t="shared" si="5"/>
        <v>0</v>
      </c>
      <c r="AB13" s="38"/>
      <c r="AC13" s="38"/>
      <c r="AD13" s="38"/>
      <c r="AE13" s="38"/>
      <c r="AF13" s="38"/>
      <c r="AG13" s="38"/>
      <c r="AH13" s="38">
        <v>3</v>
      </c>
      <c r="AI13" s="38"/>
      <c r="AJ13" s="38">
        <v>6</v>
      </c>
      <c r="AK13" s="38"/>
      <c r="AL13" s="38">
        <v>7</v>
      </c>
      <c r="AM13" s="38">
        <v>1</v>
      </c>
      <c r="AN13" s="38"/>
      <c r="AO13" s="38"/>
      <c r="AP13" s="38"/>
      <c r="AQ13" s="38"/>
      <c r="AR13" s="38"/>
      <c r="AS13" s="38">
        <v>8</v>
      </c>
      <c r="AT13" s="38"/>
      <c r="AU13" s="38"/>
      <c r="AV13" s="38">
        <v>3</v>
      </c>
      <c r="AW13" s="38">
        <v>4</v>
      </c>
      <c r="AX13" s="38"/>
      <c r="AY13" s="38"/>
      <c r="AZ13" s="38"/>
      <c r="BA13" s="38"/>
      <c r="BB13" s="38"/>
      <c r="BC13" s="38">
        <v>2</v>
      </c>
      <c r="BD13" s="38">
        <v>28</v>
      </c>
      <c r="BE13" s="38"/>
      <c r="BF13" s="38"/>
      <c r="BG13" s="38"/>
      <c r="BH13" s="38"/>
      <c r="BI13" s="41">
        <f t="shared" si="6"/>
        <v>62</v>
      </c>
      <c r="BJ13" s="41">
        <f t="shared" si="7"/>
        <v>1026</v>
      </c>
      <c r="BK13" s="38">
        <v>3</v>
      </c>
      <c r="BL13" s="41">
        <f t="shared" si="8"/>
        <v>3</v>
      </c>
    </row>
    <row r="14" spans="1:64">
      <c r="A14" s="5" t="s">
        <v>10</v>
      </c>
      <c r="B14" s="38">
        <v>3</v>
      </c>
      <c r="C14" s="38">
        <v>1</v>
      </c>
      <c r="D14" s="41">
        <f t="shared" si="0"/>
        <v>4</v>
      </c>
      <c r="E14" s="38"/>
      <c r="F14" s="38"/>
      <c r="G14" s="38">
        <v>1</v>
      </c>
      <c r="H14" s="41">
        <f t="shared" si="1"/>
        <v>1</v>
      </c>
      <c r="I14" s="38"/>
      <c r="J14" s="41">
        <f t="shared" si="2"/>
        <v>0</v>
      </c>
      <c r="K14" s="38"/>
      <c r="L14" s="38"/>
      <c r="M14" s="38"/>
      <c r="N14" s="38"/>
      <c r="O14" s="38"/>
      <c r="P14" s="38"/>
      <c r="Q14" s="38"/>
      <c r="R14" s="41">
        <f t="shared" si="3"/>
        <v>0</v>
      </c>
      <c r="S14" s="38"/>
      <c r="T14" s="41">
        <f t="shared" si="4"/>
        <v>0</v>
      </c>
      <c r="U14" s="38"/>
      <c r="V14" s="38"/>
      <c r="W14" s="38"/>
      <c r="X14" s="38"/>
      <c r="Y14" s="38"/>
      <c r="Z14" s="38"/>
      <c r="AA14" s="41">
        <f t="shared" si="5"/>
        <v>0</v>
      </c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>
        <v>1</v>
      </c>
      <c r="BE14" s="38"/>
      <c r="BF14" s="38"/>
      <c r="BG14" s="38"/>
      <c r="BH14" s="38"/>
      <c r="BI14" s="41">
        <f t="shared" si="6"/>
        <v>1</v>
      </c>
      <c r="BJ14" s="41">
        <f t="shared" si="7"/>
        <v>1</v>
      </c>
      <c r="BK14" s="38"/>
      <c r="BL14" s="41">
        <f t="shared" si="8"/>
        <v>0</v>
      </c>
    </row>
    <row r="15" spans="1:64">
      <c r="A15" s="5" t="s">
        <v>15</v>
      </c>
      <c r="B15" s="38">
        <v>5</v>
      </c>
      <c r="C15" s="38">
        <v>91</v>
      </c>
      <c r="D15" s="41">
        <f t="shared" si="0"/>
        <v>96</v>
      </c>
      <c r="E15" s="38"/>
      <c r="F15" s="38"/>
      <c r="G15" s="38"/>
      <c r="H15" s="41">
        <f t="shared" si="1"/>
        <v>0</v>
      </c>
      <c r="I15" s="38"/>
      <c r="J15" s="41">
        <f t="shared" si="2"/>
        <v>0</v>
      </c>
      <c r="K15" s="38"/>
      <c r="L15" s="38"/>
      <c r="M15" s="38">
        <v>4</v>
      </c>
      <c r="N15" s="38">
        <v>5</v>
      </c>
      <c r="O15" s="38"/>
      <c r="P15" s="38">
        <v>1</v>
      </c>
      <c r="Q15" s="38">
        <v>3</v>
      </c>
      <c r="R15" s="41">
        <f t="shared" si="3"/>
        <v>13</v>
      </c>
      <c r="S15" s="38"/>
      <c r="T15" s="41">
        <f t="shared" si="4"/>
        <v>0</v>
      </c>
      <c r="U15" s="38"/>
      <c r="V15" s="38"/>
      <c r="W15" s="38"/>
      <c r="X15" s="38">
        <v>126</v>
      </c>
      <c r="Y15" s="38"/>
      <c r="Z15" s="38"/>
      <c r="AA15" s="41">
        <f t="shared" si="5"/>
        <v>126</v>
      </c>
      <c r="AB15" s="38"/>
      <c r="AC15" s="38"/>
      <c r="AD15" s="38"/>
      <c r="AE15" s="38"/>
      <c r="AF15" s="38"/>
      <c r="AG15" s="38">
        <v>8</v>
      </c>
      <c r="AH15" s="38">
        <v>72</v>
      </c>
      <c r="AI15" s="38"/>
      <c r="AJ15" s="38">
        <v>7</v>
      </c>
      <c r="AK15" s="38"/>
      <c r="AL15" s="38"/>
      <c r="AM15" s="38">
        <v>25</v>
      </c>
      <c r="AN15" s="38"/>
      <c r="AO15" s="38"/>
      <c r="AP15" s="38"/>
      <c r="AQ15" s="38"/>
      <c r="AR15" s="38"/>
      <c r="AS15" s="38"/>
      <c r="AT15" s="38"/>
      <c r="AU15" s="38"/>
      <c r="AV15" s="38">
        <v>36</v>
      </c>
      <c r="AW15" s="38">
        <v>12</v>
      </c>
      <c r="AX15" s="38">
        <v>277</v>
      </c>
      <c r="AY15" s="38"/>
      <c r="AZ15" s="38"/>
      <c r="BA15" s="38"/>
      <c r="BB15" s="38"/>
      <c r="BC15" s="38"/>
      <c r="BD15" s="38">
        <v>1</v>
      </c>
      <c r="BE15" s="38"/>
      <c r="BF15" s="38"/>
      <c r="BG15" s="38"/>
      <c r="BH15" s="38"/>
      <c r="BI15" s="41">
        <f t="shared" si="6"/>
        <v>438</v>
      </c>
      <c r="BJ15" s="41">
        <f t="shared" si="7"/>
        <v>716</v>
      </c>
      <c r="BK15" s="38">
        <v>6</v>
      </c>
      <c r="BL15" s="41">
        <f t="shared" si="8"/>
        <v>6</v>
      </c>
    </row>
    <row r="16" spans="1:64">
      <c r="A16" s="5" t="s">
        <v>16</v>
      </c>
      <c r="B16" s="38">
        <v>17</v>
      </c>
      <c r="C16" s="38">
        <v>1744</v>
      </c>
      <c r="D16" s="41">
        <f t="shared" si="0"/>
        <v>1761</v>
      </c>
      <c r="E16" s="38"/>
      <c r="F16" s="38"/>
      <c r="G16" s="38"/>
      <c r="H16" s="41">
        <f t="shared" si="1"/>
        <v>0</v>
      </c>
      <c r="I16" s="38"/>
      <c r="J16" s="41">
        <f t="shared" si="2"/>
        <v>0</v>
      </c>
      <c r="K16" s="38"/>
      <c r="L16" s="38"/>
      <c r="M16" s="38"/>
      <c r="N16" s="38">
        <v>13</v>
      </c>
      <c r="O16" s="38"/>
      <c r="P16" s="38">
        <v>8</v>
      </c>
      <c r="Q16" s="38">
        <v>11</v>
      </c>
      <c r="R16" s="41">
        <f t="shared" si="3"/>
        <v>32</v>
      </c>
      <c r="S16" s="38">
        <v>1</v>
      </c>
      <c r="T16" s="41">
        <f t="shared" si="4"/>
        <v>1</v>
      </c>
      <c r="U16" s="38"/>
      <c r="V16" s="38"/>
      <c r="W16" s="38"/>
      <c r="X16" s="38">
        <v>72</v>
      </c>
      <c r="Y16" s="38"/>
      <c r="Z16" s="38"/>
      <c r="AA16" s="41">
        <f t="shared" si="5"/>
        <v>72</v>
      </c>
      <c r="AB16" s="38"/>
      <c r="AC16" s="38"/>
      <c r="AD16" s="38"/>
      <c r="AE16" s="38"/>
      <c r="AF16" s="38"/>
      <c r="AG16" s="38">
        <v>9</v>
      </c>
      <c r="AH16" s="38">
        <v>192</v>
      </c>
      <c r="AI16" s="38"/>
      <c r="AJ16" s="38">
        <v>11</v>
      </c>
      <c r="AK16" s="38"/>
      <c r="AL16" s="38"/>
      <c r="AM16" s="38">
        <v>85</v>
      </c>
      <c r="AN16" s="38"/>
      <c r="AO16" s="38"/>
      <c r="AP16" s="38"/>
      <c r="AQ16" s="38"/>
      <c r="AR16" s="38"/>
      <c r="AS16" s="38"/>
      <c r="AT16" s="38"/>
      <c r="AU16" s="38"/>
      <c r="AV16" s="38">
        <v>72</v>
      </c>
      <c r="AW16" s="38">
        <v>12</v>
      </c>
      <c r="AX16" s="38">
        <v>369</v>
      </c>
      <c r="AY16" s="38"/>
      <c r="AZ16" s="38"/>
      <c r="BA16" s="38"/>
      <c r="BB16" s="38"/>
      <c r="BC16" s="38"/>
      <c r="BD16" s="38">
        <v>1</v>
      </c>
      <c r="BE16" s="38"/>
      <c r="BF16" s="38"/>
      <c r="BG16" s="38"/>
      <c r="BH16" s="38"/>
      <c r="BI16" s="41">
        <f t="shared" si="6"/>
        <v>751</v>
      </c>
      <c r="BJ16" s="41">
        <f t="shared" si="7"/>
        <v>961</v>
      </c>
      <c r="BK16" s="38">
        <v>6</v>
      </c>
      <c r="BL16" s="41">
        <f t="shared" si="8"/>
        <v>6</v>
      </c>
    </row>
    <row r="17" spans="1:64">
      <c r="A17" s="5" t="s">
        <v>17</v>
      </c>
      <c r="B17" s="38"/>
      <c r="C17" s="38">
        <v>62</v>
      </c>
      <c r="D17" s="41">
        <f t="shared" si="0"/>
        <v>62</v>
      </c>
      <c r="E17" s="38"/>
      <c r="F17" s="38"/>
      <c r="G17" s="38"/>
      <c r="H17" s="41">
        <f t="shared" si="1"/>
        <v>0</v>
      </c>
      <c r="I17" s="38"/>
      <c r="J17" s="41">
        <f t="shared" si="2"/>
        <v>0</v>
      </c>
      <c r="K17" s="38"/>
      <c r="L17" s="38"/>
      <c r="M17" s="38"/>
      <c r="N17" s="38">
        <v>2</v>
      </c>
      <c r="O17" s="38"/>
      <c r="P17" s="38">
        <v>1</v>
      </c>
      <c r="Q17" s="38">
        <v>1</v>
      </c>
      <c r="R17" s="41">
        <f t="shared" si="3"/>
        <v>4</v>
      </c>
      <c r="S17" s="38"/>
      <c r="T17" s="41">
        <f t="shared" si="4"/>
        <v>0</v>
      </c>
      <c r="U17" s="38"/>
      <c r="V17" s="38"/>
      <c r="W17" s="38"/>
      <c r="X17" s="38">
        <v>18</v>
      </c>
      <c r="Y17" s="38"/>
      <c r="Z17" s="38"/>
      <c r="AA17" s="41">
        <f t="shared" si="5"/>
        <v>18</v>
      </c>
      <c r="AB17" s="38"/>
      <c r="AC17" s="38"/>
      <c r="AD17" s="38"/>
      <c r="AE17" s="38"/>
      <c r="AF17" s="38"/>
      <c r="AG17" s="38">
        <v>3</v>
      </c>
      <c r="AH17" s="38">
        <v>40</v>
      </c>
      <c r="AI17" s="38"/>
      <c r="AJ17" s="38">
        <v>2</v>
      </c>
      <c r="AK17" s="38"/>
      <c r="AL17" s="38"/>
      <c r="AM17" s="38">
        <v>6</v>
      </c>
      <c r="AN17" s="38"/>
      <c r="AO17" s="38"/>
      <c r="AP17" s="38"/>
      <c r="AQ17" s="38"/>
      <c r="AR17" s="38"/>
      <c r="AS17" s="38"/>
      <c r="AT17" s="38"/>
      <c r="AU17" s="38"/>
      <c r="AV17" s="38">
        <v>24</v>
      </c>
      <c r="AW17" s="38">
        <v>12</v>
      </c>
      <c r="AX17" s="38">
        <v>68</v>
      </c>
      <c r="AY17" s="38"/>
      <c r="AZ17" s="38"/>
      <c r="BA17" s="38"/>
      <c r="BB17" s="38"/>
      <c r="BC17" s="38"/>
      <c r="BD17" s="38">
        <v>1</v>
      </c>
      <c r="BE17" s="38"/>
      <c r="BF17" s="38"/>
      <c r="BG17" s="38"/>
      <c r="BH17" s="38"/>
      <c r="BI17" s="41">
        <f t="shared" si="6"/>
        <v>156</v>
      </c>
      <c r="BJ17" s="41">
        <f t="shared" si="7"/>
        <v>200</v>
      </c>
      <c r="BK17" s="38">
        <v>4</v>
      </c>
      <c r="BL17" s="41">
        <f t="shared" si="8"/>
        <v>4</v>
      </c>
    </row>
    <row r="18" spans="1:64">
      <c r="A18" s="5" t="s">
        <v>18</v>
      </c>
      <c r="B18" s="38">
        <v>1</v>
      </c>
      <c r="C18" s="38">
        <v>98</v>
      </c>
      <c r="D18" s="41">
        <f t="shared" si="0"/>
        <v>99</v>
      </c>
      <c r="E18" s="38"/>
      <c r="F18" s="38"/>
      <c r="G18" s="38"/>
      <c r="H18" s="41">
        <f t="shared" si="1"/>
        <v>0</v>
      </c>
      <c r="I18" s="38"/>
      <c r="J18" s="41">
        <f t="shared" si="2"/>
        <v>0</v>
      </c>
      <c r="K18" s="38"/>
      <c r="L18" s="38"/>
      <c r="M18" s="38"/>
      <c r="N18" s="38"/>
      <c r="O18" s="38"/>
      <c r="P18" s="38"/>
      <c r="Q18" s="38">
        <v>1</v>
      </c>
      <c r="R18" s="41">
        <f t="shared" si="3"/>
        <v>1</v>
      </c>
      <c r="S18" s="38"/>
      <c r="T18" s="41">
        <f t="shared" si="4"/>
        <v>0</v>
      </c>
      <c r="U18" s="38"/>
      <c r="V18" s="38"/>
      <c r="W18" s="38"/>
      <c r="X18" s="38">
        <v>24</v>
      </c>
      <c r="Y18" s="38"/>
      <c r="Z18" s="38"/>
      <c r="AA18" s="41">
        <f t="shared" si="5"/>
        <v>24</v>
      </c>
      <c r="AB18" s="38"/>
      <c r="AC18" s="38"/>
      <c r="AD18" s="38"/>
      <c r="AE18" s="38"/>
      <c r="AF18" s="38"/>
      <c r="AG18" s="38">
        <v>5</v>
      </c>
      <c r="AH18" s="38">
        <v>74</v>
      </c>
      <c r="AI18" s="38"/>
      <c r="AJ18" s="38">
        <v>8</v>
      </c>
      <c r="AK18" s="38"/>
      <c r="AL18" s="38"/>
      <c r="AM18" s="38">
        <v>25</v>
      </c>
      <c r="AN18" s="38"/>
      <c r="AO18" s="38"/>
      <c r="AP18" s="38"/>
      <c r="AQ18" s="38"/>
      <c r="AR18" s="38"/>
      <c r="AS18" s="38"/>
      <c r="AT18" s="38"/>
      <c r="AU18" s="38"/>
      <c r="AV18" s="38">
        <v>30</v>
      </c>
      <c r="AW18" s="38">
        <v>12</v>
      </c>
      <c r="AX18" s="38">
        <v>298</v>
      </c>
      <c r="AY18" s="38"/>
      <c r="AZ18" s="38"/>
      <c r="BA18" s="38"/>
      <c r="BB18" s="38"/>
      <c r="BC18" s="38"/>
      <c r="BD18" s="38">
        <v>1</v>
      </c>
      <c r="BE18" s="38"/>
      <c r="BF18" s="38"/>
      <c r="BG18" s="38"/>
      <c r="BH18" s="38"/>
      <c r="BI18" s="41">
        <f t="shared" si="6"/>
        <v>453</v>
      </c>
      <c r="BJ18" s="41">
        <f t="shared" si="7"/>
        <v>503</v>
      </c>
      <c r="BK18" s="38">
        <v>9</v>
      </c>
      <c r="BL18" s="41">
        <f t="shared" si="8"/>
        <v>9</v>
      </c>
    </row>
    <row r="19" spans="1:64">
      <c r="A19" s="5" t="s">
        <v>19</v>
      </c>
      <c r="B19" s="38">
        <v>6</v>
      </c>
      <c r="C19" s="38">
        <v>7</v>
      </c>
      <c r="D19" s="41">
        <f t="shared" si="0"/>
        <v>13</v>
      </c>
      <c r="E19" s="38"/>
      <c r="F19" s="38"/>
      <c r="G19" s="38"/>
      <c r="H19" s="41">
        <f t="shared" si="1"/>
        <v>0</v>
      </c>
      <c r="I19" s="38"/>
      <c r="J19" s="41">
        <f t="shared" si="2"/>
        <v>0</v>
      </c>
      <c r="K19" s="38"/>
      <c r="L19" s="38">
        <v>3</v>
      </c>
      <c r="M19" s="38">
        <v>3</v>
      </c>
      <c r="N19" s="38">
        <v>215</v>
      </c>
      <c r="O19" s="38"/>
      <c r="P19" s="38">
        <v>2</v>
      </c>
      <c r="Q19" s="38"/>
      <c r="R19" s="41">
        <f t="shared" si="3"/>
        <v>223</v>
      </c>
      <c r="S19" s="38"/>
      <c r="T19" s="41">
        <f t="shared" si="4"/>
        <v>0</v>
      </c>
      <c r="U19" s="38"/>
      <c r="V19" s="38"/>
      <c r="W19" s="38"/>
      <c r="X19" s="38"/>
      <c r="Y19" s="38"/>
      <c r="Z19" s="38"/>
      <c r="AA19" s="41">
        <f t="shared" si="5"/>
        <v>0</v>
      </c>
      <c r="AB19" s="38"/>
      <c r="AC19" s="38"/>
      <c r="AD19" s="38"/>
      <c r="AE19" s="38"/>
      <c r="AF19" s="38"/>
      <c r="AG19" s="38"/>
      <c r="AH19" s="38">
        <v>3</v>
      </c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41">
        <f t="shared" si="6"/>
        <v>3</v>
      </c>
      <c r="BJ19" s="41">
        <f t="shared" si="7"/>
        <v>449</v>
      </c>
      <c r="BK19" s="38"/>
      <c r="BL19" s="41">
        <f t="shared" si="8"/>
        <v>0</v>
      </c>
    </row>
    <row r="20" spans="1:64">
      <c r="A20" s="5" t="s">
        <v>20</v>
      </c>
      <c r="B20" s="38">
        <v>7</v>
      </c>
      <c r="C20" s="38">
        <v>10</v>
      </c>
      <c r="D20" s="41">
        <f t="shared" si="0"/>
        <v>17</v>
      </c>
      <c r="E20" s="38"/>
      <c r="F20" s="38"/>
      <c r="G20" s="38"/>
      <c r="H20" s="41">
        <f t="shared" si="1"/>
        <v>0</v>
      </c>
      <c r="I20" s="38"/>
      <c r="J20" s="41">
        <f t="shared" si="2"/>
        <v>0</v>
      </c>
      <c r="K20" s="38"/>
      <c r="L20" s="38">
        <v>2</v>
      </c>
      <c r="M20" s="38">
        <v>1</v>
      </c>
      <c r="N20" s="38">
        <v>192</v>
      </c>
      <c r="O20" s="38"/>
      <c r="P20" s="38">
        <v>23</v>
      </c>
      <c r="Q20" s="38"/>
      <c r="R20" s="41">
        <f t="shared" si="3"/>
        <v>218</v>
      </c>
      <c r="S20" s="38"/>
      <c r="T20" s="41">
        <f t="shared" si="4"/>
        <v>0</v>
      </c>
      <c r="U20" s="38"/>
      <c r="V20" s="38"/>
      <c r="W20" s="38"/>
      <c r="X20" s="38"/>
      <c r="Y20" s="38"/>
      <c r="Z20" s="38"/>
      <c r="AA20" s="41">
        <f t="shared" si="5"/>
        <v>0</v>
      </c>
      <c r="AB20" s="38"/>
      <c r="AC20" s="38"/>
      <c r="AD20" s="38"/>
      <c r="AE20" s="38"/>
      <c r="AF20" s="38">
        <v>1</v>
      </c>
      <c r="AG20" s="38"/>
      <c r="AH20" s="38">
        <v>5</v>
      </c>
      <c r="AI20" s="38"/>
      <c r="AJ20" s="38"/>
      <c r="AK20" s="38"/>
      <c r="AL20" s="38"/>
      <c r="AM20" s="38"/>
      <c r="AN20" s="38"/>
      <c r="AO20" s="38">
        <v>1</v>
      </c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41">
        <f t="shared" si="6"/>
        <v>7</v>
      </c>
      <c r="BJ20" s="41">
        <f t="shared" si="7"/>
        <v>443</v>
      </c>
      <c r="BK20" s="38"/>
      <c r="BL20" s="41">
        <f t="shared" si="8"/>
        <v>0</v>
      </c>
    </row>
    <row r="21" spans="1:64">
      <c r="A21" s="5" t="s">
        <v>21</v>
      </c>
      <c r="B21" s="38">
        <v>7</v>
      </c>
      <c r="C21" s="38">
        <v>10</v>
      </c>
      <c r="D21" s="41">
        <f t="shared" si="0"/>
        <v>17</v>
      </c>
      <c r="E21" s="38"/>
      <c r="F21" s="38"/>
      <c r="G21" s="38"/>
      <c r="H21" s="41">
        <f t="shared" si="1"/>
        <v>0</v>
      </c>
      <c r="I21" s="38"/>
      <c r="J21" s="41">
        <f t="shared" si="2"/>
        <v>0</v>
      </c>
      <c r="K21" s="38"/>
      <c r="L21" s="38"/>
      <c r="M21" s="38"/>
      <c r="N21" s="38">
        <v>220</v>
      </c>
      <c r="O21" s="38"/>
      <c r="P21" s="38">
        <v>34</v>
      </c>
      <c r="Q21" s="38"/>
      <c r="R21" s="41">
        <f t="shared" si="3"/>
        <v>254</v>
      </c>
      <c r="S21" s="38"/>
      <c r="T21" s="41">
        <f t="shared" si="4"/>
        <v>0</v>
      </c>
      <c r="U21" s="38"/>
      <c r="V21" s="38"/>
      <c r="W21" s="38"/>
      <c r="X21" s="38"/>
      <c r="Y21" s="38"/>
      <c r="Z21" s="38"/>
      <c r="AA21" s="41">
        <f t="shared" si="5"/>
        <v>0</v>
      </c>
      <c r="AB21" s="38"/>
      <c r="AC21" s="38"/>
      <c r="AD21" s="38"/>
      <c r="AE21" s="38"/>
      <c r="AF21" s="38"/>
      <c r="AG21" s="38"/>
      <c r="AH21" s="38">
        <v>5</v>
      </c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>
        <v>2</v>
      </c>
      <c r="BE21" s="38"/>
      <c r="BF21" s="38"/>
      <c r="BG21" s="38"/>
      <c r="BH21" s="38"/>
      <c r="BI21" s="41">
        <f t="shared" si="6"/>
        <v>7</v>
      </c>
      <c r="BJ21" s="41">
        <f t="shared" si="7"/>
        <v>515</v>
      </c>
      <c r="BK21" s="38"/>
      <c r="BL21" s="41">
        <f t="shared" si="8"/>
        <v>0</v>
      </c>
    </row>
    <row r="22" spans="1:64">
      <c r="A22" s="5" t="s">
        <v>22</v>
      </c>
      <c r="B22" s="38">
        <v>6</v>
      </c>
      <c r="C22" s="38">
        <v>12</v>
      </c>
      <c r="D22" s="41">
        <f t="shared" si="0"/>
        <v>18</v>
      </c>
      <c r="E22" s="38"/>
      <c r="F22" s="38"/>
      <c r="G22" s="38"/>
      <c r="H22" s="41">
        <f t="shared" si="1"/>
        <v>0</v>
      </c>
      <c r="I22" s="38"/>
      <c r="J22" s="41">
        <f t="shared" si="2"/>
        <v>0</v>
      </c>
      <c r="K22" s="38"/>
      <c r="L22" s="38">
        <v>2</v>
      </c>
      <c r="M22" s="38">
        <v>2</v>
      </c>
      <c r="N22" s="38">
        <v>265</v>
      </c>
      <c r="O22" s="38"/>
      <c r="P22" s="38">
        <v>40</v>
      </c>
      <c r="Q22" s="38"/>
      <c r="R22" s="41">
        <f t="shared" si="3"/>
        <v>309</v>
      </c>
      <c r="S22" s="38"/>
      <c r="T22" s="41">
        <f t="shared" si="4"/>
        <v>0</v>
      </c>
      <c r="U22" s="38"/>
      <c r="V22" s="38"/>
      <c r="W22" s="38"/>
      <c r="X22" s="38">
        <v>1</v>
      </c>
      <c r="Y22" s="38"/>
      <c r="Z22" s="38"/>
      <c r="AA22" s="41">
        <f t="shared" si="5"/>
        <v>1</v>
      </c>
      <c r="AB22" s="38"/>
      <c r="AC22" s="38"/>
      <c r="AD22" s="38"/>
      <c r="AE22" s="38"/>
      <c r="AF22" s="38"/>
      <c r="AG22" s="38"/>
      <c r="AH22" s="38">
        <v>10</v>
      </c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>
        <v>1</v>
      </c>
      <c r="AV22" s="38"/>
      <c r="AW22" s="38"/>
      <c r="AX22" s="38"/>
      <c r="AY22" s="38"/>
      <c r="AZ22" s="38"/>
      <c r="BA22" s="38"/>
      <c r="BB22" s="38"/>
      <c r="BC22" s="38"/>
      <c r="BD22" s="38">
        <v>1</v>
      </c>
      <c r="BE22" s="38"/>
      <c r="BF22" s="38"/>
      <c r="BG22" s="38"/>
      <c r="BH22" s="38"/>
      <c r="BI22" s="41">
        <f t="shared" si="6"/>
        <v>12</v>
      </c>
      <c r="BJ22" s="41">
        <f t="shared" si="7"/>
        <v>632</v>
      </c>
      <c r="BK22" s="38"/>
      <c r="BL22" s="41">
        <f t="shared" si="8"/>
        <v>0</v>
      </c>
    </row>
    <row r="23" spans="1:64">
      <c r="A23" s="5" t="s">
        <v>23</v>
      </c>
      <c r="B23" s="38">
        <v>5</v>
      </c>
      <c r="C23" s="38">
        <v>14</v>
      </c>
      <c r="D23" s="41">
        <f t="shared" si="0"/>
        <v>19</v>
      </c>
      <c r="E23" s="38"/>
      <c r="F23" s="38"/>
      <c r="G23" s="38"/>
      <c r="H23" s="41">
        <f t="shared" si="1"/>
        <v>0</v>
      </c>
      <c r="I23" s="38"/>
      <c r="J23" s="41">
        <f t="shared" si="2"/>
        <v>0</v>
      </c>
      <c r="K23" s="38"/>
      <c r="L23" s="38">
        <v>12</v>
      </c>
      <c r="M23" s="38">
        <v>7</v>
      </c>
      <c r="N23" s="38">
        <v>228</v>
      </c>
      <c r="O23" s="38"/>
      <c r="P23" s="38">
        <v>49</v>
      </c>
      <c r="Q23" s="38"/>
      <c r="R23" s="41">
        <f t="shared" si="3"/>
        <v>296</v>
      </c>
      <c r="S23" s="38"/>
      <c r="T23" s="41">
        <f t="shared" si="4"/>
        <v>0</v>
      </c>
      <c r="U23" s="38"/>
      <c r="V23" s="38"/>
      <c r="W23" s="38"/>
      <c r="X23" s="38"/>
      <c r="Y23" s="38"/>
      <c r="Z23" s="38"/>
      <c r="AA23" s="41">
        <f t="shared" si="5"/>
        <v>0</v>
      </c>
      <c r="AB23" s="38"/>
      <c r="AC23" s="38"/>
      <c r="AD23" s="38"/>
      <c r="AE23" s="38"/>
      <c r="AF23" s="38"/>
      <c r="AG23" s="38"/>
      <c r="AH23" s="38">
        <v>23</v>
      </c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>
        <v>4</v>
      </c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41">
        <f t="shared" si="6"/>
        <v>27</v>
      </c>
      <c r="BJ23" s="41">
        <f t="shared" si="7"/>
        <v>619</v>
      </c>
      <c r="BK23" s="38"/>
      <c r="BL23" s="41">
        <f t="shared" si="8"/>
        <v>0</v>
      </c>
    </row>
    <row r="24" spans="1:64">
      <c r="A24" s="5" t="s">
        <v>24</v>
      </c>
      <c r="B24" s="38">
        <v>6</v>
      </c>
      <c r="C24" s="38">
        <v>13</v>
      </c>
      <c r="D24" s="41">
        <f t="shared" si="0"/>
        <v>19</v>
      </c>
      <c r="E24" s="38"/>
      <c r="F24" s="38"/>
      <c r="G24" s="38"/>
      <c r="H24" s="41">
        <f t="shared" si="1"/>
        <v>0</v>
      </c>
      <c r="I24" s="38"/>
      <c r="J24" s="41">
        <f t="shared" si="2"/>
        <v>0</v>
      </c>
      <c r="K24" s="38"/>
      <c r="L24" s="38">
        <v>2</v>
      </c>
      <c r="M24" s="38">
        <v>4</v>
      </c>
      <c r="N24" s="38">
        <v>166</v>
      </c>
      <c r="O24" s="38"/>
      <c r="P24" s="38">
        <v>31</v>
      </c>
      <c r="Q24" s="38"/>
      <c r="R24" s="41">
        <f t="shared" si="3"/>
        <v>203</v>
      </c>
      <c r="S24" s="38">
        <v>1</v>
      </c>
      <c r="T24" s="41">
        <f t="shared" si="4"/>
        <v>1</v>
      </c>
      <c r="U24" s="38"/>
      <c r="V24" s="38"/>
      <c r="W24" s="38"/>
      <c r="X24" s="38"/>
      <c r="Y24" s="38"/>
      <c r="Z24" s="38"/>
      <c r="AA24" s="41">
        <f t="shared" si="5"/>
        <v>0</v>
      </c>
      <c r="AB24" s="38"/>
      <c r="AC24" s="38"/>
      <c r="AD24" s="38"/>
      <c r="AE24" s="38"/>
      <c r="AF24" s="38"/>
      <c r="AG24" s="38"/>
      <c r="AH24" s="38">
        <v>20</v>
      </c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>
        <v>3</v>
      </c>
      <c r="AT24" s="38"/>
      <c r="AU24" s="38"/>
      <c r="AV24" s="38"/>
      <c r="AW24" s="38"/>
      <c r="AX24" s="38"/>
      <c r="AY24" s="38">
        <v>4</v>
      </c>
      <c r="AZ24" s="38"/>
      <c r="BA24" s="38"/>
      <c r="BB24" s="38"/>
      <c r="BC24" s="38"/>
      <c r="BD24" s="38">
        <v>1</v>
      </c>
      <c r="BE24" s="38"/>
      <c r="BF24" s="38"/>
      <c r="BG24" s="38"/>
      <c r="BH24" s="38"/>
      <c r="BI24" s="41">
        <f t="shared" si="6"/>
        <v>28</v>
      </c>
      <c r="BJ24" s="41">
        <f t="shared" si="7"/>
        <v>436</v>
      </c>
      <c r="BK24" s="38"/>
      <c r="BL24" s="41">
        <f t="shared" si="8"/>
        <v>0</v>
      </c>
    </row>
    <row r="25" spans="1:64">
      <c r="A25" s="5" t="s">
        <v>25</v>
      </c>
      <c r="B25" s="38">
        <v>7</v>
      </c>
      <c r="C25" s="38">
        <v>12</v>
      </c>
      <c r="D25" s="41">
        <f t="shared" si="0"/>
        <v>19</v>
      </c>
      <c r="E25" s="38"/>
      <c r="F25" s="38"/>
      <c r="G25" s="38"/>
      <c r="H25" s="41">
        <f t="shared" si="1"/>
        <v>0</v>
      </c>
      <c r="I25" s="38"/>
      <c r="J25" s="41">
        <f t="shared" si="2"/>
        <v>0</v>
      </c>
      <c r="K25" s="38"/>
      <c r="L25" s="38">
        <v>47</v>
      </c>
      <c r="M25" s="38">
        <v>5</v>
      </c>
      <c r="N25" s="38">
        <v>141</v>
      </c>
      <c r="O25" s="38">
        <v>1</v>
      </c>
      <c r="P25" s="38">
        <v>81</v>
      </c>
      <c r="Q25" s="38"/>
      <c r="R25" s="41">
        <f t="shared" si="3"/>
        <v>275</v>
      </c>
      <c r="S25" s="38"/>
      <c r="T25" s="41">
        <f t="shared" si="4"/>
        <v>0</v>
      </c>
      <c r="U25" s="38"/>
      <c r="V25" s="38"/>
      <c r="W25" s="38"/>
      <c r="X25" s="38">
        <v>1</v>
      </c>
      <c r="Y25" s="38"/>
      <c r="Z25" s="38"/>
      <c r="AA25" s="41">
        <f t="shared" si="5"/>
        <v>1</v>
      </c>
      <c r="AB25" s="38"/>
      <c r="AC25" s="38"/>
      <c r="AD25" s="38"/>
      <c r="AE25" s="38"/>
      <c r="AF25" s="38">
        <v>1</v>
      </c>
      <c r="AG25" s="38"/>
      <c r="AH25" s="38">
        <v>6</v>
      </c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>
        <v>1</v>
      </c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>
        <v>1</v>
      </c>
      <c r="BE25" s="38"/>
      <c r="BF25" s="38"/>
      <c r="BG25" s="38"/>
      <c r="BH25" s="38"/>
      <c r="BI25" s="41">
        <f t="shared" si="6"/>
        <v>9</v>
      </c>
      <c r="BJ25" s="41">
        <f t="shared" si="7"/>
        <v>561</v>
      </c>
      <c r="BK25" s="38"/>
      <c r="BL25" s="41">
        <f t="shared" si="8"/>
        <v>0</v>
      </c>
    </row>
    <row r="26" spans="1:64">
      <c r="A26" s="5" t="s">
        <v>64</v>
      </c>
      <c r="B26" s="38">
        <v>4</v>
      </c>
      <c r="C26" s="38">
        <v>87</v>
      </c>
      <c r="D26" s="41">
        <f t="shared" si="0"/>
        <v>91</v>
      </c>
      <c r="E26" s="38"/>
      <c r="F26" s="38"/>
      <c r="G26" s="38"/>
      <c r="H26" s="41">
        <f t="shared" si="1"/>
        <v>0</v>
      </c>
      <c r="I26" s="38"/>
      <c r="J26" s="41">
        <f t="shared" si="2"/>
        <v>0</v>
      </c>
      <c r="K26" s="38"/>
      <c r="L26" s="38"/>
      <c r="M26" s="38">
        <v>72</v>
      </c>
      <c r="N26" s="38">
        <v>447</v>
      </c>
      <c r="O26" s="38"/>
      <c r="P26" s="38">
        <v>8</v>
      </c>
      <c r="Q26" s="38"/>
      <c r="R26" s="41">
        <f t="shared" si="3"/>
        <v>527</v>
      </c>
      <c r="S26" s="38"/>
      <c r="T26" s="41">
        <f t="shared" si="4"/>
        <v>0</v>
      </c>
      <c r="U26" s="38"/>
      <c r="V26" s="38"/>
      <c r="W26" s="38"/>
      <c r="X26" s="38"/>
      <c r="Y26" s="38"/>
      <c r="Z26" s="38"/>
      <c r="AA26" s="41">
        <f t="shared" si="5"/>
        <v>0</v>
      </c>
      <c r="AB26" s="38"/>
      <c r="AC26" s="38"/>
      <c r="AD26" s="38">
        <v>1</v>
      </c>
      <c r="AE26" s="38"/>
      <c r="AF26" s="38"/>
      <c r="AG26" s="38">
        <v>1</v>
      </c>
      <c r="AH26" s="38">
        <v>18</v>
      </c>
      <c r="AI26" s="38"/>
      <c r="AJ26" s="38">
        <v>2</v>
      </c>
      <c r="AK26" s="38"/>
      <c r="AL26" s="38"/>
      <c r="AM26" s="38">
        <v>8</v>
      </c>
      <c r="AN26" s="38"/>
      <c r="AO26" s="38">
        <v>1</v>
      </c>
      <c r="AP26" s="38">
        <v>1</v>
      </c>
      <c r="AQ26" s="38">
        <v>1</v>
      </c>
      <c r="AR26" s="38"/>
      <c r="AS26" s="38">
        <v>12</v>
      </c>
      <c r="AT26" s="38"/>
      <c r="AU26" s="38"/>
      <c r="AV26" s="38">
        <v>12</v>
      </c>
      <c r="AW26" s="38">
        <v>4</v>
      </c>
      <c r="AX26" s="38"/>
      <c r="AY26" s="38"/>
      <c r="AZ26" s="38"/>
      <c r="BA26" s="38"/>
      <c r="BB26" s="38"/>
      <c r="BC26" s="38"/>
      <c r="BD26" s="38">
        <v>36</v>
      </c>
      <c r="BE26" s="38"/>
      <c r="BF26" s="38"/>
      <c r="BG26" s="38"/>
      <c r="BH26" s="38"/>
      <c r="BI26" s="41">
        <f t="shared" si="6"/>
        <v>97</v>
      </c>
      <c r="BJ26" s="41">
        <f t="shared" si="7"/>
        <v>1151</v>
      </c>
      <c r="BK26" s="38">
        <v>7</v>
      </c>
      <c r="BL26" s="41">
        <f t="shared" si="8"/>
        <v>7</v>
      </c>
    </row>
    <row r="27" spans="1:64">
      <c r="A27" s="5" t="s">
        <v>72</v>
      </c>
      <c r="B27" s="38">
        <v>2</v>
      </c>
      <c r="C27" s="38">
        <v>33</v>
      </c>
      <c r="D27" s="41">
        <f t="shared" si="0"/>
        <v>35</v>
      </c>
      <c r="E27" s="38"/>
      <c r="F27" s="38"/>
      <c r="G27" s="38"/>
      <c r="H27" s="41">
        <f t="shared" si="1"/>
        <v>0</v>
      </c>
      <c r="I27" s="38"/>
      <c r="J27" s="41">
        <f t="shared" si="2"/>
        <v>0</v>
      </c>
      <c r="K27" s="38"/>
      <c r="L27" s="38">
        <v>6</v>
      </c>
      <c r="M27" s="38">
        <v>101</v>
      </c>
      <c r="N27" s="38">
        <v>291</v>
      </c>
      <c r="O27" s="38"/>
      <c r="P27" s="38">
        <v>4</v>
      </c>
      <c r="Q27" s="38"/>
      <c r="R27" s="41">
        <f t="shared" si="3"/>
        <v>402</v>
      </c>
      <c r="S27" s="38"/>
      <c r="T27" s="41">
        <f t="shared" si="4"/>
        <v>0</v>
      </c>
      <c r="U27" s="38"/>
      <c r="V27" s="38"/>
      <c r="W27" s="38"/>
      <c r="X27" s="38"/>
      <c r="Y27" s="38"/>
      <c r="Z27" s="38"/>
      <c r="AA27" s="41">
        <f t="shared" si="5"/>
        <v>0</v>
      </c>
      <c r="AB27" s="38"/>
      <c r="AC27" s="38"/>
      <c r="AD27" s="38">
        <v>3</v>
      </c>
      <c r="AE27" s="38"/>
      <c r="AF27" s="38"/>
      <c r="AG27" s="38">
        <v>2</v>
      </c>
      <c r="AH27" s="38">
        <v>2</v>
      </c>
      <c r="AI27" s="38"/>
      <c r="AJ27" s="38">
        <v>4</v>
      </c>
      <c r="AK27" s="38"/>
      <c r="AL27" s="38"/>
      <c r="AM27" s="38">
        <v>4</v>
      </c>
      <c r="AN27" s="38"/>
      <c r="AO27" s="38">
        <v>3</v>
      </c>
      <c r="AP27" s="38">
        <v>6</v>
      </c>
      <c r="AQ27" s="38">
        <v>7</v>
      </c>
      <c r="AR27" s="38"/>
      <c r="AS27" s="38"/>
      <c r="AT27" s="38"/>
      <c r="AU27" s="38"/>
      <c r="AV27" s="38">
        <v>7</v>
      </c>
      <c r="AW27" s="38">
        <v>1</v>
      </c>
      <c r="AX27" s="38"/>
      <c r="AY27" s="38"/>
      <c r="AZ27" s="38"/>
      <c r="BA27" s="38"/>
      <c r="BB27" s="38"/>
      <c r="BC27" s="38"/>
      <c r="BD27" s="38">
        <v>27</v>
      </c>
      <c r="BE27" s="38"/>
      <c r="BF27" s="38"/>
      <c r="BG27" s="38"/>
      <c r="BH27" s="38"/>
      <c r="BI27" s="41">
        <f t="shared" si="6"/>
        <v>66</v>
      </c>
      <c r="BJ27" s="41">
        <f t="shared" si="7"/>
        <v>870</v>
      </c>
      <c r="BK27" s="38">
        <v>2</v>
      </c>
      <c r="BL27" s="41">
        <f t="shared" si="8"/>
        <v>2</v>
      </c>
    </row>
    <row r="28" spans="1:64">
      <c r="A28" s="5" t="s">
        <v>26</v>
      </c>
      <c r="B28" s="38">
        <v>2</v>
      </c>
      <c r="C28" s="38">
        <v>23</v>
      </c>
      <c r="D28" s="41">
        <f t="shared" si="0"/>
        <v>25</v>
      </c>
      <c r="E28" s="38"/>
      <c r="F28" s="38"/>
      <c r="G28" s="38"/>
      <c r="H28" s="41">
        <f t="shared" si="1"/>
        <v>0</v>
      </c>
      <c r="I28" s="38"/>
      <c r="J28" s="41">
        <f t="shared" si="2"/>
        <v>0</v>
      </c>
      <c r="K28" s="38"/>
      <c r="L28" s="38">
        <v>11</v>
      </c>
      <c r="M28" s="38">
        <v>79</v>
      </c>
      <c r="N28" s="38">
        <v>508</v>
      </c>
      <c r="O28" s="38"/>
      <c r="P28" s="38">
        <v>18</v>
      </c>
      <c r="Q28" s="38">
        <v>3</v>
      </c>
      <c r="R28" s="41">
        <f t="shared" si="3"/>
        <v>619</v>
      </c>
      <c r="S28" s="38"/>
      <c r="T28" s="41">
        <f t="shared" si="4"/>
        <v>0</v>
      </c>
      <c r="U28" s="38"/>
      <c r="V28" s="38"/>
      <c r="W28" s="38"/>
      <c r="X28" s="38"/>
      <c r="Y28" s="38"/>
      <c r="Z28" s="38"/>
      <c r="AA28" s="41">
        <f t="shared" si="5"/>
        <v>0</v>
      </c>
      <c r="AB28" s="38">
        <v>6</v>
      </c>
      <c r="AC28" s="38"/>
      <c r="AD28" s="38">
        <v>2</v>
      </c>
      <c r="AE28" s="38"/>
      <c r="AF28" s="38"/>
      <c r="AG28" s="38">
        <v>2</v>
      </c>
      <c r="AH28" s="38">
        <v>4</v>
      </c>
      <c r="AI28" s="38"/>
      <c r="AJ28" s="38">
        <v>1</v>
      </c>
      <c r="AK28" s="38"/>
      <c r="AL28" s="38"/>
      <c r="AM28" s="38">
        <v>3</v>
      </c>
      <c r="AN28" s="38"/>
      <c r="AO28" s="38">
        <v>1</v>
      </c>
      <c r="AP28" s="38">
        <v>4</v>
      </c>
      <c r="AQ28" s="38">
        <v>3</v>
      </c>
      <c r="AR28" s="38"/>
      <c r="AS28" s="38">
        <v>5</v>
      </c>
      <c r="AT28" s="38"/>
      <c r="AU28" s="38"/>
      <c r="AV28" s="38">
        <v>3</v>
      </c>
      <c r="AW28" s="38"/>
      <c r="AX28" s="38"/>
      <c r="AY28" s="38"/>
      <c r="AZ28" s="38"/>
      <c r="BA28" s="38"/>
      <c r="BB28" s="38"/>
      <c r="BC28" s="38"/>
      <c r="BD28" s="38">
        <v>30</v>
      </c>
      <c r="BE28" s="38"/>
      <c r="BF28" s="38"/>
      <c r="BG28" s="38"/>
      <c r="BH28" s="38"/>
      <c r="BI28" s="41">
        <f t="shared" si="6"/>
        <v>64</v>
      </c>
      <c r="BJ28" s="41">
        <f t="shared" si="7"/>
        <v>1302</v>
      </c>
      <c r="BK28" s="38"/>
      <c r="BL28" s="41">
        <f t="shared" si="8"/>
        <v>0</v>
      </c>
    </row>
    <row r="29" spans="1:64">
      <c r="A29" s="5" t="s">
        <v>57</v>
      </c>
      <c r="B29" s="38">
        <v>5</v>
      </c>
      <c r="C29" s="38">
        <v>37</v>
      </c>
      <c r="D29" s="41">
        <f t="shared" si="0"/>
        <v>42</v>
      </c>
      <c r="E29" s="38"/>
      <c r="F29" s="38"/>
      <c r="G29" s="38"/>
      <c r="H29" s="41">
        <f t="shared" si="1"/>
        <v>0</v>
      </c>
      <c r="I29" s="38"/>
      <c r="J29" s="41">
        <f t="shared" si="2"/>
        <v>0</v>
      </c>
      <c r="K29" s="38"/>
      <c r="L29" s="38">
        <v>12</v>
      </c>
      <c r="M29" s="38">
        <v>122</v>
      </c>
      <c r="N29" s="38">
        <v>492</v>
      </c>
      <c r="O29" s="38"/>
      <c r="P29" s="38">
        <v>10</v>
      </c>
      <c r="Q29" s="38"/>
      <c r="R29" s="41">
        <f t="shared" si="3"/>
        <v>636</v>
      </c>
      <c r="S29" s="38"/>
      <c r="T29" s="41">
        <f t="shared" si="4"/>
        <v>0</v>
      </c>
      <c r="U29" s="38"/>
      <c r="V29" s="38"/>
      <c r="W29" s="38"/>
      <c r="X29" s="38"/>
      <c r="Y29" s="38"/>
      <c r="Z29" s="38"/>
      <c r="AA29" s="41">
        <f t="shared" si="5"/>
        <v>0</v>
      </c>
      <c r="AB29" s="38"/>
      <c r="AC29" s="38"/>
      <c r="AD29" s="38">
        <v>1</v>
      </c>
      <c r="AE29" s="38"/>
      <c r="AF29" s="38"/>
      <c r="AG29" s="38">
        <v>1</v>
      </c>
      <c r="AH29" s="38">
        <v>7</v>
      </c>
      <c r="AI29" s="38"/>
      <c r="AJ29" s="38">
        <v>1</v>
      </c>
      <c r="AK29" s="38"/>
      <c r="AL29" s="38"/>
      <c r="AM29" s="38">
        <v>9</v>
      </c>
      <c r="AN29" s="38"/>
      <c r="AO29" s="38">
        <v>1</v>
      </c>
      <c r="AP29" s="38">
        <v>4</v>
      </c>
      <c r="AQ29" s="38">
        <v>7</v>
      </c>
      <c r="AR29" s="38"/>
      <c r="AS29" s="38">
        <v>8</v>
      </c>
      <c r="AT29" s="38"/>
      <c r="AU29" s="38"/>
      <c r="AV29" s="38">
        <v>14</v>
      </c>
      <c r="AW29" s="38"/>
      <c r="AX29" s="38"/>
      <c r="AY29" s="38"/>
      <c r="AZ29" s="38"/>
      <c r="BA29" s="38"/>
      <c r="BB29" s="38"/>
      <c r="BC29" s="38"/>
      <c r="BD29" s="38">
        <v>58</v>
      </c>
      <c r="BE29" s="38"/>
      <c r="BF29" s="38"/>
      <c r="BG29" s="38"/>
      <c r="BH29" s="38"/>
      <c r="BI29" s="41">
        <f t="shared" si="6"/>
        <v>111</v>
      </c>
      <c r="BJ29" s="41">
        <f t="shared" si="7"/>
        <v>1383</v>
      </c>
      <c r="BK29" s="38">
        <v>1</v>
      </c>
      <c r="BL29" s="41">
        <f t="shared" si="8"/>
        <v>1</v>
      </c>
    </row>
    <row r="30" spans="1:64">
      <c r="A30" s="5" t="s">
        <v>74</v>
      </c>
      <c r="B30" s="38">
        <v>4</v>
      </c>
      <c r="C30" s="38">
        <v>31</v>
      </c>
      <c r="D30" s="41">
        <f t="shared" si="0"/>
        <v>35</v>
      </c>
      <c r="E30" s="38"/>
      <c r="F30" s="38"/>
      <c r="G30" s="38"/>
      <c r="H30" s="41">
        <f t="shared" si="1"/>
        <v>0</v>
      </c>
      <c r="I30" s="38"/>
      <c r="J30" s="41">
        <f t="shared" si="2"/>
        <v>0</v>
      </c>
      <c r="K30" s="38"/>
      <c r="L30" s="38">
        <v>7</v>
      </c>
      <c r="M30" s="38">
        <v>47</v>
      </c>
      <c r="N30" s="38">
        <v>279</v>
      </c>
      <c r="O30" s="38"/>
      <c r="P30" s="38">
        <v>8</v>
      </c>
      <c r="Q30" s="38"/>
      <c r="R30" s="41">
        <f t="shared" si="3"/>
        <v>341</v>
      </c>
      <c r="S30" s="38"/>
      <c r="T30" s="41">
        <f t="shared" si="4"/>
        <v>0</v>
      </c>
      <c r="U30" s="38"/>
      <c r="V30" s="38"/>
      <c r="W30" s="38"/>
      <c r="X30" s="38"/>
      <c r="Y30" s="38"/>
      <c r="Z30" s="38"/>
      <c r="AA30" s="41">
        <f t="shared" si="5"/>
        <v>0</v>
      </c>
      <c r="AB30" s="38"/>
      <c r="AC30" s="38"/>
      <c r="AD30" s="38">
        <v>1</v>
      </c>
      <c r="AE30" s="38"/>
      <c r="AF30" s="38"/>
      <c r="AG30" s="38"/>
      <c r="AH30" s="38">
        <v>3</v>
      </c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>
        <v>1</v>
      </c>
      <c r="AT30" s="38"/>
      <c r="AU30" s="38"/>
      <c r="AV30" s="38">
        <v>7</v>
      </c>
      <c r="AW30" s="38"/>
      <c r="AX30" s="38"/>
      <c r="AY30" s="38"/>
      <c r="AZ30" s="38"/>
      <c r="BA30" s="38"/>
      <c r="BB30" s="38"/>
      <c r="BC30" s="38"/>
      <c r="BD30" s="38">
        <v>33</v>
      </c>
      <c r="BE30" s="38"/>
      <c r="BF30" s="38"/>
      <c r="BG30" s="38"/>
      <c r="BH30" s="38"/>
      <c r="BI30" s="41">
        <f t="shared" si="6"/>
        <v>45</v>
      </c>
      <c r="BJ30" s="41">
        <f t="shared" si="7"/>
        <v>727</v>
      </c>
      <c r="BK30" s="38">
        <v>5</v>
      </c>
      <c r="BL30" s="41">
        <f t="shared" si="8"/>
        <v>5</v>
      </c>
    </row>
    <row r="31" spans="1:64">
      <c r="A31" s="5" t="s">
        <v>27</v>
      </c>
      <c r="B31" s="38"/>
      <c r="C31" s="38">
        <v>14</v>
      </c>
      <c r="D31" s="41">
        <f t="shared" si="0"/>
        <v>14</v>
      </c>
      <c r="E31" s="38"/>
      <c r="F31" s="38"/>
      <c r="G31" s="38"/>
      <c r="H31" s="41">
        <f t="shared" si="1"/>
        <v>0</v>
      </c>
      <c r="I31" s="38"/>
      <c r="J31" s="41">
        <f t="shared" si="2"/>
        <v>0</v>
      </c>
      <c r="K31" s="38"/>
      <c r="L31" s="38"/>
      <c r="M31" s="38">
        <v>1</v>
      </c>
      <c r="N31" s="38"/>
      <c r="O31" s="38"/>
      <c r="P31" s="38"/>
      <c r="Q31" s="38"/>
      <c r="R31" s="41">
        <f t="shared" si="3"/>
        <v>1</v>
      </c>
      <c r="S31" s="38"/>
      <c r="T31" s="41">
        <f t="shared" si="4"/>
        <v>0</v>
      </c>
      <c r="U31" s="38"/>
      <c r="V31" s="38">
        <v>2</v>
      </c>
      <c r="W31" s="38"/>
      <c r="X31" s="38"/>
      <c r="Y31" s="38"/>
      <c r="Z31" s="38"/>
      <c r="AA31" s="41">
        <f t="shared" si="5"/>
        <v>2</v>
      </c>
      <c r="AB31" s="38">
        <v>12</v>
      </c>
      <c r="AC31" s="38"/>
      <c r="AD31" s="38"/>
      <c r="AE31" s="38"/>
      <c r="AF31" s="38"/>
      <c r="AG31" s="38">
        <v>2</v>
      </c>
      <c r="AH31" s="38">
        <v>5</v>
      </c>
      <c r="AI31" s="38"/>
      <c r="AJ31" s="38">
        <v>5</v>
      </c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41">
        <f t="shared" si="6"/>
        <v>24</v>
      </c>
      <c r="BJ31" s="41">
        <f t="shared" si="7"/>
        <v>30</v>
      </c>
      <c r="BK31" s="38"/>
      <c r="BL31" s="41">
        <f t="shared" si="8"/>
        <v>0</v>
      </c>
    </row>
    <row r="32" spans="1:64">
      <c r="A32" s="5" t="s">
        <v>28</v>
      </c>
      <c r="B32" s="38"/>
      <c r="C32" s="38">
        <v>42</v>
      </c>
      <c r="D32" s="41">
        <f t="shared" si="0"/>
        <v>42</v>
      </c>
      <c r="E32" s="38"/>
      <c r="F32" s="38"/>
      <c r="G32" s="38">
        <v>3</v>
      </c>
      <c r="H32" s="41">
        <f t="shared" si="1"/>
        <v>3</v>
      </c>
      <c r="I32" s="38"/>
      <c r="J32" s="41">
        <f t="shared" si="2"/>
        <v>0</v>
      </c>
      <c r="K32" s="38"/>
      <c r="L32" s="38"/>
      <c r="M32" s="38"/>
      <c r="N32" s="38"/>
      <c r="O32" s="38"/>
      <c r="P32" s="38"/>
      <c r="Q32" s="38"/>
      <c r="R32" s="41">
        <f t="shared" si="3"/>
        <v>0</v>
      </c>
      <c r="S32" s="38"/>
      <c r="T32" s="41">
        <f t="shared" si="4"/>
        <v>0</v>
      </c>
      <c r="U32" s="38"/>
      <c r="V32" s="38">
        <v>2</v>
      </c>
      <c r="W32" s="38"/>
      <c r="X32" s="38"/>
      <c r="Y32" s="38"/>
      <c r="Z32" s="38"/>
      <c r="AA32" s="41">
        <f t="shared" si="5"/>
        <v>2</v>
      </c>
      <c r="AB32" s="38"/>
      <c r="AC32" s="38"/>
      <c r="AD32" s="38"/>
      <c r="AE32" s="38"/>
      <c r="AF32" s="38"/>
      <c r="AG32" s="38">
        <v>5</v>
      </c>
      <c r="AH32" s="38">
        <v>4</v>
      </c>
      <c r="AI32" s="38"/>
      <c r="AJ32" s="38">
        <v>6</v>
      </c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>
        <v>1</v>
      </c>
      <c r="AY32" s="38">
        <v>3</v>
      </c>
      <c r="AZ32" s="38"/>
      <c r="BA32" s="38"/>
      <c r="BB32" s="38"/>
      <c r="BC32" s="38">
        <v>1</v>
      </c>
      <c r="BD32" s="38"/>
      <c r="BE32" s="38"/>
      <c r="BF32" s="38"/>
      <c r="BG32" s="38"/>
      <c r="BH32" s="38"/>
      <c r="BI32" s="41">
        <f t="shared" si="6"/>
        <v>20</v>
      </c>
      <c r="BJ32" s="41">
        <f t="shared" si="7"/>
        <v>24</v>
      </c>
      <c r="BK32" s="38"/>
      <c r="BL32" s="41">
        <f t="shared" si="8"/>
        <v>0</v>
      </c>
    </row>
    <row r="33" spans="1:64">
      <c r="A33" s="5" t="s">
        <v>29</v>
      </c>
      <c r="B33" s="38"/>
      <c r="C33" s="38">
        <v>41</v>
      </c>
      <c r="D33" s="41">
        <f t="shared" si="0"/>
        <v>41</v>
      </c>
      <c r="E33" s="38"/>
      <c r="F33" s="38"/>
      <c r="G33" s="38"/>
      <c r="H33" s="41">
        <f t="shared" si="1"/>
        <v>0</v>
      </c>
      <c r="I33" s="38"/>
      <c r="J33" s="41">
        <f t="shared" si="2"/>
        <v>0</v>
      </c>
      <c r="K33" s="38"/>
      <c r="L33" s="38"/>
      <c r="M33" s="38"/>
      <c r="N33" s="38"/>
      <c r="O33" s="38"/>
      <c r="P33" s="38"/>
      <c r="Q33" s="38"/>
      <c r="R33" s="41">
        <f t="shared" si="3"/>
        <v>0</v>
      </c>
      <c r="S33" s="38"/>
      <c r="T33" s="41">
        <f t="shared" si="4"/>
        <v>0</v>
      </c>
      <c r="U33" s="38"/>
      <c r="V33" s="38">
        <v>3</v>
      </c>
      <c r="W33" s="38"/>
      <c r="X33" s="38"/>
      <c r="Y33" s="38"/>
      <c r="Z33" s="38"/>
      <c r="AA33" s="41">
        <f t="shared" si="5"/>
        <v>3</v>
      </c>
      <c r="AB33" s="38">
        <v>34</v>
      </c>
      <c r="AC33" s="38"/>
      <c r="AD33" s="38"/>
      <c r="AE33" s="38"/>
      <c r="AF33" s="38"/>
      <c r="AG33" s="38"/>
      <c r="AH33" s="38">
        <v>2</v>
      </c>
      <c r="AI33" s="38"/>
      <c r="AJ33" s="38">
        <v>5</v>
      </c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>
        <v>4</v>
      </c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41">
        <f t="shared" si="6"/>
        <v>45</v>
      </c>
      <c r="BJ33" s="41">
        <f t="shared" si="7"/>
        <v>51</v>
      </c>
      <c r="BK33" s="38">
        <v>1</v>
      </c>
      <c r="BL33" s="41">
        <f t="shared" si="8"/>
        <v>1</v>
      </c>
    </row>
    <row r="34" spans="1:64">
      <c r="A34" s="5" t="s">
        <v>30</v>
      </c>
      <c r="B34" s="38"/>
      <c r="C34" s="38">
        <v>71</v>
      </c>
      <c r="D34" s="41">
        <f t="shared" si="0"/>
        <v>71</v>
      </c>
      <c r="E34" s="38"/>
      <c r="F34" s="38"/>
      <c r="G34" s="38"/>
      <c r="H34" s="41">
        <f t="shared" si="1"/>
        <v>0</v>
      </c>
      <c r="I34" s="38"/>
      <c r="J34" s="41">
        <f t="shared" si="2"/>
        <v>0</v>
      </c>
      <c r="K34" s="38"/>
      <c r="L34" s="38"/>
      <c r="M34" s="38"/>
      <c r="N34" s="38"/>
      <c r="O34" s="38"/>
      <c r="P34" s="38"/>
      <c r="Q34" s="38"/>
      <c r="R34" s="41">
        <f t="shared" si="3"/>
        <v>0</v>
      </c>
      <c r="S34" s="38"/>
      <c r="T34" s="41">
        <f t="shared" si="4"/>
        <v>0</v>
      </c>
      <c r="U34" s="38"/>
      <c r="V34" s="38">
        <v>4</v>
      </c>
      <c r="W34" s="38"/>
      <c r="X34" s="38"/>
      <c r="Y34" s="38"/>
      <c r="Z34" s="38"/>
      <c r="AA34" s="41">
        <f t="shared" si="5"/>
        <v>4</v>
      </c>
      <c r="AB34" s="38"/>
      <c r="AC34" s="38"/>
      <c r="AD34" s="38"/>
      <c r="AE34" s="38"/>
      <c r="AF34" s="38"/>
      <c r="AG34" s="38">
        <v>4</v>
      </c>
      <c r="AH34" s="38">
        <v>5</v>
      </c>
      <c r="AI34" s="38"/>
      <c r="AJ34" s="38">
        <v>14</v>
      </c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41">
        <f t="shared" si="6"/>
        <v>23</v>
      </c>
      <c r="BJ34" s="41">
        <f t="shared" si="7"/>
        <v>31</v>
      </c>
      <c r="BK34" s="38"/>
      <c r="BL34" s="41">
        <f t="shared" si="8"/>
        <v>0</v>
      </c>
    </row>
    <row r="35" spans="1:64">
      <c r="A35" s="5" t="s">
        <v>31</v>
      </c>
      <c r="B35" s="38"/>
      <c r="C35" s="38">
        <v>39</v>
      </c>
      <c r="D35" s="41">
        <f t="shared" si="0"/>
        <v>39</v>
      </c>
      <c r="E35" s="38"/>
      <c r="F35" s="38"/>
      <c r="G35" s="38"/>
      <c r="H35" s="41">
        <f t="shared" si="1"/>
        <v>0</v>
      </c>
      <c r="I35" s="38"/>
      <c r="J35" s="41">
        <f t="shared" si="2"/>
        <v>0</v>
      </c>
      <c r="K35" s="38"/>
      <c r="L35" s="38"/>
      <c r="M35" s="38">
        <v>3</v>
      </c>
      <c r="N35" s="38"/>
      <c r="O35" s="38"/>
      <c r="P35" s="38"/>
      <c r="Q35" s="38"/>
      <c r="R35" s="41">
        <f t="shared" si="3"/>
        <v>3</v>
      </c>
      <c r="S35" s="38"/>
      <c r="T35" s="41">
        <f t="shared" si="4"/>
        <v>0</v>
      </c>
      <c r="U35" s="38"/>
      <c r="V35" s="38"/>
      <c r="W35" s="38"/>
      <c r="X35" s="38"/>
      <c r="Y35" s="38"/>
      <c r="Z35" s="38"/>
      <c r="AA35" s="41">
        <f t="shared" si="5"/>
        <v>0</v>
      </c>
      <c r="AB35" s="38"/>
      <c r="AC35" s="38"/>
      <c r="AD35" s="38"/>
      <c r="AE35" s="38"/>
      <c r="AF35" s="38"/>
      <c r="AG35" s="38">
        <v>2</v>
      </c>
      <c r="AH35" s="38">
        <v>4</v>
      </c>
      <c r="AI35" s="38"/>
      <c r="AJ35" s="38">
        <v>8</v>
      </c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41">
        <f t="shared" si="6"/>
        <v>14</v>
      </c>
      <c r="BJ35" s="41">
        <f t="shared" si="7"/>
        <v>20</v>
      </c>
      <c r="BK35" s="38"/>
      <c r="BL35" s="41">
        <f t="shared" si="8"/>
        <v>0</v>
      </c>
    </row>
    <row r="36" spans="1:64">
      <c r="A36" s="5" t="s">
        <v>32</v>
      </c>
      <c r="B36" s="38">
        <v>8</v>
      </c>
      <c r="C36" s="38">
        <v>2</v>
      </c>
      <c r="D36" s="41">
        <f t="shared" si="0"/>
        <v>10</v>
      </c>
      <c r="E36" s="38"/>
      <c r="F36" s="38"/>
      <c r="G36" s="38"/>
      <c r="H36" s="41">
        <f t="shared" si="1"/>
        <v>0</v>
      </c>
      <c r="I36" s="38"/>
      <c r="J36" s="41">
        <f t="shared" si="2"/>
        <v>0</v>
      </c>
      <c r="K36" s="38"/>
      <c r="L36" s="38"/>
      <c r="M36" s="38">
        <v>1</v>
      </c>
      <c r="N36" s="38">
        <v>61</v>
      </c>
      <c r="O36" s="38"/>
      <c r="P36" s="38"/>
      <c r="Q36" s="38"/>
      <c r="R36" s="41">
        <f t="shared" si="3"/>
        <v>62</v>
      </c>
      <c r="S36" s="38"/>
      <c r="T36" s="41">
        <f t="shared" ref="T36:T67" si="9">SUM(S36)</f>
        <v>0</v>
      </c>
      <c r="U36" s="38"/>
      <c r="V36" s="38"/>
      <c r="W36" s="38"/>
      <c r="X36" s="38"/>
      <c r="Y36" s="38"/>
      <c r="Z36" s="38"/>
      <c r="AA36" s="41">
        <f t="shared" si="5"/>
        <v>0</v>
      </c>
      <c r="AB36" s="38">
        <v>1</v>
      </c>
      <c r="AC36" s="38"/>
      <c r="AD36" s="38"/>
      <c r="AE36" s="38"/>
      <c r="AF36" s="38"/>
      <c r="AG36" s="38">
        <v>3</v>
      </c>
      <c r="AH36" s="38">
        <v>6</v>
      </c>
      <c r="AI36" s="38"/>
      <c r="AJ36" s="38">
        <v>4</v>
      </c>
      <c r="AK36" s="38"/>
      <c r="AL36" s="38">
        <v>2</v>
      </c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>
        <v>5</v>
      </c>
      <c r="BE36" s="38"/>
      <c r="BF36" s="38"/>
      <c r="BG36" s="38"/>
      <c r="BH36" s="38"/>
      <c r="BI36" s="41">
        <f t="shared" si="6"/>
        <v>21</v>
      </c>
      <c r="BJ36" s="41">
        <f t="shared" ref="BJ36:BJ57" si="10">SUM(K36:BH36)</f>
        <v>145</v>
      </c>
      <c r="BK36" s="38">
        <v>2</v>
      </c>
      <c r="BL36" s="41">
        <f t="shared" si="8"/>
        <v>2</v>
      </c>
    </row>
    <row r="37" spans="1:64">
      <c r="A37" s="5" t="s">
        <v>33</v>
      </c>
      <c r="B37" s="38">
        <v>3</v>
      </c>
      <c r="C37" s="38">
        <v>1</v>
      </c>
      <c r="D37" s="41">
        <f t="shared" si="0"/>
        <v>4</v>
      </c>
      <c r="E37" s="38"/>
      <c r="F37" s="38"/>
      <c r="G37" s="38"/>
      <c r="H37" s="41">
        <f t="shared" si="1"/>
        <v>0</v>
      </c>
      <c r="I37" s="38"/>
      <c r="J37" s="41">
        <f t="shared" si="2"/>
        <v>0</v>
      </c>
      <c r="K37" s="38"/>
      <c r="L37" s="38"/>
      <c r="M37" s="38">
        <v>1</v>
      </c>
      <c r="N37" s="38">
        <v>35</v>
      </c>
      <c r="O37" s="38"/>
      <c r="P37" s="38"/>
      <c r="Q37" s="38"/>
      <c r="R37" s="41">
        <f t="shared" si="3"/>
        <v>36</v>
      </c>
      <c r="S37" s="38"/>
      <c r="T37" s="41">
        <f t="shared" si="9"/>
        <v>0</v>
      </c>
      <c r="U37" s="38"/>
      <c r="V37" s="38"/>
      <c r="W37" s="38"/>
      <c r="X37" s="38"/>
      <c r="Y37" s="38"/>
      <c r="Z37" s="38"/>
      <c r="AA37" s="41">
        <f t="shared" si="5"/>
        <v>0</v>
      </c>
      <c r="AB37" s="38"/>
      <c r="AC37" s="38"/>
      <c r="AD37" s="38"/>
      <c r="AE37" s="38"/>
      <c r="AF37" s="38"/>
      <c r="AG37" s="38">
        <v>1</v>
      </c>
      <c r="AH37" s="38">
        <v>4</v>
      </c>
      <c r="AI37" s="38"/>
      <c r="AJ37" s="38">
        <v>3</v>
      </c>
      <c r="AK37" s="38"/>
      <c r="AL37" s="38">
        <v>1</v>
      </c>
      <c r="AM37" s="38"/>
      <c r="AN37" s="38"/>
      <c r="AO37" s="38"/>
      <c r="AP37" s="38"/>
      <c r="AQ37" s="38"/>
      <c r="AR37" s="38">
        <v>13</v>
      </c>
      <c r="AS37" s="38"/>
      <c r="AT37" s="38"/>
      <c r="AU37" s="38"/>
      <c r="AV37" s="38"/>
      <c r="AW37" s="38"/>
      <c r="AX37" s="38">
        <v>1</v>
      </c>
      <c r="AY37" s="38"/>
      <c r="AZ37" s="38"/>
      <c r="BA37" s="38"/>
      <c r="BB37" s="38"/>
      <c r="BC37" s="38"/>
      <c r="BD37" s="38">
        <v>4</v>
      </c>
      <c r="BE37" s="38"/>
      <c r="BF37" s="38"/>
      <c r="BG37" s="38"/>
      <c r="BH37" s="38"/>
      <c r="BI37" s="41">
        <f t="shared" si="6"/>
        <v>27</v>
      </c>
      <c r="BJ37" s="41">
        <f t="shared" si="10"/>
        <v>99</v>
      </c>
      <c r="BK37" s="38">
        <v>2</v>
      </c>
      <c r="BL37" s="41">
        <f t="shared" si="8"/>
        <v>2</v>
      </c>
    </row>
    <row r="38" spans="1:64">
      <c r="A38" s="5" t="s">
        <v>34</v>
      </c>
      <c r="B38" s="38">
        <v>6</v>
      </c>
      <c r="C38" s="38">
        <v>5</v>
      </c>
      <c r="D38" s="41">
        <f t="shared" si="0"/>
        <v>11</v>
      </c>
      <c r="E38" s="38"/>
      <c r="F38" s="38"/>
      <c r="G38" s="38"/>
      <c r="H38" s="41">
        <f t="shared" si="1"/>
        <v>0</v>
      </c>
      <c r="I38" s="38"/>
      <c r="J38" s="41">
        <f t="shared" si="2"/>
        <v>0</v>
      </c>
      <c r="K38" s="38"/>
      <c r="L38" s="38"/>
      <c r="M38" s="38">
        <v>2</v>
      </c>
      <c r="N38" s="38">
        <v>357</v>
      </c>
      <c r="O38" s="38"/>
      <c r="P38" s="38"/>
      <c r="Q38" s="38"/>
      <c r="R38" s="41">
        <f t="shared" si="3"/>
        <v>359</v>
      </c>
      <c r="S38" s="38"/>
      <c r="T38" s="41">
        <f t="shared" si="9"/>
        <v>0</v>
      </c>
      <c r="U38" s="38"/>
      <c r="V38" s="38"/>
      <c r="W38" s="38"/>
      <c r="X38" s="38">
        <v>1</v>
      </c>
      <c r="Y38" s="38"/>
      <c r="Z38" s="38">
        <v>3</v>
      </c>
      <c r="AA38" s="41">
        <f t="shared" si="5"/>
        <v>4</v>
      </c>
      <c r="AB38" s="38">
        <v>1</v>
      </c>
      <c r="AC38" s="38"/>
      <c r="AD38" s="38"/>
      <c r="AE38" s="38"/>
      <c r="AF38" s="38"/>
      <c r="AG38" s="38">
        <v>20</v>
      </c>
      <c r="AH38" s="38">
        <v>9</v>
      </c>
      <c r="AI38" s="38"/>
      <c r="AJ38" s="38">
        <v>11</v>
      </c>
      <c r="AK38" s="38"/>
      <c r="AL38" s="38">
        <v>15</v>
      </c>
      <c r="AM38" s="38"/>
      <c r="AN38" s="38"/>
      <c r="AO38" s="38"/>
      <c r="AP38" s="38"/>
      <c r="AQ38" s="38"/>
      <c r="AR38" s="38"/>
      <c r="AS38" s="38">
        <v>2</v>
      </c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>
        <v>6</v>
      </c>
      <c r="BE38" s="38"/>
      <c r="BF38" s="38"/>
      <c r="BG38" s="38"/>
      <c r="BH38" s="38"/>
      <c r="BI38" s="41">
        <f t="shared" si="6"/>
        <v>64</v>
      </c>
      <c r="BJ38" s="41">
        <f t="shared" si="10"/>
        <v>790</v>
      </c>
      <c r="BK38" s="38">
        <v>12</v>
      </c>
      <c r="BL38" s="41">
        <f t="shared" si="8"/>
        <v>12</v>
      </c>
    </row>
    <row r="39" spans="1:64">
      <c r="A39" s="5" t="s">
        <v>35</v>
      </c>
      <c r="B39" s="38">
        <v>4</v>
      </c>
      <c r="C39" s="38">
        <v>3</v>
      </c>
      <c r="D39" s="41">
        <f t="shared" si="0"/>
        <v>7</v>
      </c>
      <c r="E39" s="38"/>
      <c r="F39" s="38"/>
      <c r="G39" s="38"/>
      <c r="H39" s="41">
        <f t="shared" si="1"/>
        <v>0</v>
      </c>
      <c r="I39" s="38"/>
      <c r="J39" s="41">
        <f t="shared" si="2"/>
        <v>0</v>
      </c>
      <c r="K39" s="38"/>
      <c r="L39" s="38"/>
      <c r="M39" s="38">
        <v>14</v>
      </c>
      <c r="N39" s="38">
        <v>68</v>
      </c>
      <c r="O39" s="38"/>
      <c r="P39" s="38"/>
      <c r="Q39" s="38"/>
      <c r="R39" s="41">
        <f t="shared" si="3"/>
        <v>82</v>
      </c>
      <c r="S39" s="38"/>
      <c r="T39" s="41">
        <f t="shared" si="9"/>
        <v>0</v>
      </c>
      <c r="U39" s="38"/>
      <c r="V39" s="38"/>
      <c r="W39" s="38"/>
      <c r="X39" s="38"/>
      <c r="Y39" s="38"/>
      <c r="Z39" s="38"/>
      <c r="AA39" s="41">
        <f t="shared" si="5"/>
        <v>0</v>
      </c>
      <c r="AB39" s="38">
        <v>3</v>
      </c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>
        <v>3</v>
      </c>
      <c r="BE39" s="38"/>
      <c r="BF39" s="38"/>
      <c r="BG39" s="38"/>
      <c r="BH39" s="38"/>
      <c r="BI39" s="41">
        <f t="shared" si="6"/>
        <v>6</v>
      </c>
      <c r="BJ39" s="41">
        <f t="shared" si="10"/>
        <v>170</v>
      </c>
      <c r="BK39" s="38"/>
      <c r="BL39" s="41">
        <f t="shared" si="8"/>
        <v>0</v>
      </c>
    </row>
    <row r="40" spans="1:64">
      <c r="A40" s="5" t="s">
        <v>36</v>
      </c>
      <c r="B40" s="38">
        <v>7</v>
      </c>
      <c r="C40" s="38"/>
      <c r="D40" s="41">
        <f t="shared" si="0"/>
        <v>7</v>
      </c>
      <c r="E40" s="38"/>
      <c r="F40" s="38"/>
      <c r="G40" s="38"/>
      <c r="H40" s="41">
        <f t="shared" si="1"/>
        <v>0</v>
      </c>
      <c r="I40" s="38"/>
      <c r="J40" s="41">
        <f t="shared" si="2"/>
        <v>0</v>
      </c>
      <c r="K40" s="38"/>
      <c r="L40" s="38"/>
      <c r="M40" s="38">
        <v>3</v>
      </c>
      <c r="N40" s="38">
        <v>33</v>
      </c>
      <c r="O40" s="38"/>
      <c r="P40" s="38"/>
      <c r="Q40" s="38"/>
      <c r="R40" s="41">
        <f t="shared" si="3"/>
        <v>36</v>
      </c>
      <c r="S40" s="38"/>
      <c r="T40" s="41">
        <f t="shared" si="9"/>
        <v>0</v>
      </c>
      <c r="U40" s="38"/>
      <c r="V40" s="38"/>
      <c r="W40" s="38"/>
      <c r="X40" s="38"/>
      <c r="Y40" s="38"/>
      <c r="Z40" s="38"/>
      <c r="AA40" s="41">
        <f t="shared" si="5"/>
        <v>0</v>
      </c>
      <c r="AB40" s="38"/>
      <c r="AC40" s="38"/>
      <c r="AD40" s="38"/>
      <c r="AE40" s="38"/>
      <c r="AF40" s="38"/>
      <c r="AG40" s="38">
        <v>12</v>
      </c>
      <c r="AH40" s="38">
        <v>11</v>
      </c>
      <c r="AI40" s="38"/>
      <c r="AJ40" s="38">
        <v>3</v>
      </c>
      <c r="AK40" s="38"/>
      <c r="AL40" s="38">
        <v>1</v>
      </c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>
        <v>3</v>
      </c>
      <c r="BE40" s="38"/>
      <c r="BF40" s="38"/>
      <c r="BG40" s="38"/>
      <c r="BH40" s="38"/>
      <c r="BI40" s="41">
        <f t="shared" si="6"/>
        <v>30</v>
      </c>
      <c r="BJ40" s="41">
        <f t="shared" si="10"/>
        <v>102</v>
      </c>
      <c r="BK40" s="38">
        <v>2</v>
      </c>
      <c r="BL40" s="41">
        <f t="shared" si="8"/>
        <v>2</v>
      </c>
    </row>
    <row r="41" spans="1:64">
      <c r="A41" s="5" t="s">
        <v>37</v>
      </c>
      <c r="B41" s="38">
        <v>6</v>
      </c>
      <c r="C41" s="38">
        <v>1</v>
      </c>
      <c r="D41" s="41">
        <f t="shared" si="0"/>
        <v>7</v>
      </c>
      <c r="E41" s="38"/>
      <c r="F41" s="38"/>
      <c r="G41" s="38"/>
      <c r="H41" s="41">
        <f t="shared" si="1"/>
        <v>0</v>
      </c>
      <c r="I41" s="38"/>
      <c r="J41" s="41">
        <f t="shared" si="2"/>
        <v>0</v>
      </c>
      <c r="K41" s="38"/>
      <c r="L41" s="38"/>
      <c r="M41" s="38">
        <v>17</v>
      </c>
      <c r="N41" s="38">
        <v>26</v>
      </c>
      <c r="O41" s="38"/>
      <c r="P41" s="38"/>
      <c r="Q41" s="38"/>
      <c r="R41" s="41">
        <f t="shared" si="3"/>
        <v>43</v>
      </c>
      <c r="S41" s="38"/>
      <c r="T41" s="41">
        <f t="shared" si="9"/>
        <v>0</v>
      </c>
      <c r="U41" s="38"/>
      <c r="V41" s="38"/>
      <c r="W41" s="38"/>
      <c r="X41" s="38"/>
      <c r="Y41" s="38"/>
      <c r="Z41" s="38"/>
      <c r="AA41" s="41">
        <f t="shared" si="5"/>
        <v>0</v>
      </c>
      <c r="AB41" s="38"/>
      <c r="AC41" s="38"/>
      <c r="AD41" s="38"/>
      <c r="AE41" s="38"/>
      <c r="AF41" s="38"/>
      <c r="AG41" s="38">
        <v>7</v>
      </c>
      <c r="AH41" s="38">
        <v>8</v>
      </c>
      <c r="AI41" s="38"/>
      <c r="AJ41" s="38">
        <v>3</v>
      </c>
      <c r="AK41" s="38"/>
      <c r="AL41" s="38">
        <v>7</v>
      </c>
      <c r="AM41" s="38"/>
      <c r="AN41" s="38"/>
      <c r="AO41" s="38"/>
      <c r="AP41" s="38"/>
      <c r="AQ41" s="38"/>
      <c r="AR41" s="38">
        <v>1</v>
      </c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>
        <v>7</v>
      </c>
      <c r="BE41" s="38"/>
      <c r="BF41" s="38"/>
      <c r="BG41" s="38"/>
      <c r="BH41" s="38"/>
      <c r="BI41" s="41">
        <f t="shared" si="6"/>
        <v>33</v>
      </c>
      <c r="BJ41" s="41">
        <f t="shared" si="10"/>
        <v>119</v>
      </c>
      <c r="BK41" s="38">
        <v>2</v>
      </c>
      <c r="BL41" s="41">
        <f t="shared" si="8"/>
        <v>2</v>
      </c>
    </row>
    <row r="42" spans="1:64">
      <c r="A42" s="5" t="s">
        <v>38</v>
      </c>
      <c r="B42" s="38">
        <v>3</v>
      </c>
      <c r="C42" s="38">
        <v>3</v>
      </c>
      <c r="D42" s="41">
        <f t="shared" si="0"/>
        <v>6</v>
      </c>
      <c r="E42" s="38"/>
      <c r="F42" s="38"/>
      <c r="G42" s="38"/>
      <c r="H42" s="41">
        <f t="shared" si="1"/>
        <v>0</v>
      </c>
      <c r="I42" s="38"/>
      <c r="J42" s="41">
        <f t="shared" si="2"/>
        <v>0</v>
      </c>
      <c r="K42" s="38"/>
      <c r="L42" s="38"/>
      <c r="M42" s="38">
        <v>2</v>
      </c>
      <c r="N42" s="38"/>
      <c r="O42" s="38"/>
      <c r="P42" s="38">
        <v>7</v>
      </c>
      <c r="Q42" s="38"/>
      <c r="R42" s="41">
        <f t="shared" si="3"/>
        <v>9</v>
      </c>
      <c r="S42" s="38"/>
      <c r="T42" s="41">
        <f t="shared" si="9"/>
        <v>0</v>
      </c>
      <c r="U42" s="38"/>
      <c r="V42" s="38"/>
      <c r="W42" s="38"/>
      <c r="X42" s="38"/>
      <c r="Y42" s="38"/>
      <c r="Z42" s="38"/>
      <c r="AA42" s="41">
        <f t="shared" si="5"/>
        <v>0</v>
      </c>
      <c r="AB42" s="38">
        <v>19</v>
      </c>
      <c r="AC42" s="38"/>
      <c r="AD42" s="38"/>
      <c r="AE42" s="38"/>
      <c r="AF42" s="38"/>
      <c r="AG42" s="38">
        <v>2</v>
      </c>
      <c r="AH42" s="38"/>
      <c r="AI42" s="38"/>
      <c r="AJ42" s="38"/>
      <c r="AK42" s="38"/>
      <c r="AL42" s="38"/>
      <c r="AM42" s="38">
        <v>4</v>
      </c>
      <c r="AN42" s="38"/>
      <c r="AO42" s="38"/>
      <c r="AP42" s="38"/>
      <c r="AQ42" s="38"/>
      <c r="AR42" s="38"/>
      <c r="AS42" s="38">
        <v>1</v>
      </c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>
        <v>6</v>
      </c>
      <c r="BE42" s="38"/>
      <c r="BF42" s="38"/>
      <c r="BG42" s="38"/>
      <c r="BH42" s="38"/>
      <c r="BI42" s="41">
        <f t="shared" si="6"/>
        <v>32</v>
      </c>
      <c r="BJ42" s="41">
        <f t="shared" si="10"/>
        <v>50</v>
      </c>
      <c r="BK42" s="38"/>
      <c r="BL42" s="41">
        <f t="shared" si="8"/>
        <v>0</v>
      </c>
    </row>
    <row r="43" spans="1:64">
      <c r="A43" s="5" t="s">
        <v>39</v>
      </c>
      <c r="B43" s="38">
        <v>4</v>
      </c>
      <c r="C43" s="38">
        <v>20</v>
      </c>
      <c r="D43" s="41">
        <f t="shared" si="0"/>
        <v>24</v>
      </c>
      <c r="E43" s="38"/>
      <c r="F43" s="38"/>
      <c r="G43" s="38">
        <v>1</v>
      </c>
      <c r="H43" s="41">
        <f t="shared" si="1"/>
        <v>1</v>
      </c>
      <c r="I43" s="38"/>
      <c r="J43" s="41">
        <f t="shared" si="2"/>
        <v>0</v>
      </c>
      <c r="K43" s="38"/>
      <c r="L43" s="38"/>
      <c r="M43" s="38"/>
      <c r="N43" s="38"/>
      <c r="O43" s="38"/>
      <c r="P43" s="38">
        <v>8</v>
      </c>
      <c r="Q43" s="38"/>
      <c r="R43" s="41">
        <f t="shared" si="3"/>
        <v>8</v>
      </c>
      <c r="S43" s="38"/>
      <c r="T43" s="41">
        <f t="shared" si="9"/>
        <v>0</v>
      </c>
      <c r="U43" s="38"/>
      <c r="V43" s="38"/>
      <c r="W43" s="38"/>
      <c r="X43" s="38"/>
      <c r="Y43" s="38"/>
      <c r="Z43" s="38">
        <v>3</v>
      </c>
      <c r="AA43" s="41">
        <f t="shared" si="5"/>
        <v>3</v>
      </c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>
        <v>1</v>
      </c>
      <c r="AN43" s="38"/>
      <c r="AO43" s="38"/>
      <c r="AP43" s="38">
        <v>1</v>
      </c>
      <c r="AQ43" s="38"/>
      <c r="AR43" s="38"/>
      <c r="AS43" s="38">
        <v>1</v>
      </c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>
        <v>11</v>
      </c>
      <c r="BE43" s="38"/>
      <c r="BF43" s="38"/>
      <c r="BG43" s="38"/>
      <c r="BH43" s="38"/>
      <c r="BI43" s="41">
        <f t="shared" si="6"/>
        <v>14</v>
      </c>
      <c r="BJ43" s="41">
        <f t="shared" si="10"/>
        <v>36</v>
      </c>
      <c r="BK43" s="38"/>
      <c r="BL43" s="41">
        <f t="shared" si="8"/>
        <v>0</v>
      </c>
    </row>
    <row r="44" spans="1:64">
      <c r="A44" s="5" t="s">
        <v>40</v>
      </c>
      <c r="B44" s="38">
        <v>4</v>
      </c>
      <c r="C44" s="38">
        <v>2</v>
      </c>
      <c r="D44" s="41">
        <f t="shared" si="0"/>
        <v>6</v>
      </c>
      <c r="E44" s="38"/>
      <c r="F44" s="38"/>
      <c r="G44" s="38"/>
      <c r="H44" s="41">
        <f t="shared" si="1"/>
        <v>0</v>
      </c>
      <c r="I44" s="38"/>
      <c r="J44" s="41">
        <f t="shared" si="2"/>
        <v>0</v>
      </c>
      <c r="K44" s="38"/>
      <c r="L44" s="38"/>
      <c r="M44" s="38"/>
      <c r="N44" s="38"/>
      <c r="O44" s="38"/>
      <c r="P44" s="38">
        <v>7</v>
      </c>
      <c r="Q44" s="38"/>
      <c r="R44" s="41">
        <f t="shared" si="3"/>
        <v>7</v>
      </c>
      <c r="S44" s="38"/>
      <c r="T44" s="41">
        <f t="shared" si="9"/>
        <v>0</v>
      </c>
      <c r="U44" s="38"/>
      <c r="V44" s="38"/>
      <c r="W44" s="38"/>
      <c r="X44" s="38"/>
      <c r="Y44" s="38"/>
      <c r="Z44" s="38">
        <v>2</v>
      </c>
      <c r="AA44" s="41">
        <f t="shared" si="5"/>
        <v>2</v>
      </c>
      <c r="AB44" s="38">
        <v>19</v>
      </c>
      <c r="AC44" s="38"/>
      <c r="AD44" s="38"/>
      <c r="AE44" s="38"/>
      <c r="AF44" s="38"/>
      <c r="AG44" s="38">
        <v>1</v>
      </c>
      <c r="AH44" s="38"/>
      <c r="AI44" s="38"/>
      <c r="AJ44" s="38"/>
      <c r="AK44" s="38"/>
      <c r="AL44" s="38"/>
      <c r="AM44" s="38">
        <v>2</v>
      </c>
      <c r="AN44" s="38"/>
      <c r="AO44" s="38"/>
      <c r="AP44" s="38">
        <v>2</v>
      </c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>
        <v>11</v>
      </c>
      <c r="BE44" s="38"/>
      <c r="BF44" s="38"/>
      <c r="BG44" s="38"/>
      <c r="BH44" s="38"/>
      <c r="BI44" s="41">
        <f t="shared" si="6"/>
        <v>35</v>
      </c>
      <c r="BJ44" s="41">
        <f t="shared" si="10"/>
        <v>53</v>
      </c>
      <c r="BK44" s="38"/>
      <c r="BL44" s="41">
        <f t="shared" si="8"/>
        <v>0</v>
      </c>
    </row>
    <row r="45" spans="1:64">
      <c r="A45" s="5" t="s">
        <v>41</v>
      </c>
      <c r="B45" s="38">
        <v>2</v>
      </c>
      <c r="C45" s="38">
        <v>21</v>
      </c>
      <c r="D45" s="41">
        <f t="shared" si="0"/>
        <v>23</v>
      </c>
      <c r="E45" s="38"/>
      <c r="F45" s="38"/>
      <c r="G45" s="38"/>
      <c r="H45" s="41">
        <f t="shared" si="1"/>
        <v>0</v>
      </c>
      <c r="I45" s="38"/>
      <c r="J45" s="41">
        <f t="shared" si="2"/>
        <v>0</v>
      </c>
      <c r="K45" s="38"/>
      <c r="L45" s="38"/>
      <c r="M45" s="38"/>
      <c r="N45" s="38"/>
      <c r="O45" s="38"/>
      <c r="P45" s="38">
        <v>16</v>
      </c>
      <c r="Q45" s="38"/>
      <c r="R45" s="41">
        <f t="shared" si="3"/>
        <v>16</v>
      </c>
      <c r="S45" s="38"/>
      <c r="T45" s="41">
        <f t="shared" si="9"/>
        <v>0</v>
      </c>
      <c r="U45" s="38"/>
      <c r="V45" s="38"/>
      <c r="W45" s="38"/>
      <c r="X45" s="38"/>
      <c r="Y45" s="38"/>
      <c r="Z45" s="38"/>
      <c r="AA45" s="41">
        <f t="shared" si="5"/>
        <v>0</v>
      </c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>
        <v>1</v>
      </c>
      <c r="BE45" s="38"/>
      <c r="BF45" s="38"/>
      <c r="BG45" s="38"/>
      <c r="BH45" s="38"/>
      <c r="BI45" s="41">
        <f t="shared" si="6"/>
        <v>1</v>
      </c>
      <c r="BJ45" s="41">
        <f t="shared" si="10"/>
        <v>33</v>
      </c>
      <c r="BK45" s="38"/>
      <c r="BL45" s="41">
        <f t="shared" si="8"/>
        <v>0</v>
      </c>
    </row>
    <row r="46" spans="1:64">
      <c r="A46" s="5" t="s">
        <v>42</v>
      </c>
      <c r="B46" s="38">
        <v>7</v>
      </c>
      <c r="C46" s="38">
        <v>4</v>
      </c>
      <c r="D46" s="41">
        <f t="shared" si="0"/>
        <v>11</v>
      </c>
      <c r="E46" s="38"/>
      <c r="F46" s="38"/>
      <c r="G46" s="38"/>
      <c r="H46" s="41">
        <f t="shared" si="1"/>
        <v>0</v>
      </c>
      <c r="I46" s="38">
        <v>1</v>
      </c>
      <c r="J46" s="41">
        <f t="shared" si="2"/>
        <v>1</v>
      </c>
      <c r="K46" s="38"/>
      <c r="L46" s="38"/>
      <c r="M46" s="38"/>
      <c r="N46" s="38"/>
      <c r="O46" s="38"/>
      <c r="P46" s="38">
        <v>31</v>
      </c>
      <c r="Q46" s="38"/>
      <c r="R46" s="41">
        <f t="shared" si="3"/>
        <v>31</v>
      </c>
      <c r="S46" s="38"/>
      <c r="T46" s="41">
        <f t="shared" si="9"/>
        <v>0</v>
      </c>
      <c r="U46" s="38"/>
      <c r="V46" s="38"/>
      <c r="W46" s="38"/>
      <c r="X46" s="38"/>
      <c r="Y46" s="38"/>
      <c r="Z46" s="38">
        <v>6</v>
      </c>
      <c r="AA46" s="41">
        <f t="shared" si="5"/>
        <v>6</v>
      </c>
      <c r="AB46" s="38">
        <v>5</v>
      </c>
      <c r="AC46" s="38"/>
      <c r="AD46" s="38"/>
      <c r="AE46" s="38"/>
      <c r="AF46" s="38"/>
      <c r="AG46" s="38">
        <v>2</v>
      </c>
      <c r="AH46" s="38">
        <v>5</v>
      </c>
      <c r="AI46" s="38"/>
      <c r="AJ46" s="38"/>
      <c r="AK46" s="38"/>
      <c r="AL46" s="38"/>
      <c r="AM46" s="38">
        <v>3</v>
      </c>
      <c r="AN46" s="38"/>
      <c r="AO46" s="38"/>
      <c r="AP46" s="38">
        <v>4</v>
      </c>
      <c r="AQ46" s="38"/>
      <c r="AR46" s="38">
        <v>1</v>
      </c>
      <c r="AS46" s="38">
        <v>1</v>
      </c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>
        <v>15</v>
      </c>
      <c r="BE46" s="38"/>
      <c r="BF46" s="38"/>
      <c r="BG46" s="38"/>
      <c r="BH46" s="38"/>
      <c r="BI46" s="41">
        <f t="shared" si="6"/>
        <v>36</v>
      </c>
      <c r="BJ46" s="41">
        <f t="shared" si="10"/>
        <v>110</v>
      </c>
      <c r="BK46" s="38">
        <v>1</v>
      </c>
      <c r="BL46" s="41">
        <f t="shared" si="8"/>
        <v>1</v>
      </c>
    </row>
    <row r="47" spans="1:64">
      <c r="A47" s="5" t="s">
        <v>43</v>
      </c>
      <c r="B47" s="38">
        <v>1</v>
      </c>
      <c r="C47" s="38">
        <v>5</v>
      </c>
      <c r="D47" s="41">
        <f t="shared" si="0"/>
        <v>6</v>
      </c>
      <c r="E47" s="38"/>
      <c r="F47" s="38"/>
      <c r="G47" s="38">
        <v>1</v>
      </c>
      <c r="H47" s="41">
        <f t="shared" si="1"/>
        <v>1</v>
      </c>
      <c r="I47" s="38"/>
      <c r="J47" s="41">
        <f t="shared" si="2"/>
        <v>0</v>
      </c>
      <c r="K47" s="38"/>
      <c r="L47" s="38"/>
      <c r="M47" s="38"/>
      <c r="N47" s="38"/>
      <c r="O47" s="38"/>
      <c r="P47" s="38">
        <v>15</v>
      </c>
      <c r="Q47" s="38"/>
      <c r="R47" s="41">
        <f t="shared" si="3"/>
        <v>15</v>
      </c>
      <c r="S47" s="38"/>
      <c r="T47" s="41">
        <f t="shared" si="9"/>
        <v>0</v>
      </c>
      <c r="U47" s="38"/>
      <c r="V47" s="38"/>
      <c r="W47" s="38"/>
      <c r="X47" s="38">
        <v>1</v>
      </c>
      <c r="Y47" s="38"/>
      <c r="Z47" s="38">
        <v>4</v>
      </c>
      <c r="AA47" s="41">
        <f t="shared" si="5"/>
        <v>5</v>
      </c>
      <c r="AB47" s="38"/>
      <c r="AC47" s="38"/>
      <c r="AD47" s="38"/>
      <c r="AE47" s="38"/>
      <c r="AF47" s="38"/>
      <c r="AG47" s="38">
        <v>2</v>
      </c>
      <c r="AH47" s="38">
        <v>2</v>
      </c>
      <c r="AI47" s="38"/>
      <c r="AJ47" s="38"/>
      <c r="AK47" s="38"/>
      <c r="AL47" s="38"/>
      <c r="AM47" s="38">
        <v>4</v>
      </c>
      <c r="AN47" s="38"/>
      <c r="AO47" s="38"/>
      <c r="AP47" s="38"/>
      <c r="AQ47" s="38"/>
      <c r="AR47" s="38"/>
      <c r="AS47" s="38">
        <v>1</v>
      </c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>
        <v>9</v>
      </c>
      <c r="BE47" s="38"/>
      <c r="BF47" s="38"/>
      <c r="BG47" s="38"/>
      <c r="BH47" s="38"/>
      <c r="BI47" s="41">
        <f t="shared" si="6"/>
        <v>18</v>
      </c>
      <c r="BJ47" s="41">
        <f t="shared" si="10"/>
        <v>58</v>
      </c>
      <c r="BK47" s="38"/>
      <c r="BL47" s="41">
        <f t="shared" si="8"/>
        <v>0</v>
      </c>
    </row>
    <row r="48" spans="1:64">
      <c r="A48" s="5" t="s">
        <v>77</v>
      </c>
      <c r="B48" s="38"/>
      <c r="C48" s="38">
        <v>34</v>
      </c>
      <c r="D48" s="41">
        <f t="shared" si="0"/>
        <v>34</v>
      </c>
      <c r="E48" s="38"/>
      <c r="F48" s="38"/>
      <c r="G48" s="38"/>
      <c r="H48" s="41">
        <f t="shared" si="1"/>
        <v>0</v>
      </c>
      <c r="I48" s="38"/>
      <c r="J48" s="41">
        <f t="shared" si="2"/>
        <v>0</v>
      </c>
      <c r="K48" s="38"/>
      <c r="L48" s="38">
        <v>8</v>
      </c>
      <c r="M48" s="38"/>
      <c r="N48" s="38"/>
      <c r="O48" s="38"/>
      <c r="P48" s="38">
        <v>59</v>
      </c>
      <c r="Q48" s="38"/>
      <c r="R48" s="41">
        <f t="shared" si="3"/>
        <v>67</v>
      </c>
      <c r="S48" s="38"/>
      <c r="T48" s="41">
        <f t="shared" si="9"/>
        <v>0</v>
      </c>
      <c r="U48" s="38"/>
      <c r="V48" s="38"/>
      <c r="W48" s="38"/>
      <c r="X48" s="38">
        <v>7</v>
      </c>
      <c r="Y48" s="38"/>
      <c r="Z48" s="38"/>
      <c r="AA48" s="41">
        <f t="shared" si="5"/>
        <v>7</v>
      </c>
      <c r="AB48" s="38">
        <v>1</v>
      </c>
      <c r="AC48" s="38"/>
      <c r="AD48" s="38"/>
      <c r="AE48" s="38">
        <v>2</v>
      </c>
      <c r="AF48" s="38"/>
      <c r="AG48" s="38">
        <v>2</v>
      </c>
      <c r="AH48" s="38">
        <v>19</v>
      </c>
      <c r="AI48" s="38"/>
      <c r="AJ48" s="38"/>
      <c r="AK48" s="38"/>
      <c r="AL48" s="38"/>
      <c r="AM48" s="38">
        <v>15</v>
      </c>
      <c r="AN48" s="38">
        <v>1</v>
      </c>
      <c r="AO48" s="38">
        <v>3</v>
      </c>
      <c r="AP48" s="38"/>
      <c r="AQ48" s="38"/>
      <c r="AR48" s="38">
        <v>7</v>
      </c>
      <c r="AS48" s="38">
        <v>4</v>
      </c>
      <c r="AT48" s="38">
        <v>7</v>
      </c>
      <c r="AU48" s="38"/>
      <c r="AV48" s="38">
        <v>6</v>
      </c>
      <c r="AW48" s="38">
        <v>7</v>
      </c>
      <c r="AX48" s="38">
        <v>1</v>
      </c>
      <c r="AY48" s="38"/>
      <c r="AZ48" s="38"/>
      <c r="BA48" s="38"/>
      <c r="BB48" s="38"/>
      <c r="BC48" s="38">
        <v>1</v>
      </c>
      <c r="BD48" s="38">
        <v>28</v>
      </c>
      <c r="BE48" s="38"/>
      <c r="BF48" s="38"/>
      <c r="BG48" s="38"/>
      <c r="BH48" s="38"/>
      <c r="BI48" s="41">
        <f t="shared" si="6"/>
        <v>104</v>
      </c>
      <c r="BJ48" s="41">
        <f t="shared" si="10"/>
        <v>252</v>
      </c>
      <c r="BK48" s="38">
        <v>6</v>
      </c>
      <c r="BL48" s="41">
        <f t="shared" si="8"/>
        <v>6</v>
      </c>
    </row>
    <row r="49" spans="1:64">
      <c r="A49" s="5" t="s">
        <v>78</v>
      </c>
      <c r="B49" s="38">
        <v>4</v>
      </c>
      <c r="C49" s="38">
        <v>26</v>
      </c>
      <c r="D49" s="41">
        <f t="shared" si="0"/>
        <v>30</v>
      </c>
      <c r="E49" s="38"/>
      <c r="F49" s="38"/>
      <c r="G49" s="38">
        <v>1</v>
      </c>
      <c r="H49" s="41">
        <f t="shared" si="1"/>
        <v>1</v>
      </c>
      <c r="I49" s="38"/>
      <c r="J49" s="41">
        <f t="shared" si="2"/>
        <v>0</v>
      </c>
      <c r="K49" s="38"/>
      <c r="L49" s="38"/>
      <c r="M49" s="38">
        <v>4</v>
      </c>
      <c r="N49" s="38"/>
      <c r="O49" s="38">
        <v>1</v>
      </c>
      <c r="P49" s="38">
        <v>57</v>
      </c>
      <c r="Q49" s="38"/>
      <c r="R49" s="41">
        <f t="shared" si="3"/>
        <v>62</v>
      </c>
      <c r="S49" s="38"/>
      <c r="T49" s="41">
        <f t="shared" si="9"/>
        <v>0</v>
      </c>
      <c r="U49" s="38"/>
      <c r="V49" s="38"/>
      <c r="W49" s="38"/>
      <c r="X49" s="38">
        <v>6</v>
      </c>
      <c r="Y49" s="38"/>
      <c r="Z49" s="38"/>
      <c r="AA49" s="41">
        <f t="shared" si="5"/>
        <v>6</v>
      </c>
      <c r="AB49" s="38"/>
      <c r="AC49" s="38"/>
      <c r="AD49" s="38"/>
      <c r="AE49" s="38"/>
      <c r="AF49" s="38"/>
      <c r="AG49" s="38">
        <v>3</v>
      </c>
      <c r="AH49" s="38">
        <v>13</v>
      </c>
      <c r="AI49" s="38"/>
      <c r="AJ49" s="38"/>
      <c r="AK49" s="38"/>
      <c r="AL49" s="38">
        <v>1</v>
      </c>
      <c r="AM49" s="38">
        <v>15</v>
      </c>
      <c r="AN49" s="38">
        <v>6</v>
      </c>
      <c r="AO49" s="38">
        <v>2</v>
      </c>
      <c r="AP49" s="38">
        <v>1</v>
      </c>
      <c r="AQ49" s="38"/>
      <c r="AR49" s="38">
        <v>11</v>
      </c>
      <c r="AS49" s="38">
        <v>2</v>
      </c>
      <c r="AT49" s="38">
        <v>10</v>
      </c>
      <c r="AU49" s="38"/>
      <c r="AV49" s="38">
        <v>6</v>
      </c>
      <c r="AW49" s="38">
        <v>3</v>
      </c>
      <c r="AX49" s="38"/>
      <c r="AY49" s="38"/>
      <c r="AZ49" s="38"/>
      <c r="BA49" s="38"/>
      <c r="BB49" s="38"/>
      <c r="BC49" s="38"/>
      <c r="BD49" s="38">
        <v>38</v>
      </c>
      <c r="BE49" s="38"/>
      <c r="BF49" s="38"/>
      <c r="BG49" s="38"/>
      <c r="BH49" s="38"/>
      <c r="BI49" s="41">
        <f t="shared" si="6"/>
        <v>111</v>
      </c>
      <c r="BJ49" s="41">
        <f t="shared" si="10"/>
        <v>247</v>
      </c>
      <c r="BK49" s="38"/>
      <c r="BL49" s="41">
        <f t="shared" si="8"/>
        <v>0</v>
      </c>
    </row>
    <row r="50" spans="1:64">
      <c r="A50" s="5" t="s">
        <v>79</v>
      </c>
      <c r="B50" s="38">
        <v>4</v>
      </c>
      <c r="C50" s="38">
        <v>28</v>
      </c>
      <c r="D50" s="41">
        <f t="shared" si="0"/>
        <v>32</v>
      </c>
      <c r="E50" s="38"/>
      <c r="F50" s="38"/>
      <c r="G50" s="38"/>
      <c r="H50" s="41">
        <f t="shared" si="1"/>
        <v>0</v>
      </c>
      <c r="I50" s="38"/>
      <c r="J50" s="41">
        <f t="shared" si="2"/>
        <v>0</v>
      </c>
      <c r="K50" s="38"/>
      <c r="L50" s="38">
        <v>3</v>
      </c>
      <c r="M50" s="38"/>
      <c r="N50" s="38">
        <v>6</v>
      </c>
      <c r="O50" s="38"/>
      <c r="P50" s="38">
        <v>40</v>
      </c>
      <c r="Q50" s="38"/>
      <c r="R50" s="41">
        <f t="shared" si="3"/>
        <v>49</v>
      </c>
      <c r="S50" s="38">
        <v>1</v>
      </c>
      <c r="T50" s="41">
        <f t="shared" si="9"/>
        <v>1</v>
      </c>
      <c r="U50" s="38"/>
      <c r="V50" s="38">
        <v>7</v>
      </c>
      <c r="W50" s="38"/>
      <c r="X50" s="38">
        <v>8</v>
      </c>
      <c r="Y50" s="38"/>
      <c r="Z50" s="38"/>
      <c r="AA50" s="41">
        <f t="shared" si="5"/>
        <v>15</v>
      </c>
      <c r="AB50" s="38">
        <v>1</v>
      </c>
      <c r="AC50" s="38"/>
      <c r="AD50" s="38"/>
      <c r="AE50" s="38"/>
      <c r="AF50" s="38"/>
      <c r="AG50" s="38"/>
      <c r="AH50" s="38">
        <v>15</v>
      </c>
      <c r="AI50" s="38"/>
      <c r="AJ50" s="38"/>
      <c r="AK50" s="38"/>
      <c r="AL50" s="38"/>
      <c r="AM50" s="38">
        <v>25</v>
      </c>
      <c r="AN50" s="38"/>
      <c r="AO50" s="38">
        <v>7</v>
      </c>
      <c r="AP50" s="38">
        <v>27</v>
      </c>
      <c r="AQ50" s="38">
        <v>6</v>
      </c>
      <c r="AR50" s="38">
        <v>4</v>
      </c>
      <c r="AS50" s="38">
        <v>19</v>
      </c>
      <c r="AT50" s="38">
        <v>19</v>
      </c>
      <c r="AU50" s="38"/>
      <c r="AV50" s="38">
        <v>6</v>
      </c>
      <c r="AW50" s="38">
        <v>4</v>
      </c>
      <c r="AX50" s="38"/>
      <c r="AY50" s="38"/>
      <c r="AZ50" s="38"/>
      <c r="BA50" s="38"/>
      <c r="BB50" s="38"/>
      <c r="BC50" s="38">
        <v>6</v>
      </c>
      <c r="BD50" s="38">
        <v>11</v>
      </c>
      <c r="BE50" s="38"/>
      <c r="BF50" s="38"/>
      <c r="BG50" s="38"/>
      <c r="BH50" s="38"/>
      <c r="BI50" s="41">
        <f t="shared" si="6"/>
        <v>150</v>
      </c>
      <c r="BJ50" s="41">
        <f t="shared" si="10"/>
        <v>280</v>
      </c>
      <c r="BK50" s="38">
        <v>2</v>
      </c>
      <c r="BL50" s="41">
        <f t="shared" si="8"/>
        <v>2</v>
      </c>
    </row>
    <row r="51" spans="1:64">
      <c r="A51" s="5" t="s">
        <v>80</v>
      </c>
      <c r="B51" s="38">
        <v>4</v>
      </c>
      <c r="C51" s="38">
        <v>25</v>
      </c>
      <c r="D51" s="41">
        <f t="shared" si="0"/>
        <v>29</v>
      </c>
      <c r="E51" s="38"/>
      <c r="F51" s="38"/>
      <c r="G51" s="38"/>
      <c r="H51" s="41">
        <f t="shared" si="1"/>
        <v>0</v>
      </c>
      <c r="I51" s="38"/>
      <c r="J51" s="41">
        <f t="shared" si="2"/>
        <v>0</v>
      </c>
      <c r="K51" s="38"/>
      <c r="L51" s="38"/>
      <c r="M51" s="38"/>
      <c r="N51" s="38"/>
      <c r="O51" s="38"/>
      <c r="P51" s="38">
        <v>17</v>
      </c>
      <c r="Q51" s="38"/>
      <c r="R51" s="41">
        <f t="shared" si="3"/>
        <v>17</v>
      </c>
      <c r="S51" s="38"/>
      <c r="T51" s="41">
        <f t="shared" si="9"/>
        <v>0</v>
      </c>
      <c r="U51" s="38"/>
      <c r="V51" s="38"/>
      <c r="W51" s="38"/>
      <c r="X51" s="38"/>
      <c r="Y51" s="38"/>
      <c r="Z51" s="38"/>
      <c r="AA51" s="41">
        <f t="shared" si="5"/>
        <v>0</v>
      </c>
      <c r="AB51" s="38"/>
      <c r="AC51" s="38"/>
      <c r="AD51" s="38"/>
      <c r="AE51" s="38"/>
      <c r="AF51" s="38"/>
      <c r="AG51" s="38">
        <v>1</v>
      </c>
      <c r="AH51" s="38"/>
      <c r="AI51" s="38"/>
      <c r="AJ51" s="38"/>
      <c r="AK51" s="38"/>
      <c r="AL51" s="38"/>
      <c r="AM51" s="38">
        <v>4</v>
      </c>
      <c r="AN51" s="38"/>
      <c r="AO51" s="38"/>
      <c r="AP51" s="38"/>
      <c r="AQ51" s="38"/>
      <c r="AR51" s="38"/>
      <c r="AS51" s="38">
        <v>1</v>
      </c>
      <c r="AT51" s="38"/>
      <c r="AU51" s="38"/>
      <c r="AV51" s="38">
        <v>4</v>
      </c>
      <c r="AW51" s="38">
        <v>2</v>
      </c>
      <c r="AX51" s="38"/>
      <c r="AY51" s="38"/>
      <c r="AZ51" s="38"/>
      <c r="BA51" s="38"/>
      <c r="BB51" s="38"/>
      <c r="BC51" s="38"/>
      <c r="BD51" s="38">
        <v>4</v>
      </c>
      <c r="BE51" s="38"/>
      <c r="BF51" s="38"/>
      <c r="BG51" s="38"/>
      <c r="BH51" s="38"/>
      <c r="BI51" s="41">
        <f t="shared" si="6"/>
        <v>16</v>
      </c>
      <c r="BJ51" s="41">
        <f t="shared" si="10"/>
        <v>50</v>
      </c>
      <c r="BK51" s="38"/>
      <c r="BL51" s="41">
        <f t="shared" si="8"/>
        <v>0</v>
      </c>
    </row>
    <row r="52" spans="1:64">
      <c r="A52" s="5" t="s">
        <v>44</v>
      </c>
      <c r="B52" s="38">
        <v>2</v>
      </c>
      <c r="C52" s="38">
        <v>4</v>
      </c>
      <c r="D52" s="41">
        <f t="shared" si="0"/>
        <v>6</v>
      </c>
      <c r="E52" s="38"/>
      <c r="F52" s="38"/>
      <c r="G52" s="38"/>
      <c r="H52" s="41">
        <f t="shared" si="1"/>
        <v>0</v>
      </c>
      <c r="I52" s="38"/>
      <c r="J52" s="41">
        <f t="shared" si="2"/>
        <v>0</v>
      </c>
      <c r="K52" s="38"/>
      <c r="L52" s="38"/>
      <c r="M52" s="38">
        <v>5</v>
      </c>
      <c r="N52" s="38"/>
      <c r="O52" s="38"/>
      <c r="P52" s="38"/>
      <c r="Q52" s="38"/>
      <c r="R52" s="41">
        <f t="shared" si="3"/>
        <v>5</v>
      </c>
      <c r="S52" s="38"/>
      <c r="T52" s="41">
        <f t="shared" si="9"/>
        <v>0</v>
      </c>
      <c r="U52" s="38"/>
      <c r="V52" s="38">
        <v>2</v>
      </c>
      <c r="W52" s="38"/>
      <c r="X52" s="38"/>
      <c r="Y52" s="38"/>
      <c r="Z52" s="38"/>
      <c r="AA52" s="41">
        <f t="shared" si="5"/>
        <v>2</v>
      </c>
      <c r="AB52" s="38"/>
      <c r="AC52" s="38"/>
      <c r="AD52" s="38"/>
      <c r="AE52" s="38"/>
      <c r="AF52" s="38"/>
      <c r="AG52" s="38">
        <v>2</v>
      </c>
      <c r="AH52" s="38">
        <v>1</v>
      </c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>
        <v>1</v>
      </c>
      <c r="BE52" s="38"/>
      <c r="BF52" s="38"/>
      <c r="BG52" s="38"/>
      <c r="BH52" s="38"/>
      <c r="BI52" s="41">
        <f t="shared" si="6"/>
        <v>4</v>
      </c>
      <c r="BJ52" s="41">
        <f t="shared" si="10"/>
        <v>18</v>
      </c>
      <c r="BK52" s="38"/>
      <c r="BL52" s="41">
        <f t="shared" si="8"/>
        <v>0</v>
      </c>
    </row>
    <row r="53" spans="1:64">
      <c r="A53" s="5" t="s">
        <v>92</v>
      </c>
      <c r="B53" s="38">
        <v>4</v>
      </c>
      <c r="C53" s="38">
        <v>12</v>
      </c>
      <c r="D53" s="41">
        <f t="shared" si="0"/>
        <v>16</v>
      </c>
      <c r="E53" s="38"/>
      <c r="F53" s="38"/>
      <c r="G53" s="38"/>
      <c r="H53" s="41">
        <f t="shared" si="1"/>
        <v>0</v>
      </c>
      <c r="I53" s="38"/>
      <c r="J53" s="41">
        <f t="shared" si="2"/>
        <v>0</v>
      </c>
      <c r="K53" s="38"/>
      <c r="L53" s="38"/>
      <c r="M53" s="38">
        <v>16</v>
      </c>
      <c r="N53" s="38"/>
      <c r="O53" s="38"/>
      <c r="P53" s="38">
        <v>3</v>
      </c>
      <c r="Q53" s="38"/>
      <c r="R53" s="41">
        <f t="shared" si="3"/>
        <v>19</v>
      </c>
      <c r="S53" s="38"/>
      <c r="T53" s="41">
        <f t="shared" si="9"/>
        <v>0</v>
      </c>
      <c r="U53" s="38"/>
      <c r="V53" s="38">
        <v>4</v>
      </c>
      <c r="W53" s="38"/>
      <c r="X53" s="38"/>
      <c r="Y53" s="38">
        <v>2</v>
      </c>
      <c r="Z53" s="38"/>
      <c r="AA53" s="41">
        <f t="shared" si="5"/>
        <v>6</v>
      </c>
      <c r="AB53" s="38"/>
      <c r="AC53" s="38"/>
      <c r="AD53" s="38">
        <v>3</v>
      </c>
      <c r="AE53" s="38">
        <v>3</v>
      </c>
      <c r="AF53" s="38"/>
      <c r="AG53" s="38">
        <v>3</v>
      </c>
      <c r="AH53" s="38">
        <v>9</v>
      </c>
      <c r="AI53" s="38"/>
      <c r="AJ53" s="38">
        <v>1</v>
      </c>
      <c r="AK53" s="38"/>
      <c r="AL53" s="38"/>
      <c r="AM53" s="38">
        <v>4</v>
      </c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>
        <v>5</v>
      </c>
      <c r="BE53" s="38"/>
      <c r="BF53" s="38"/>
      <c r="BG53" s="38"/>
      <c r="BH53" s="38"/>
      <c r="BI53" s="41">
        <f t="shared" si="6"/>
        <v>28</v>
      </c>
      <c r="BJ53" s="41">
        <f t="shared" si="10"/>
        <v>78</v>
      </c>
      <c r="BK53" s="38"/>
      <c r="BL53" s="41">
        <f t="shared" si="8"/>
        <v>0</v>
      </c>
    </row>
    <row r="54" spans="1:64">
      <c r="A54" s="5" t="s">
        <v>91</v>
      </c>
      <c r="B54" s="38">
        <v>13</v>
      </c>
      <c r="C54" s="38">
        <v>59</v>
      </c>
      <c r="D54" s="41">
        <f t="shared" si="0"/>
        <v>72</v>
      </c>
      <c r="E54" s="38"/>
      <c r="F54" s="38"/>
      <c r="G54" s="38">
        <v>1</v>
      </c>
      <c r="H54" s="41">
        <f t="shared" si="1"/>
        <v>1</v>
      </c>
      <c r="I54" s="38"/>
      <c r="J54" s="41">
        <f t="shared" si="2"/>
        <v>0</v>
      </c>
      <c r="K54" s="38"/>
      <c r="L54" s="38"/>
      <c r="M54" s="38">
        <v>40</v>
      </c>
      <c r="N54" s="38"/>
      <c r="O54" s="38"/>
      <c r="P54" s="38">
        <v>6</v>
      </c>
      <c r="Q54" s="38"/>
      <c r="R54" s="41">
        <f t="shared" si="3"/>
        <v>46</v>
      </c>
      <c r="S54" s="38"/>
      <c r="T54" s="41">
        <f t="shared" si="9"/>
        <v>0</v>
      </c>
      <c r="U54" s="38"/>
      <c r="V54" s="38">
        <v>7</v>
      </c>
      <c r="W54" s="38"/>
      <c r="X54" s="38"/>
      <c r="Y54" s="38"/>
      <c r="Z54" s="38"/>
      <c r="AA54" s="41">
        <f t="shared" si="5"/>
        <v>7</v>
      </c>
      <c r="AB54" s="38"/>
      <c r="AC54" s="38"/>
      <c r="AD54" s="38">
        <v>4</v>
      </c>
      <c r="AE54" s="38">
        <v>4</v>
      </c>
      <c r="AF54" s="38"/>
      <c r="AG54" s="38">
        <v>5</v>
      </c>
      <c r="AH54" s="38">
        <v>31</v>
      </c>
      <c r="AI54" s="38"/>
      <c r="AJ54" s="38">
        <v>2</v>
      </c>
      <c r="AK54" s="38"/>
      <c r="AL54" s="38"/>
      <c r="AM54" s="38">
        <v>24</v>
      </c>
      <c r="AN54" s="38"/>
      <c r="AO54" s="38"/>
      <c r="AP54" s="38"/>
      <c r="AQ54" s="38"/>
      <c r="AR54" s="38">
        <v>5</v>
      </c>
      <c r="AS54" s="38"/>
      <c r="AT54" s="38"/>
      <c r="AU54" s="38"/>
      <c r="AV54" s="38">
        <v>4</v>
      </c>
      <c r="AW54" s="38"/>
      <c r="AX54" s="38"/>
      <c r="AY54" s="38"/>
      <c r="AZ54" s="38"/>
      <c r="BA54" s="38"/>
      <c r="BB54" s="38"/>
      <c r="BC54" s="38">
        <v>3</v>
      </c>
      <c r="BD54" s="38">
        <v>23</v>
      </c>
      <c r="BE54" s="38">
        <v>1</v>
      </c>
      <c r="BF54" s="38"/>
      <c r="BG54" s="38"/>
      <c r="BH54" s="38"/>
      <c r="BI54" s="41">
        <f t="shared" si="6"/>
        <v>106</v>
      </c>
      <c r="BJ54" s="41">
        <f t="shared" si="10"/>
        <v>212</v>
      </c>
      <c r="BK54" s="38">
        <v>5</v>
      </c>
      <c r="BL54" s="41">
        <f t="shared" si="8"/>
        <v>5</v>
      </c>
    </row>
    <row r="55" spans="1:64">
      <c r="A55" s="5" t="s">
        <v>94</v>
      </c>
      <c r="B55" s="38">
        <v>4</v>
      </c>
      <c r="C55" s="38">
        <v>16</v>
      </c>
      <c r="D55" s="41">
        <f t="shared" si="0"/>
        <v>20</v>
      </c>
      <c r="E55" s="38"/>
      <c r="F55" s="38"/>
      <c r="G55" s="38"/>
      <c r="H55" s="41">
        <f t="shared" si="1"/>
        <v>0</v>
      </c>
      <c r="I55" s="38"/>
      <c r="J55" s="41">
        <f t="shared" si="2"/>
        <v>0</v>
      </c>
      <c r="K55" s="38"/>
      <c r="L55" s="38"/>
      <c r="M55" s="38">
        <v>17</v>
      </c>
      <c r="N55" s="38"/>
      <c r="O55" s="38"/>
      <c r="P55" s="38">
        <v>3</v>
      </c>
      <c r="Q55" s="38"/>
      <c r="R55" s="41">
        <f t="shared" si="3"/>
        <v>20</v>
      </c>
      <c r="S55" s="38"/>
      <c r="T55" s="41">
        <f t="shared" si="9"/>
        <v>0</v>
      </c>
      <c r="U55" s="38"/>
      <c r="V55" s="38">
        <v>1</v>
      </c>
      <c r="W55" s="38"/>
      <c r="X55" s="38"/>
      <c r="Y55" s="38"/>
      <c r="Z55" s="38"/>
      <c r="AA55" s="41">
        <f t="shared" si="5"/>
        <v>1</v>
      </c>
      <c r="AB55" s="38"/>
      <c r="AC55" s="38"/>
      <c r="AD55" s="38"/>
      <c r="AE55" s="38"/>
      <c r="AF55" s="38"/>
      <c r="AG55" s="38"/>
      <c r="AH55" s="38">
        <v>2</v>
      </c>
      <c r="AI55" s="38"/>
      <c r="AJ55" s="38"/>
      <c r="AK55" s="38"/>
      <c r="AL55" s="38"/>
      <c r="AM55" s="38">
        <v>1</v>
      </c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>
        <v>6</v>
      </c>
      <c r="BE55" s="38"/>
      <c r="BF55" s="38"/>
      <c r="BG55" s="38"/>
      <c r="BH55" s="38"/>
      <c r="BI55" s="41">
        <f t="shared" si="6"/>
        <v>9</v>
      </c>
      <c r="BJ55" s="41">
        <f t="shared" si="10"/>
        <v>51</v>
      </c>
      <c r="BK55" s="38"/>
      <c r="BL55" s="41">
        <f t="shared" si="8"/>
        <v>0</v>
      </c>
    </row>
    <row r="56" spans="1:64">
      <c r="A56" s="5" t="s">
        <v>45</v>
      </c>
      <c r="B56" s="38">
        <v>7</v>
      </c>
      <c r="C56" s="38">
        <v>14</v>
      </c>
      <c r="D56" s="41">
        <f t="shared" si="0"/>
        <v>21</v>
      </c>
      <c r="E56" s="38"/>
      <c r="F56" s="38"/>
      <c r="G56" s="38">
        <v>1</v>
      </c>
      <c r="H56" s="41">
        <f t="shared" si="1"/>
        <v>1</v>
      </c>
      <c r="I56" s="38"/>
      <c r="J56" s="41">
        <f t="shared" si="2"/>
        <v>0</v>
      </c>
      <c r="K56" s="38"/>
      <c r="L56" s="38"/>
      <c r="M56" s="38">
        <v>29</v>
      </c>
      <c r="N56" s="38"/>
      <c r="O56" s="38"/>
      <c r="P56" s="38">
        <v>4</v>
      </c>
      <c r="Q56" s="38">
        <v>1</v>
      </c>
      <c r="R56" s="41">
        <f t="shared" si="3"/>
        <v>34</v>
      </c>
      <c r="S56" s="38"/>
      <c r="T56" s="41">
        <f t="shared" si="9"/>
        <v>0</v>
      </c>
      <c r="U56" s="38"/>
      <c r="V56" s="38">
        <v>5</v>
      </c>
      <c r="W56" s="38"/>
      <c r="X56" s="38"/>
      <c r="Y56" s="38"/>
      <c r="Z56" s="38"/>
      <c r="AA56" s="41">
        <f t="shared" si="5"/>
        <v>5</v>
      </c>
      <c r="AB56" s="38"/>
      <c r="AC56" s="38"/>
      <c r="AD56" s="38">
        <v>3</v>
      </c>
      <c r="AE56" s="38">
        <v>3</v>
      </c>
      <c r="AF56" s="38"/>
      <c r="AG56" s="38">
        <v>3</v>
      </c>
      <c r="AH56" s="38">
        <v>7</v>
      </c>
      <c r="AI56" s="38"/>
      <c r="AJ56" s="38"/>
      <c r="AK56" s="38"/>
      <c r="AL56" s="38"/>
      <c r="AM56" s="38">
        <v>5</v>
      </c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>
        <v>1</v>
      </c>
      <c r="BD56" s="38">
        <v>7</v>
      </c>
      <c r="BE56" s="38"/>
      <c r="BF56" s="38"/>
      <c r="BG56" s="38"/>
      <c r="BH56" s="38"/>
      <c r="BI56" s="41">
        <f t="shared" si="6"/>
        <v>29</v>
      </c>
      <c r="BJ56" s="41">
        <f t="shared" si="10"/>
        <v>107</v>
      </c>
      <c r="BK56" s="38">
        <v>1</v>
      </c>
      <c r="BL56" s="41">
        <f t="shared" si="8"/>
        <v>1</v>
      </c>
    </row>
    <row r="57" spans="1:64">
      <c r="A57" s="5" t="s">
        <v>46</v>
      </c>
      <c r="B57" s="38">
        <v>2</v>
      </c>
      <c r="C57" s="38">
        <v>17</v>
      </c>
      <c r="D57" s="41">
        <f t="shared" si="0"/>
        <v>19</v>
      </c>
      <c r="E57" s="38"/>
      <c r="F57" s="38"/>
      <c r="G57" s="38"/>
      <c r="H57" s="41">
        <f t="shared" si="1"/>
        <v>0</v>
      </c>
      <c r="I57" s="38"/>
      <c r="J57" s="41">
        <f t="shared" si="2"/>
        <v>0</v>
      </c>
      <c r="K57" s="38"/>
      <c r="L57" s="38"/>
      <c r="M57" s="38">
        <v>18</v>
      </c>
      <c r="N57" s="38"/>
      <c r="O57" s="38"/>
      <c r="P57" s="38">
        <v>4</v>
      </c>
      <c r="Q57" s="38"/>
      <c r="R57" s="41">
        <f t="shared" si="3"/>
        <v>22</v>
      </c>
      <c r="S57" s="38"/>
      <c r="T57" s="41">
        <f t="shared" si="9"/>
        <v>0</v>
      </c>
      <c r="U57" s="38"/>
      <c r="V57" s="38">
        <v>3</v>
      </c>
      <c r="W57" s="38"/>
      <c r="X57" s="38">
        <v>3</v>
      </c>
      <c r="Y57" s="38"/>
      <c r="Z57" s="38"/>
      <c r="AA57" s="41">
        <f t="shared" si="5"/>
        <v>6</v>
      </c>
      <c r="AB57" s="38"/>
      <c r="AC57" s="38"/>
      <c r="AD57" s="38">
        <v>2</v>
      </c>
      <c r="AE57" s="38">
        <v>2</v>
      </c>
      <c r="AF57" s="38"/>
      <c r="AG57" s="38">
        <v>1</v>
      </c>
      <c r="AH57" s="38">
        <v>3</v>
      </c>
      <c r="AI57" s="38"/>
      <c r="AJ57" s="38"/>
      <c r="AK57" s="38"/>
      <c r="AL57" s="38"/>
      <c r="AM57" s="38">
        <v>1</v>
      </c>
      <c r="AN57" s="38"/>
      <c r="AO57" s="38"/>
      <c r="AP57" s="38"/>
      <c r="AQ57" s="38"/>
      <c r="AR57" s="38"/>
      <c r="AS57" s="38">
        <v>2</v>
      </c>
      <c r="AT57" s="38"/>
      <c r="AU57" s="38"/>
      <c r="AV57" s="38">
        <v>1</v>
      </c>
      <c r="AW57" s="38"/>
      <c r="AX57" s="38"/>
      <c r="AY57" s="38"/>
      <c r="AZ57" s="38"/>
      <c r="BA57" s="38"/>
      <c r="BB57" s="38"/>
      <c r="BC57" s="38"/>
      <c r="BD57" s="38">
        <v>6</v>
      </c>
      <c r="BE57" s="38"/>
      <c r="BF57" s="38"/>
      <c r="BG57" s="38"/>
      <c r="BH57" s="38"/>
      <c r="BI57" s="41">
        <f t="shared" si="6"/>
        <v>18</v>
      </c>
      <c r="BJ57" s="41">
        <f t="shared" si="10"/>
        <v>74</v>
      </c>
      <c r="BK57" s="38"/>
      <c r="BL57" s="41">
        <f t="shared" si="8"/>
        <v>0</v>
      </c>
    </row>
    <row r="58" spans="1:64">
      <c r="A58" s="5" t="s">
        <v>210</v>
      </c>
      <c r="B58" s="38">
        <v>1</v>
      </c>
      <c r="C58" s="38">
        <v>77</v>
      </c>
      <c r="D58" s="41">
        <f t="shared" ref="D58:D82" si="11">SUM(B58:C58)</f>
        <v>78</v>
      </c>
      <c r="E58" s="38"/>
      <c r="F58" s="38"/>
      <c r="G58" s="38"/>
      <c r="H58" s="41">
        <f t="shared" ref="H58:H82" si="12">SUM(E58:G58)</f>
        <v>0</v>
      </c>
      <c r="I58" s="38"/>
      <c r="J58" s="41">
        <f t="shared" ref="J58:J82" si="13">SUM(I58)</f>
        <v>0</v>
      </c>
      <c r="K58" s="38"/>
      <c r="L58" s="38"/>
      <c r="M58" s="38"/>
      <c r="N58" s="38">
        <v>27</v>
      </c>
      <c r="O58" s="38"/>
      <c r="P58" s="38">
        <v>24</v>
      </c>
      <c r="Q58" s="38"/>
      <c r="R58" s="41">
        <f t="shared" ref="R58:R82" si="14">SUM(K58:Q58)</f>
        <v>51</v>
      </c>
      <c r="S58" s="38"/>
      <c r="T58" s="41">
        <f t="shared" si="9"/>
        <v>0</v>
      </c>
      <c r="U58" s="38"/>
      <c r="V58" s="38"/>
      <c r="W58" s="38"/>
      <c r="X58" s="38">
        <v>1</v>
      </c>
      <c r="Y58" s="38"/>
      <c r="Z58" s="38"/>
      <c r="AA58" s="41">
        <f t="shared" ref="AA58:AA82" si="15">SUM(U58:Z58)</f>
        <v>1</v>
      </c>
      <c r="AB58" s="38">
        <v>7</v>
      </c>
      <c r="AC58" s="38"/>
      <c r="AD58" s="38"/>
      <c r="AE58" s="38"/>
      <c r="AF58" s="38"/>
      <c r="AG58" s="38">
        <v>5</v>
      </c>
      <c r="AH58" s="38">
        <v>2</v>
      </c>
      <c r="AI58" s="38"/>
      <c r="AJ58" s="38">
        <v>2</v>
      </c>
      <c r="AK58" s="38"/>
      <c r="AL58" s="38"/>
      <c r="AM58" s="38">
        <v>22</v>
      </c>
      <c r="AN58" s="38"/>
      <c r="AO58" s="38"/>
      <c r="AP58" s="38"/>
      <c r="AQ58" s="38"/>
      <c r="AR58" s="38">
        <v>32</v>
      </c>
      <c r="AS58" s="38">
        <v>4</v>
      </c>
      <c r="AT58" s="38"/>
      <c r="AU58" s="38"/>
      <c r="AV58" s="38">
        <v>17</v>
      </c>
      <c r="AW58" s="38"/>
      <c r="AX58" s="38"/>
      <c r="AY58" s="38"/>
      <c r="AZ58" s="38">
        <v>1</v>
      </c>
      <c r="BA58" s="38"/>
      <c r="BB58" s="38"/>
      <c r="BC58" s="38">
        <v>2</v>
      </c>
      <c r="BD58" s="38"/>
      <c r="BE58" s="38"/>
      <c r="BF58" s="38"/>
      <c r="BG58" s="38"/>
      <c r="BH58" s="38">
        <v>1</v>
      </c>
      <c r="BI58" s="41">
        <f t="shared" ref="BI58:BI82" si="16">SUM(AB58:BH58)</f>
        <v>95</v>
      </c>
      <c r="BJ58" s="41">
        <f t="shared" ref="BJ58:BJ82" si="17">SUM(K58:BH58)</f>
        <v>199</v>
      </c>
      <c r="BK58" s="38">
        <v>1</v>
      </c>
      <c r="BL58" s="41">
        <f t="shared" ref="BL58:BL82" si="18">SUM(BK58)</f>
        <v>1</v>
      </c>
    </row>
    <row r="59" spans="1:64">
      <c r="A59" s="5" t="s">
        <v>211</v>
      </c>
      <c r="B59" s="38">
        <v>1</v>
      </c>
      <c r="C59" s="38">
        <v>67</v>
      </c>
      <c r="D59" s="41">
        <f t="shared" si="11"/>
        <v>68</v>
      </c>
      <c r="E59" s="38"/>
      <c r="F59" s="38"/>
      <c r="G59" s="38"/>
      <c r="H59" s="41">
        <f t="shared" si="12"/>
        <v>0</v>
      </c>
      <c r="I59" s="38"/>
      <c r="J59" s="41">
        <f t="shared" si="13"/>
        <v>0</v>
      </c>
      <c r="K59" s="38"/>
      <c r="L59" s="38"/>
      <c r="M59" s="38"/>
      <c r="N59" s="38">
        <v>33</v>
      </c>
      <c r="O59" s="38"/>
      <c r="P59" s="38">
        <v>26</v>
      </c>
      <c r="Q59" s="38"/>
      <c r="R59" s="41">
        <f t="shared" si="14"/>
        <v>59</v>
      </c>
      <c r="S59" s="38"/>
      <c r="T59" s="41">
        <f t="shared" si="9"/>
        <v>0</v>
      </c>
      <c r="U59" s="38"/>
      <c r="V59" s="38"/>
      <c r="W59" s="38"/>
      <c r="X59" s="38"/>
      <c r="Y59" s="38">
        <v>1</v>
      </c>
      <c r="Z59" s="38"/>
      <c r="AA59" s="41">
        <f t="shared" si="15"/>
        <v>1</v>
      </c>
      <c r="AB59" s="38"/>
      <c r="AC59" s="38"/>
      <c r="AD59" s="38"/>
      <c r="AE59" s="38"/>
      <c r="AF59" s="38"/>
      <c r="AG59" s="38">
        <v>4</v>
      </c>
      <c r="AH59" s="38">
        <v>3</v>
      </c>
      <c r="AI59" s="38"/>
      <c r="AJ59" s="38">
        <v>2</v>
      </c>
      <c r="AK59" s="38"/>
      <c r="AL59" s="38"/>
      <c r="AM59" s="38">
        <v>21</v>
      </c>
      <c r="AN59" s="38"/>
      <c r="AO59" s="38"/>
      <c r="AP59" s="38"/>
      <c r="AQ59" s="38"/>
      <c r="AR59" s="38">
        <v>2</v>
      </c>
      <c r="AS59" s="38">
        <v>3</v>
      </c>
      <c r="AT59" s="38"/>
      <c r="AU59" s="38"/>
      <c r="AV59" s="38">
        <v>8</v>
      </c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>
        <v>1</v>
      </c>
      <c r="BI59" s="41">
        <f t="shared" si="16"/>
        <v>44</v>
      </c>
      <c r="BJ59" s="41">
        <f t="shared" si="17"/>
        <v>164</v>
      </c>
      <c r="BK59" s="38">
        <v>5</v>
      </c>
      <c r="BL59" s="41">
        <f t="shared" si="18"/>
        <v>5</v>
      </c>
    </row>
    <row r="60" spans="1:64">
      <c r="A60" s="5" t="s">
        <v>47</v>
      </c>
      <c r="B60" s="38">
        <v>2</v>
      </c>
      <c r="C60" s="38">
        <v>46</v>
      </c>
      <c r="D60" s="41">
        <f t="shared" si="11"/>
        <v>48</v>
      </c>
      <c r="E60" s="38"/>
      <c r="F60" s="38"/>
      <c r="G60" s="38"/>
      <c r="H60" s="41">
        <f t="shared" si="12"/>
        <v>0</v>
      </c>
      <c r="I60" s="38"/>
      <c r="J60" s="41">
        <f t="shared" si="13"/>
        <v>0</v>
      </c>
      <c r="K60" s="38"/>
      <c r="L60" s="38"/>
      <c r="M60" s="38"/>
      <c r="N60" s="38">
        <v>16</v>
      </c>
      <c r="O60" s="38"/>
      <c r="P60" s="38">
        <v>16</v>
      </c>
      <c r="Q60" s="38"/>
      <c r="R60" s="41">
        <f t="shared" si="14"/>
        <v>32</v>
      </c>
      <c r="S60" s="38"/>
      <c r="T60" s="41">
        <f t="shared" si="9"/>
        <v>0</v>
      </c>
      <c r="U60" s="38"/>
      <c r="V60" s="38"/>
      <c r="W60" s="38"/>
      <c r="X60" s="38"/>
      <c r="Y60" s="38"/>
      <c r="Z60" s="38"/>
      <c r="AA60" s="41">
        <f t="shared" si="15"/>
        <v>0</v>
      </c>
      <c r="AB60" s="38"/>
      <c r="AC60" s="38"/>
      <c r="AD60" s="38"/>
      <c r="AE60" s="38"/>
      <c r="AF60" s="38"/>
      <c r="AG60" s="38">
        <v>2</v>
      </c>
      <c r="AH60" s="38"/>
      <c r="AI60" s="38"/>
      <c r="AJ60" s="38">
        <v>1</v>
      </c>
      <c r="AK60" s="38"/>
      <c r="AL60" s="38"/>
      <c r="AM60" s="38">
        <v>10</v>
      </c>
      <c r="AN60" s="38"/>
      <c r="AO60" s="38"/>
      <c r="AP60" s="38"/>
      <c r="AQ60" s="38"/>
      <c r="AR60" s="38">
        <v>2</v>
      </c>
      <c r="AS60" s="38">
        <v>2</v>
      </c>
      <c r="AT60" s="38"/>
      <c r="AU60" s="38"/>
      <c r="AV60" s="38">
        <v>8</v>
      </c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41">
        <f t="shared" si="16"/>
        <v>25</v>
      </c>
      <c r="BJ60" s="41">
        <f t="shared" si="17"/>
        <v>89</v>
      </c>
      <c r="BK60" s="38"/>
      <c r="BL60" s="41">
        <f t="shared" si="18"/>
        <v>0</v>
      </c>
    </row>
    <row r="61" spans="1:64">
      <c r="A61" s="5" t="s">
        <v>55</v>
      </c>
      <c r="B61" s="38">
        <v>9</v>
      </c>
      <c r="C61" s="38">
        <v>40</v>
      </c>
      <c r="D61" s="41">
        <f t="shared" si="11"/>
        <v>49</v>
      </c>
      <c r="E61" s="38"/>
      <c r="F61" s="38"/>
      <c r="G61" s="38"/>
      <c r="H61" s="41">
        <f t="shared" si="12"/>
        <v>0</v>
      </c>
      <c r="I61" s="38"/>
      <c r="J61" s="41">
        <f t="shared" si="13"/>
        <v>0</v>
      </c>
      <c r="K61" s="38"/>
      <c r="L61" s="38">
        <v>4</v>
      </c>
      <c r="M61" s="38"/>
      <c r="N61" s="38">
        <v>18</v>
      </c>
      <c r="O61" s="38"/>
      <c r="P61" s="38">
        <v>2</v>
      </c>
      <c r="Q61" s="38">
        <v>20</v>
      </c>
      <c r="R61" s="41">
        <f t="shared" si="14"/>
        <v>44</v>
      </c>
      <c r="S61" s="38"/>
      <c r="T61" s="41">
        <f t="shared" si="9"/>
        <v>0</v>
      </c>
      <c r="U61" s="38"/>
      <c r="V61" s="38"/>
      <c r="W61" s="38"/>
      <c r="X61" s="38">
        <v>4</v>
      </c>
      <c r="Y61" s="38"/>
      <c r="Z61" s="38"/>
      <c r="AA61" s="41">
        <f t="shared" si="15"/>
        <v>4</v>
      </c>
      <c r="AB61" s="38"/>
      <c r="AC61" s="38"/>
      <c r="AD61" s="38"/>
      <c r="AE61" s="38"/>
      <c r="AF61" s="38"/>
      <c r="AG61" s="38">
        <v>25</v>
      </c>
      <c r="AH61" s="38">
        <v>43</v>
      </c>
      <c r="AI61" s="38"/>
      <c r="AJ61" s="38">
        <v>18</v>
      </c>
      <c r="AK61" s="38"/>
      <c r="AL61" s="38"/>
      <c r="AM61" s="38">
        <v>31</v>
      </c>
      <c r="AN61" s="38"/>
      <c r="AO61" s="38"/>
      <c r="AP61" s="38">
        <v>2</v>
      </c>
      <c r="AQ61" s="38">
        <v>10</v>
      </c>
      <c r="AR61" s="38">
        <v>5</v>
      </c>
      <c r="AS61" s="38">
        <v>34</v>
      </c>
      <c r="AT61" s="38">
        <v>8</v>
      </c>
      <c r="AU61" s="38"/>
      <c r="AV61" s="38">
        <v>16</v>
      </c>
      <c r="AW61" s="38">
        <v>2</v>
      </c>
      <c r="AX61" s="38"/>
      <c r="AY61" s="38"/>
      <c r="AZ61" s="38"/>
      <c r="BA61" s="38"/>
      <c r="BB61" s="38"/>
      <c r="BC61" s="38"/>
      <c r="BD61" s="38">
        <v>16</v>
      </c>
      <c r="BE61" s="38"/>
      <c r="BF61" s="38"/>
      <c r="BG61" s="38"/>
      <c r="BH61" s="38"/>
      <c r="BI61" s="41">
        <f t="shared" si="16"/>
        <v>210</v>
      </c>
      <c r="BJ61" s="41">
        <f t="shared" si="17"/>
        <v>306</v>
      </c>
      <c r="BK61" s="38">
        <v>24</v>
      </c>
      <c r="BL61" s="41">
        <f t="shared" si="18"/>
        <v>24</v>
      </c>
    </row>
    <row r="62" spans="1:64">
      <c r="A62" s="5" t="s">
        <v>48</v>
      </c>
      <c r="B62" s="38"/>
      <c r="C62" s="38">
        <v>2</v>
      </c>
      <c r="D62" s="41">
        <f t="shared" si="11"/>
        <v>2</v>
      </c>
      <c r="E62" s="38"/>
      <c r="F62" s="38"/>
      <c r="G62" s="38"/>
      <c r="H62" s="41">
        <f t="shared" si="12"/>
        <v>0</v>
      </c>
      <c r="I62" s="38"/>
      <c r="J62" s="41">
        <f t="shared" si="13"/>
        <v>0</v>
      </c>
      <c r="K62" s="38"/>
      <c r="L62" s="38">
        <v>2</v>
      </c>
      <c r="M62" s="38"/>
      <c r="N62" s="38">
        <v>21</v>
      </c>
      <c r="O62" s="38"/>
      <c r="P62" s="38">
        <v>15</v>
      </c>
      <c r="Q62" s="38"/>
      <c r="R62" s="41">
        <f t="shared" si="14"/>
        <v>38</v>
      </c>
      <c r="S62" s="38"/>
      <c r="T62" s="41">
        <f t="shared" si="9"/>
        <v>0</v>
      </c>
      <c r="U62" s="38"/>
      <c r="V62" s="38"/>
      <c r="W62" s="38"/>
      <c r="X62" s="38"/>
      <c r="Y62" s="38"/>
      <c r="Z62" s="38"/>
      <c r="AA62" s="41">
        <f t="shared" si="15"/>
        <v>0</v>
      </c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>
        <v>6</v>
      </c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>
        <v>1</v>
      </c>
      <c r="BE62" s="38"/>
      <c r="BF62" s="38"/>
      <c r="BG62" s="38"/>
      <c r="BH62" s="38"/>
      <c r="BI62" s="41">
        <f t="shared" si="16"/>
        <v>7</v>
      </c>
      <c r="BJ62" s="41">
        <f t="shared" si="17"/>
        <v>83</v>
      </c>
      <c r="BK62" s="38"/>
      <c r="BL62" s="41">
        <f t="shared" si="18"/>
        <v>0</v>
      </c>
    </row>
    <row r="63" spans="1:64">
      <c r="A63" s="5" t="s">
        <v>209</v>
      </c>
      <c r="B63" s="38">
        <v>9</v>
      </c>
      <c r="C63" s="38">
        <v>22</v>
      </c>
      <c r="D63" s="41">
        <f t="shared" si="11"/>
        <v>31</v>
      </c>
      <c r="E63" s="38"/>
      <c r="F63" s="38"/>
      <c r="G63" s="38"/>
      <c r="H63" s="41">
        <f t="shared" si="12"/>
        <v>0</v>
      </c>
      <c r="I63" s="38"/>
      <c r="J63" s="41">
        <f t="shared" si="13"/>
        <v>0</v>
      </c>
      <c r="K63" s="38"/>
      <c r="L63" s="38">
        <v>2</v>
      </c>
      <c r="M63" s="38"/>
      <c r="N63" s="38">
        <v>61</v>
      </c>
      <c r="O63" s="38"/>
      <c r="P63" s="38">
        <v>1</v>
      </c>
      <c r="Q63" s="38">
        <v>1</v>
      </c>
      <c r="R63" s="41">
        <f t="shared" si="14"/>
        <v>65</v>
      </c>
      <c r="S63" s="38"/>
      <c r="T63" s="41">
        <f t="shared" si="9"/>
        <v>0</v>
      </c>
      <c r="U63" s="38"/>
      <c r="V63" s="38"/>
      <c r="W63" s="38"/>
      <c r="X63" s="38"/>
      <c r="Y63" s="38"/>
      <c r="Z63" s="38"/>
      <c r="AA63" s="41">
        <f t="shared" si="15"/>
        <v>0</v>
      </c>
      <c r="AB63" s="38"/>
      <c r="AC63" s="38"/>
      <c r="AD63" s="38"/>
      <c r="AE63" s="38"/>
      <c r="AF63" s="38"/>
      <c r="AG63" s="38">
        <v>1</v>
      </c>
      <c r="AH63" s="38">
        <v>13</v>
      </c>
      <c r="AI63" s="38"/>
      <c r="AJ63" s="38">
        <v>11</v>
      </c>
      <c r="AK63" s="38"/>
      <c r="AL63" s="38"/>
      <c r="AM63" s="38">
        <v>13</v>
      </c>
      <c r="AN63" s="38"/>
      <c r="AO63" s="38"/>
      <c r="AP63" s="38">
        <v>2</v>
      </c>
      <c r="AQ63" s="38">
        <v>7</v>
      </c>
      <c r="AR63" s="38"/>
      <c r="AS63" s="38">
        <v>14</v>
      </c>
      <c r="AT63" s="38">
        <v>9</v>
      </c>
      <c r="AU63" s="38"/>
      <c r="AV63" s="38">
        <v>10</v>
      </c>
      <c r="AW63" s="38"/>
      <c r="AX63" s="38"/>
      <c r="AY63" s="38"/>
      <c r="AZ63" s="38"/>
      <c r="BA63" s="38"/>
      <c r="BB63" s="38"/>
      <c r="BC63" s="38"/>
      <c r="BD63" s="38">
        <v>8</v>
      </c>
      <c r="BE63" s="38"/>
      <c r="BF63" s="38"/>
      <c r="BG63" s="38"/>
      <c r="BH63" s="38"/>
      <c r="BI63" s="41">
        <f t="shared" si="16"/>
        <v>88</v>
      </c>
      <c r="BJ63" s="41">
        <f t="shared" si="17"/>
        <v>218</v>
      </c>
      <c r="BK63" s="38">
        <v>2</v>
      </c>
      <c r="BL63" s="41">
        <f t="shared" si="18"/>
        <v>2</v>
      </c>
    </row>
    <row r="64" spans="1:64">
      <c r="A64" s="5" t="s">
        <v>59</v>
      </c>
      <c r="B64" s="38">
        <v>12</v>
      </c>
      <c r="C64" s="38">
        <v>24</v>
      </c>
      <c r="D64" s="41">
        <f t="shared" si="11"/>
        <v>36</v>
      </c>
      <c r="E64" s="38"/>
      <c r="F64" s="38"/>
      <c r="G64" s="38"/>
      <c r="H64" s="41">
        <f t="shared" si="12"/>
        <v>0</v>
      </c>
      <c r="I64" s="38"/>
      <c r="J64" s="41">
        <f t="shared" si="13"/>
        <v>0</v>
      </c>
      <c r="K64" s="38"/>
      <c r="L64" s="38">
        <v>2</v>
      </c>
      <c r="M64" s="38"/>
      <c r="N64" s="38">
        <v>9</v>
      </c>
      <c r="O64" s="38"/>
      <c r="P64" s="38"/>
      <c r="Q64" s="38"/>
      <c r="R64" s="41">
        <f t="shared" si="14"/>
        <v>11</v>
      </c>
      <c r="S64" s="38"/>
      <c r="T64" s="41">
        <f t="shared" si="9"/>
        <v>0</v>
      </c>
      <c r="U64" s="38"/>
      <c r="V64" s="38"/>
      <c r="W64" s="38"/>
      <c r="X64" s="38"/>
      <c r="Y64" s="38"/>
      <c r="Z64" s="38">
        <v>1</v>
      </c>
      <c r="AA64" s="41">
        <f t="shared" si="15"/>
        <v>1</v>
      </c>
      <c r="AB64" s="38">
        <v>6</v>
      </c>
      <c r="AC64" s="38"/>
      <c r="AD64" s="38"/>
      <c r="AE64" s="38"/>
      <c r="AF64" s="38"/>
      <c r="AG64" s="38">
        <v>1</v>
      </c>
      <c r="AH64" s="38">
        <v>16</v>
      </c>
      <c r="AI64" s="38"/>
      <c r="AJ64" s="38">
        <v>15</v>
      </c>
      <c r="AK64" s="38"/>
      <c r="AL64" s="38"/>
      <c r="AM64" s="38">
        <v>11</v>
      </c>
      <c r="AN64" s="38"/>
      <c r="AO64" s="38"/>
      <c r="AP64" s="38"/>
      <c r="AQ64" s="38"/>
      <c r="AR64" s="38">
        <v>6</v>
      </c>
      <c r="AS64" s="38">
        <v>11</v>
      </c>
      <c r="AT64" s="38">
        <v>1</v>
      </c>
      <c r="AU64" s="38"/>
      <c r="AV64" s="38">
        <v>13</v>
      </c>
      <c r="AW64" s="38"/>
      <c r="AX64" s="38"/>
      <c r="AY64" s="38"/>
      <c r="AZ64" s="38"/>
      <c r="BA64" s="38"/>
      <c r="BB64" s="38"/>
      <c r="BC64" s="38"/>
      <c r="BD64" s="38">
        <v>9</v>
      </c>
      <c r="BE64" s="38"/>
      <c r="BF64" s="38"/>
      <c r="BG64" s="38"/>
      <c r="BH64" s="38"/>
      <c r="BI64" s="41">
        <f t="shared" si="16"/>
        <v>89</v>
      </c>
      <c r="BJ64" s="41">
        <f t="shared" si="17"/>
        <v>113</v>
      </c>
      <c r="BK64" s="38">
        <v>1</v>
      </c>
      <c r="BL64" s="41">
        <f t="shared" si="18"/>
        <v>1</v>
      </c>
    </row>
    <row r="65" spans="1:64">
      <c r="A65" s="5" t="s">
        <v>81</v>
      </c>
      <c r="B65" s="38">
        <v>5</v>
      </c>
      <c r="C65" s="38">
        <v>18</v>
      </c>
      <c r="D65" s="41">
        <f t="shared" si="11"/>
        <v>23</v>
      </c>
      <c r="E65" s="38"/>
      <c r="F65" s="38"/>
      <c r="G65" s="38"/>
      <c r="H65" s="41">
        <f t="shared" si="12"/>
        <v>0</v>
      </c>
      <c r="I65" s="38"/>
      <c r="J65" s="41">
        <f t="shared" si="13"/>
        <v>0</v>
      </c>
      <c r="K65" s="38"/>
      <c r="L65" s="38">
        <v>2</v>
      </c>
      <c r="M65" s="38"/>
      <c r="N65" s="38">
        <v>158</v>
      </c>
      <c r="O65" s="38"/>
      <c r="P65" s="38">
        <v>1</v>
      </c>
      <c r="Q65" s="38"/>
      <c r="R65" s="41">
        <f t="shared" si="14"/>
        <v>161</v>
      </c>
      <c r="S65" s="38"/>
      <c r="T65" s="41">
        <f t="shared" si="9"/>
        <v>0</v>
      </c>
      <c r="U65" s="38"/>
      <c r="V65" s="38"/>
      <c r="W65" s="38"/>
      <c r="X65" s="38"/>
      <c r="Y65" s="38"/>
      <c r="Z65" s="38"/>
      <c r="AA65" s="41">
        <f t="shared" si="15"/>
        <v>0</v>
      </c>
      <c r="AB65" s="38"/>
      <c r="AC65" s="38"/>
      <c r="AD65" s="38"/>
      <c r="AE65" s="38"/>
      <c r="AF65" s="38"/>
      <c r="AG65" s="38">
        <v>3</v>
      </c>
      <c r="AH65" s="38">
        <v>21</v>
      </c>
      <c r="AI65" s="38"/>
      <c r="AJ65" s="38">
        <v>16</v>
      </c>
      <c r="AK65" s="38"/>
      <c r="AL65" s="38"/>
      <c r="AM65" s="38">
        <v>13</v>
      </c>
      <c r="AN65" s="38"/>
      <c r="AO65" s="38"/>
      <c r="AP65" s="38"/>
      <c r="AQ65" s="38"/>
      <c r="AR65" s="38"/>
      <c r="AS65" s="38">
        <v>35</v>
      </c>
      <c r="AT65" s="38"/>
      <c r="AU65" s="38"/>
      <c r="AV65" s="38">
        <v>15</v>
      </c>
      <c r="AW65" s="38"/>
      <c r="AX65" s="38"/>
      <c r="AY65" s="38"/>
      <c r="AZ65" s="38"/>
      <c r="BA65" s="38"/>
      <c r="BB65" s="38"/>
      <c r="BC65" s="38"/>
      <c r="BD65" s="38">
        <v>21</v>
      </c>
      <c r="BE65" s="38"/>
      <c r="BF65" s="38"/>
      <c r="BG65" s="38"/>
      <c r="BH65" s="38"/>
      <c r="BI65" s="41">
        <f t="shared" si="16"/>
        <v>124</v>
      </c>
      <c r="BJ65" s="41">
        <f t="shared" si="17"/>
        <v>446</v>
      </c>
      <c r="BK65" s="38"/>
      <c r="BL65" s="41">
        <f t="shared" si="18"/>
        <v>0</v>
      </c>
    </row>
    <row r="66" spans="1:64">
      <c r="A66" s="5" t="s">
        <v>207</v>
      </c>
      <c r="B66" s="38"/>
      <c r="C66" s="38">
        <v>8</v>
      </c>
      <c r="D66" s="41">
        <f t="shared" si="11"/>
        <v>8</v>
      </c>
      <c r="E66" s="38"/>
      <c r="F66" s="38"/>
      <c r="G66" s="38"/>
      <c r="H66" s="41">
        <f t="shared" si="12"/>
        <v>0</v>
      </c>
      <c r="I66" s="38"/>
      <c r="J66" s="41">
        <f t="shared" si="13"/>
        <v>0</v>
      </c>
      <c r="K66" s="38"/>
      <c r="L66" s="38"/>
      <c r="M66" s="38"/>
      <c r="N66" s="38">
        <v>9</v>
      </c>
      <c r="O66" s="38"/>
      <c r="P66" s="38">
        <v>33</v>
      </c>
      <c r="Q66" s="38"/>
      <c r="R66" s="41">
        <f t="shared" si="14"/>
        <v>42</v>
      </c>
      <c r="S66" s="38"/>
      <c r="T66" s="41">
        <f t="shared" si="9"/>
        <v>0</v>
      </c>
      <c r="U66" s="38"/>
      <c r="V66" s="38"/>
      <c r="W66" s="38"/>
      <c r="X66" s="38"/>
      <c r="Y66" s="38"/>
      <c r="Z66" s="38"/>
      <c r="AA66" s="41">
        <f t="shared" si="15"/>
        <v>0</v>
      </c>
      <c r="AB66" s="38">
        <v>1</v>
      </c>
      <c r="AC66" s="38"/>
      <c r="AD66" s="38"/>
      <c r="AE66" s="38"/>
      <c r="AF66" s="38"/>
      <c r="AG66" s="38"/>
      <c r="AH66" s="38">
        <v>13</v>
      </c>
      <c r="AI66" s="38"/>
      <c r="AJ66" s="38">
        <v>4</v>
      </c>
      <c r="AK66" s="38"/>
      <c r="AL66" s="38"/>
      <c r="AM66" s="38">
        <v>1</v>
      </c>
      <c r="AN66" s="38"/>
      <c r="AO66" s="38">
        <v>1</v>
      </c>
      <c r="AP66" s="38">
        <v>1</v>
      </c>
      <c r="AQ66" s="38"/>
      <c r="AR66" s="38"/>
      <c r="AS66" s="38"/>
      <c r="AT66" s="38">
        <v>2</v>
      </c>
      <c r="AU66" s="38"/>
      <c r="AV66" s="38">
        <v>4</v>
      </c>
      <c r="AW66" s="38"/>
      <c r="AX66" s="38">
        <v>1</v>
      </c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41">
        <f t="shared" si="16"/>
        <v>28</v>
      </c>
      <c r="BJ66" s="41">
        <f t="shared" si="17"/>
        <v>112</v>
      </c>
      <c r="BK66" s="38">
        <v>6</v>
      </c>
      <c r="BL66" s="41">
        <f t="shared" si="18"/>
        <v>6</v>
      </c>
    </row>
    <row r="67" spans="1:64">
      <c r="A67" s="5" t="s">
        <v>208</v>
      </c>
      <c r="B67" s="38"/>
      <c r="C67" s="38">
        <v>16</v>
      </c>
      <c r="D67" s="41">
        <f t="shared" si="11"/>
        <v>16</v>
      </c>
      <c r="E67" s="38"/>
      <c r="F67" s="38"/>
      <c r="G67" s="38"/>
      <c r="H67" s="41">
        <f t="shared" si="12"/>
        <v>0</v>
      </c>
      <c r="I67" s="38"/>
      <c r="J67" s="41">
        <f t="shared" si="13"/>
        <v>0</v>
      </c>
      <c r="K67" s="38"/>
      <c r="L67" s="38">
        <v>1</v>
      </c>
      <c r="M67" s="38">
        <v>4</v>
      </c>
      <c r="N67" s="38">
        <v>21</v>
      </c>
      <c r="O67" s="38"/>
      <c r="P67" s="38">
        <v>73</v>
      </c>
      <c r="Q67" s="38"/>
      <c r="R67" s="41">
        <f t="shared" si="14"/>
        <v>99</v>
      </c>
      <c r="S67" s="38"/>
      <c r="T67" s="41">
        <f t="shared" si="9"/>
        <v>0</v>
      </c>
      <c r="U67" s="38"/>
      <c r="V67" s="38"/>
      <c r="W67" s="38"/>
      <c r="X67" s="38">
        <v>1</v>
      </c>
      <c r="Y67" s="38"/>
      <c r="Z67" s="38"/>
      <c r="AA67" s="41">
        <f t="shared" si="15"/>
        <v>1</v>
      </c>
      <c r="AB67" s="38">
        <v>4</v>
      </c>
      <c r="AC67" s="38"/>
      <c r="AD67" s="38"/>
      <c r="AE67" s="38"/>
      <c r="AF67" s="38"/>
      <c r="AG67" s="38">
        <v>1</v>
      </c>
      <c r="AH67" s="38">
        <v>30</v>
      </c>
      <c r="AI67" s="38"/>
      <c r="AJ67" s="38">
        <v>9</v>
      </c>
      <c r="AK67" s="38"/>
      <c r="AL67" s="38"/>
      <c r="AM67" s="38">
        <v>6</v>
      </c>
      <c r="AN67" s="38"/>
      <c r="AO67" s="38">
        <v>7</v>
      </c>
      <c r="AP67" s="38">
        <v>2</v>
      </c>
      <c r="AQ67" s="38">
        <v>5</v>
      </c>
      <c r="AR67" s="38"/>
      <c r="AS67" s="38">
        <v>10</v>
      </c>
      <c r="AT67" s="38">
        <v>2</v>
      </c>
      <c r="AU67" s="38"/>
      <c r="AV67" s="38">
        <v>3</v>
      </c>
      <c r="AW67" s="38">
        <v>5</v>
      </c>
      <c r="AX67" s="38">
        <v>1</v>
      </c>
      <c r="AY67" s="38"/>
      <c r="AZ67" s="38"/>
      <c r="BA67" s="38"/>
      <c r="BB67" s="38"/>
      <c r="BC67" s="38"/>
      <c r="BD67" s="38">
        <v>2</v>
      </c>
      <c r="BE67" s="38"/>
      <c r="BF67" s="38"/>
      <c r="BG67" s="38"/>
      <c r="BH67" s="38"/>
      <c r="BI67" s="41">
        <f t="shared" si="16"/>
        <v>87</v>
      </c>
      <c r="BJ67" s="41">
        <f t="shared" si="17"/>
        <v>287</v>
      </c>
      <c r="BK67" s="38">
        <v>10</v>
      </c>
      <c r="BL67" s="41">
        <f t="shared" si="18"/>
        <v>10</v>
      </c>
    </row>
    <row r="68" spans="1:64">
      <c r="A68" s="5" t="s">
        <v>83</v>
      </c>
      <c r="B68" s="38"/>
      <c r="C68" s="38">
        <v>1</v>
      </c>
      <c r="D68" s="41">
        <f t="shared" si="11"/>
        <v>1</v>
      </c>
      <c r="E68" s="38"/>
      <c r="F68" s="38"/>
      <c r="G68" s="38"/>
      <c r="H68" s="41">
        <f t="shared" si="12"/>
        <v>0</v>
      </c>
      <c r="I68" s="38"/>
      <c r="J68" s="41">
        <f t="shared" si="13"/>
        <v>0</v>
      </c>
      <c r="K68" s="38"/>
      <c r="L68" s="38"/>
      <c r="M68" s="38"/>
      <c r="N68" s="38">
        <v>8</v>
      </c>
      <c r="O68" s="38"/>
      <c r="P68" s="38">
        <v>21</v>
      </c>
      <c r="Q68" s="38"/>
      <c r="R68" s="41">
        <f t="shared" si="14"/>
        <v>29</v>
      </c>
      <c r="S68" s="38"/>
      <c r="T68" s="41">
        <f t="shared" ref="T68:T82" si="19">SUM(S68)</f>
        <v>0</v>
      </c>
      <c r="U68" s="38"/>
      <c r="V68" s="38"/>
      <c r="W68" s="38"/>
      <c r="X68" s="38"/>
      <c r="Y68" s="38"/>
      <c r="Z68" s="38"/>
      <c r="AA68" s="41">
        <f t="shared" si="15"/>
        <v>0</v>
      </c>
      <c r="AB68" s="38"/>
      <c r="AC68" s="38"/>
      <c r="AD68" s="38"/>
      <c r="AE68" s="38"/>
      <c r="AF68" s="38"/>
      <c r="AG68" s="38">
        <v>1</v>
      </c>
      <c r="AH68" s="38">
        <v>6</v>
      </c>
      <c r="AI68" s="38"/>
      <c r="AJ68" s="38"/>
      <c r="AK68" s="38"/>
      <c r="AL68" s="38"/>
      <c r="AM68" s="38">
        <v>1</v>
      </c>
      <c r="AN68" s="38"/>
      <c r="AO68" s="38"/>
      <c r="AP68" s="38"/>
      <c r="AQ68" s="38"/>
      <c r="AR68" s="38"/>
      <c r="AS68" s="38"/>
      <c r="AT68" s="38"/>
      <c r="AU68" s="38"/>
      <c r="AV68" s="38">
        <v>4</v>
      </c>
      <c r="AW68" s="38"/>
      <c r="AX68" s="38">
        <v>2</v>
      </c>
      <c r="AY68" s="38"/>
      <c r="AZ68" s="38"/>
      <c r="BA68" s="38"/>
      <c r="BB68" s="38"/>
      <c r="BC68" s="38"/>
      <c r="BD68" s="38">
        <v>1</v>
      </c>
      <c r="BE68" s="38"/>
      <c r="BF68" s="38"/>
      <c r="BG68" s="38"/>
      <c r="BH68" s="38"/>
      <c r="BI68" s="41">
        <f t="shared" si="16"/>
        <v>15</v>
      </c>
      <c r="BJ68" s="41">
        <f t="shared" si="17"/>
        <v>73</v>
      </c>
      <c r="BK68" s="38">
        <v>7</v>
      </c>
      <c r="BL68" s="41">
        <f t="shared" si="18"/>
        <v>7</v>
      </c>
    </row>
    <row r="69" spans="1:64">
      <c r="A69" s="5" t="s">
        <v>96</v>
      </c>
      <c r="B69" s="38"/>
      <c r="C69" s="38">
        <v>2</v>
      </c>
      <c r="D69" s="41">
        <f t="shared" si="11"/>
        <v>2</v>
      </c>
      <c r="E69" s="38"/>
      <c r="F69" s="38"/>
      <c r="G69" s="38"/>
      <c r="H69" s="41">
        <f t="shared" si="12"/>
        <v>0</v>
      </c>
      <c r="I69" s="38"/>
      <c r="J69" s="41">
        <f t="shared" si="13"/>
        <v>0</v>
      </c>
      <c r="K69" s="38"/>
      <c r="L69" s="38">
        <v>2</v>
      </c>
      <c r="M69" s="38">
        <v>2</v>
      </c>
      <c r="N69" s="38">
        <v>8</v>
      </c>
      <c r="O69" s="38"/>
      <c r="P69" s="38">
        <v>25</v>
      </c>
      <c r="Q69" s="38"/>
      <c r="R69" s="41">
        <f t="shared" si="14"/>
        <v>37</v>
      </c>
      <c r="S69" s="38"/>
      <c r="T69" s="41">
        <f t="shared" si="19"/>
        <v>0</v>
      </c>
      <c r="U69" s="38"/>
      <c r="V69" s="38"/>
      <c r="W69" s="38"/>
      <c r="X69" s="38"/>
      <c r="Y69" s="38"/>
      <c r="Z69" s="38"/>
      <c r="AA69" s="41">
        <f t="shared" si="15"/>
        <v>0</v>
      </c>
      <c r="AB69" s="38">
        <v>2</v>
      </c>
      <c r="AC69" s="38"/>
      <c r="AD69" s="38">
        <v>1</v>
      </c>
      <c r="AE69" s="38">
        <v>2</v>
      </c>
      <c r="AF69" s="38"/>
      <c r="AG69" s="38"/>
      <c r="AH69" s="38">
        <v>19</v>
      </c>
      <c r="AI69" s="38"/>
      <c r="AJ69" s="38">
        <v>4</v>
      </c>
      <c r="AK69" s="38"/>
      <c r="AL69" s="38"/>
      <c r="AM69" s="38">
        <v>4</v>
      </c>
      <c r="AN69" s="38"/>
      <c r="AO69" s="38"/>
      <c r="AP69" s="38">
        <v>1</v>
      </c>
      <c r="AQ69" s="38"/>
      <c r="AR69" s="38"/>
      <c r="AS69" s="38"/>
      <c r="AT69" s="38">
        <v>1</v>
      </c>
      <c r="AU69" s="38"/>
      <c r="AV69" s="38"/>
      <c r="AW69" s="38">
        <v>3</v>
      </c>
      <c r="AX69" s="38">
        <v>2</v>
      </c>
      <c r="AY69" s="38"/>
      <c r="AZ69" s="38"/>
      <c r="BA69" s="38"/>
      <c r="BB69" s="38"/>
      <c r="BC69" s="38"/>
      <c r="BD69" s="38">
        <v>2</v>
      </c>
      <c r="BE69" s="38"/>
      <c r="BF69" s="38"/>
      <c r="BG69" s="38"/>
      <c r="BH69" s="38"/>
      <c r="BI69" s="41">
        <f t="shared" si="16"/>
        <v>41</v>
      </c>
      <c r="BJ69" s="41">
        <f t="shared" si="17"/>
        <v>115</v>
      </c>
      <c r="BK69" s="38">
        <v>4</v>
      </c>
      <c r="BL69" s="41">
        <f t="shared" si="18"/>
        <v>4</v>
      </c>
    </row>
    <row r="70" spans="1:64">
      <c r="A70" s="5" t="s">
        <v>212</v>
      </c>
      <c r="B70" s="38"/>
      <c r="C70" s="38">
        <v>5</v>
      </c>
      <c r="D70" s="41">
        <f t="shared" si="11"/>
        <v>5</v>
      </c>
      <c r="E70" s="38"/>
      <c r="F70" s="38"/>
      <c r="G70" s="38"/>
      <c r="H70" s="41">
        <f t="shared" si="12"/>
        <v>0</v>
      </c>
      <c r="I70" s="38"/>
      <c r="J70" s="41">
        <f t="shared" si="13"/>
        <v>0</v>
      </c>
      <c r="K70" s="38"/>
      <c r="L70" s="38"/>
      <c r="M70" s="38"/>
      <c r="N70" s="38">
        <v>124</v>
      </c>
      <c r="O70" s="38"/>
      <c r="P70" s="38">
        <v>33</v>
      </c>
      <c r="Q70" s="38"/>
      <c r="R70" s="41">
        <f t="shared" si="14"/>
        <v>157</v>
      </c>
      <c r="S70" s="38"/>
      <c r="T70" s="41">
        <f t="shared" si="19"/>
        <v>0</v>
      </c>
      <c r="U70" s="38"/>
      <c r="V70" s="38"/>
      <c r="W70" s="38"/>
      <c r="X70" s="38"/>
      <c r="Y70" s="38"/>
      <c r="Z70" s="38"/>
      <c r="AA70" s="41">
        <f t="shared" si="15"/>
        <v>0</v>
      </c>
      <c r="AB70" s="38">
        <v>19</v>
      </c>
      <c r="AC70" s="38"/>
      <c r="AD70" s="38"/>
      <c r="AE70" s="38"/>
      <c r="AF70" s="38"/>
      <c r="AG70" s="38"/>
      <c r="AH70" s="38">
        <v>25</v>
      </c>
      <c r="AI70" s="38"/>
      <c r="AJ70" s="38">
        <v>6</v>
      </c>
      <c r="AK70" s="38"/>
      <c r="AL70" s="38"/>
      <c r="AM70" s="38">
        <v>4</v>
      </c>
      <c r="AN70" s="38"/>
      <c r="AO70" s="38">
        <v>4</v>
      </c>
      <c r="AP70" s="38">
        <v>2</v>
      </c>
      <c r="AQ70" s="38">
        <v>1</v>
      </c>
      <c r="AR70" s="38"/>
      <c r="AS70" s="38"/>
      <c r="AT70" s="38">
        <v>2</v>
      </c>
      <c r="AU70" s="38"/>
      <c r="AV70" s="38">
        <v>6</v>
      </c>
      <c r="AW70" s="38">
        <v>2</v>
      </c>
      <c r="AX70" s="38">
        <v>5</v>
      </c>
      <c r="AY70" s="38"/>
      <c r="AZ70" s="38"/>
      <c r="BA70" s="38"/>
      <c r="BB70" s="38"/>
      <c r="BC70" s="38"/>
      <c r="BD70" s="38">
        <v>1</v>
      </c>
      <c r="BE70" s="38"/>
      <c r="BF70" s="38"/>
      <c r="BG70" s="38"/>
      <c r="BH70" s="38"/>
      <c r="BI70" s="41">
        <f t="shared" si="16"/>
        <v>77</v>
      </c>
      <c r="BJ70" s="41">
        <f t="shared" si="17"/>
        <v>391</v>
      </c>
      <c r="BK70" s="38">
        <v>7</v>
      </c>
      <c r="BL70" s="41">
        <f t="shared" si="18"/>
        <v>7</v>
      </c>
    </row>
    <row r="71" spans="1:64">
      <c r="A71" s="5" t="s">
        <v>49</v>
      </c>
      <c r="B71" s="38"/>
      <c r="C71" s="38">
        <v>17</v>
      </c>
      <c r="D71" s="41">
        <f t="shared" si="11"/>
        <v>17</v>
      </c>
      <c r="E71" s="38"/>
      <c r="F71" s="38"/>
      <c r="G71" s="38">
        <v>2</v>
      </c>
      <c r="H71" s="41">
        <f t="shared" si="12"/>
        <v>2</v>
      </c>
      <c r="I71" s="38"/>
      <c r="J71" s="41">
        <f t="shared" si="13"/>
        <v>0</v>
      </c>
      <c r="K71" s="38"/>
      <c r="L71" s="38">
        <v>5</v>
      </c>
      <c r="M71" s="38">
        <v>5</v>
      </c>
      <c r="N71" s="38">
        <v>187</v>
      </c>
      <c r="O71" s="38"/>
      <c r="P71" s="38">
        <v>17</v>
      </c>
      <c r="Q71" s="38">
        <v>2</v>
      </c>
      <c r="R71" s="41">
        <f t="shared" si="14"/>
        <v>216</v>
      </c>
      <c r="S71" s="38"/>
      <c r="T71" s="41">
        <f t="shared" si="19"/>
        <v>0</v>
      </c>
      <c r="U71" s="38"/>
      <c r="V71" s="38">
        <v>11</v>
      </c>
      <c r="W71" s="38"/>
      <c r="X71" s="38"/>
      <c r="Y71" s="38"/>
      <c r="Z71" s="38"/>
      <c r="AA71" s="41">
        <f t="shared" si="15"/>
        <v>11</v>
      </c>
      <c r="AB71" s="38">
        <v>2</v>
      </c>
      <c r="AC71" s="38">
        <v>3</v>
      </c>
      <c r="AD71" s="38"/>
      <c r="AE71" s="38"/>
      <c r="AF71" s="38"/>
      <c r="AG71" s="38"/>
      <c r="AH71" s="38">
        <v>2</v>
      </c>
      <c r="AI71" s="38"/>
      <c r="AJ71" s="38"/>
      <c r="AK71" s="38"/>
      <c r="AL71" s="38"/>
      <c r="AM71" s="38">
        <v>2</v>
      </c>
      <c r="AN71" s="38"/>
      <c r="AO71" s="38"/>
      <c r="AP71" s="38"/>
      <c r="AQ71" s="38"/>
      <c r="AR71" s="38"/>
      <c r="AS71" s="38">
        <v>11</v>
      </c>
      <c r="AT71" s="38"/>
      <c r="AU71" s="38"/>
      <c r="AV71" s="38">
        <v>4</v>
      </c>
      <c r="AW71" s="38">
        <v>2</v>
      </c>
      <c r="AX71" s="38"/>
      <c r="AY71" s="38"/>
      <c r="AZ71" s="38"/>
      <c r="BA71" s="38"/>
      <c r="BB71" s="38"/>
      <c r="BC71" s="38"/>
      <c r="BD71" s="38">
        <v>5</v>
      </c>
      <c r="BE71" s="38"/>
      <c r="BF71" s="38"/>
      <c r="BG71" s="38"/>
      <c r="BH71" s="38"/>
      <c r="BI71" s="41">
        <f t="shared" si="16"/>
        <v>31</v>
      </c>
      <c r="BJ71" s="41">
        <f t="shared" si="17"/>
        <v>485</v>
      </c>
      <c r="BK71" s="38">
        <v>3</v>
      </c>
      <c r="BL71" s="41">
        <f t="shared" si="18"/>
        <v>3</v>
      </c>
    </row>
    <row r="72" spans="1:64">
      <c r="A72" s="5" t="s">
        <v>50</v>
      </c>
      <c r="B72" s="38"/>
      <c r="C72" s="38">
        <v>59</v>
      </c>
      <c r="D72" s="41">
        <f t="shared" si="11"/>
        <v>59</v>
      </c>
      <c r="E72" s="38"/>
      <c r="F72" s="38"/>
      <c r="G72" s="38"/>
      <c r="H72" s="41">
        <f t="shared" si="12"/>
        <v>0</v>
      </c>
      <c r="I72" s="38"/>
      <c r="J72" s="41">
        <f t="shared" si="13"/>
        <v>0</v>
      </c>
      <c r="K72" s="38"/>
      <c r="L72" s="38">
        <v>13</v>
      </c>
      <c r="M72" s="38">
        <v>9</v>
      </c>
      <c r="N72" s="38">
        <v>201</v>
      </c>
      <c r="O72" s="38"/>
      <c r="P72" s="38">
        <v>55</v>
      </c>
      <c r="Q72" s="38">
        <v>2</v>
      </c>
      <c r="R72" s="41">
        <f t="shared" si="14"/>
        <v>280</v>
      </c>
      <c r="S72" s="38"/>
      <c r="T72" s="41">
        <f t="shared" si="19"/>
        <v>0</v>
      </c>
      <c r="U72" s="38"/>
      <c r="V72" s="38">
        <v>32</v>
      </c>
      <c r="W72" s="38"/>
      <c r="X72" s="38"/>
      <c r="Y72" s="38"/>
      <c r="Z72" s="38"/>
      <c r="AA72" s="41">
        <f t="shared" si="15"/>
        <v>32</v>
      </c>
      <c r="AB72" s="38">
        <v>1</v>
      </c>
      <c r="AC72" s="38">
        <v>3</v>
      </c>
      <c r="AD72" s="38"/>
      <c r="AE72" s="38"/>
      <c r="AF72" s="38"/>
      <c r="AG72" s="38">
        <v>1</v>
      </c>
      <c r="AH72" s="38">
        <v>11</v>
      </c>
      <c r="AI72" s="38"/>
      <c r="AJ72" s="38">
        <v>3</v>
      </c>
      <c r="AK72" s="38"/>
      <c r="AL72" s="38">
        <v>1</v>
      </c>
      <c r="AM72" s="38">
        <v>12</v>
      </c>
      <c r="AN72" s="38"/>
      <c r="AO72" s="38">
        <v>1</v>
      </c>
      <c r="AP72" s="38">
        <v>1</v>
      </c>
      <c r="AQ72" s="38">
        <v>4</v>
      </c>
      <c r="AR72" s="38"/>
      <c r="AS72" s="38">
        <v>18</v>
      </c>
      <c r="AT72" s="38"/>
      <c r="AU72" s="38"/>
      <c r="AV72" s="38">
        <v>12</v>
      </c>
      <c r="AW72" s="38">
        <v>3</v>
      </c>
      <c r="AX72" s="38"/>
      <c r="AY72" s="38"/>
      <c r="AZ72" s="38"/>
      <c r="BA72" s="38"/>
      <c r="BB72" s="38"/>
      <c r="BC72" s="38"/>
      <c r="BD72" s="38">
        <v>4</v>
      </c>
      <c r="BE72" s="38"/>
      <c r="BF72" s="38"/>
      <c r="BG72" s="38"/>
      <c r="BH72" s="38"/>
      <c r="BI72" s="41">
        <f t="shared" si="16"/>
        <v>75</v>
      </c>
      <c r="BJ72" s="41">
        <f t="shared" si="17"/>
        <v>699</v>
      </c>
      <c r="BK72" s="38">
        <v>6</v>
      </c>
      <c r="BL72" s="41">
        <f t="shared" si="18"/>
        <v>6</v>
      </c>
    </row>
    <row r="73" spans="1:64">
      <c r="A73" s="5" t="s">
        <v>51</v>
      </c>
      <c r="B73" s="38">
        <v>1</v>
      </c>
      <c r="C73" s="38">
        <v>70</v>
      </c>
      <c r="D73" s="41">
        <f t="shared" si="11"/>
        <v>71</v>
      </c>
      <c r="E73" s="38"/>
      <c r="F73" s="38"/>
      <c r="G73" s="38">
        <v>2</v>
      </c>
      <c r="H73" s="41">
        <f t="shared" si="12"/>
        <v>2</v>
      </c>
      <c r="I73" s="38"/>
      <c r="J73" s="41">
        <f t="shared" si="13"/>
        <v>0</v>
      </c>
      <c r="K73" s="38"/>
      <c r="L73" s="38">
        <v>9</v>
      </c>
      <c r="M73" s="38">
        <v>14</v>
      </c>
      <c r="N73" s="38">
        <v>199</v>
      </c>
      <c r="O73" s="38"/>
      <c r="P73" s="38">
        <v>31</v>
      </c>
      <c r="Q73" s="38">
        <v>2</v>
      </c>
      <c r="R73" s="41">
        <f t="shared" si="14"/>
        <v>255</v>
      </c>
      <c r="S73" s="38"/>
      <c r="T73" s="41">
        <f t="shared" si="19"/>
        <v>0</v>
      </c>
      <c r="U73" s="38"/>
      <c r="V73" s="38">
        <v>33</v>
      </c>
      <c r="W73" s="38"/>
      <c r="X73" s="38">
        <v>8</v>
      </c>
      <c r="Y73" s="38"/>
      <c r="Z73" s="38"/>
      <c r="AA73" s="41">
        <f t="shared" si="15"/>
        <v>41</v>
      </c>
      <c r="AB73" s="38">
        <v>1</v>
      </c>
      <c r="AC73" s="38">
        <v>2</v>
      </c>
      <c r="AD73" s="38"/>
      <c r="AE73" s="38"/>
      <c r="AF73" s="38"/>
      <c r="AG73" s="38"/>
      <c r="AH73" s="38">
        <v>10</v>
      </c>
      <c r="AI73" s="38"/>
      <c r="AJ73" s="38">
        <v>6</v>
      </c>
      <c r="AK73" s="38"/>
      <c r="AL73" s="38">
        <v>2</v>
      </c>
      <c r="AM73" s="38">
        <v>9</v>
      </c>
      <c r="AN73" s="38"/>
      <c r="AO73" s="38">
        <v>1</v>
      </c>
      <c r="AP73" s="38">
        <v>3</v>
      </c>
      <c r="AQ73" s="38">
        <v>4</v>
      </c>
      <c r="AR73" s="38"/>
      <c r="AS73" s="38">
        <v>14</v>
      </c>
      <c r="AT73" s="38"/>
      <c r="AU73" s="38"/>
      <c r="AV73" s="38">
        <v>6</v>
      </c>
      <c r="AW73" s="38">
        <v>2</v>
      </c>
      <c r="AX73" s="38">
        <v>1</v>
      </c>
      <c r="AY73" s="38"/>
      <c r="AZ73" s="38"/>
      <c r="BA73" s="38"/>
      <c r="BB73" s="38"/>
      <c r="BC73" s="38"/>
      <c r="BD73" s="38">
        <v>3</v>
      </c>
      <c r="BE73" s="38"/>
      <c r="BF73" s="38"/>
      <c r="BG73" s="38"/>
      <c r="BH73" s="38"/>
      <c r="BI73" s="41">
        <f t="shared" si="16"/>
        <v>64</v>
      </c>
      <c r="BJ73" s="41">
        <f t="shared" si="17"/>
        <v>656</v>
      </c>
      <c r="BK73" s="38">
        <v>6</v>
      </c>
      <c r="BL73" s="41">
        <f t="shared" si="18"/>
        <v>6</v>
      </c>
    </row>
    <row r="74" spans="1:64">
      <c r="A74" s="5" t="s">
        <v>213</v>
      </c>
      <c r="B74" s="38">
        <v>2</v>
      </c>
      <c r="C74" s="38">
        <v>202</v>
      </c>
      <c r="D74" s="41">
        <f t="shared" si="11"/>
        <v>204</v>
      </c>
      <c r="E74" s="38"/>
      <c r="F74" s="38"/>
      <c r="G74" s="38"/>
      <c r="H74" s="41">
        <f t="shared" si="12"/>
        <v>0</v>
      </c>
      <c r="I74" s="38"/>
      <c r="J74" s="41">
        <f t="shared" si="13"/>
        <v>0</v>
      </c>
      <c r="K74" s="38"/>
      <c r="L74" s="38">
        <v>9</v>
      </c>
      <c r="M74" s="38">
        <v>9</v>
      </c>
      <c r="N74" s="38">
        <v>167</v>
      </c>
      <c r="O74" s="38"/>
      <c r="P74" s="38">
        <v>37</v>
      </c>
      <c r="Q74" s="38">
        <v>3</v>
      </c>
      <c r="R74" s="41">
        <f t="shared" si="14"/>
        <v>225</v>
      </c>
      <c r="S74" s="38"/>
      <c r="T74" s="41">
        <f t="shared" si="19"/>
        <v>0</v>
      </c>
      <c r="U74" s="38"/>
      <c r="V74" s="38">
        <v>38</v>
      </c>
      <c r="W74" s="38"/>
      <c r="X74" s="38"/>
      <c r="Y74" s="38"/>
      <c r="Z74" s="38"/>
      <c r="AA74" s="41">
        <f t="shared" si="15"/>
        <v>38</v>
      </c>
      <c r="AB74" s="38">
        <v>2</v>
      </c>
      <c r="AC74" s="38">
        <v>3</v>
      </c>
      <c r="AD74" s="38"/>
      <c r="AE74" s="38"/>
      <c r="AF74" s="38"/>
      <c r="AG74" s="38">
        <v>7</v>
      </c>
      <c r="AH74" s="38">
        <v>11</v>
      </c>
      <c r="AI74" s="38"/>
      <c r="AJ74" s="38">
        <v>4</v>
      </c>
      <c r="AK74" s="38"/>
      <c r="AL74" s="38">
        <v>1</v>
      </c>
      <c r="AM74" s="38">
        <v>21</v>
      </c>
      <c r="AN74" s="38"/>
      <c r="AO74" s="38">
        <v>1</v>
      </c>
      <c r="AP74" s="38">
        <v>4</v>
      </c>
      <c r="AQ74" s="38">
        <v>1</v>
      </c>
      <c r="AR74" s="38"/>
      <c r="AS74" s="38">
        <v>30</v>
      </c>
      <c r="AT74" s="38">
        <v>1</v>
      </c>
      <c r="AU74" s="38">
        <v>1</v>
      </c>
      <c r="AV74" s="38">
        <v>13</v>
      </c>
      <c r="AW74" s="38">
        <v>3</v>
      </c>
      <c r="AX74" s="38"/>
      <c r="AY74" s="38"/>
      <c r="AZ74" s="38"/>
      <c r="BA74" s="38"/>
      <c r="BB74" s="38"/>
      <c r="BC74" s="38"/>
      <c r="BD74" s="38">
        <v>10</v>
      </c>
      <c r="BE74" s="38"/>
      <c r="BF74" s="38"/>
      <c r="BG74" s="38"/>
      <c r="BH74" s="38"/>
      <c r="BI74" s="41">
        <f t="shared" si="16"/>
        <v>113</v>
      </c>
      <c r="BJ74" s="41">
        <f t="shared" si="17"/>
        <v>639</v>
      </c>
      <c r="BK74" s="38">
        <v>9</v>
      </c>
      <c r="BL74" s="41">
        <f t="shared" si="18"/>
        <v>9</v>
      </c>
    </row>
    <row r="75" spans="1:64">
      <c r="A75" s="5" t="s">
        <v>145</v>
      </c>
      <c r="B75" s="38">
        <v>45</v>
      </c>
      <c r="C75" s="38">
        <v>29</v>
      </c>
      <c r="D75" s="41">
        <f t="shared" si="11"/>
        <v>74</v>
      </c>
      <c r="E75" s="38"/>
      <c r="F75" s="38">
        <v>1</v>
      </c>
      <c r="G75" s="38">
        <v>2</v>
      </c>
      <c r="H75" s="41">
        <f t="shared" si="12"/>
        <v>3</v>
      </c>
      <c r="I75" s="38"/>
      <c r="J75" s="41">
        <f t="shared" si="13"/>
        <v>0</v>
      </c>
      <c r="K75" s="38">
        <v>1</v>
      </c>
      <c r="L75" s="38">
        <v>14</v>
      </c>
      <c r="M75" s="38">
        <v>32</v>
      </c>
      <c r="N75" s="38">
        <v>186</v>
      </c>
      <c r="O75" s="38"/>
      <c r="P75" s="38">
        <v>72</v>
      </c>
      <c r="Q75" s="38"/>
      <c r="R75" s="41">
        <f t="shared" si="14"/>
        <v>305</v>
      </c>
      <c r="S75" s="38"/>
      <c r="T75" s="41">
        <f t="shared" si="19"/>
        <v>0</v>
      </c>
      <c r="U75" s="38"/>
      <c r="V75" s="38">
        <v>6</v>
      </c>
      <c r="W75" s="38">
        <v>6</v>
      </c>
      <c r="X75" s="38"/>
      <c r="Y75" s="38"/>
      <c r="Z75" s="38">
        <v>5</v>
      </c>
      <c r="AA75" s="41">
        <f t="shared" si="15"/>
        <v>17</v>
      </c>
      <c r="AB75" s="38">
        <v>10</v>
      </c>
      <c r="AC75" s="38"/>
      <c r="AD75" s="38">
        <v>5</v>
      </c>
      <c r="AE75" s="38"/>
      <c r="AF75" s="38"/>
      <c r="AG75" s="38">
        <v>1</v>
      </c>
      <c r="AH75" s="38">
        <v>10</v>
      </c>
      <c r="AI75" s="38">
        <v>3</v>
      </c>
      <c r="AJ75" s="38">
        <v>10</v>
      </c>
      <c r="AK75" s="38">
        <v>9</v>
      </c>
      <c r="AL75" s="38"/>
      <c r="AM75" s="38">
        <v>1</v>
      </c>
      <c r="AN75" s="38"/>
      <c r="AO75" s="38">
        <v>3</v>
      </c>
      <c r="AP75" s="38">
        <v>20</v>
      </c>
      <c r="AQ75" s="38">
        <v>29</v>
      </c>
      <c r="AR75" s="38"/>
      <c r="AS75" s="38">
        <v>7</v>
      </c>
      <c r="AT75" s="38">
        <v>5</v>
      </c>
      <c r="AU75" s="38"/>
      <c r="AV75" s="38"/>
      <c r="AW75" s="38"/>
      <c r="AX75" s="38"/>
      <c r="AY75" s="38"/>
      <c r="AZ75" s="38"/>
      <c r="BA75" s="38"/>
      <c r="BB75" s="38"/>
      <c r="BC75" s="38">
        <v>4</v>
      </c>
      <c r="BD75" s="38">
        <v>10</v>
      </c>
      <c r="BE75" s="38"/>
      <c r="BF75" s="38"/>
      <c r="BG75" s="38"/>
      <c r="BH75" s="38"/>
      <c r="BI75" s="41">
        <f t="shared" si="16"/>
        <v>127</v>
      </c>
      <c r="BJ75" s="41">
        <f t="shared" si="17"/>
        <v>771</v>
      </c>
      <c r="BK75" s="38">
        <v>3</v>
      </c>
      <c r="BL75" s="41">
        <f t="shared" si="18"/>
        <v>3</v>
      </c>
    </row>
    <row r="76" spans="1:64">
      <c r="A76" s="5" t="s">
        <v>204</v>
      </c>
      <c r="B76" s="38">
        <v>47</v>
      </c>
      <c r="C76" s="38">
        <v>40</v>
      </c>
      <c r="D76" s="41">
        <f t="shared" si="11"/>
        <v>87</v>
      </c>
      <c r="E76" s="38"/>
      <c r="F76" s="38">
        <v>2</v>
      </c>
      <c r="G76" s="38"/>
      <c r="H76" s="41">
        <f t="shared" si="12"/>
        <v>2</v>
      </c>
      <c r="I76" s="38"/>
      <c r="J76" s="41">
        <f t="shared" si="13"/>
        <v>0</v>
      </c>
      <c r="K76" s="38">
        <v>5</v>
      </c>
      <c r="L76" s="38">
        <v>10</v>
      </c>
      <c r="M76" s="38">
        <v>17</v>
      </c>
      <c r="N76" s="38">
        <v>201</v>
      </c>
      <c r="O76" s="38"/>
      <c r="P76" s="38">
        <v>93</v>
      </c>
      <c r="Q76" s="38"/>
      <c r="R76" s="41">
        <f t="shared" si="14"/>
        <v>326</v>
      </c>
      <c r="S76" s="38"/>
      <c r="T76" s="41">
        <f t="shared" si="19"/>
        <v>0</v>
      </c>
      <c r="U76" s="38">
        <v>1</v>
      </c>
      <c r="V76" s="38">
        <v>7</v>
      </c>
      <c r="W76" s="38">
        <v>6</v>
      </c>
      <c r="X76" s="38"/>
      <c r="Y76" s="38"/>
      <c r="Z76" s="38">
        <v>7</v>
      </c>
      <c r="AA76" s="41">
        <f t="shared" si="15"/>
        <v>21</v>
      </c>
      <c r="AB76" s="38">
        <v>6</v>
      </c>
      <c r="AC76" s="38"/>
      <c r="AD76" s="38">
        <v>10</v>
      </c>
      <c r="AE76" s="38"/>
      <c r="AF76" s="38"/>
      <c r="AG76" s="38"/>
      <c r="AH76" s="38">
        <v>5</v>
      </c>
      <c r="AI76" s="38">
        <v>1</v>
      </c>
      <c r="AJ76" s="38">
        <v>5</v>
      </c>
      <c r="AK76" s="38">
        <v>4</v>
      </c>
      <c r="AL76" s="38"/>
      <c r="AM76" s="38"/>
      <c r="AN76" s="38"/>
      <c r="AO76" s="38">
        <v>11</v>
      </c>
      <c r="AP76" s="38">
        <v>30</v>
      </c>
      <c r="AQ76" s="38">
        <v>33</v>
      </c>
      <c r="AR76" s="38"/>
      <c r="AS76" s="38">
        <v>4</v>
      </c>
      <c r="AT76" s="38">
        <v>6</v>
      </c>
      <c r="AU76" s="38"/>
      <c r="AV76" s="38"/>
      <c r="AW76" s="38"/>
      <c r="AX76" s="38"/>
      <c r="AY76" s="38"/>
      <c r="AZ76" s="38"/>
      <c r="BA76" s="38"/>
      <c r="BB76" s="38"/>
      <c r="BC76" s="38">
        <v>4</v>
      </c>
      <c r="BD76" s="38">
        <v>17</v>
      </c>
      <c r="BE76" s="38"/>
      <c r="BF76" s="38">
        <v>1</v>
      </c>
      <c r="BG76" s="38">
        <v>1</v>
      </c>
      <c r="BH76" s="38"/>
      <c r="BI76" s="41">
        <f t="shared" si="16"/>
        <v>138</v>
      </c>
      <c r="BJ76" s="41">
        <f t="shared" si="17"/>
        <v>832</v>
      </c>
      <c r="BK76" s="38">
        <v>8</v>
      </c>
      <c r="BL76" s="41">
        <f t="shared" si="18"/>
        <v>8</v>
      </c>
    </row>
    <row r="77" spans="1:64">
      <c r="A77" s="5" t="s">
        <v>52</v>
      </c>
      <c r="B77" s="38">
        <v>16</v>
      </c>
      <c r="C77" s="38">
        <v>10</v>
      </c>
      <c r="D77" s="41">
        <f t="shared" si="11"/>
        <v>26</v>
      </c>
      <c r="E77" s="38"/>
      <c r="F77" s="38"/>
      <c r="G77" s="38"/>
      <c r="H77" s="41">
        <f t="shared" si="12"/>
        <v>0</v>
      </c>
      <c r="I77" s="38"/>
      <c r="J77" s="41">
        <f t="shared" si="13"/>
        <v>0</v>
      </c>
      <c r="K77" s="38">
        <v>6</v>
      </c>
      <c r="L77" s="38">
        <v>1</v>
      </c>
      <c r="M77" s="38">
        <v>12</v>
      </c>
      <c r="N77" s="38">
        <v>65</v>
      </c>
      <c r="O77" s="38"/>
      <c r="P77" s="38">
        <v>14</v>
      </c>
      <c r="Q77" s="38"/>
      <c r="R77" s="41">
        <f t="shared" si="14"/>
        <v>98</v>
      </c>
      <c r="S77" s="38"/>
      <c r="T77" s="41">
        <f t="shared" si="19"/>
        <v>0</v>
      </c>
      <c r="U77" s="38"/>
      <c r="V77" s="38"/>
      <c r="W77" s="38">
        <v>1</v>
      </c>
      <c r="X77" s="38"/>
      <c r="Y77" s="38"/>
      <c r="Z77" s="38">
        <v>1</v>
      </c>
      <c r="AA77" s="41">
        <f t="shared" si="15"/>
        <v>2</v>
      </c>
      <c r="AB77" s="38"/>
      <c r="AC77" s="38"/>
      <c r="AD77" s="38"/>
      <c r="AE77" s="38"/>
      <c r="AF77" s="38"/>
      <c r="AG77" s="38">
        <v>1</v>
      </c>
      <c r="AH77" s="38">
        <v>4</v>
      </c>
      <c r="AI77" s="38">
        <v>2</v>
      </c>
      <c r="AJ77" s="38">
        <v>2</v>
      </c>
      <c r="AK77" s="38">
        <v>4</v>
      </c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>
        <v>7</v>
      </c>
      <c r="BE77" s="38"/>
      <c r="BF77" s="38"/>
      <c r="BG77" s="38"/>
      <c r="BH77" s="38"/>
      <c r="BI77" s="41">
        <f t="shared" si="16"/>
        <v>20</v>
      </c>
      <c r="BJ77" s="41">
        <f t="shared" si="17"/>
        <v>220</v>
      </c>
      <c r="BK77" s="38"/>
      <c r="BL77" s="41">
        <f t="shared" si="18"/>
        <v>0</v>
      </c>
    </row>
    <row r="78" spans="1:64">
      <c r="A78" s="5" t="s">
        <v>205</v>
      </c>
      <c r="B78" s="38">
        <v>33</v>
      </c>
      <c r="C78" s="38">
        <v>30</v>
      </c>
      <c r="D78" s="41">
        <f t="shared" si="11"/>
        <v>63</v>
      </c>
      <c r="E78" s="38"/>
      <c r="F78" s="38">
        <v>2</v>
      </c>
      <c r="G78" s="38"/>
      <c r="H78" s="41">
        <f t="shared" si="12"/>
        <v>2</v>
      </c>
      <c r="I78" s="38"/>
      <c r="J78" s="41">
        <f t="shared" si="13"/>
        <v>0</v>
      </c>
      <c r="K78" s="38"/>
      <c r="L78" s="38">
        <v>4</v>
      </c>
      <c r="M78" s="38">
        <v>8</v>
      </c>
      <c r="N78" s="38">
        <v>188</v>
      </c>
      <c r="O78" s="38"/>
      <c r="P78" s="38">
        <v>17</v>
      </c>
      <c r="Q78" s="38">
        <v>4</v>
      </c>
      <c r="R78" s="41">
        <f t="shared" si="14"/>
        <v>221</v>
      </c>
      <c r="S78" s="38"/>
      <c r="T78" s="41">
        <f t="shared" si="19"/>
        <v>0</v>
      </c>
      <c r="U78" s="38"/>
      <c r="V78" s="38"/>
      <c r="W78" s="38"/>
      <c r="X78" s="38"/>
      <c r="Y78" s="38">
        <v>1</v>
      </c>
      <c r="Z78" s="38"/>
      <c r="AA78" s="41">
        <f t="shared" si="15"/>
        <v>1</v>
      </c>
      <c r="AB78" s="38"/>
      <c r="AC78" s="38"/>
      <c r="AD78" s="38"/>
      <c r="AE78" s="38"/>
      <c r="AF78" s="38"/>
      <c r="AG78" s="38">
        <v>1</v>
      </c>
      <c r="AH78" s="38">
        <v>2</v>
      </c>
      <c r="AI78" s="38">
        <v>2</v>
      </c>
      <c r="AJ78" s="38">
        <v>7</v>
      </c>
      <c r="AK78" s="38">
        <v>9</v>
      </c>
      <c r="AL78" s="38"/>
      <c r="AM78" s="38">
        <v>1</v>
      </c>
      <c r="AN78" s="38"/>
      <c r="AO78" s="38">
        <v>1</v>
      </c>
      <c r="AP78" s="38">
        <v>3</v>
      </c>
      <c r="AQ78" s="38"/>
      <c r="AR78" s="38"/>
      <c r="AS78" s="38">
        <v>1</v>
      </c>
      <c r="AT78" s="38"/>
      <c r="AU78" s="38"/>
      <c r="AV78" s="38"/>
      <c r="AW78" s="38"/>
      <c r="AX78" s="38"/>
      <c r="AY78" s="38"/>
      <c r="AZ78" s="38"/>
      <c r="BA78" s="38"/>
      <c r="BB78" s="38"/>
      <c r="BC78" s="38">
        <v>2</v>
      </c>
      <c r="BD78" s="38">
        <v>7</v>
      </c>
      <c r="BE78" s="38"/>
      <c r="BF78" s="38"/>
      <c r="BG78" s="38"/>
      <c r="BH78" s="38"/>
      <c r="BI78" s="41">
        <f t="shared" si="16"/>
        <v>36</v>
      </c>
      <c r="BJ78" s="41">
        <f t="shared" si="17"/>
        <v>480</v>
      </c>
      <c r="BK78" s="38"/>
      <c r="BL78" s="41">
        <f t="shared" si="18"/>
        <v>0</v>
      </c>
    </row>
    <row r="79" spans="1:64">
      <c r="A79" s="5" t="s">
        <v>206</v>
      </c>
      <c r="B79" s="38">
        <v>38</v>
      </c>
      <c r="C79" s="38">
        <v>32</v>
      </c>
      <c r="D79" s="41">
        <f t="shared" si="11"/>
        <v>70</v>
      </c>
      <c r="E79" s="38"/>
      <c r="F79" s="38">
        <v>3</v>
      </c>
      <c r="G79" s="38"/>
      <c r="H79" s="41">
        <f t="shared" si="12"/>
        <v>3</v>
      </c>
      <c r="I79" s="38"/>
      <c r="J79" s="41">
        <f t="shared" si="13"/>
        <v>0</v>
      </c>
      <c r="K79" s="38">
        <v>2</v>
      </c>
      <c r="L79" s="38">
        <v>16</v>
      </c>
      <c r="M79" s="38">
        <v>21</v>
      </c>
      <c r="N79" s="38">
        <v>109</v>
      </c>
      <c r="O79" s="38"/>
      <c r="P79" s="38">
        <v>9</v>
      </c>
      <c r="Q79" s="38"/>
      <c r="R79" s="41">
        <f t="shared" si="14"/>
        <v>157</v>
      </c>
      <c r="S79" s="38"/>
      <c r="T79" s="41">
        <f t="shared" si="19"/>
        <v>0</v>
      </c>
      <c r="U79" s="38"/>
      <c r="V79" s="38">
        <v>9</v>
      </c>
      <c r="W79" s="38">
        <v>8</v>
      </c>
      <c r="X79" s="38"/>
      <c r="Y79" s="38"/>
      <c r="Z79" s="38">
        <v>8</v>
      </c>
      <c r="AA79" s="41">
        <f t="shared" si="15"/>
        <v>25</v>
      </c>
      <c r="AB79" s="38">
        <v>1</v>
      </c>
      <c r="AC79" s="38"/>
      <c r="AD79" s="38">
        <v>4</v>
      </c>
      <c r="AE79" s="38"/>
      <c r="AF79" s="38"/>
      <c r="AG79" s="38">
        <v>1</v>
      </c>
      <c r="AH79" s="38">
        <v>5</v>
      </c>
      <c r="AI79" s="38"/>
      <c r="AJ79" s="38">
        <v>2</v>
      </c>
      <c r="AK79" s="38">
        <v>4</v>
      </c>
      <c r="AL79" s="38"/>
      <c r="AM79" s="38">
        <v>1</v>
      </c>
      <c r="AN79" s="38"/>
      <c r="AO79" s="38">
        <v>15</v>
      </c>
      <c r="AP79" s="38">
        <v>31</v>
      </c>
      <c r="AQ79" s="38">
        <v>19</v>
      </c>
      <c r="AR79" s="38"/>
      <c r="AS79" s="38">
        <v>4</v>
      </c>
      <c r="AT79" s="38">
        <v>6</v>
      </c>
      <c r="AU79" s="38"/>
      <c r="AV79" s="38"/>
      <c r="AW79" s="38"/>
      <c r="AX79" s="38"/>
      <c r="AY79" s="38"/>
      <c r="AZ79" s="38"/>
      <c r="BA79" s="38">
        <v>1</v>
      </c>
      <c r="BB79" s="38">
        <v>1</v>
      </c>
      <c r="BC79" s="38">
        <v>6</v>
      </c>
      <c r="BD79" s="38">
        <v>10</v>
      </c>
      <c r="BE79" s="38"/>
      <c r="BF79" s="38">
        <v>1</v>
      </c>
      <c r="BG79" s="38">
        <v>1</v>
      </c>
      <c r="BH79" s="38"/>
      <c r="BI79" s="41">
        <f t="shared" si="16"/>
        <v>113</v>
      </c>
      <c r="BJ79" s="41">
        <f t="shared" si="17"/>
        <v>477</v>
      </c>
      <c r="BK79" s="38">
        <v>7</v>
      </c>
      <c r="BL79" s="41">
        <f t="shared" si="18"/>
        <v>7</v>
      </c>
    </row>
    <row r="80" spans="1:64">
      <c r="A80" s="5" t="s">
        <v>160</v>
      </c>
      <c r="B80" s="38"/>
      <c r="C80" s="38">
        <v>1</v>
      </c>
      <c r="D80" s="41">
        <f t="shared" si="11"/>
        <v>1</v>
      </c>
      <c r="E80" s="38"/>
      <c r="F80" s="38"/>
      <c r="G80" s="38"/>
      <c r="H80" s="41">
        <f t="shared" si="12"/>
        <v>0</v>
      </c>
      <c r="I80" s="38"/>
      <c r="J80" s="41">
        <f t="shared" si="13"/>
        <v>0</v>
      </c>
      <c r="K80" s="38"/>
      <c r="L80" s="38"/>
      <c r="M80" s="38"/>
      <c r="N80" s="38">
        <v>1</v>
      </c>
      <c r="O80" s="38"/>
      <c r="P80" s="38">
        <v>1</v>
      </c>
      <c r="Q80" s="38"/>
      <c r="R80" s="41">
        <f t="shared" si="14"/>
        <v>2</v>
      </c>
      <c r="S80" s="38"/>
      <c r="T80" s="41">
        <f t="shared" si="19"/>
        <v>0</v>
      </c>
      <c r="U80" s="38"/>
      <c r="V80" s="38"/>
      <c r="W80" s="38"/>
      <c r="X80" s="38"/>
      <c r="Y80" s="38"/>
      <c r="Z80" s="38"/>
      <c r="AA80" s="41">
        <f t="shared" si="15"/>
        <v>0</v>
      </c>
      <c r="AB80" s="38"/>
      <c r="AC80" s="38"/>
      <c r="AD80" s="38"/>
      <c r="AE80" s="38"/>
      <c r="AF80" s="38"/>
      <c r="AG80" s="38"/>
      <c r="AH80" s="38">
        <v>2</v>
      </c>
      <c r="AI80" s="38"/>
      <c r="AJ80" s="38"/>
      <c r="AK80" s="38"/>
      <c r="AL80" s="38"/>
      <c r="AM80" s="38"/>
      <c r="AN80" s="38"/>
      <c r="AO80" s="38"/>
      <c r="AP80" s="38"/>
      <c r="AQ80" s="38"/>
      <c r="AR80" s="38">
        <v>1</v>
      </c>
      <c r="AS80" s="38">
        <v>1</v>
      </c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41">
        <f t="shared" si="16"/>
        <v>4</v>
      </c>
      <c r="BJ80" s="41">
        <f t="shared" si="17"/>
        <v>8</v>
      </c>
      <c r="BK80" s="38"/>
      <c r="BL80" s="41">
        <f t="shared" si="18"/>
        <v>0</v>
      </c>
    </row>
    <row r="81" spans="1:64">
      <c r="A81" s="5" t="s">
        <v>203</v>
      </c>
      <c r="B81" s="38"/>
      <c r="C81" s="38"/>
      <c r="D81" s="41">
        <f t="shared" si="11"/>
        <v>0</v>
      </c>
      <c r="E81" s="38"/>
      <c r="F81" s="38"/>
      <c r="G81" s="38"/>
      <c r="H81" s="41">
        <f t="shared" si="12"/>
        <v>0</v>
      </c>
      <c r="I81" s="38"/>
      <c r="J81" s="41">
        <f t="shared" si="13"/>
        <v>0</v>
      </c>
      <c r="K81" s="38"/>
      <c r="L81" s="38"/>
      <c r="M81" s="38"/>
      <c r="N81" s="38"/>
      <c r="O81" s="38"/>
      <c r="P81" s="38"/>
      <c r="Q81" s="38"/>
      <c r="R81" s="41">
        <f t="shared" si="14"/>
        <v>0</v>
      </c>
      <c r="S81" s="38"/>
      <c r="T81" s="41">
        <f t="shared" si="19"/>
        <v>0</v>
      </c>
      <c r="U81" s="38"/>
      <c r="V81" s="38"/>
      <c r="W81" s="38"/>
      <c r="X81" s="38"/>
      <c r="Y81" s="38"/>
      <c r="Z81" s="38"/>
      <c r="AA81" s="41">
        <f t="shared" si="15"/>
        <v>0</v>
      </c>
      <c r="AB81" s="38">
        <v>1</v>
      </c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41">
        <f t="shared" si="16"/>
        <v>1</v>
      </c>
      <c r="BJ81" s="41">
        <f t="shared" si="17"/>
        <v>1</v>
      </c>
      <c r="BK81" s="38"/>
      <c r="BL81" s="41">
        <f t="shared" si="18"/>
        <v>0</v>
      </c>
    </row>
    <row r="82" spans="1:64">
      <c r="A82" s="5" t="s">
        <v>53</v>
      </c>
      <c r="B82" s="38"/>
      <c r="C82" s="38">
        <v>1</v>
      </c>
      <c r="D82" s="41">
        <f t="shared" si="11"/>
        <v>1</v>
      </c>
      <c r="E82" s="38"/>
      <c r="F82" s="38"/>
      <c r="G82" s="38"/>
      <c r="H82" s="41">
        <f t="shared" si="12"/>
        <v>0</v>
      </c>
      <c r="I82" s="38"/>
      <c r="J82" s="41">
        <f t="shared" si="13"/>
        <v>0</v>
      </c>
      <c r="K82" s="38"/>
      <c r="L82" s="38"/>
      <c r="M82" s="38"/>
      <c r="N82" s="38"/>
      <c r="O82" s="38"/>
      <c r="P82" s="38"/>
      <c r="Q82" s="38"/>
      <c r="R82" s="41">
        <f t="shared" si="14"/>
        <v>0</v>
      </c>
      <c r="S82" s="38"/>
      <c r="T82" s="41">
        <f t="shared" si="19"/>
        <v>0</v>
      </c>
      <c r="U82" s="38"/>
      <c r="V82" s="38"/>
      <c r="W82" s="38"/>
      <c r="X82" s="38"/>
      <c r="Y82" s="38"/>
      <c r="Z82" s="38"/>
      <c r="AA82" s="41">
        <f t="shared" si="15"/>
        <v>0</v>
      </c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>
        <v>2</v>
      </c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41">
        <f t="shared" si="16"/>
        <v>2</v>
      </c>
      <c r="BJ82" s="41">
        <f t="shared" si="17"/>
        <v>2</v>
      </c>
      <c r="BK82" s="38"/>
      <c r="BL82" s="41">
        <f t="shared" si="18"/>
        <v>0</v>
      </c>
    </row>
  </sheetData>
  <mergeCells count="9">
    <mergeCell ref="BK2:BL2"/>
    <mergeCell ref="E2:H2"/>
    <mergeCell ref="B2:D2"/>
    <mergeCell ref="I2:J2"/>
    <mergeCell ref="AB2:BI2"/>
    <mergeCell ref="BJ2:BJ3"/>
    <mergeCell ref="K2:R2"/>
    <mergeCell ref="U2:AA2"/>
    <mergeCell ref="S2:T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82"/>
  <sheetViews>
    <sheetView topLeftCell="A13" workbookViewId="0">
      <selection activeCell="E19" sqref="E19:E25"/>
    </sheetView>
  </sheetViews>
  <sheetFormatPr defaultColWidth="8.77734375" defaultRowHeight="14.4"/>
  <cols>
    <col min="1" max="1" width="20.77734375" style="26" customWidth="1"/>
    <col min="2" max="9" width="15.77734375" style="14" customWidth="1"/>
  </cols>
  <sheetData>
    <row r="1" spans="1:9" ht="28.8">
      <c r="A1" s="25"/>
      <c r="B1" s="17" t="s">
        <v>6</v>
      </c>
      <c r="C1" s="17" t="s">
        <v>5</v>
      </c>
      <c r="D1" s="17" t="s">
        <v>7</v>
      </c>
      <c r="E1" s="17" t="s">
        <v>232</v>
      </c>
      <c r="F1" s="17" t="s">
        <v>3</v>
      </c>
      <c r="G1" s="17" t="s">
        <v>233</v>
      </c>
      <c r="H1" s="17" t="s">
        <v>2</v>
      </c>
      <c r="I1" s="17" t="s">
        <v>234</v>
      </c>
    </row>
    <row r="2" spans="1:9" ht="43.2">
      <c r="A2" s="10" t="s">
        <v>249</v>
      </c>
      <c r="B2" s="16">
        <f>'Assumptions&amp;Calculations'!H31</f>
        <v>60</v>
      </c>
      <c r="C2" s="16">
        <f>'Assumptions&amp;Calculations'!H37</f>
        <v>150</v>
      </c>
      <c r="D2" s="16">
        <f>'Assumptions&amp;Calculations'!H32</f>
        <v>105.60000000000001</v>
      </c>
      <c r="E2" s="16">
        <f>'Assumptions&amp;Calculations'!H33</f>
        <v>64</v>
      </c>
      <c r="F2" s="16">
        <f>'Assumptions&amp;Calculations'!H34</f>
        <v>900</v>
      </c>
      <c r="G2" s="16">
        <f>'Assumptions&amp;Calculations'!H35</f>
        <v>135</v>
      </c>
      <c r="H2" s="16">
        <f>'Assumptions&amp;Calculations'!H36</f>
        <v>2160</v>
      </c>
      <c r="I2" s="16">
        <v>360</v>
      </c>
    </row>
    <row r="3" spans="1:9" ht="28.8">
      <c r="A3" s="16" t="s">
        <v>0</v>
      </c>
      <c r="B3" s="16" t="s">
        <v>224</v>
      </c>
      <c r="C3" s="16" t="s">
        <v>216</v>
      </c>
      <c r="D3" s="16" t="s">
        <v>225</v>
      </c>
      <c r="E3" s="16" t="s">
        <v>226</v>
      </c>
      <c r="F3" s="16" t="s">
        <v>227</v>
      </c>
      <c r="G3" s="16" t="s">
        <v>228</v>
      </c>
      <c r="H3" s="16" t="s">
        <v>229</v>
      </c>
      <c r="I3" s="16" t="s">
        <v>230</v>
      </c>
    </row>
    <row r="4" spans="1:9">
      <c r="A4" s="23" t="s">
        <v>88</v>
      </c>
      <c r="B4" s="20">
        <v>28</v>
      </c>
      <c r="C4" s="20">
        <v>0</v>
      </c>
      <c r="D4" s="20">
        <v>0</v>
      </c>
      <c r="E4" s="20">
        <v>78</v>
      </c>
      <c r="F4" s="20">
        <v>0</v>
      </c>
      <c r="G4" s="20">
        <v>26</v>
      </c>
      <c r="H4" s="20">
        <v>0</v>
      </c>
      <c r="I4" s="20">
        <v>3</v>
      </c>
    </row>
    <row r="5" spans="1:9">
      <c r="A5" s="23" t="s">
        <v>85</v>
      </c>
      <c r="B5" s="20">
        <v>103</v>
      </c>
      <c r="C5" s="20">
        <v>0</v>
      </c>
      <c r="D5" s="20">
        <v>0</v>
      </c>
      <c r="E5" s="20">
        <v>66</v>
      </c>
      <c r="F5" s="20">
        <v>0</v>
      </c>
      <c r="G5" s="20">
        <v>28</v>
      </c>
      <c r="H5" s="20">
        <v>0</v>
      </c>
      <c r="I5" s="20">
        <v>3</v>
      </c>
    </row>
    <row r="6" spans="1:9">
      <c r="A6" s="23" t="s">
        <v>146</v>
      </c>
      <c r="B6" s="20">
        <v>152</v>
      </c>
      <c r="C6" s="20">
        <v>0</v>
      </c>
      <c r="D6" s="20">
        <v>0</v>
      </c>
      <c r="E6" s="20">
        <v>152</v>
      </c>
      <c r="F6" s="20">
        <v>0</v>
      </c>
      <c r="G6" s="20">
        <v>38</v>
      </c>
      <c r="H6" s="20">
        <v>0</v>
      </c>
      <c r="I6" s="20">
        <v>1</v>
      </c>
    </row>
    <row r="7" spans="1:9">
      <c r="A7" s="23" t="s">
        <v>84</v>
      </c>
      <c r="B7" s="20">
        <v>28</v>
      </c>
      <c r="C7" s="20">
        <v>1</v>
      </c>
      <c r="D7" s="20">
        <v>0</v>
      </c>
      <c r="E7" s="20">
        <v>199</v>
      </c>
      <c r="F7" s="20">
        <v>0</v>
      </c>
      <c r="G7" s="20">
        <v>39</v>
      </c>
      <c r="H7" s="20">
        <v>0</v>
      </c>
      <c r="I7" s="20">
        <v>0</v>
      </c>
    </row>
    <row r="8" spans="1:9">
      <c r="A8" s="23" t="s">
        <v>86</v>
      </c>
      <c r="B8" s="20">
        <v>19</v>
      </c>
      <c r="C8" s="20">
        <v>0</v>
      </c>
      <c r="D8" s="20">
        <v>0</v>
      </c>
      <c r="E8" s="20">
        <v>38</v>
      </c>
      <c r="F8" s="20">
        <v>0</v>
      </c>
      <c r="G8" s="20">
        <v>20</v>
      </c>
      <c r="H8" s="20">
        <v>0</v>
      </c>
      <c r="I8" s="20">
        <v>0</v>
      </c>
    </row>
    <row r="9" spans="1:9">
      <c r="A9" s="23" t="s">
        <v>87</v>
      </c>
      <c r="B9" s="20">
        <v>55</v>
      </c>
      <c r="C9" s="20">
        <v>0</v>
      </c>
      <c r="D9" s="20">
        <v>0</v>
      </c>
      <c r="E9" s="20">
        <v>36</v>
      </c>
      <c r="F9" s="20">
        <v>0</v>
      </c>
      <c r="G9" s="20">
        <v>40</v>
      </c>
      <c r="H9" s="20">
        <v>2</v>
      </c>
      <c r="I9" s="20">
        <v>1</v>
      </c>
    </row>
    <row r="10" spans="1:9">
      <c r="A10" s="23" t="s">
        <v>11</v>
      </c>
      <c r="B10" s="20">
        <v>65</v>
      </c>
      <c r="C10" s="20">
        <v>18</v>
      </c>
      <c r="D10" s="20">
        <v>0</v>
      </c>
      <c r="E10" s="20">
        <v>303</v>
      </c>
      <c r="F10" s="20">
        <v>0</v>
      </c>
      <c r="G10" s="20">
        <v>47</v>
      </c>
      <c r="H10" s="20">
        <v>2</v>
      </c>
      <c r="I10" s="20">
        <v>5</v>
      </c>
    </row>
    <row r="11" spans="1:9">
      <c r="A11" s="23" t="s">
        <v>12</v>
      </c>
      <c r="B11" s="20">
        <v>48</v>
      </c>
      <c r="C11" s="20">
        <v>9</v>
      </c>
      <c r="D11" s="20">
        <v>0</v>
      </c>
      <c r="E11" s="20">
        <v>146</v>
      </c>
      <c r="F11" s="20">
        <v>0</v>
      </c>
      <c r="G11" s="20">
        <v>46</v>
      </c>
      <c r="H11" s="20">
        <v>0</v>
      </c>
      <c r="I11" s="20">
        <v>1</v>
      </c>
    </row>
    <row r="12" spans="1:9">
      <c r="A12" s="23" t="s">
        <v>13</v>
      </c>
      <c r="B12" s="20">
        <v>33</v>
      </c>
      <c r="C12" s="20">
        <v>15</v>
      </c>
      <c r="D12" s="20">
        <v>0</v>
      </c>
      <c r="E12" s="20">
        <v>265</v>
      </c>
      <c r="F12" s="20">
        <v>0</v>
      </c>
      <c r="G12" s="20">
        <v>37</v>
      </c>
      <c r="H12" s="20">
        <v>1</v>
      </c>
      <c r="I12" s="20">
        <v>1</v>
      </c>
    </row>
    <row r="13" spans="1:9">
      <c r="A13" s="23" t="s">
        <v>14</v>
      </c>
      <c r="B13" s="20">
        <v>176</v>
      </c>
      <c r="C13" s="20">
        <v>0</v>
      </c>
      <c r="D13" s="20">
        <v>0</v>
      </c>
      <c r="E13" s="20">
        <v>482</v>
      </c>
      <c r="F13" s="20">
        <v>0</v>
      </c>
      <c r="G13" s="20">
        <v>62</v>
      </c>
      <c r="H13" s="20">
        <v>0</v>
      </c>
      <c r="I13" s="20">
        <v>3</v>
      </c>
    </row>
    <row r="14" spans="1:9">
      <c r="A14" s="23" t="s">
        <v>10</v>
      </c>
      <c r="B14" s="20">
        <v>4</v>
      </c>
      <c r="C14" s="20">
        <v>1</v>
      </c>
      <c r="D14" s="20">
        <v>0</v>
      </c>
      <c r="E14" s="20">
        <v>0</v>
      </c>
      <c r="F14" s="20">
        <v>0</v>
      </c>
      <c r="G14" s="20">
        <v>1</v>
      </c>
      <c r="H14" s="20">
        <v>0</v>
      </c>
      <c r="I14" s="20">
        <v>0</v>
      </c>
    </row>
    <row r="15" spans="1:9">
      <c r="A15" s="23" t="s">
        <v>15</v>
      </c>
      <c r="B15" s="20">
        <v>96</v>
      </c>
      <c r="C15" s="20">
        <v>0</v>
      </c>
      <c r="D15" s="20">
        <v>0</v>
      </c>
      <c r="E15" s="20">
        <v>13</v>
      </c>
      <c r="F15" s="20">
        <v>0</v>
      </c>
      <c r="G15" s="20">
        <v>438</v>
      </c>
      <c r="H15" s="20">
        <v>126</v>
      </c>
      <c r="I15" s="20">
        <v>6</v>
      </c>
    </row>
    <row r="16" spans="1:9">
      <c r="A16" s="23" t="s">
        <v>16</v>
      </c>
      <c r="B16" s="20">
        <v>1761</v>
      </c>
      <c r="C16" s="20">
        <v>0</v>
      </c>
      <c r="D16" s="20">
        <v>0</v>
      </c>
      <c r="E16" s="20">
        <v>32</v>
      </c>
      <c r="F16" s="20">
        <v>1</v>
      </c>
      <c r="G16" s="20">
        <v>751</v>
      </c>
      <c r="H16" s="20">
        <v>72</v>
      </c>
      <c r="I16" s="20">
        <v>6</v>
      </c>
    </row>
    <row r="17" spans="1:9">
      <c r="A17" s="23" t="s">
        <v>17</v>
      </c>
      <c r="B17" s="20">
        <v>62</v>
      </c>
      <c r="C17" s="20">
        <v>0</v>
      </c>
      <c r="D17" s="20">
        <v>0</v>
      </c>
      <c r="E17" s="20">
        <v>4</v>
      </c>
      <c r="F17" s="20">
        <v>0</v>
      </c>
      <c r="G17" s="20">
        <v>156</v>
      </c>
      <c r="H17" s="20">
        <v>18</v>
      </c>
      <c r="I17" s="20">
        <v>4</v>
      </c>
    </row>
    <row r="18" spans="1:9">
      <c r="A18" s="23" t="s">
        <v>18</v>
      </c>
      <c r="B18" s="20">
        <v>99</v>
      </c>
      <c r="C18" s="20">
        <v>0</v>
      </c>
      <c r="D18" s="20">
        <v>0</v>
      </c>
      <c r="E18" s="20">
        <v>1</v>
      </c>
      <c r="F18" s="20">
        <v>0</v>
      </c>
      <c r="G18" s="20">
        <v>453</v>
      </c>
      <c r="H18" s="20">
        <v>24</v>
      </c>
      <c r="I18" s="20">
        <v>9</v>
      </c>
    </row>
    <row r="19" spans="1:9">
      <c r="A19" s="23" t="s">
        <v>19</v>
      </c>
      <c r="B19" s="20">
        <v>13</v>
      </c>
      <c r="C19" s="20">
        <v>0</v>
      </c>
      <c r="D19" s="20">
        <v>0</v>
      </c>
      <c r="E19" s="20">
        <v>223</v>
      </c>
      <c r="F19" s="20">
        <v>0</v>
      </c>
      <c r="G19" s="20">
        <v>3</v>
      </c>
      <c r="H19" s="20">
        <v>0</v>
      </c>
      <c r="I19" s="20">
        <v>0</v>
      </c>
    </row>
    <row r="20" spans="1:9">
      <c r="A20" s="23" t="s">
        <v>20</v>
      </c>
      <c r="B20" s="20">
        <v>17</v>
      </c>
      <c r="C20" s="20">
        <v>0</v>
      </c>
      <c r="D20" s="20">
        <v>0</v>
      </c>
      <c r="E20" s="20">
        <v>218</v>
      </c>
      <c r="F20" s="20">
        <v>0</v>
      </c>
      <c r="G20" s="20">
        <v>7</v>
      </c>
      <c r="H20" s="20">
        <v>0</v>
      </c>
      <c r="I20" s="20">
        <v>0</v>
      </c>
    </row>
    <row r="21" spans="1:9">
      <c r="A21" s="23" t="s">
        <v>21</v>
      </c>
      <c r="B21" s="20">
        <v>17</v>
      </c>
      <c r="C21" s="20">
        <v>0</v>
      </c>
      <c r="D21" s="20">
        <v>0</v>
      </c>
      <c r="E21" s="20">
        <v>254</v>
      </c>
      <c r="F21" s="20">
        <v>0</v>
      </c>
      <c r="G21" s="20">
        <v>7</v>
      </c>
      <c r="H21" s="20">
        <v>0</v>
      </c>
      <c r="I21" s="20">
        <v>0</v>
      </c>
    </row>
    <row r="22" spans="1:9">
      <c r="A22" s="23" t="s">
        <v>22</v>
      </c>
      <c r="B22" s="20">
        <v>18</v>
      </c>
      <c r="C22" s="20">
        <v>0</v>
      </c>
      <c r="D22" s="20">
        <v>0</v>
      </c>
      <c r="E22" s="20">
        <v>309</v>
      </c>
      <c r="F22" s="20">
        <v>0</v>
      </c>
      <c r="G22" s="20">
        <v>12</v>
      </c>
      <c r="H22" s="20">
        <v>1</v>
      </c>
      <c r="I22" s="20">
        <v>0</v>
      </c>
    </row>
    <row r="23" spans="1:9">
      <c r="A23" s="23" t="s">
        <v>23</v>
      </c>
      <c r="B23" s="20">
        <v>19</v>
      </c>
      <c r="C23" s="20">
        <v>0</v>
      </c>
      <c r="D23" s="20">
        <v>0</v>
      </c>
      <c r="E23" s="20">
        <v>296</v>
      </c>
      <c r="F23" s="20">
        <v>0</v>
      </c>
      <c r="G23" s="20">
        <v>27</v>
      </c>
      <c r="H23" s="20">
        <v>0</v>
      </c>
      <c r="I23" s="20">
        <v>0</v>
      </c>
    </row>
    <row r="24" spans="1:9">
      <c r="A24" s="23" t="s">
        <v>24</v>
      </c>
      <c r="B24" s="20">
        <v>19</v>
      </c>
      <c r="C24" s="20">
        <v>0</v>
      </c>
      <c r="D24" s="20">
        <v>0</v>
      </c>
      <c r="E24" s="20">
        <v>203</v>
      </c>
      <c r="F24" s="20">
        <v>1</v>
      </c>
      <c r="G24" s="20">
        <v>28</v>
      </c>
      <c r="H24" s="20">
        <v>0</v>
      </c>
      <c r="I24" s="20">
        <v>0</v>
      </c>
    </row>
    <row r="25" spans="1:9">
      <c r="A25" s="23" t="s">
        <v>25</v>
      </c>
      <c r="B25" s="20">
        <v>19</v>
      </c>
      <c r="C25" s="20">
        <v>0</v>
      </c>
      <c r="D25" s="20">
        <v>0</v>
      </c>
      <c r="E25" s="20">
        <v>275</v>
      </c>
      <c r="F25" s="20">
        <v>0</v>
      </c>
      <c r="G25" s="20">
        <v>9</v>
      </c>
      <c r="H25" s="20">
        <v>1</v>
      </c>
      <c r="I25" s="20">
        <v>0</v>
      </c>
    </row>
    <row r="26" spans="1:9">
      <c r="A26" s="23" t="s">
        <v>64</v>
      </c>
      <c r="B26" s="20">
        <v>91</v>
      </c>
      <c r="C26" s="20">
        <v>0</v>
      </c>
      <c r="D26" s="20">
        <v>0</v>
      </c>
      <c r="E26" s="20">
        <v>527</v>
      </c>
      <c r="F26" s="20">
        <v>0</v>
      </c>
      <c r="G26" s="20">
        <v>97</v>
      </c>
      <c r="H26" s="20">
        <v>0</v>
      </c>
      <c r="I26" s="20">
        <v>7</v>
      </c>
    </row>
    <row r="27" spans="1:9">
      <c r="A27" s="23" t="s">
        <v>72</v>
      </c>
      <c r="B27" s="20">
        <v>35</v>
      </c>
      <c r="C27" s="20">
        <v>0</v>
      </c>
      <c r="D27" s="20">
        <v>0</v>
      </c>
      <c r="E27" s="20">
        <v>402</v>
      </c>
      <c r="F27" s="20">
        <v>0</v>
      </c>
      <c r="G27" s="20">
        <v>66</v>
      </c>
      <c r="H27" s="20">
        <v>0</v>
      </c>
      <c r="I27" s="20">
        <v>2</v>
      </c>
    </row>
    <row r="28" spans="1:9">
      <c r="A28" s="23" t="s">
        <v>26</v>
      </c>
      <c r="B28" s="20">
        <v>25</v>
      </c>
      <c r="C28" s="20">
        <v>0</v>
      </c>
      <c r="D28" s="20">
        <v>0</v>
      </c>
      <c r="E28" s="20">
        <v>619</v>
      </c>
      <c r="F28" s="20">
        <v>0</v>
      </c>
      <c r="G28" s="20">
        <v>64</v>
      </c>
      <c r="H28" s="20">
        <v>0</v>
      </c>
      <c r="I28" s="20">
        <v>0</v>
      </c>
    </row>
    <row r="29" spans="1:9">
      <c r="A29" s="23" t="s">
        <v>57</v>
      </c>
      <c r="B29" s="20">
        <v>42</v>
      </c>
      <c r="C29" s="20">
        <v>0</v>
      </c>
      <c r="D29" s="20">
        <v>0</v>
      </c>
      <c r="E29" s="20">
        <v>636</v>
      </c>
      <c r="F29" s="20">
        <v>0</v>
      </c>
      <c r="G29" s="20">
        <v>111</v>
      </c>
      <c r="H29" s="20">
        <v>0</v>
      </c>
      <c r="I29" s="20">
        <v>1</v>
      </c>
    </row>
    <row r="30" spans="1:9">
      <c r="A30" s="23" t="s">
        <v>74</v>
      </c>
      <c r="B30" s="20">
        <v>35</v>
      </c>
      <c r="C30" s="20">
        <v>0</v>
      </c>
      <c r="D30" s="20">
        <v>0</v>
      </c>
      <c r="E30" s="20">
        <v>341</v>
      </c>
      <c r="F30" s="20">
        <v>0</v>
      </c>
      <c r="G30" s="20">
        <v>45</v>
      </c>
      <c r="H30" s="20">
        <v>0</v>
      </c>
      <c r="I30" s="20">
        <v>5</v>
      </c>
    </row>
    <row r="31" spans="1:9">
      <c r="A31" s="23" t="s">
        <v>27</v>
      </c>
      <c r="B31" s="20">
        <v>14</v>
      </c>
      <c r="C31" s="20">
        <v>0</v>
      </c>
      <c r="D31" s="20">
        <v>0</v>
      </c>
      <c r="E31" s="20">
        <v>1</v>
      </c>
      <c r="F31" s="20">
        <v>0</v>
      </c>
      <c r="G31" s="20">
        <v>24</v>
      </c>
      <c r="H31" s="20">
        <v>2</v>
      </c>
      <c r="I31" s="20">
        <v>0</v>
      </c>
    </row>
    <row r="32" spans="1:9">
      <c r="A32" s="23" t="s">
        <v>28</v>
      </c>
      <c r="B32" s="20">
        <v>42</v>
      </c>
      <c r="C32" s="20">
        <v>3</v>
      </c>
      <c r="D32" s="20">
        <v>0</v>
      </c>
      <c r="E32" s="20">
        <v>0</v>
      </c>
      <c r="F32" s="20">
        <v>0</v>
      </c>
      <c r="G32" s="20">
        <v>20</v>
      </c>
      <c r="H32" s="20">
        <v>2</v>
      </c>
      <c r="I32" s="20">
        <v>0</v>
      </c>
    </row>
    <row r="33" spans="1:9">
      <c r="A33" s="23" t="s">
        <v>29</v>
      </c>
      <c r="B33" s="20">
        <v>41</v>
      </c>
      <c r="C33" s="20">
        <v>0</v>
      </c>
      <c r="D33" s="20">
        <v>0</v>
      </c>
      <c r="E33" s="20">
        <v>0</v>
      </c>
      <c r="F33" s="20">
        <v>0</v>
      </c>
      <c r="G33" s="20">
        <v>45</v>
      </c>
      <c r="H33" s="20">
        <v>3</v>
      </c>
      <c r="I33" s="20">
        <v>1</v>
      </c>
    </row>
    <row r="34" spans="1:9">
      <c r="A34" s="23" t="s">
        <v>30</v>
      </c>
      <c r="B34" s="20">
        <v>71</v>
      </c>
      <c r="C34" s="20">
        <v>0</v>
      </c>
      <c r="D34" s="20">
        <v>0</v>
      </c>
      <c r="E34" s="20">
        <v>0</v>
      </c>
      <c r="F34" s="20">
        <v>0</v>
      </c>
      <c r="G34" s="20">
        <v>23</v>
      </c>
      <c r="H34" s="20">
        <v>4</v>
      </c>
      <c r="I34" s="20">
        <v>0</v>
      </c>
    </row>
    <row r="35" spans="1:9">
      <c r="A35" s="23" t="s">
        <v>31</v>
      </c>
      <c r="B35" s="20">
        <v>39</v>
      </c>
      <c r="C35" s="20">
        <v>0</v>
      </c>
      <c r="D35" s="20">
        <v>0</v>
      </c>
      <c r="E35" s="20">
        <v>3</v>
      </c>
      <c r="F35" s="20">
        <v>0</v>
      </c>
      <c r="G35" s="20">
        <v>14</v>
      </c>
      <c r="H35" s="20">
        <v>0</v>
      </c>
      <c r="I35" s="20">
        <v>0</v>
      </c>
    </row>
    <row r="36" spans="1:9">
      <c r="A36" s="23" t="s">
        <v>32</v>
      </c>
      <c r="B36" s="20">
        <v>10</v>
      </c>
      <c r="C36" s="20">
        <v>0</v>
      </c>
      <c r="D36" s="20">
        <v>0</v>
      </c>
      <c r="E36" s="20">
        <v>62</v>
      </c>
      <c r="F36" s="20">
        <v>0</v>
      </c>
      <c r="G36" s="20">
        <v>21</v>
      </c>
      <c r="H36" s="20">
        <v>0</v>
      </c>
      <c r="I36" s="20">
        <v>2</v>
      </c>
    </row>
    <row r="37" spans="1:9">
      <c r="A37" s="23" t="s">
        <v>33</v>
      </c>
      <c r="B37" s="20">
        <v>4</v>
      </c>
      <c r="C37" s="20">
        <v>0</v>
      </c>
      <c r="D37" s="20">
        <v>0</v>
      </c>
      <c r="E37" s="20">
        <v>36</v>
      </c>
      <c r="F37" s="20">
        <v>0</v>
      </c>
      <c r="G37" s="20">
        <v>27</v>
      </c>
      <c r="H37" s="20">
        <v>0</v>
      </c>
      <c r="I37" s="20">
        <v>2</v>
      </c>
    </row>
    <row r="38" spans="1:9">
      <c r="A38" s="23" t="s">
        <v>34</v>
      </c>
      <c r="B38" s="20">
        <v>11</v>
      </c>
      <c r="C38" s="20">
        <v>0</v>
      </c>
      <c r="D38" s="20">
        <v>0</v>
      </c>
      <c r="E38" s="20">
        <v>359</v>
      </c>
      <c r="F38" s="20">
        <v>0</v>
      </c>
      <c r="G38" s="20">
        <v>64</v>
      </c>
      <c r="H38" s="20">
        <v>4</v>
      </c>
      <c r="I38" s="20">
        <v>12</v>
      </c>
    </row>
    <row r="39" spans="1:9">
      <c r="A39" s="23" t="s">
        <v>35</v>
      </c>
      <c r="B39" s="20">
        <v>7</v>
      </c>
      <c r="C39" s="20">
        <v>0</v>
      </c>
      <c r="D39" s="20">
        <v>0</v>
      </c>
      <c r="E39" s="20">
        <v>82</v>
      </c>
      <c r="F39" s="20">
        <v>0</v>
      </c>
      <c r="G39" s="20">
        <v>6</v>
      </c>
      <c r="H39" s="20">
        <v>0</v>
      </c>
      <c r="I39" s="20">
        <v>0</v>
      </c>
    </row>
    <row r="40" spans="1:9">
      <c r="A40" s="23" t="s">
        <v>36</v>
      </c>
      <c r="B40" s="20">
        <v>7</v>
      </c>
      <c r="C40" s="20">
        <v>0</v>
      </c>
      <c r="D40" s="20">
        <v>0</v>
      </c>
      <c r="E40" s="20">
        <v>36</v>
      </c>
      <c r="F40" s="20">
        <v>0</v>
      </c>
      <c r="G40" s="20">
        <v>30</v>
      </c>
      <c r="H40" s="20">
        <v>0</v>
      </c>
      <c r="I40" s="20">
        <v>2</v>
      </c>
    </row>
    <row r="41" spans="1:9">
      <c r="A41" s="23" t="s">
        <v>37</v>
      </c>
      <c r="B41" s="20">
        <v>7</v>
      </c>
      <c r="C41" s="20">
        <v>0</v>
      </c>
      <c r="D41" s="20">
        <v>0</v>
      </c>
      <c r="E41" s="20">
        <v>43</v>
      </c>
      <c r="F41" s="20">
        <v>0</v>
      </c>
      <c r="G41" s="20">
        <v>33</v>
      </c>
      <c r="H41" s="20">
        <v>0</v>
      </c>
      <c r="I41" s="20">
        <v>2</v>
      </c>
    </row>
    <row r="42" spans="1:9">
      <c r="A42" s="23" t="s">
        <v>38</v>
      </c>
      <c r="B42" s="20">
        <v>6</v>
      </c>
      <c r="C42" s="20">
        <v>0</v>
      </c>
      <c r="D42" s="20">
        <v>0</v>
      </c>
      <c r="E42" s="20">
        <v>9</v>
      </c>
      <c r="F42" s="20">
        <v>0</v>
      </c>
      <c r="G42" s="20">
        <v>32</v>
      </c>
      <c r="H42" s="20">
        <v>0</v>
      </c>
      <c r="I42" s="20">
        <v>0</v>
      </c>
    </row>
    <row r="43" spans="1:9">
      <c r="A43" s="23" t="s">
        <v>39</v>
      </c>
      <c r="B43" s="20">
        <v>24</v>
      </c>
      <c r="C43" s="20">
        <v>1</v>
      </c>
      <c r="D43" s="20">
        <v>0</v>
      </c>
      <c r="E43" s="20">
        <v>8</v>
      </c>
      <c r="F43" s="20">
        <v>0</v>
      </c>
      <c r="G43" s="20">
        <v>14</v>
      </c>
      <c r="H43" s="20">
        <v>3</v>
      </c>
      <c r="I43" s="20">
        <v>0</v>
      </c>
    </row>
    <row r="44" spans="1:9">
      <c r="A44" s="23" t="s">
        <v>40</v>
      </c>
      <c r="B44" s="20">
        <v>6</v>
      </c>
      <c r="C44" s="20">
        <v>0</v>
      </c>
      <c r="D44" s="20">
        <v>0</v>
      </c>
      <c r="E44" s="20">
        <v>7</v>
      </c>
      <c r="F44" s="20">
        <v>0</v>
      </c>
      <c r="G44" s="20">
        <v>35</v>
      </c>
      <c r="H44" s="20">
        <v>2</v>
      </c>
      <c r="I44" s="20">
        <v>0</v>
      </c>
    </row>
    <row r="45" spans="1:9">
      <c r="A45" s="23" t="s">
        <v>41</v>
      </c>
      <c r="B45" s="20">
        <v>23</v>
      </c>
      <c r="C45" s="20">
        <v>0</v>
      </c>
      <c r="D45" s="20">
        <v>0</v>
      </c>
      <c r="E45" s="20">
        <v>16</v>
      </c>
      <c r="F45" s="20">
        <v>0</v>
      </c>
      <c r="G45" s="20">
        <v>1</v>
      </c>
      <c r="H45" s="20">
        <v>0</v>
      </c>
      <c r="I45" s="20">
        <v>0</v>
      </c>
    </row>
    <row r="46" spans="1:9">
      <c r="A46" s="23" t="s">
        <v>42</v>
      </c>
      <c r="B46" s="20">
        <v>11</v>
      </c>
      <c r="C46" s="20">
        <v>0</v>
      </c>
      <c r="D46" s="20">
        <v>1</v>
      </c>
      <c r="E46" s="20">
        <v>31</v>
      </c>
      <c r="F46" s="20">
        <v>0</v>
      </c>
      <c r="G46" s="20">
        <v>36</v>
      </c>
      <c r="H46" s="20">
        <v>6</v>
      </c>
      <c r="I46" s="20">
        <v>1</v>
      </c>
    </row>
    <row r="47" spans="1:9">
      <c r="A47" s="23" t="s">
        <v>43</v>
      </c>
      <c r="B47" s="20">
        <v>6</v>
      </c>
      <c r="C47" s="20">
        <v>1</v>
      </c>
      <c r="D47" s="20">
        <v>0</v>
      </c>
      <c r="E47" s="20">
        <v>15</v>
      </c>
      <c r="F47" s="20">
        <v>0</v>
      </c>
      <c r="G47" s="20">
        <v>18</v>
      </c>
      <c r="H47" s="20">
        <v>5</v>
      </c>
      <c r="I47" s="20">
        <v>0</v>
      </c>
    </row>
    <row r="48" spans="1:9">
      <c r="A48" s="23" t="s">
        <v>77</v>
      </c>
      <c r="B48" s="20">
        <v>34</v>
      </c>
      <c r="C48" s="20">
        <v>0</v>
      </c>
      <c r="D48" s="20">
        <v>0</v>
      </c>
      <c r="E48" s="20">
        <v>67</v>
      </c>
      <c r="F48" s="20">
        <v>0</v>
      </c>
      <c r="G48" s="20">
        <v>104</v>
      </c>
      <c r="H48" s="20">
        <v>7</v>
      </c>
      <c r="I48" s="20">
        <v>6</v>
      </c>
    </row>
    <row r="49" spans="1:9">
      <c r="A49" s="23" t="s">
        <v>78</v>
      </c>
      <c r="B49" s="20">
        <v>30</v>
      </c>
      <c r="C49" s="20">
        <v>1</v>
      </c>
      <c r="D49" s="20">
        <v>0</v>
      </c>
      <c r="E49" s="20">
        <v>62</v>
      </c>
      <c r="F49" s="20">
        <v>0</v>
      </c>
      <c r="G49" s="20">
        <v>111</v>
      </c>
      <c r="H49" s="20">
        <v>6</v>
      </c>
      <c r="I49" s="20">
        <v>0</v>
      </c>
    </row>
    <row r="50" spans="1:9">
      <c r="A50" s="23" t="s">
        <v>79</v>
      </c>
      <c r="B50" s="20">
        <v>32</v>
      </c>
      <c r="C50" s="20">
        <v>0</v>
      </c>
      <c r="D50" s="20">
        <v>0</v>
      </c>
      <c r="E50" s="20">
        <v>49</v>
      </c>
      <c r="F50" s="20">
        <v>1</v>
      </c>
      <c r="G50" s="20">
        <v>150</v>
      </c>
      <c r="H50" s="20">
        <v>15</v>
      </c>
      <c r="I50" s="20">
        <v>2</v>
      </c>
    </row>
    <row r="51" spans="1:9">
      <c r="A51" s="23" t="s">
        <v>80</v>
      </c>
      <c r="B51" s="20">
        <v>29</v>
      </c>
      <c r="C51" s="20">
        <v>0</v>
      </c>
      <c r="D51" s="20">
        <v>0</v>
      </c>
      <c r="E51" s="20">
        <v>17</v>
      </c>
      <c r="F51" s="20">
        <v>0</v>
      </c>
      <c r="G51" s="20">
        <v>16</v>
      </c>
      <c r="H51" s="20">
        <v>0</v>
      </c>
      <c r="I51" s="20">
        <v>0</v>
      </c>
    </row>
    <row r="52" spans="1:9">
      <c r="A52" s="23" t="s">
        <v>44</v>
      </c>
      <c r="B52" s="20">
        <v>6</v>
      </c>
      <c r="C52" s="20">
        <v>0</v>
      </c>
      <c r="D52" s="20">
        <v>0</v>
      </c>
      <c r="E52" s="20">
        <v>5</v>
      </c>
      <c r="F52" s="20">
        <v>0</v>
      </c>
      <c r="G52" s="20">
        <v>4</v>
      </c>
      <c r="H52" s="20">
        <v>2</v>
      </c>
      <c r="I52" s="20">
        <v>0</v>
      </c>
    </row>
    <row r="53" spans="1:9">
      <c r="A53" s="23" t="s">
        <v>92</v>
      </c>
      <c r="B53" s="20">
        <v>16</v>
      </c>
      <c r="C53" s="20">
        <v>0</v>
      </c>
      <c r="D53" s="20">
        <v>0</v>
      </c>
      <c r="E53" s="20">
        <v>19</v>
      </c>
      <c r="F53" s="20">
        <v>0</v>
      </c>
      <c r="G53" s="20">
        <v>28</v>
      </c>
      <c r="H53" s="20">
        <v>6</v>
      </c>
      <c r="I53" s="20">
        <v>0</v>
      </c>
    </row>
    <row r="54" spans="1:9">
      <c r="A54" s="23" t="s">
        <v>91</v>
      </c>
      <c r="B54" s="20">
        <v>72</v>
      </c>
      <c r="C54" s="20">
        <v>1</v>
      </c>
      <c r="D54" s="20">
        <v>0</v>
      </c>
      <c r="E54" s="20">
        <v>46</v>
      </c>
      <c r="F54" s="20">
        <v>0</v>
      </c>
      <c r="G54" s="20">
        <v>106</v>
      </c>
      <c r="H54" s="20">
        <v>7</v>
      </c>
      <c r="I54" s="20">
        <v>5</v>
      </c>
    </row>
    <row r="55" spans="1:9">
      <c r="A55" s="23" t="s">
        <v>94</v>
      </c>
      <c r="B55" s="20">
        <v>20</v>
      </c>
      <c r="C55" s="20">
        <v>0</v>
      </c>
      <c r="D55" s="20">
        <v>0</v>
      </c>
      <c r="E55" s="20">
        <v>20</v>
      </c>
      <c r="F55" s="20">
        <v>0</v>
      </c>
      <c r="G55" s="20">
        <v>9</v>
      </c>
      <c r="H55" s="20">
        <v>1</v>
      </c>
      <c r="I55" s="20">
        <v>0</v>
      </c>
    </row>
    <row r="56" spans="1:9">
      <c r="A56" s="23" t="s">
        <v>45</v>
      </c>
      <c r="B56" s="20">
        <v>21</v>
      </c>
      <c r="C56" s="20">
        <v>1</v>
      </c>
      <c r="D56" s="20">
        <v>0</v>
      </c>
      <c r="E56" s="20">
        <v>34</v>
      </c>
      <c r="F56" s="20">
        <v>0</v>
      </c>
      <c r="G56" s="20">
        <v>29</v>
      </c>
      <c r="H56" s="20">
        <v>5</v>
      </c>
      <c r="I56" s="20">
        <v>1</v>
      </c>
    </row>
    <row r="57" spans="1:9">
      <c r="A57" s="23" t="s">
        <v>46</v>
      </c>
      <c r="B57" s="20">
        <v>19</v>
      </c>
      <c r="C57" s="20">
        <v>0</v>
      </c>
      <c r="D57" s="20">
        <v>0</v>
      </c>
      <c r="E57" s="20">
        <v>22</v>
      </c>
      <c r="F57" s="20">
        <v>0</v>
      </c>
      <c r="G57" s="20">
        <v>18</v>
      </c>
      <c r="H57" s="20">
        <v>6</v>
      </c>
      <c r="I57" s="20">
        <v>0</v>
      </c>
    </row>
    <row r="58" spans="1:9">
      <c r="A58" s="23" t="s">
        <v>210</v>
      </c>
      <c r="B58" s="20">
        <v>78</v>
      </c>
      <c r="C58" s="20">
        <v>0</v>
      </c>
      <c r="D58" s="20">
        <v>0</v>
      </c>
      <c r="E58" s="20">
        <v>51</v>
      </c>
      <c r="F58" s="20">
        <v>0</v>
      </c>
      <c r="G58" s="20">
        <v>95</v>
      </c>
      <c r="H58" s="20">
        <v>1</v>
      </c>
      <c r="I58" s="20">
        <v>1</v>
      </c>
    </row>
    <row r="59" spans="1:9">
      <c r="A59" s="23" t="s">
        <v>211</v>
      </c>
      <c r="B59" s="20">
        <v>68</v>
      </c>
      <c r="C59" s="20">
        <v>0</v>
      </c>
      <c r="D59" s="20">
        <v>0</v>
      </c>
      <c r="E59" s="20">
        <v>59</v>
      </c>
      <c r="F59" s="20">
        <v>0</v>
      </c>
      <c r="G59" s="20">
        <v>44</v>
      </c>
      <c r="H59" s="20">
        <v>1</v>
      </c>
      <c r="I59" s="20">
        <v>5</v>
      </c>
    </row>
    <row r="60" spans="1:9">
      <c r="A60" s="23" t="s">
        <v>47</v>
      </c>
      <c r="B60" s="20">
        <v>48</v>
      </c>
      <c r="C60" s="20">
        <v>0</v>
      </c>
      <c r="D60" s="20">
        <v>0</v>
      </c>
      <c r="E60" s="20">
        <v>32</v>
      </c>
      <c r="F60" s="20">
        <v>0</v>
      </c>
      <c r="G60" s="20">
        <v>25</v>
      </c>
      <c r="H60" s="20">
        <v>0</v>
      </c>
      <c r="I60" s="20">
        <v>0</v>
      </c>
    </row>
    <row r="61" spans="1:9">
      <c r="A61" s="23" t="s">
        <v>55</v>
      </c>
      <c r="B61" s="20">
        <v>49</v>
      </c>
      <c r="C61" s="20">
        <v>0</v>
      </c>
      <c r="D61" s="20">
        <v>0</v>
      </c>
      <c r="E61" s="20">
        <v>44</v>
      </c>
      <c r="F61" s="20">
        <v>0</v>
      </c>
      <c r="G61" s="20">
        <v>210</v>
      </c>
      <c r="H61" s="20">
        <v>4</v>
      </c>
      <c r="I61" s="20">
        <v>24</v>
      </c>
    </row>
    <row r="62" spans="1:9">
      <c r="A62" s="23" t="s">
        <v>48</v>
      </c>
      <c r="B62" s="20">
        <v>2</v>
      </c>
      <c r="C62" s="20">
        <v>0</v>
      </c>
      <c r="D62" s="20">
        <v>0</v>
      </c>
      <c r="E62" s="20">
        <v>38</v>
      </c>
      <c r="F62" s="20">
        <v>0</v>
      </c>
      <c r="G62" s="20">
        <v>7</v>
      </c>
      <c r="H62" s="20">
        <v>0</v>
      </c>
      <c r="I62" s="20">
        <v>0</v>
      </c>
    </row>
    <row r="63" spans="1:9">
      <c r="A63" s="23" t="s">
        <v>209</v>
      </c>
      <c r="B63" s="20">
        <v>31</v>
      </c>
      <c r="C63" s="20">
        <v>0</v>
      </c>
      <c r="D63" s="20">
        <v>0</v>
      </c>
      <c r="E63" s="20">
        <v>65</v>
      </c>
      <c r="F63" s="20">
        <v>0</v>
      </c>
      <c r="G63" s="20">
        <v>88</v>
      </c>
      <c r="H63" s="20">
        <v>0</v>
      </c>
      <c r="I63" s="20">
        <v>2</v>
      </c>
    </row>
    <row r="64" spans="1:9">
      <c r="A64" s="23" t="s">
        <v>59</v>
      </c>
      <c r="B64" s="20">
        <v>36</v>
      </c>
      <c r="C64" s="20">
        <v>0</v>
      </c>
      <c r="D64" s="20">
        <v>0</v>
      </c>
      <c r="E64" s="20">
        <v>11</v>
      </c>
      <c r="F64" s="20">
        <v>0</v>
      </c>
      <c r="G64" s="20">
        <v>89</v>
      </c>
      <c r="H64" s="20">
        <v>1</v>
      </c>
      <c r="I64" s="20">
        <v>1</v>
      </c>
    </row>
    <row r="65" spans="1:9">
      <c r="A65" s="23" t="s">
        <v>81</v>
      </c>
      <c r="B65" s="20">
        <v>23</v>
      </c>
      <c r="C65" s="20">
        <v>0</v>
      </c>
      <c r="D65" s="20">
        <v>0</v>
      </c>
      <c r="E65" s="20">
        <v>161</v>
      </c>
      <c r="F65" s="20">
        <v>0</v>
      </c>
      <c r="G65" s="20">
        <v>124</v>
      </c>
      <c r="H65" s="20">
        <v>0</v>
      </c>
      <c r="I65" s="20">
        <v>0</v>
      </c>
    </row>
    <row r="66" spans="1:9">
      <c r="A66" s="23" t="s">
        <v>207</v>
      </c>
      <c r="B66" s="20">
        <v>8</v>
      </c>
      <c r="C66" s="20">
        <v>0</v>
      </c>
      <c r="D66" s="20">
        <v>0</v>
      </c>
      <c r="E66" s="20">
        <v>42</v>
      </c>
      <c r="F66" s="20">
        <v>0</v>
      </c>
      <c r="G66" s="20">
        <v>28</v>
      </c>
      <c r="H66" s="20">
        <v>0</v>
      </c>
      <c r="I66" s="20">
        <v>6</v>
      </c>
    </row>
    <row r="67" spans="1:9">
      <c r="A67" s="23" t="s">
        <v>208</v>
      </c>
      <c r="B67" s="20">
        <v>16</v>
      </c>
      <c r="C67" s="20">
        <v>0</v>
      </c>
      <c r="D67" s="20">
        <v>0</v>
      </c>
      <c r="E67" s="20">
        <v>99</v>
      </c>
      <c r="F67" s="20">
        <v>0</v>
      </c>
      <c r="G67" s="20">
        <v>87</v>
      </c>
      <c r="H67" s="20">
        <v>1</v>
      </c>
      <c r="I67" s="20">
        <v>10</v>
      </c>
    </row>
    <row r="68" spans="1:9">
      <c r="A68" s="23" t="s">
        <v>83</v>
      </c>
      <c r="B68" s="20">
        <v>1</v>
      </c>
      <c r="C68" s="20">
        <v>0</v>
      </c>
      <c r="D68" s="20">
        <v>0</v>
      </c>
      <c r="E68" s="20">
        <v>29</v>
      </c>
      <c r="F68" s="20">
        <v>0</v>
      </c>
      <c r="G68" s="20">
        <v>15</v>
      </c>
      <c r="H68" s="20">
        <v>0</v>
      </c>
      <c r="I68" s="20">
        <v>7</v>
      </c>
    </row>
    <row r="69" spans="1:9">
      <c r="A69" s="23" t="s">
        <v>96</v>
      </c>
      <c r="B69" s="20">
        <v>2</v>
      </c>
      <c r="C69" s="20">
        <v>0</v>
      </c>
      <c r="D69" s="20">
        <v>0</v>
      </c>
      <c r="E69" s="20">
        <v>37</v>
      </c>
      <c r="F69" s="20">
        <v>0</v>
      </c>
      <c r="G69" s="20">
        <v>41</v>
      </c>
      <c r="H69" s="20">
        <v>0</v>
      </c>
      <c r="I69" s="20">
        <v>4</v>
      </c>
    </row>
    <row r="70" spans="1:9">
      <c r="A70" s="23" t="s">
        <v>212</v>
      </c>
      <c r="B70" s="20">
        <v>5</v>
      </c>
      <c r="C70" s="20">
        <v>0</v>
      </c>
      <c r="D70" s="20">
        <v>0</v>
      </c>
      <c r="E70" s="20">
        <v>157</v>
      </c>
      <c r="F70" s="20">
        <v>0</v>
      </c>
      <c r="G70" s="20">
        <v>77</v>
      </c>
      <c r="H70" s="20">
        <v>0</v>
      </c>
      <c r="I70" s="20">
        <v>7</v>
      </c>
    </row>
    <row r="71" spans="1:9">
      <c r="A71" s="23" t="s">
        <v>49</v>
      </c>
      <c r="B71" s="20">
        <v>17</v>
      </c>
      <c r="C71" s="20">
        <v>2</v>
      </c>
      <c r="D71" s="20">
        <v>0</v>
      </c>
      <c r="E71" s="20">
        <v>216</v>
      </c>
      <c r="F71" s="20">
        <v>0</v>
      </c>
      <c r="G71" s="20">
        <v>31</v>
      </c>
      <c r="H71" s="20">
        <v>11</v>
      </c>
      <c r="I71" s="20">
        <v>3</v>
      </c>
    </row>
    <row r="72" spans="1:9">
      <c r="A72" s="23" t="s">
        <v>50</v>
      </c>
      <c r="B72" s="20">
        <v>59</v>
      </c>
      <c r="C72" s="20">
        <v>0</v>
      </c>
      <c r="D72" s="20">
        <v>0</v>
      </c>
      <c r="E72" s="20">
        <v>280</v>
      </c>
      <c r="F72" s="20">
        <v>0</v>
      </c>
      <c r="G72" s="20">
        <v>75</v>
      </c>
      <c r="H72" s="20">
        <v>32</v>
      </c>
      <c r="I72" s="20">
        <v>6</v>
      </c>
    </row>
    <row r="73" spans="1:9">
      <c r="A73" s="23" t="s">
        <v>51</v>
      </c>
      <c r="B73" s="20">
        <v>71</v>
      </c>
      <c r="C73" s="20">
        <v>2</v>
      </c>
      <c r="D73" s="20">
        <v>0</v>
      </c>
      <c r="E73" s="20">
        <v>255</v>
      </c>
      <c r="F73" s="20">
        <v>0</v>
      </c>
      <c r="G73" s="20">
        <v>64</v>
      </c>
      <c r="H73" s="20">
        <v>41</v>
      </c>
      <c r="I73" s="20">
        <v>6</v>
      </c>
    </row>
    <row r="74" spans="1:9">
      <c r="A74" s="23" t="s">
        <v>213</v>
      </c>
      <c r="B74" s="20">
        <v>204</v>
      </c>
      <c r="C74" s="20">
        <v>0</v>
      </c>
      <c r="D74" s="20">
        <v>0</v>
      </c>
      <c r="E74" s="20">
        <v>225</v>
      </c>
      <c r="F74" s="20">
        <v>0</v>
      </c>
      <c r="G74" s="20">
        <v>113</v>
      </c>
      <c r="H74" s="20">
        <v>38</v>
      </c>
      <c r="I74" s="20">
        <v>9</v>
      </c>
    </row>
    <row r="75" spans="1:9">
      <c r="A75" s="23" t="s">
        <v>145</v>
      </c>
      <c r="B75" s="20">
        <v>74</v>
      </c>
      <c r="C75" s="20">
        <v>3</v>
      </c>
      <c r="D75" s="20">
        <v>0</v>
      </c>
      <c r="E75" s="20">
        <v>305</v>
      </c>
      <c r="F75" s="20">
        <v>0</v>
      </c>
      <c r="G75" s="20">
        <v>127</v>
      </c>
      <c r="H75" s="20">
        <v>17</v>
      </c>
      <c r="I75" s="20">
        <v>3</v>
      </c>
    </row>
    <row r="76" spans="1:9">
      <c r="A76" s="23" t="s">
        <v>204</v>
      </c>
      <c r="B76" s="20">
        <v>87</v>
      </c>
      <c r="C76" s="20">
        <v>2</v>
      </c>
      <c r="D76" s="20">
        <v>0</v>
      </c>
      <c r="E76" s="20">
        <v>326</v>
      </c>
      <c r="F76" s="20">
        <v>0</v>
      </c>
      <c r="G76" s="20">
        <v>138</v>
      </c>
      <c r="H76" s="20">
        <v>21</v>
      </c>
      <c r="I76" s="20">
        <v>8</v>
      </c>
    </row>
    <row r="77" spans="1:9">
      <c r="A77" s="23" t="s">
        <v>52</v>
      </c>
      <c r="B77" s="20">
        <v>26</v>
      </c>
      <c r="C77" s="20">
        <v>0</v>
      </c>
      <c r="D77" s="20">
        <v>0</v>
      </c>
      <c r="E77" s="20">
        <v>98</v>
      </c>
      <c r="F77" s="20">
        <v>0</v>
      </c>
      <c r="G77" s="20">
        <v>20</v>
      </c>
      <c r="H77" s="20">
        <v>2</v>
      </c>
      <c r="I77" s="20">
        <v>0</v>
      </c>
    </row>
    <row r="78" spans="1:9">
      <c r="A78" s="23" t="s">
        <v>205</v>
      </c>
      <c r="B78" s="20">
        <v>63</v>
      </c>
      <c r="C78" s="20">
        <v>2</v>
      </c>
      <c r="D78" s="20">
        <v>0</v>
      </c>
      <c r="E78" s="20">
        <v>221</v>
      </c>
      <c r="F78" s="20">
        <v>0</v>
      </c>
      <c r="G78" s="20">
        <v>36</v>
      </c>
      <c r="H78" s="20">
        <v>1</v>
      </c>
      <c r="I78" s="20">
        <v>0</v>
      </c>
    </row>
    <row r="79" spans="1:9">
      <c r="A79" s="23" t="s">
        <v>206</v>
      </c>
      <c r="B79" s="20">
        <v>70</v>
      </c>
      <c r="C79" s="20">
        <v>3</v>
      </c>
      <c r="D79" s="20">
        <v>0</v>
      </c>
      <c r="E79" s="20">
        <v>157</v>
      </c>
      <c r="F79" s="20">
        <v>0</v>
      </c>
      <c r="G79" s="20">
        <v>113</v>
      </c>
      <c r="H79" s="20">
        <v>25</v>
      </c>
      <c r="I79" s="20">
        <v>7</v>
      </c>
    </row>
    <row r="80" spans="1:9">
      <c r="A80" s="23" t="s">
        <v>160</v>
      </c>
      <c r="B80" s="20">
        <v>1</v>
      </c>
      <c r="C80" s="20">
        <v>0</v>
      </c>
      <c r="D80" s="20">
        <v>0</v>
      </c>
      <c r="E80" s="20">
        <v>2</v>
      </c>
      <c r="F80" s="20">
        <v>0</v>
      </c>
      <c r="G80" s="20">
        <v>4</v>
      </c>
      <c r="H80" s="20">
        <v>0</v>
      </c>
      <c r="I80" s="20">
        <v>0</v>
      </c>
    </row>
    <row r="81" spans="1:9">
      <c r="A81" s="23" t="s">
        <v>203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1</v>
      </c>
      <c r="H81" s="20">
        <v>0</v>
      </c>
      <c r="I81" s="20">
        <v>0</v>
      </c>
    </row>
    <row r="82" spans="1:9">
      <c r="A82" s="23" t="s">
        <v>53</v>
      </c>
      <c r="B82" s="20">
        <v>1</v>
      </c>
      <c r="C82" s="20">
        <v>0</v>
      </c>
      <c r="D82" s="20">
        <v>0</v>
      </c>
      <c r="E82" s="20">
        <v>0</v>
      </c>
      <c r="F82" s="20">
        <v>0</v>
      </c>
      <c r="G82" s="20">
        <v>2</v>
      </c>
      <c r="H82" s="20">
        <v>0</v>
      </c>
      <c r="I82" s="2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85"/>
  <sheetViews>
    <sheetView topLeftCell="A42" workbookViewId="0">
      <selection activeCell="A52" sqref="A52:XFD53"/>
    </sheetView>
  </sheetViews>
  <sheetFormatPr defaultColWidth="8.77734375" defaultRowHeight="14.4"/>
  <cols>
    <col min="1" max="1" width="20.77734375" customWidth="1"/>
    <col min="2" max="10" width="15.77734375" style="12" customWidth="1"/>
  </cols>
  <sheetData>
    <row r="1" spans="1:10" ht="28.8">
      <c r="A1" s="31"/>
      <c r="B1" s="16"/>
      <c r="C1" s="593" t="s">
        <v>6</v>
      </c>
      <c r="D1" s="593" t="s">
        <v>5</v>
      </c>
      <c r="E1" s="16" t="s">
        <v>7</v>
      </c>
      <c r="F1" s="16" t="s">
        <v>232</v>
      </c>
      <c r="G1" s="30" t="s">
        <v>3</v>
      </c>
      <c r="H1" s="30" t="s">
        <v>233</v>
      </c>
      <c r="I1" s="16" t="s">
        <v>2</v>
      </c>
      <c r="J1" s="16" t="s">
        <v>234</v>
      </c>
    </row>
    <row r="2" spans="1:10" ht="43.2">
      <c r="A2" s="16" t="s">
        <v>249</v>
      </c>
      <c r="B2" s="626" t="s">
        <v>256</v>
      </c>
      <c r="C2" s="16">
        <f>'Operation Inventory (HVC)'!B2</f>
        <v>60</v>
      </c>
      <c r="D2" s="16">
        <f>'Operation Inventory (HVC)'!C2</f>
        <v>150</v>
      </c>
      <c r="E2" s="16">
        <f>'Operation Inventory (HVC)'!D2</f>
        <v>105.60000000000001</v>
      </c>
      <c r="F2" s="16">
        <f>'Operation Inventory (HVC)'!E2</f>
        <v>64</v>
      </c>
      <c r="G2" s="16">
        <f>'Operation Inventory (HVC)'!F2</f>
        <v>900</v>
      </c>
      <c r="H2" s="16">
        <f>'Operation Inventory (HVC)'!G2</f>
        <v>135</v>
      </c>
      <c r="I2" s="16">
        <f>'Operation Inventory (HVC)'!H2</f>
        <v>2160</v>
      </c>
      <c r="J2" s="16">
        <f>'Operation Inventory (HVC)'!I2</f>
        <v>360</v>
      </c>
    </row>
    <row r="3" spans="1:10" ht="28.8" customHeight="1">
      <c r="A3" s="16" t="s">
        <v>0</v>
      </c>
      <c r="B3" s="627"/>
      <c r="C3" s="16" t="s">
        <v>224</v>
      </c>
      <c r="D3" s="16" t="s">
        <v>216</v>
      </c>
      <c r="E3" s="16" t="s">
        <v>225</v>
      </c>
      <c r="F3" s="16" t="s">
        <v>226</v>
      </c>
      <c r="G3" s="16" t="s">
        <v>227</v>
      </c>
      <c r="H3" s="16" t="s">
        <v>228</v>
      </c>
      <c r="I3" s="16" t="s">
        <v>229</v>
      </c>
      <c r="J3" s="16" t="s">
        <v>230</v>
      </c>
    </row>
    <row r="4" spans="1:10">
      <c r="A4" s="1" t="s">
        <v>88</v>
      </c>
      <c r="B4" s="39">
        <v>0.83</v>
      </c>
      <c r="C4" s="21">
        <f>ROUND('Operation Inventory (HVC)'!B4*$B4/(1-$B4), 0)</f>
        <v>137</v>
      </c>
      <c r="D4" s="21">
        <f>ROUND('Operation Inventory (HVC)'!C4*$B4/(1-$B4), 0)</f>
        <v>0</v>
      </c>
      <c r="E4" s="21">
        <f>ROUND('Operation Inventory (HVC)'!D4*$B4/(1-$B4), 0)</f>
        <v>0</v>
      </c>
      <c r="F4" s="21">
        <f>ROUND('Operation Inventory (HVC)'!E4*$B4/(1-$B4), 0)</f>
        <v>381</v>
      </c>
      <c r="G4" s="21">
        <f>ROUND('Operation Inventory (HVC)'!F4*$B4/(1-$B4), 0)</f>
        <v>0</v>
      </c>
      <c r="H4" s="21">
        <f>ROUND('Operation Inventory (HVC)'!G4*$B4/(1-$B4), 0)</f>
        <v>127</v>
      </c>
      <c r="I4" s="21">
        <f>ROUND('Operation Inventory (HVC)'!H4*$B4/(1-$B4), 0)</f>
        <v>0</v>
      </c>
      <c r="J4" s="21">
        <f>ROUND('Operation Inventory (HVC)'!I4*$B4/(1-$B4), 0)</f>
        <v>15</v>
      </c>
    </row>
    <row r="5" spans="1:10">
      <c r="A5" s="1" t="s">
        <v>85</v>
      </c>
      <c r="B5" s="39">
        <v>0.83</v>
      </c>
      <c r="C5" s="21">
        <f>ROUND('Operation Inventory (HVC)'!B5*$B5/(1-$B5), 0)</f>
        <v>503</v>
      </c>
      <c r="D5" s="21">
        <f>ROUND('Operation Inventory (HVC)'!C5*$B5/(1-$B5), 0)</f>
        <v>0</v>
      </c>
      <c r="E5" s="21">
        <f>ROUND('Operation Inventory (HVC)'!D5*$B5/(1-$B5), 0)</f>
        <v>0</v>
      </c>
      <c r="F5" s="21">
        <f>ROUND('Operation Inventory (HVC)'!E5*$B5/(1-$B5), 0)</f>
        <v>322</v>
      </c>
      <c r="G5" s="21">
        <f>ROUND('Operation Inventory (HVC)'!F5*$B5/(1-$B5), 0)</f>
        <v>0</v>
      </c>
      <c r="H5" s="21">
        <f>ROUND('Operation Inventory (HVC)'!G5*$B5/(1-$B5), 0)</f>
        <v>137</v>
      </c>
      <c r="I5" s="21">
        <f>ROUND('Operation Inventory (HVC)'!H5*$B5/(1-$B5), 0)</f>
        <v>0</v>
      </c>
      <c r="J5" s="21">
        <f>ROUND('Operation Inventory (HVC)'!I5*$B5/(1-$B5), 0)</f>
        <v>15</v>
      </c>
    </row>
    <row r="6" spans="1:10">
      <c r="A6" s="1" t="s">
        <v>146</v>
      </c>
      <c r="B6" s="39">
        <v>0.83</v>
      </c>
      <c r="C6" s="21">
        <f>ROUND('Operation Inventory (HVC)'!B6*$B6/(1-$B6), 0)</f>
        <v>742</v>
      </c>
      <c r="D6" s="21">
        <f>ROUND('Operation Inventory (HVC)'!C6*$B6/(1-$B6), 0)</f>
        <v>0</v>
      </c>
      <c r="E6" s="21">
        <f>ROUND('Operation Inventory (HVC)'!D6*$B6/(1-$B6), 0)</f>
        <v>0</v>
      </c>
      <c r="F6" s="21">
        <f>ROUND('Operation Inventory (HVC)'!E6*$B6/(1-$B6), 0)</f>
        <v>742</v>
      </c>
      <c r="G6" s="21">
        <f>ROUND('Operation Inventory (HVC)'!F6*$B6/(1-$B6), 0)</f>
        <v>0</v>
      </c>
      <c r="H6" s="21">
        <f>ROUND('Operation Inventory (HVC)'!G6*$B6/(1-$B6), 0)</f>
        <v>186</v>
      </c>
      <c r="I6" s="21">
        <f>ROUND('Operation Inventory (HVC)'!H6*$B6/(1-$B6), 0)</f>
        <v>0</v>
      </c>
      <c r="J6" s="21">
        <f>ROUND('Operation Inventory (HVC)'!I6*$B6/(1-$B6), 0)</f>
        <v>5</v>
      </c>
    </row>
    <row r="7" spans="1:10">
      <c r="A7" s="1" t="s">
        <v>84</v>
      </c>
      <c r="B7" s="39">
        <v>0.83</v>
      </c>
      <c r="C7" s="21">
        <f>ROUND('Operation Inventory (HVC)'!B7*$B7/(1-$B7), 0)</f>
        <v>137</v>
      </c>
      <c r="D7" s="21">
        <f>ROUND('Operation Inventory (HVC)'!C7*$B7/(1-$B7), 0)</f>
        <v>5</v>
      </c>
      <c r="E7" s="21">
        <f>ROUND('Operation Inventory (HVC)'!D7*$B7/(1-$B7), 0)</f>
        <v>0</v>
      </c>
      <c r="F7" s="21">
        <f>ROUND('Operation Inventory (HVC)'!E7*$B7/(1-$B7), 0)</f>
        <v>972</v>
      </c>
      <c r="G7" s="21">
        <f>ROUND('Operation Inventory (HVC)'!F7*$B7/(1-$B7), 0)</f>
        <v>0</v>
      </c>
      <c r="H7" s="21">
        <f>ROUND('Operation Inventory (HVC)'!G7*$B7/(1-$B7), 0)</f>
        <v>190</v>
      </c>
      <c r="I7" s="21">
        <f>ROUND('Operation Inventory (HVC)'!H7*$B7/(1-$B7), 0)</f>
        <v>0</v>
      </c>
      <c r="J7" s="21">
        <f>ROUND('Operation Inventory (HVC)'!I7*$B7/(1-$B7), 0)</f>
        <v>0</v>
      </c>
    </row>
    <row r="8" spans="1:10">
      <c r="A8" s="1" t="s">
        <v>86</v>
      </c>
      <c r="B8" s="39">
        <v>0.83</v>
      </c>
      <c r="C8" s="21">
        <f>ROUND('Operation Inventory (HVC)'!B8*$B8/(1-$B8), 0)</f>
        <v>93</v>
      </c>
      <c r="D8" s="21">
        <f>ROUND('Operation Inventory (HVC)'!C8*$B8/(1-$B8), 0)</f>
        <v>0</v>
      </c>
      <c r="E8" s="21">
        <f>ROUND('Operation Inventory (HVC)'!D8*$B8/(1-$B8), 0)</f>
        <v>0</v>
      </c>
      <c r="F8" s="21">
        <f>ROUND('Operation Inventory (HVC)'!E8*$B8/(1-$B8), 0)</f>
        <v>186</v>
      </c>
      <c r="G8" s="21">
        <f>ROUND('Operation Inventory (HVC)'!F8*$B8/(1-$B8), 0)</f>
        <v>0</v>
      </c>
      <c r="H8" s="21">
        <f>ROUND('Operation Inventory (HVC)'!G8*$B8/(1-$B8), 0)</f>
        <v>98</v>
      </c>
      <c r="I8" s="21">
        <f>ROUND('Operation Inventory (HVC)'!H8*$B8/(1-$B8), 0)</f>
        <v>0</v>
      </c>
      <c r="J8" s="21">
        <f>ROUND('Operation Inventory (HVC)'!I8*$B8/(1-$B8), 0)</f>
        <v>0</v>
      </c>
    </row>
    <row r="9" spans="1:10">
      <c r="A9" s="1" t="s">
        <v>87</v>
      </c>
      <c r="B9" s="39">
        <v>0.83</v>
      </c>
      <c r="C9" s="21">
        <f>ROUND('Operation Inventory (HVC)'!B9*$B9/(1-$B9), 0)</f>
        <v>269</v>
      </c>
      <c r="D9" s="21">
        <f>ROUND('Operation Inventory (HVC)'!C9*$B9/(1-$B9), 0)</f>
        <v>0</v>
      </c>
      <c r="E9" s="21">
        <f>ROUND('Operation Inventory (HVC)'!D9*$B9/(1-$B9), 0)</f>
        <v>0</v>
      </c>
      <c r="F9" s="21">
        <f>ROUND('Operation Inventory (HVC)'!E9*$B9/(1-$B9), 0)</f>
        <v>176</v>
      </c>
      <c r="G9" s="21">
        <f>ROUND('Operation Inventory (HVC)'!F9*$B9/(1-$B9), 0)</f>
        <v>0</v>
      </c>
      <c r="H9" s="21">
        <f>ROUND('Operation Inventory (HVC)'!G9*$B9/(1-$B9), 0)</f>
        <v>195</v>
      </c>
      <c r="I9" s="21">
        <f>ROUND('Operation Inventory (HVC)'!H9*$B9/(1-$B9), 0)</f>
        <v>10</v>
      </c>
      <c r="J9" s="21">
        <f>ROUND('Operation Inventory (HVC)'!I9*$B9/(1-$B9), 0)</f>
        <v>5</v>
      </c>
    </row>
    <row r="10" spans="1:10">
      <c r="A10" s="1" t="s">
        <v>11</v>
      </c>
      <c r="B10" s="39">
        <v>0.83</v>
      </c>
      <c r="C10" s="21">
        <f>ROUND('Operation Inventory (HVC)'!B10*$B10/(1-$B10), 0)</f>
        <v>317</v>
      </c>
      <c r="D10" s="21">
        <f>ROUND('Operation Inventory (HVC)'!C10*$B10/(1-$B10), 0)</f>
        <v>88</v>
      </c>
      <c r="E10" s="21">
        <f>ROUND('Operation Inventory (HVC)'!D10*$B10/(1-$B10), 0)</f>
        <v>0</v>
      </c>
      <c r="F10" s="21">
        <f>ROUND('Operation Inventory (HVC)'!E10*$B10/(1-$B10), 0)</f>
        <v>1479</v>
      </c>
      <c r="G10" s="21">
        <f>ROUND('Operation Inventory (HVC)'!F10*$B10/(1-$B10), 0)</f>
        <v>0</v>
      </c>
      <c r="H10" s="21">
        <f>ROUND('Operation Inventory (HVC)'!G10*$B10/(1-$B10), 0)</f>
        <v>229</v>
      </c>
      <c r="I10" s="21">
        <f>ROUND('Operation Inventory (HVC)'!H10*$B10/(1-$B10), 0)</f>
        <v>10</v>
      </c>
      <c r="J10" s="21">
        <f>ROUND('Operation Inventory (HVC)'!I10*$B10/(1-$B10), 0)</f>
        <v>24</v>
      </c>
    </row>
    <row r="11" spans="1:10">
      <c r="A11" s="1" t="s">
        <v>12</v>
      </c>
      <c r="B11" s="39">
        <v>0.83</v>
      </c>
      <c r="C11" s="21">
        <f>ROUND('Operation Inventory (HVC)'!B11*$B11/(1-$B11), 0)</f>
        <v>234</v>
      </c>
      <c r="D11" s="21">
        <f>ROUND('Operation Inventory (HVC)'!C11*$B11/(1-$B11), 0)</f>
        <v>44</v>
      </c>
      <c r="E11" s="21">
        <f>ROUND('Operation Inventory (HVC)'!D11*$B11/(1-$B11), 0)</f>
        <v>0</v>
      </c>
      <c r="F11" s="21">
        <f>ROUND('Operation Inventory (HVC)'!E11*$B11/(1-$B11), 0)</f>
        <v>713</v>
      </c>
      <c r="G11" s="21">
        <f>ROUND('Operation Inventory (HVC)'!F11*$B11/(1-$B11), 0)</f>
        <v>0</v>
      </c>
      <c r="H11" s="21">
        <f>ROUND('Operation Inventory (HVC)'!G11*$B11/(1-$B11), 0)</f>
        <v>225</v>
      </c>
      <c r="I11" s="21">
        <f>ROUND('Operation Inventory (HVC)'!H11*$B11/(1-$B11), 0)</f>
        <v>0</v>
      </c>
      <c r="J11" s="21">
        <f>ROUND('Operation Inventory (HVC)'!I11*$B11/(1-$B11), 0)</f>
        <v>5</v>
      </c>
    </row>
    <row r="12" spans="1:10">
      <c r="A12" s="1" t="s">
        <v>13</v>
      </c>
      <c r="B12" s="39">
        <v>0.83</v>
      </c>
      <c r="C12" s="21">
        <f>ROUND('Operation Inventory (HVC)'!B12*$B12/(1-$B12), 0)</f>
        <v>161</v>
      </c>
      <c r="D12" s="21">
        <f>ROUND('Operation Inventory (HVC)'!C12*$B12/(1-$B12), 0)</f>
        <v>73</v>
      </c>
      <c r="E12" s="21">
        <f>ROUND('Operation Inventory (HVC)'!D12*$B12/(1-$B12), 0)</f>
        <v>0</v>
      </c>
      <c r="F12" s="21">
        <f>ROUND('Operation Inventory (HVC)'!E12*$B12/(1-$B12), 0)</f>
        <v>1294</v>
      </c>
      <c r="G12" s="21">
        <f>ROUND('Operation Inventory (HVC)'!F12*$B12/(1-$B12), 0)</f>
        <v>0</v>
      </c>
      <c r="H12" s="21">
        <f>ROUND('Operation Inventory (HVC)'!G12*$B12/(1-$B12), 0)</f>
        <v>181</v>
      </c>
      <c r="I12" s="21">
        <f>ROUND('Operation Inventory (HVC)'!H12*$B12/(1-$B12), 0)</f>
        <v>5</v>
      </c>
      <c r="J12" s="21">
        <f>ROUND('Operation Inventory (HVC)'!I12*$B12/(1-$B12), 0)</f>
        <v>5</v>
      </c>
    </row>
    <row r="13" spans="1:10">
      <c r="A13" s="1" t="s">
        <v>14</v>
      </c>
      <c r="B13" s="39">
        <v>0.83</v>
      </c>
      <c r="C13" s="21">
        <f>ROUND('Operation Inventory (HVC)'!B13*$B13/(1-$B13), 0)</f>
        <v>859</v>
      </c>
      <c r="D13" s="21">
        <f>ROUND('Operation Inventory (HVC)'!C13*$B13/(1-$B13), 0)</f>
        <v>0</v>
      </c>
      <c r="E13" s="21">
        <f>ROUND('Operation Inventory (HVC)'!D13*$B13/(1-$B13), 0)</f>
        <v>0</v>
      </c>
      <c r="F13" s="21">
        <f>ROUND('Operation Inventory (HVC)'!E13*$B13/(1-$B13), 0)</f>
        <v>2353</v>
      </c>
      <c r="G13" s="21">
        <f>ROUND('Operation Inventory (HVC)'!F13*$B13/(1-$B13), 0)</f>
        <v>0</v>
      </c>
      <c r="H13" s="21">
        <f>ROUND('Operation Inventory (HVC)'!G13*$B13/(1-$B13), 0)</f>
        <v>303</v>
      </c>
      <c r="I13" s="21">
        <f>ROUND('Operation Inventory (HVC)'!H13*$B13/(1-$B13), 0)</f>
        <v>0</v>
      </c>
      <c r="J13" s="21">
        <f>ROUND('Operation Inventory (HVC)'!I13*$B13/(1-$B13), 0)</f>
        <v>15</v>
      </c>
    </row>
    <row r="14" spans="1:10">
      <c r="A14" s="1" t="s">
        <v>10</v>
      </c>
      <c r="B14" s="39">
        <v>0.83</v>
      </c>
      <c r="C14" s="21">
        <f>ROUND('Operation Inventory (HVC)'!B14*$B14/(1-$B14), 0)</f>
        <v>20</v>
      </c>
      <c r="D14" s="21">
        <f>ROUND('Operation Inventory (HVC)'!C14*$B14/(1-$B14), 0)</f>
        <v>5</v>
      </c>
      <c r="E14" s="21">
        <f>ROUND('Operation Inventory (HVC)'!D14*$B14/(1-$B14), 0)</f>
        <v>0</v>
      </c>
      <c r="F14" s="21">
        <f>ROUND('Operation Inventory (HVC)'!E14*$B14/(1-$B14), 0)</f>
        <v>0</v>
      </c>
      <c r="G14" s="21">
        <f>ROUND('Operation Inventory (HVC)'!F14*$B14/(1-$B14), 0)</f>
        <v>0</v>
      </c>
      <c r="H14" s="21">
        <f>ROUND('Operation Inventory (HVC)'!G14*$B14/(1-$B14), 0)</f>
        <v>5</v>
      </c>
      <c r="I14" s="21">
        <f>ROUND('Operation Inventory (HVC)'!H14*$B14/(1-$B14), 0)</f>
        <v>0</v>
      </c>
      <c r="J14" s="21">
        <f>ROUND('Operation Inventory (HVC)'!I14*$B14/(1-$B14), 0)</f>
        <v>0</v>
      </c>
    </row>
    <row r="15" spans="1:10">
      <c r="A15" s="1" t="s">
        <v>15</v>
      </c>
      <c r="B15" s="39">
        <v>0.83</v>
      </c>
      <c r="C15" s="21">
        <f>ROUND('Operation Inventory (HVC)'!B15*$B15/(1-$B15), 0)</f>
        <v>469</v>
      </c>
      <c r="D15" s="21">
        <f>ROUND('Operation Inventory (HVC)'!C15*$B15/(1-$B15), 0)</f>
        <v>0</v>
      </c>
      <c r="E15" s="21">
        <f>ROUND('Operation Inventory (HVC)'!D15*$B15/(1-$B15), 0)</f>
        <v>0</v>
      </c>
      <c r="F15" s="21">
        <f>ROUND('Operation Inventory (HVC)'!E15*$B15/(1-$B15), 0)</f>
        <v>63</v>
      </c>
      <c r="G15" s="21">
        <f>ROUND('Operation Inventory (HVC)'!F15*$B15/(1-$B15), 0)</f>
        <v>0</v>
      </c>
      <c r="H15" s="21">
        <f>ROUND('Operation Inventory (HVC)'!G15*$B15/(1-$B15), 0)</f>
        <v>2138</v>
      </c>
      <c r="I15" s="21">
        <f>ROUND('Operation Inventory (HVC)'!H15*$B15/(1-$B15), 0)</f>
        <v>615</v>
      </c>
      <c r="J15" s="21">
        <f>ROUND('Operation Inventory (HVC)'!I15*$B15/(1-$B15), 0)</f>
        <v>29</v>
      </c>
    </row>
    <row r="16" spans="1:10">
      <c r="A16" s="1" t="s">
        <v>16</v>
      </c>
      <c r="B16" s="39">
        <v>0.83</v>
      </c>
      <c r="C16" s="21">
        <f>ROUND('Operation Inventory (HVC)'!B16*$B16/(1-$B16), 0)</f>
        <v>8598</v>
      </c>
      <c r="D16" s="21">
        <f>ROUND('Operation Inventory (HVC)'!C16*$B16/(1-$B16), 0)</f>
        <v>0</v>
      </c>
      <c r="E16" s="21">
        <f>ROUND('Operation Inventory (HVC)'!D16*$B16/(1-$B16), 0)</f>
        <v>0</v>
      </c>
      <c r="F16" s="21">
        <f>ROUND('Operation Inventory (HVC)'!E16*$B16/(1-$B16), 0)</f>
        <v>156</v>
      </c>
      <c r="G16" s="21">
        <f>ROUND('Operation Inventory (HVC)'!F16*$B16/(1-$B16), 0)</f>
        <v>5</v>
      </c>
      <c r="H16" s="21">
        <f>ROUND('Operation Inventory (HVC)'!G16*$B16/(1-$B16), 0)</f>
        <v>3667</v>
      </c>
      <c r="I16" s="21">
        <f>ROUND('Operation Inventory (HVC)'!H16*$B16/(1-$B16), 0)</f>
        <v>352</v>
      </c>
      <c r="J16" s="21">
        <f>ROUND('Operation Inventory (HVC)'!I16*$B16/(1-$B16), 0)</f>
        <v>29</v>
      </c>
    </row>
    <row r="17" spans="1:10">
      <c r="A17" s="1" t="s">
        <v>17</v>
      </c>
      <c r="B17" s="39">
        <v>0.83</v>
      </c>
      <c r="C17" s="21">
        <f>ROUND('Operation Inventory (HVC)'!B17*$B17/(1-$B17), 0)</f>
        <v>303</v>
      </c>
      <c r="D17" s="21">
        <f>ROUND('Operation Inventory (HVC)'!C17*$B17/(1-$B17), 0)</f>
        <v>0</v>
      </c>
      <c r="E17" s="21">
        <f>ROUND('Operation Inventory (HVC)'!D17*$B17/(1-$B17), 0)</f>
        <v>0</v>
      </c>
      <c r="F17" s="21">
        <f>ROUND('Operation Inventory (HVC)'!E17*$B17/(1-$B17), 0)</f>
        <v>20</v>
      </c>
      <c r="G17" s="21">
        <f>ROUND('Operation Inventory (HVC)'!F17*$B17/(1-$B17), 0)</f>
        <v>0</v>
      </c>
      <c r="H17" s="21">
        <f>ROUND('Operation Inventory (HVC)'!G17*$B17/(1-$B17), 0)</f>
        <v>762</v>
      </c>
      <c r="I17" s="21">
        <f>ROUND('Operation Inventory (HVC)'!H17*$B17/(1-$B17), 0)</f>
        <v>88</v>
      </c>
      <c r="J17" s="21">
        <f>ROUND('Operation Inventory (HVC)'!I17*$B17/(1-$B17), 0)</f>
        <v>20</v>
      </c>
    </row>
    <row r="18" spans="1:10">
      <c r="A18" s="1" t="s">
        <v>18</v>
      </c>
      <c r="B18" s="39">
        <v>0.83</v>
      </c>
      <c r="C18" s="21">
        <f>ROUND('Operation Inventory (HVC)'!B18*$B18/(1-$B18), 0)</f>
        <v>483</v>
      </c>
      <c r="D18" s="21">
        <f>ROUND('Operation Inventory (HVC)'!C18*$B18/(1-$B18), 0)</f>
        <v>0</v>
      </c>
      <c r="E18" s="21">
        <f>ROUND('Operation Inventory (HVC)'!D18*$B18/(1-$B18), 0)</f>
        <v>0</v>
      </c>
      <c r="F18" s="21">
        <f>ROUND('Operation Inventory (HVC)'!E18*$B18/(1-$B18), 0)</f>
        <v>5</v>
      </c>
      <c r="G18" s="21">
        <f>ROUND('Operation Inventory (HVC)'!F18*$B18/(1-$B18), 0)</f>
        <v>0</v>
      </c>
      <c r="H18" s="21">
        <f>ROUND('Operation Inventory (HVC)'!G18*$B18/(1-$B18), 0)</f>
        <v>2212</v>
      </c>
      <c r="I18" s="21">
        <f>ROUND('Operation Inventory (HVC)'!H18*$B18/(1-$B18), 0)</f>
        <v>117</v>
      </c>
      <c r="J18" s="21">
        <f>ROUND('Operation Inventory (HVC)'!I18*$B18/(1-$B18), 0)</f>
        <v>44</v>
      </c>
    </row>
    <row r="19" spans="1:10">
      <c r="A19" s="1" t="s">
        <v>19</v>
      </c>
      <c r="B19" s="39">
        <v>0.83</v>
      </c>
      <c r="C19" s="21">
        <f>ROUND('Operation Inventory (HVC)'!B19*$B19/(1-$B19), 0)</f>
        <v>63</v>
      </c>
      <c r="D19" s="21">
        <f>ROUND('Operation Inventory (HVC)'!C19*$B19/(1-$B19), 0)</f>
        <v>0</v>
      </c>
      <c r="E19" s="21">
        <f>ROUND('Operation Inventory (HVC)'!D19*$B19/(1-$B19), 0)</f>
        <v>0</v>
      </c>
      <c r="F19" s="21">
        <f>ROUND('Operation Inventory (HVC)'!E19*$B19/(1-$B19), 0)</f>
        <v>1089</v>
      </c>
      <c r="G19" s="21">
        <f>ROUND('Operation Inventory (HVC)'!F19*$B19/(1-$B19), 0)</f>
        <v>0</v>
      </c>
      <c r="H19" s="21">
        <f>ROUND('Operation Inventory (HVC)'!G19*$B19/(1-$B19), 0)</f>
        <v>15</v>
      </c>
      <c r="I19" s="21">
        <f>ROUND('Operation Inventory (HVC)'!H19*$B19/(1-$B19), 0)</f>
        <v>0</v>
      </c>
      <c r="J19" s="21">
        <f>ROUND('Operation Inventory (HVC)'!I19*$B19/(1-$B19), 0)</f>
        <v>0</v>
      </c>
    </row>
    <row r="20" spans="1:10">
      <c r="A20" s="1" t="s">
        <v>20</v>
      </c>
      <c r="B20" s="39">
        <v>0.83</v>
      </c>
      <c r="C20" s="21">
        <f>ROUND('Operation Inventory (HVC)'!B20*$B20/(1-$B20), 0)</f>
        <v>83</v>
      </c>
      <c r="D20" s="21">
        <f>ROUND('Operation Inventory (HVC)'!C20*$B20/(1-$B20), 0)</f>
        <v>0</v>
      </c>
      <c r="E20" s="21">
        <f>ROUND('Operation Inventory (HVC)'!D20*$B20/(1-$B20), 0)</f>
        <v>0</v>
      </c>
      <c r="F20" s="21">
        <f>ROUND('Operation Inventory (HVC)'!E20*$B20/(1-$B20), 0)</f>
        <v>1064</v>
      </c>
      <c r="G20" s="21">
        <f>ROUND('Operation Inventory (HVC)'!F20*$B20/(1-$B20), 0)</f>
        <v>0</v>
      </c>
      <c r="H20" s="21">
        <f>ROUND('Operation Inventory (HVC)'!G20*$B20/(1-$B20), 0)</f>
        <v>34</v>
      </c>
      <c r="I20" s="21">
        <f>ROUND('Operation Inventory (HVC)'!H20*$B20/(1-$B20), 0)</f>
        <v>0</v>
      </c>
      <c r="J20" s="21">
        <f>ROUND('Operation Inventory (HVC)'!I20*$B20/(1-$B20), 0)</f>
        <v>0</v>
      </c>
    </row>
    <row r="21" spans="1:10">
      <c r="A21" s="1" t="s">
        <v>21</v>
      </c>
      <c r="B21" s="39">
        <v>0.83</v>
      </c>
      <c r="C21" s="21">
        <f>ROUND('Operation Inventory (HVC)'!B21*$B21/(1-$B21), 0)</f>
        <v>83</v>
      </c>
      <c r="D21" s="21">
        <f>ROUND('Operation Inventory (HVC)'!C21*$B21/(1-$B21), 0)</f>
        <v>0</v>
      </c>
      <c r="E21" s="21">
        <f>ROUND('Operation Inventory (HVC)'!D21*$B21/(1-$B21), 0)</f>
        <v>0</v>
      </c>
      <c r="F21" s="21">
        <f>ROUND('Operation Inventory (HVC)'!E21*$B21/(1-$B21), 0)</f>
        <v>1240</v>
      </c>
      <c r="G21" s="21">
        <f>ROUND('Operation Inventory (HVC)'!F21*$B21/(1-$B21), 0)</f>
        <v>0</v>
      </c>
      <c r="H21" s="21">
        <f>ROUND('Operation Inventory (HVC)'!G21*$B21/(1-$B21), 0)</f>
        <v>34</v>
      </c>
      <c r="I21" s="21">
        <f>ROUND('Operation Inventory (HVC)'!H21*$B21/(1-$B21), 0)</f>
        <v>0</v>
      </c>
      <c r="J21" s="21">
        <f>ROUND('Operation Inventory (HVC)'!I21*$B21/(1-$B21), 0)</f>
        <v>0</v>
      </c>
    </row>
    <row r="22" spans="1:10">
      <c r="A22" s="1" t="s">
        <v>22</v>
      </c>
      <c r="B22" s="39">
        <v>0.83</v>
      </c>
      <c r="C22" s="21">
        <f>ROUND('Operation Inventory (HVC)'!B22*$B22/(1-$B22), 0)</f>
        <v>88</v>
      </c>
      <c r="D22" s="21">
        <f>ROUND('Operation Inventory (HVC)'!C22*$B22/(1-$B22), 0)</f>
        <v>0</v>
      </c>
      <c r="E22" s="21">
        <f>ROUND('Operation Inventory (HVC)'!D22*$B22/(1-$B22), 0)</f>
        <v>0</v>
      </c>
      <c r="F22" s="21">
        <f>ROUND('Operation Inventory (HVC)'!E22*$B22/(1-$B22), 0)</f>
        <v>1509</v>
      </c>
      <c r="G22" s="21">
        <f>ROUND('Operation Inventory (HVC)'!F22*$B22/(1-$B22), 0)</f>
        <v>0</v>
      </c>
      <c r="H22" s="21">
        <f>ROUND('Operation Inventory (HVC)'!G22*$B22/(1-$B22), 0)</f>
        <v>59</v>
      </c>
      <c r="I22" s="21">
        <f>ROUND('Operation Inventory (HVC)'!H22*$B22/(1-$B22), 0)</f>
        <v>5</v>
      </c>
      <c r="J22" s="21">
        <f>ROUND('Operation Inventory (HVC)'!I22*$B22/(1-$B22), 0)</f>
        <v>0</v>
      </c>
    </row>
    <row r="23" spans="1:10">
      <c r="A23" s="1" t="s">
        <v>23</v>
      </c>
      <c r="B23" s="39">
        <v>0.83</v>
      </c>
      <c r="C23" s="21">
        <f>ROUND('Operation Inventory (HVC)'!B23*$B23/(1-$B23), 0)</f>
        <v>93</v>
      </c>
      <c r="D23" s="21">
        <f>ROUND('Operation Inventory (HVC)'!C23*$B23/(1-$B23), 0)</f>
        <v>0</v>
      </c>
      <c r="E23" s="21">
        <f>ROUND('Operation Inventory (HVC)'!D23*$B23/(1-$B23), 0)</f>
        <v>0</v>
      </c>
      <c r="F23" s="21">
        <f>ROUND('Operation Inventory (HVC)'!E23*$B23/(1-$B23), 0)</f>
        <v>1445</v>
      </c>
      <c r="G23" s="21">
        <f>ROUND('Operation Inventory (HVC)'!F23*$B23/(1-$B23), 0)</f>
        <v>0</v>
      </c>
      <c r="H23" s="21">
        <f>ROUND('Operation Inventory (HVC)'!G23*$B23/(1-$B23), 0)</f>
        <v>132</v>
      </c>
      <c r="I23" s="21">
        <f>ROUND('Operation Inventory (HVC)'!H23*$B23/(1-$B23), 0)</f>
        <v>0</v>
      </c>
      <c r="J23" s="21">
        <f>ROUND('Operation Inventory (HVC)'!I23*$B23/(1-$B23), 0)</f>
        <v>0</v>
      </c>
    </row>
    <row r="24" spans="1:10">
      <c r="A24" s="1" t="s">
        <v>24</v>
      </c>
      <c r="B24" s="39">
        <v>0.83</v>
      </c>
      <c r="C24" s="21">
        <f>ROUND('Operation Inventory (HVC)'!B24*$B24/(1-$B24), 0)</f>
        <v>93</v>
      </c>
      <c r="D24" s="21">
        <f>ROUND('Operation Inventory (HVC)'!C24*$B24/(1-$B24), 0)</f>
        <v>0</v>
      </c>
      <c r="E24" s="21">
        <f>ROUND('Operation Inventory (HVC)'!D24*$B24/(1-$B24), 0)</f>
        <v>0</v>
      </c>
      <c r="F24" s="21">
        <f>ROUND('Operation Inventory (HVC)'!E24*$B24/(1-$B24), 0)</f>
        <v>991</v>
      </c>
      <c r="G24" s="21">
        <f>ROUND('Operation Inventory (HVC)'!F24*$B24/(1-$B24), 0)</f>
        <v>5</v>
      </c>
      <c r="H24" s="21">
        <f>ROUND('Operation Inventory (HVC)'!G24*$B24/(1-$B24), 0)</f>
        <v>137</v>
      </c>
      <c r="I24" s="21">
        <f>ROUND('Operation Inventory (HVC)'!H24*$B24/(1-$B24), 0)</f>
        <v>0</v>
      </c>
      <c r="J24" s="21">
        <f>ROUND('Operation Inventory (HVC)'!I24*$B24/(1-$B24), 0)</f>
        <v>0</v>
      </c>
    </row>
    <row r="25" spans="1:10">
      <c r="A25" s="1" t="s">
        <v>25</v>
      </c>
      <c r="B25" s="39">
        <v>0.83</v>
      </c>
      <c r="C25" s="21">
        <f>ROUND('Operation Inventory (HVC)'!B25*$B25/(1-$B25), 0)</f>
        <v>93</v>
      </c>
      <c r="D25" s="21">
        <f>ROUND('Operation Inventory (HVC)'!C25*$B25/(1-$B25), 0)</f>
        <v>0</v>
      </c>
      <c r="E25" s="21">
        <f>ROUND('Operation Inventory (HVC)'!D25*$B25/(1-$B25), 0)</f>
        <v>0</v>
      </c>
      <c r="F25" s="21">
        <f>ROUND('Operation Inventory (HVC)'!E25*$B25/(1-$B25), 0)</f>
        <v>1343</v>
      </c>
      <c r="G25" s="21">
        <f>ROUND('Operation Inventory (HVC)'!F25*$B25/(1-$B25), 0)</f>
        <v>0</v>
      </c>
      <c r="H25" s="21">
        <f>ROUND('Operation Inventory (HVC)'!G25*$B25/(1-$B25), 0)</f>
        <v>44</v>
      </c>
      <c r="I25" s="21">
        <f>ROUND('Operation Inventory (HVC)'!H25*$B25/(1-$B25), 0)</f>
        <v>5</v>
      </c>
      <c r="J25" s="21">
        <f>ROUND('Operation Inventory (HVC)'!I25*$B25/(1-$B25), 0)</f>
        <v>0</v>
      </c>
    </row>
    <row r="26" spans="1:10">
      <c r="A26" s="1" t="s">
        <v>64</v>
      </c>
      <c r="B26" s="39">
        <v>0.83</v>
      </c>
      <c r="C26" s="21">
        <f>ROUND('Operation Inventory (HVC)'!B26*$B26/(1-$B26), 0)</f>
        <v>444</v>
      </c>
      <c r="D26" s="21">
        <f>ROUND('Operation Inventory (HVC)'!C26*$B26/(1-$B26), 0)</f>
        <v>0</v>
      </c>
      <c r="E26" s="21">
        <f>ROUND('Operation Inventory (HVC)'!D26*$B26/(1-$B26), 0)</f>
        <v>0</v>
      </c>
      <c r="F26" s="21">
        <f>ROUND('Operation Inventory (HVC)'!E26*$B26/(1-$B26), 0)</f>
        <v>2573</v>
      </c>
      <c r="G26" s="21">
        <f>ROUND('Operation Inventory (HVC)'!F26*$B26/(1-$B26), 0)</f>
        <v>0</v>
      </c>
      <c r="H26" s="21">
        <f>ROUND('Operation Inventory (HVC)'!G26*$B26/(1-$B26), 0)</f>
        <v>474</v>
      </c>
      <c r="I26" s="21">
        <f>ROUND('Operation Inventory (HVC)'!H26*$B26/(1-$B26), 0)</f>
        <v>0</v>
      </c>
      <c r="J26" s="21">
        <f>ROUND('Operation Inventory (HVC)'!I26*$B26/(1-$B26), 0)</f>
        <v>34</v>
      </c>
    </row>
    <row r="27" spans="1:10">
      <c r="A27" s="1" t="s">
        <v>72</v>
      </c>
      <c r="B27" s="39">
        <v>0.83</v>
      </c>
      <c r="C27" s="21">
        <f>ROUND('Operation Inventory (HVC)'!B27*$B27/(1-$B27), 0)</f>
        <v>171</v>
      </c>
      <c r="D27" s="21">
        <f>ROUND('Operation Inventory (HVC)'!C27*$B27/(1-$B27), 0)</f>
        <v>0</v>
      </c>
      <c r="E27" s="21">
        <f>ROUND('Operation Inventory (HVC)'!D27*$B27/(1-$B27), 0)</f>
        <v>0</v>
      </c>
      <c r="F27" s="21">
        <f>ROUND('Operation Inventory (HVC)'!E27*$B27/(1-$B27), 0)</f>
        <v>1963</v>
      </c>
      <c r="G27" s="21">
        <f>ROUND('Operation Inventory (HVC)'!F27*$B27/(1-$B27), 0)</f>
        <v>0</v>
      </c>
      <c r="H27" s="21">
        <f>ROUND('Operation Inventory (HVC)'!G27*$B27/(1-$B27), 0)</f>
        <v>322</v>
      </c>
      <c r="I27" s="21">
        <f>ROUND('Operation Inventory (HVC)'!H27*$B27/(1-$B27), 0)</f>
        <v>0</v>
      </c>
      <c r="J27" s="21">
        <f>ROUND('Operation Inventory (HVC)'!I27*$B27/(1-$B27), 0)</f>
        <v>10</v>
      </c>
    </row>
    <row r="28" spans="1:10">
      <c r="A28" s="1" t="s">
        <v>26</v>
      </c>
      <c r="B28" s="39">
        <v>0.83</v>
      </c>
      <c r="C28" s="21">
        <f>ROUND('Operation Inventory (HVC)'!B28*$B28/(1-$B28), 0)</f>
        <v>122</v>
      </c>
      <c r="D28" s="21">
        <f>ROUND('Operation Inventory (HVC)'!C28*$B28/(1-$B28), 0)</f>
        <v>0</v>
      </c>
      <c r="E28" s="21">
        <f>ROUND('Operation Inventory (HVC)'!D28*$B28/(1-$B28), 0)</f>
        <v>0</v>
      </c>
      <c r="F28" s="21">
        <f>ROUND('Operation Inventory (HVC)'!E28*$B28/(1-$B28), 0)</f>
        <v>3022</v>
      </c>
      <c r="G28" s="21">
        <f>ROUND('Operation Inventory (HVC)'!F28*$B28/(1-$B28), 0)</f>
        <v>0</v>
      </c>
      <c r="H28" s="21">
        <f>ROUND('Operation Inventory (HVC)'!G28*$B28/(1-$B28), 0)</f>
        <v>312</v>
      </c>
      <c r="I28" s="21">
        <f>ROUND('Operation Inventory (HVC)'!H28*$B28/(1-$B28), 0)</f>
        <v>0</v>
      </c>
      <c r="J28" s="21">
        <f>ROUND('Operation Inventory (HVC)'!I28*$B28/(1-$B28), 0)</f>
        <v>0</v>
      </c>
    </row>
    <row r="29" spans="1:10">
      <c r="A29" s="1" t="s">
        <v>57</v>
      </c>
      <c r="B29" s="39">
        <v>0.83</v>
      </c>
      <c r="C29" s="21">
        <f>ROUND('Operation Inventory (HVC)'!B29*$B29/(1-$B29), 0)</f>
        <v>205</v>
      </c>
      <c r="D29" s="21">
        <f>ROUND('Operation Inventory (HVC)'!C29*$B29/(1-$B29), 0)</f>
        <v>0</v>
      </c>
      <c r="E29" s="21">
        <f>ROUND('Operation Inventory (HVC)'!D29*$B29/(1-$B29), 0)</f>
        <v>0</v>
      </c>
      <c r="F29" s="21">
        <f>ROUND('Operation Inventory (HVC)'!E29*$B29/(1-$B29), 0)</f>
        <v>3105</v>
      </c>
      <c r="G29" s="21">
        <f>ROUND('Operation Inventory (HVC)'!F29*$B29/(1-$B29), 0)</f>
        <v>0</v>
      </c>
      <c r="H29" s="21">
        <f>ROUND('Operation Inventory (HVC)'!G29*$B29/(1-$B29), 0)</f>
        <v>542</v>
      </c>
      <c r="I29" s="21">
        <f>ROUND('Operation Inventory (HVC)'!H29*$B29/(1-$B29), 0)</f>
        <v>0</v>
      </c>
      <c r="J29" s="21">
        <f>ROUND('Operation Inventory (HVC)'!I29*$B29/(1-$B29), 0)</f>
        <v>5</v>
      </c>
    </row>
    <row r="30" spans="1:10">
      <c r="A30" s="1" t="s">
        <v>74</v>
      </c>
      <c r="B30" s="39">
        <v>0.83</v>
      </c>
      <c r="C30" s="21">
        <f>ROUND('Operation Inventory (HVC)'!B30*$B30/(1-$B30), 0)</f>
        <v>171</v>
      </c>
      <c r="D30" s="21">
        <f>ROUND('Operation Inventory (HVC)'!C30*$B30/(1-$B30), 0)</f>
        <v>0</v>
      </c>
      <c r="E30" s="21">
        <f>ROUND('Operation Inventory (HVC)'!D30*$B30/(1-$B30), 0)</f>
        <v>0</v>
      </c>
      <c r="F30" s="21">
        <f>ROUND('Operation Inventory (HVC)'!E30*$B30/(1-$B30), 0)</f>
        <v>1665</v>
      </c>
      <c r="G30" s="21">
        <f>ROUND('Operation Inventory (HVC)'!F30*$B30/(1-$B30), 0)</f>
        <v>0</v>
      </c>
      <c r="H30" s="21">
        <f>ROUND('Operation Inventory (HVC)'!G30*$B30/(1-$B30), 0)</f>
        <v>220</v>
      </c>
      <c r="I30" s="21">
        <f>ROUND('Operation Inventory (HVC)'!H30*$B30/(1-$B30), 0)</f>
        <v>0</v>
      </c>
      <c r="J30" s="21">
        <f>ROUND('Operation Inventory (HVC)'!I30*$B30/(1-$B30), 0)</f>
        <v>24</v>
      </c>
    </row>
    <row r="31" spans="1:10">
      <c r="A31" s="1" t="s">
        <v>27</v>
      </c>
      <c r="B31" s="39">
        <v>0.83</v>
      </c>
      <c r="C31" s="21">
        <f>ROUND('Operation Inventory (HVC)'!B31*$B31/(1-$B31), 0)</f>
        <v>68</v>
      </c>
      <c r="D31" s="21">
        <f>ROUND('Operation Inventory (HVC)'!C31*$B31/(1-$B31), 0)</f>
        <v>0</v>
      </c>
      <c r="E31" s="21">
        <f>ROUND('Operation Inventory (HVC)'!D31*$B31/(1-$B31), 0)</f>
        <v>0</v>
      </c>
      <c r="F31" s="21">
        <f>ROUND('Operation Inventory (HVC)'!E31*$B31/(1-$B31), 0)</f>
        <v>5</v>
      </c>
      <c r="G31" s="21">
        <f>ROUND('Operation Inventory (HVC)'!F31*$B31/(1-$B31), 0)</f>
        <v>0</v>
      </c>
      <c r="H31" s="21">
        <f>ROUND('Operation Inventory (HVC)'!G31*$B31/(1-$B31), 0)</f>
        <v>117</v>
      </c>
      <c r="I31" s="21">
        <f>ROUND('Operation Inventory (HVC)'!H31*$B31/(1-$B31), 0)</f>
        <v>10</v>
      </c>
      <c r="J31" s="21">
        <f>ROUND('Operation Inventory (HVC)'!I31*$B31/(1-$B31), 0)</f>
        <v>0</v>
      </c>
    </row>
    <row r="32" spans="1:10">
      <c r="A32" s="1" t="s">
        <v>28</v>
      </c>
      <c r="B32" s="39">
        <v>0.83</v>
      </c>
      <c r="C32" s="21">
        <f>ROUND('Operation Inventory (HVC)'!B32*$B32/(1-$B32), 0)</f>
        <v>205</v>
      </c>
      <c r="D32" s="21">
        <f>ROUND('Operation Inventory (HVC)'!C32*$B32/(1-$B32), 0)</f>
        <v>15</v>
      </c>
      <c r="E32" s="21">
        <f>ROUND('Operation Inventory (HVC)'!D32*$B32/(1-$B32), 0)</f>
        <v>0</v>
      </c>
      <c r="F32" s="21">
        <f>ROUND('Operation Inventory (HVC)'!E32*$B32/(1-$B32), 0)</f>
        <v>0</v>
      </c>
      <c r="G32" s="21">
        <f>ROUND('Operation Inventory (HVC)'!F32*$B32/(1-$B32), 0)</f>
        <v>0</v>
      </c>
      <c r="H32" s="21">
        <f>ROUND('Operation Inventory (HVC)'!G32*$B32/(1-$B32), 0)</f>
        <v>98</v>
      </c>
      <c r="I32" s="21">
        <f>ROUND('Operation Inventory (HVC)'!H32*$B32/(1-$B32), 0)</f>
        <v>10</v>
      </c>
      <c r="J32" s="21">
        <f>ROUND('Operation Inventory (HVC)'!I32*$B32/(1-$B32), 0)</f>
        <v>0</v>
      </c>
    </row>
    <row r="33" spans="1:10">
      <c r="A33" s="1" t="s">
        <v>29</v>
      </c>
      <c r="B33" s="39">
        <v>0.83</v>
      </c>
      <c r="C33" s="21">
        <f>ROUND('Operation Inventory (HVC)'!B33*$B33/(1-$B33), 0)</f>
        <v>200</v>
      </c>
      <c r="D33" s="21">
        <f>ROUND('Operation Inventory (HVC)'!C33*$B33/(1-$B33), 0)</f>
        <v>0</v>
      </c>
      <c r="E33" s="21">
        <f>ROUND('Operation Inventory (HVC)'!D33*$B33/(1-$B33), 0)</f>
        <v>0</v>
      </c>
      <c r="F33" s="21">
        <f>ROUND('Operation Inventory (HVC)'!E33*$B33/(1-$B33), 0)</f>
        <v>0</v>
      </c>
      <c r="G33" s="21">
        <f>ROUND('Operation Inventory (HVC)'!F33*$B33/(1-$B33), 0)</f>
        <v>0</v>
      </c>
      <c r="H33" s="21">
        <f>ROUND('Operation Inventory (HVC)'!G33*$B33/(1-$B33), 0)</f>
        <v>220</v>
      </c>
      <c r="I33" s="21">
        <f>ROUND('Operation Inventory (HVC)'!H33*$B33/(1-$B33), 0)</f>
        <v>15</v>
      </c>
      <c r="J33" s="21">
        <f>ROUND('Operation Inventory (HVC)'!I33*$B33/(1-$B33), 0)</f>
        <v>5</v>
      </c>
    </row>
    <row r="34" spans="1:10">
      <c r="A34" s="1" t="s">
        <v>30</v>
      </c>
      <c r="B34" s="39">
        <v>0.83</v>
      </c>
      <c r="C34" s="21">
        <f>ROUND('Operation Inventory (HVC)'!B34*$B34/(1-$B34), 0)</f>
        <v>347</v>
      </c>
      <c r="D34" s="21">
        <f>ROUND('Operation Inventory (HVC)'!C34*$B34/(1-$B34), 0)</f>
        <v>0</v>
      </c>
      <c r="E34" s="21">
        <f>ROUND('Operation Inventory (HVC)'!D34*$B34/(1-$B34), 0)</f>
        <v>0</v>
      </c>
      <c r="F34" s="21">
        <f>ROUND('Operation Inventory (HVC)'!E34*$B34/(1-$B34), 0)</f>
        <v>0</v>
      </c>
      <c r="G34" s="21">
        <f>ROUND('Operation Inventory (HVC)'!F34*$B34/(1-$B34), 0)</f>
        <v>0</v>
      </c>
      <c r="H34" s="21">
        <f>ROUND('Operation Inventory (HVC)'!G34*$B34/(1-$B34), 0)</f>
        <v>112</v>
      </c>
      <c r="I34" s="21">
        <f>ROUND('Operation Inventory (HVC)'!H34*$B34/(1-$B34), 0)</f>
        <v>20</v>
      </c>
      <c r="J34" s="21">
        <f>ROUND('Operation Inventory (HVC)'!I34*$B34/(1-$B34), 0)</f>
        <v>0</v>
      </c>
    </row>
    <row r="35" spans="1:10">
      <c r="A35" s="1" t="s">
        <v>31</v>
      </c>
      <c r="B35" s="39">
        <v>0.83</v>
      </c>
      <c r="C35" s="21">
        <f>ROUND('Operation Inventory (HVC)'!B35*$B35/(1-$B35), 0)</f>
        <v>190</v>
      </c>
      <c r="D35" s="21">
        <f>ROUND('Operation Inventory (HVC)'!C35*$B35/(1-$B35), 0)</f>
        <v>0</v>
      </c>
      <c r="E35" s="21">
        <f>ROUND('Operation Inventory (HVC)'!D35*$B35/(1-$B35), 0)</f>
        <v>0</v>
      </c>
      <c r="F35" s="21">
        <f>ROUND('Operation Inventory (HVC)'!E35*$B35/(1-$B35), 0)</f>
        <v>15</v>
      </c>
      <c r="G35" s="21">
        <f>ROUND('Operation Inventory (HVC)'!F35*$B35/(1-$B35), 0)</f>
        <v>0</v>
      </c>
      <c r="H35" s="21">
        <f>ROUND('Operation Inventory (HVC)'!G35*$B35/(1-$B35), 0)</f>
        <v>68</v>
      </c>
      <c r="I35" s="21">
        <f>ROUND('Operation Inventory (HVC)'!H35*$B35/(1-$B35), 0)</f>
        <v>0</v>
      </c>
      <c r="J35" s="21">
        <f>ROUND('Operation Inventory (HVC)'!I35*$B35/(1-$B35), 0)</f>
        <v>0</v>
      </c>
    </row>
    <row r="36" spans="1:10">
      <c r="A36" s="1" t="s">
        <v>32</v>
      </c>
      <c r="B36" s="39">
        <v>0.83</v>
      </c>
      <c r="C36" s="21">
        <f>ROUND('Operation Inventory (HVC)'!B36*$B36/(1-$B36), 0)</f>
        <v>49</v>
      </c>
      <c r="D36" s="21">
        <f>ROUND('Operation Inventory (HVC)'!C36*$B36/(1-$B36), 0)</f>
        <v>0</v>
      </c>
      <c r="E36" s="21">
        <f>ROUND('Operation Inventory (HVC)'!D36*$B36/(1-$B36), 0)</f>
        <v>0</v>
      </c>
      <c r="F36" s="21">
        <f>ROUND('Operation Inventory (HVC)'!E36*$B36/(1-$B36), 0)</f>
        <v>303</v>
      </c>
      <c r="G36" s="21">
        <f>ROUND('Operation Inventory (HVC)'!F36*$B36/(1-$B36), 0)</f>
        <v>0</v>
      </c>
      <c r="H36" s="21">
        <f>ROUND('Operation Inventory (HVC)'!G36*$B36/(1-$B36), 0)</f>
        <v>103</v>
      </c>
      <c r="I36" s="21">
        <f>ROUND('Operation Inventory (HVC)'!H36*$B36/(1-$B36), 0)</f>
        <v>0</v>
      </c>
      <c r="J36" s="21">
        <f>ROUND('Operation Inventory (HVC)'!I36*$B36/(1-$B36), 0)</f>
        <v>10</v>
      </c>
    </row>
    <row r="37" spans="1:10">
      <c r="A37" s="1" t="s">
        <v>33</v>
      </c>
      <c r="B37" s="39">
        <v>0.83</v>
      </c>
      <c r="C37" s="21">
        <f>ROUND('Operation Inventory (HVC)'!B37*$B37/(1-$B37), 0)</f>
        <v>20</v>
      </c>
      <c r="D37" s="21">
        <f>ROUND('Operation Inventory (HVC)'!C37*$B37/(1-$B37), 0)</f>
        <v>0</v>
      </c>
      <c r="E37" s="21">
        <f>ROUND('Operation Inventory (HVC)'!D37*$B37/(1-$B37), 0)</f>
        <v>0</v>
      </c>
      <c r="F37" s="21">
        <f>ROUND('Operation Inventory (HVC)'!E37*$B37/(1-$B37), 0)</f>
        <v>176</v>
      </c>
      <c r="G37" s="21">
        <f>ROUND('Operation Inventory (HVC)'!F37*$B37/(1-$B37), 0)</f>
        <v>0</v>
      </c>
      <c r="H37" s="21">
        <f>ROUND('Operation Inventory (HVC)'!G37*$B37/(1-$B37), 0)</f>
        <v>132</v>
      </c>
      <c r="I37" s="21">
        <f>ROUND('Operation Inventory (HVC)'!H37*$B37/(1-$B37), 0)</f>
        <v>0</v>
      </c>
      <c r="J37" s="21">
        <f>ROUND('Operation Inventory (HVC)'!I37*$B37/(1-$B37), 0)</f>
        <v>10</v>
      </c>
    </row>
    <row r="38" spans="1:10">
      <c r="A38" s="1" t="s">
        <v>34</v>
      </c>
      <c r="B38" s="39">
        <v>0.83</v>
      </c>
      <c r="C38" s="21">
        <f>ROUND('Operation Inventory (HVC)'!B38*$B38/(1-$B38), 0)</f>
        <v>54</v>
      </c>
      <c r="D38" s="21">
        <f>ROUND('Operation Inventory (HVC)'!C38*$B38/(1-$B38), 0)</f>
        <v>0</v>
      </c>
      <c r="E38" s="21">
        <f>ROUND('Operation Inventory (HVC)'!D38*$B38/(1-$B38), 0)</f>
        <v>0</v>
      </c>
      <c r="F38" s="21">
        <f>ROUND('Operation Inventory (HVC)'!E38*$B38/(1-$B38), 0)</f>
        <v>1753</v>
      </c>
      <c r="G38" s="21">
        <f>ROUND('Operation Inventory (HVC)'!F38*$B38/(1-$B38), 0)</f>
        <v>0</v>
      </c>
      <c r="H38" s="21">
        <f>ROUND('Operation Inventory (HVC)'!G38*$B38/(1-$B38), 0)</f>
        <v>312</v>
      </c>
      <c r="I38" s="21">
        <f>ROUND('Operation Inventory (HVC)'!H38*$B38/(1-$B38), 0)</f>
        <v>20</v>
      </c>
      <c r="J38" s="21">
        <f>ROUND('Operation Inventory (HVC)'!I38*$B38/(1-$B38), 0)</f>
        <v>59</v>
      </c>
    </row>
    <row r="39" spans="1:10">
      <c r="A39" s="1" t="s">
        <v>35</v>
      </c>
      <c r="B39" s="39">
        <v>0.83</v>
      </c>
      <c r="C39" s="21">
        <f>ROUND('Operation Inventory (HVC)'!B39*$B39/(1-$B39), 0)</f>
        <v>34</v>
      </c>
      <c r="D39" s="21">
        <f>ROUND('Operation Inventory (HVC)'!C39*$B39/(1-$B39), 0)</f>
        <v>0</v>
      </c>
      <c r="E39" s="21">
        <f>ROUND('Operation Inventory (HVC)'!D39*$B39/(1-$B39), 0)</f>
        <v>0</v>
      </c>
      <c r="F39" s="21">
        <f>ROUND('Operation Inventory (HVC)'!E39*$B39/(1-$B39), 0)</f>
        <v>400</v>
      </c>
      <c r="G39" s="21">
        <f>ROUND('Operation Inventory (HVC)'!F39*$B39/(1-$B39), 0)</f>
        <v>0</v>
      </c>
      <c r="H39" s="21">
        <f>ROUND('Operation Inventory (HVC)'!G39*$B39/(1-$B39), 0)</f>
        <v>29</v>
      </c>
      <c r="I39" s="21">
        <f>ROUND('Operation Inventory (HVC)'!H39*$B39/(1-$B39), 0)</f>
        <v>0</v>
      </c>
      <c r="J39" s="21">
        <f>ROUND('Operation Inventory (HVC)'!I39*$B39/(1-$B39), 0)</f>
        <v>0</v>
      </c>
    </row>
    <row r="40" spans="1:10">
      <c r="A40" s="1" t="s">
        <v>36</v>
      </c>
      <c r="B40" s="39">
        <v>0.83</v>
      </c>
      <c r="C40" s="21">
        <f>ROUND('Operation Inventory (HVC)'!B40*$B40/(1-$B40), 0)</f>
        <v>34</v>
      </c>
      <c r="D40" s="21">
        <f>ROUND('Operation Inventory (HVC)'!C40*$B40/(1-$B40), 0)</f>
        <v>0</v>
      </c>
      <c r="E40" s="21">
        <f>ROUND('Operation Inventory (HVC)'!D40*$B40/(1-$B40), 0)</f>
        <v>0</v>
      </c>
      <c r="F40" s="21">
        <f>ROUND('Operation Inventory (HVC)'!E40*$B40/(1-$B40), 0)</f>
        <v>176</v>
      </c>
      <c r="G40" s="21">
        <f>ROUND('Operation Inventory (HVC)'!F40*$B40/(1-$B40), 0)</f>
        <v>0</v>
      </c>
      <c r="H40" s="21">
        <f>ROUND('Operation Inventory (HVC)'!G40*$B40/(1-$B40), 0)</f>
        <v>146</v>
      </c>
      <c r="I40" s="21">
        <f>ROUND('Operation Inventory (HVC)'!H40*$B40/(1-$B40), 0)</f>
        <v>0</v>
      </c>
      <c r="J40" s="21">
        <f>ROUND('Operation Inventory (HVC)'!I40*$B40/(1-$B40), 0)</f>
        <v>10</v>
      </c>
    </row>
    <row r="41" spans="1:10">
      <c r="A41" s="1" t="s">
        <v>37</v>
      </c>
      <c r="B41" s="39">
        <v>0.83</v>
      </c>
      <c r="C41" s="21">
        <f>ROUND('Operation Inventory (HVC)'!B41*$B41/(1-$B41), 0)</f>
        <v>34</v>
      </c>
      <c r="D41" s="21">
        <f>ROUND('Operation Inventory (HVC)'!C41*$B41/(1-$B41), 0)</f>
        <v>0</v>
      </c>
      <c r="E41" s="21">
        <f>ROUND('Operation Inventory (HVC)'!D41*$B41/(1-$B41), 0)</f>
        <v>0</v>
      </c>
      <c r="F41" s="21">
        <f>ROUND('Operation Inventory (HVC)'!E41*$B41/(1-$B41), 0)</f>
        <v>210</v>
      </c>
      <c r="G41" s="21">
        <f>ROUND('Operation Inventory (HVC)'!F41*$B41/(1-$B41), 0)</f>
        <v>0</v>
      </c>
      <c r="H41" s="21">
        <f>ROUND('Operation Inventory (HVC)'!G41*$B41/(1-$B41), 0)</f>
        <v>161</v>
      </c>
      <c r="I41" s="21">
        <f>ROUND('Operation Inventory (HVC)'!H41*$B41/(1-$B41), 0)</f>
        <v>0</v>
      </c>
      <c r="J41" s="21">
        <f>ROUND('Operation Inventory (HVC)'!I41*$B41/(1-$B41), 0)</f>
        <v>10</v>
      </c>
    </row>
    <row r="42" spans="1:10">
      <c r="A42" s="1" t="s">
        <v>38</v>
      </c>
      <c r="B42" s="39">
        <v>0.83</v>
      </c>
      <c r="C42" s="21">
        <f>ROUND('Operation Inventory (HVC)'!B42*$B42/(1-$B42), 0)</f>
        <v>29</v>
      </c>
      <c r="D42" s="21">
        <f>ROUND('Operation Inventory (HVC)'!C42*$B42/(1-$B42), 0)</f>
        <v>0</v>
      </c>
      <c r="E42" s="21">
        <f>ROUND('Operation Inventory (HVC)'!D42*$B42/(1-$B42), 0)</f>
        <v>0</v>
      </c>
      <c r="F42" s="21">
        <f>ROUND('Operation Inventory (HVC)'!E42*$B42/(1-$B42), 0)</f>
        <v>44</v>
      </c>
      <c r="G42" s="21">
        <f>ROUND('Operation Inventory (HVC)'!F42*$B42/(1-$B42), 0)</f>
        <v>0</v>
      </c>
      <c r="H42" s="21">
        <f>ROUND('Operation Inventory (HVC)'!G42*$B42/(1-$B42), 0)</f>
        <v>156</v>
      </c>
      <c r="I42" s="21">
        <f>ROUND('Operation Inventory (HVC)'!H42*$B42/(1-$B42), 0)</f>
        <v>0</v>
      </c>
      <c r="J42" s="21">
        <f>ROUND('Operation Inventory (HVC)'!I42*$B42/(1-$B42), 0)</f>
        <v>0</v>
      </c>
    </row>
    <row r="43" spans="1:10">
      <c r="A43" s="1" t="s">
        <v>39</v>
      </c>
      <c r="B43" s="39">
        <v>0.83</v>
      </c>
      <c r="C43" s="21">
        <f>ROUND('Operation Inventory (HVC)'!B43*$B43/(1-$B43), 0)</f>
        <v>117</v>
      </c>
      <c r="D43" s="21">
        <f>ROUND('Operation Inventory (HVC)'!C43*$B43/(1-$B43), 0)</f>
        <v>5</v>
      </c>
      <c r="E43" s="21">
        <f>ROUND('Operation Inventory (HVC)'!D43*$B43/(1-$B43), 0)</f>
        <v>0</v>
      </c>
      <c r="F43" s="21">
        <f>ROUND('Operation Inventory (HVC)'!E43*$B43/(1-$B43), 0)</f>
        <v>39</v>
      </c>
      <c r="G43" s="21">
        <f>ROUND('Operation Inventory (HVC)'!F43*$B43/(1-$B43), 0)</f>
        <v>0</v>
      </c>
      <c r="H43" s="21">
        <f>ROUND('Operation Inventory (HVC)'!G43*$B43/(1-$B43), 0)</f>
        <v>68</v>
      </c>
      <c r="I43" s="21">
        <f>ROUND('Operation Inventory (HVC)'!H43*$B43/(1-$B43), 0)</f>
        <v>15</v>
      </c>
      <c r="J43" s="21">
        <f>ROUND('Operation Inventory (HVC)'!I43*$B43/(1-$B43), 0)</f>
        <v>0</v>
      </c>
    </row>
    <row r="44" spans="1:10">
      <c r="A44" s="1" t="s">
        <v>40</v>
      </c>
      <c r="B44" s="39">
        <v>0.83</v>
      </c>
      <c r="C44" s="21">
        <f>ROUND('Operation Inventory (HVC)'!B44*$B44/(1-$B44), 0)</f>
        <v>29</v>
      </c>
      <c r="D44" s="21">
        <f>ROUND('Operation Inventory (HVC)'!C44*$B44/(1-$B44), 0)</f>
        <v>0</v>
      </c>
      <c r="E44" s="21">
        <f>ROUND('Operation Inventory (HVC)'!D44*$B44/(1-$B44), 0)</f>
        <v>0</v>
      </c>
      <c r="F44" s="21">
        <f>ROUND('Operation Inventory (HVC)'!E44*$B44/(1-$B44), 0)</f>
        <v>34</v>
      </c>
      <c r="G44" s="21">
        <f>ROUND('Operation Inventory (HVC)'!F44*$B44/(1-$B44), 0)</f>
        <v>0</v>
      </c>
      <c r="H44" s="21">
        <f>ROUND('Operation Inventory (HVC)'!G44*$B44/(1-$B44), 0)</f>
        <v>171</v>
      </c>
      <c r="I44" s="21">
        <f>ROUND('Operation Inventory (HVC)'!H44*$B44/(1-$B44), 0)</f>
        <v>10</v>
      </c>
      <c r="J44" s="21">
        <f>ROUND('Operation Inventory (HVC)'!I44*$B44/(1-$B44), 0)</f>
        <v>0</v>
      </c>
    </row>
    <row r="45" spans="1:10">
      <c r="A45" s="1" t="s">
        <v>41</v>
      </c>
      <c r="B45" s="39">
        <v>0.83</v>
      </c>
      <c r="C45" s="21">
        <f>ROUND('Operation Inventory (HVC)'!B45*$B45/(1-$B45), 0)</f>
        <v>112</v>
      </c>
      <c r="D45" s="21">
        <f>ROUND('Operation Inventory (HVC)'!C45*$B45/(1-$B45), 0)</f>
        <v>0</v>
      </c>
      <c r="E45" s="21">
        <f>ROUND('Operation Inventory (HVC)'!D45*$B45/(1-$B45), 0)</f>
        <v>0</v>
      </c>
      <c r="F45" s="21">
        <f>ROUND('Operation Inventory (HVC)'!E45*$B45/(1-$B45), 0)</f>
        <v>78</v>
      </c>
      <c r="G45" s="21">
        <f>ROUND('Operation Inventory (HVC)'!F45*$B45/(1-$B45), 0)</f>
        <v>0</v>
      </c>
      <c r="H45" s="21">
        <f>ROUND('Operation Inventory (HVC)'!G45*$B45/(1-$B45), 0)</f>
        <v>5</v>
      </c>
      <c r="I45" s="21">
        <f>ROUND('Operation Inventory (HVC)'!H45*$B45/(1-$B45), 0)</f>
        <v>0</v>
      </c>
      <c r="J45" s="21">
        <f>ROUND('Operation Inventory (HVC)'!I45*$B45/(1-$B45), 0)</f>
        <v>0</v>
      </c>
    </row>
    <row r="46" spans="1:10">
      <c r="A46" s="1" t="s">
        <v>42</v>
      </c>
      <c r="B46" s="39">
        <v>0.83</v>
      </c>
      <c r="C46" s="21">
        <f>ROUND('Operation Inventory (HVC)'!B46*$B46/(1-$B46), 0)</f>
        <v>54</v>
      </c>
      <c r="D46" s="21">
        <f>ROUND('Operation Inventory (HVC)'!C46*$B46/(1-$B46), 0)</f>
        <v>0</v>
      </c>
      <c r="E46" s="21">
        <f>ROUND('Operation Inventory (HVC)'!D46*$B46/(1-$B46), 0)</f>
        <v>5</v>
      </c>
      <c r="F46" s="21">
        <f>ROUND('Operation Inventory (HVC)'!E46*$B46/(1-$B46), 0)</f>
        <v>151</v>
      </c>
      <c r="G46" s="21">
        <f>ROUND('Operation Inventory (HVC)'!F46*$B46/(1-$B46), 0)</f>
        <v>0</v>
      </c>
      <c r="H46" s="21">
        <f>ROUND('Operation Inventory (HVC)'!G46*$B46/(1-$B46), 0)</f>
        <v>176</v>
      </c>
      <c r="I46" s="21">
        <f>ROUND('Operation Inventory (HVC)'!H46*$B46/(1-$B46), 0)</f>
        <v>29</v>
      </c>
      <c r="J46" s="21">
        <f>ROUND('Operation Inventory (HVC)'!I46*$B46/(1-$B46), 0)</f>
        <v>5</v>
      </c>
    </row>
    <row r="47" spans="1:10">
      <c r="A47" s="1" t="s">
        <v>43</v>
      </c>
      <c r="B47" s="39">
        <v>0.83</v>
      </c>
      <c r="C47" s="21">
        <f>ROUND('Operation Inventory (HVC)'!B47*$B47/(1-$B47), 0)</f>
        <v>29</v>
      </c>
      <c r="D47" s="21">
        <f>ROUND('Operation Inventory (HVC)'!C47*$B47/(1-$B47), 0)</f>
        <v>5</v>
      </c>
      <c r="E47" s="21">
        <f>ROUND('Operation Inventory (HVC)'!D47*$B47/(1-$B47), 0)</f>
        <v>0</v>
      </c>
      <c r="F47" s="21">
        <f>ROUND('Operation Inventory (HVC)'!E47*$B47/(1-$B47), 0)</f>
        <v>73</v>
      </c>
      <c r="G47" s="21">
        <f>ROUND('Operation Inventory (HVC)'!F47*$B47/(1-$B47), 0)</f>
        <v>0</v>
      </c>
      <c r="H47" s="21">
        <f>ROUND('Operation Inventory (HVC)'!G47*$B47/(1-$B47), 0)</f>
        <v>88</v>
      </c>
      <c r="I47" s="21">
        <f>ROUND('Operation Inventory (HVC)'!H47*$B47/(1-$B47), 0)</f>
        <v>24</v>
      </c>
      <c r="J47" s="21">
        <f>ROUND('Operation Inventory (HVC)'!I47*$B47/(1-$B47), 0)</f>
        <v>0</v>
      </c>
    </row>
    <row r="48" spans="1:10">
      <c r="A48" s="1" t="s">
        <v>77</v>
      </c>
      <c r="B48" s="39">
        <v>0.83</v>
      </c>
      <c r="C48" s="21">
        <f>ROUND('Operation Inventory (HVC)'!B48*$B48/(1-$B48), 0)</f>
        <v>166</v>
      </c>
      <c r="D48" s="21">
        <f>ROUND('Operation Inventory (HVC)'!C48*$B48/(1-$B48), 0)</f>
        <v>0</v>
      </c>
      <c r="E48" s="21">
        <f>ROUND('Operation Inventory (HVC)'!D48*$B48/(1-$B48), 0)</f>
        <v>0</v>
      </c>
      <c r="F48" s="21">
        <f>ROUND('Operation Inventory (HVC)'!E48*$B48/(1-$B48), 0)</f>
        <v>327</v>
      </c>
      <c r="G48" s="21">
        <f>ROUND('Operation Inventory (HVC)'!F48*$B48/(1-$B48), 0)</f>
        <v>0</v>
      </c>
      <c r="H48" s="21">
        <f>ROUND('Operation Inventory (HVC)'!G48*$B48/(1-$B48), 0)</f>
        <v>508</v>
      </c>
      <c r="I48" s="21">
        <f>ROUND('Operation Inventory (HVC)'!H48*$B48/(1-$B48), 0)</f>
        <v>34</v>
      </c>
      <c r="J48" s="21">
        <f>ROUND('Operation Inventory (HVC)'!I48*$B48/(1-$B48), 0)</f>
        <v>29</v>
      </c>
    </row>
    <row r="49" spans="1:10">
      <c r="A49" s="1" t="s">
        <v>78</v>
      </c>
      <c r="B49" s="39">
        <v>0.83</v>
      </c>
      <c r="C49" s="21">
        <f>ROUND('Operation Inventory (HVC)'!B49*$B49/(1-$B49), 0)</f>
        <v>146</v>
      </c>
      <c r="D49" s="21">
        <f>ROUND('Operation Inventory (HVC)'!C49*$B49/(1-$B49), 0)</f>
        <v>5</v>
      </c>
      <c r="E49" s="21">
        <f>ROUND('Operation Inventory (HVC)'!D49*$B49/(1-$B49), 0)</f>
        <v>0</v>
      </c>
      <c r="F49" s="21">
        <f>ROUND('Operation Inventory (HVC)'!E49*$B49/(1-$B49), 0)</f>
        <v>303</v>
      </c>
      <c r="G49" s="21">
        <f>ROUND('Operation Inventory (HVC)'!F49*$B49/(1-$B49), 0)</f>
        <v>0</v>
      </c>
      <c r="H49" s="21">
        <f>ROUND('Operation Inventory (HVC)'!G49*$B49/(1-$B49), 0)</f>
        <v>542</v>
      </c>
      <c r="I49" s="21">
        <f>ROUND('Operation Inventory (HVC)'!H49*$B49/(1-$B49), 0)</f>
        <v>29</v>
      </c>
      <c r="J49" s="21">
        <f>ROUND('Operation Inventory (HVC)'!I49*$B49/(1-$B49), 0)</f>
        <v>0</v>
      </c>
    </row>
    <row r="50" spans="1:10">
      <c r="A50" s="1" t="s">
        <v>79</v>
      </c>
      <c r="B50" s="39">
        <v>0.83</v>
      </c>
      <c r="C50" s="21">
        <f>ROUND('Operation Inventory (HVC)'!B50*$B50/(1-$B50), 0)</f>
        <v>156</v>
      </c>
      <c r="D50" s="21">
        <f>ROUND('Operation Inventory (HVC)'!C50*$B50/(1-$B50), 0)</f>
        <v>0</v>
      </c>
      <c r="E50" s="21">
        <f>ROUND('Operation Inventory (HVC)'!D50*$B50/(1-$B50), 0)</f>
        <v>0</v>
      </c>
      <c r="F50" s="21">
        <f>ROUND('Operation Inventory (HVC)'!E50*$B50/(1-$B50), 0)</f>
        <v>239</v>
      </c>
      <c r="G50" s="21">
        <f>ROUND('Operation Inventory (HVC)'!F50*$B50/(1-$B50), 0)</f>
        <v>5</v>
      </c>
      <c r="H50" s="21">
        <f>ROUND('Operation Inventory (HVC)'!G50*$B50/(1-$B50), 0)</f>
        <v>732</v>
      </c>
      <c r="I50" s="21">
        <f>ROUND('Operation Inventory (HVC)'!H50*$B50/(1-$B50), 0)</f>
        <v>73</v>
      </c>
      <c r="J50" s="21">
        <f>ROUND('Operation Inventory (HVC)'!I50*$B50/(1-$B50), 0)</f>
        <v>10</v>
      </c>
    </row>
    <row r="51" spans="1:10">
      <c r="A51" s="1" t="s">
        <v>80</v>
      </c>
      <c r="B51" s="39">
        <v>0.83</v>
      </c>
      <c r="C51" s="21">
        <f>ROUND('Operation Inventory (HVC)'!B51*$B51/(1-$B51), 0)</f>
        <v>142</v>
      </c>
      <c r="D51" s="21">
        <f>ROUND('Operation Inventory (HVC)'!C51*$B51/(1-$B51), 0)</f>
        <v>0</v>
      </c>
      <c r="E51" s="21">
        <f>ROUND('Operation Inventory (HVC)'!D51*$B51/(1-$B51), 0)</f>
        <v>0</v>
      </c>
      <c r="F51" s="21">
        <f>ROUND('Operation Inventory (HVC)'!E51*$B51/(1-$B51), 0)</f>
        <v>83</v>
      </c>
      <c r="G51" s="21">
        <f>ROUND('Operation Inventory (HVC)'!F51*$B51/(1-$B51), 0)</f>
        <v>0</v>
      </c>
      <c r="H51" s="21">
        <f>ROUND('Operation Inventory (HVC)'!G51*$B51/(1-$B51), 0)</f>
        <v>78</v>
      </c>
      <c r="I51" s="21">
        <f>ROUND('Operation Inventory (HVC)'!H51*$B51/(1-$B51), 0)</f>
        <v>0</v>
      </c>
      <c r="J51" s="21">
        <f>ROUND('Operation Inventory (HVC)'!I51*$B51/(1-$B51), 0)</f>
        <v>0</v>
      </c>
    </row>
    <row r="52" spans="1:10">
      <c r="A52" s="1" t="s">
        <v>77</v>
      </c>
      <c r="B52" s="39">
        <v>0.83</v>
      </c>
      <c r="C52" s="21">
        <f>ROUND('Operation Inventory (HVC)'!B52*$B52/(1-$B52), 0)</f>
        <v>29</v>
      </c>
      <c r="D52" s="21">
        <f>ROUND('Operation Inventory (HVC)'!C52*$B52/(1-$B52), 0)</f>
        <v>0</v>
      </c>
      <c r="E52" s="21">
        <f>ROUND('Operation Inventory (HVC)'!D52*$B52/(1-$B52), 0)</f>
        <v>0</v>
      </c>
      <c r="F52" s="21">
        <f>ROUND('Operation Inventory (HVC)'!E52*$B52/(1-$B52), 0)</f>
        <v>24</v>
      </c>
      <c r="G52" s="21">
        <f>ROUND('Operation Inventory (HVC)'!F52*$B52/(1-$B52), 0)</f>
        <v>0</v>
      </c>
      <c r="H52" s="21">
        <f>ROUND('Operation Inventory (HVC)'!G52*$B52/(1-$B52), 0)</f>
        <v>20</v>
      </c>
      <c r="I52" s="21">
        <f>ROUND('Operation Inventory (HVC)'!H52*$B52/(1-$B52), 0)</f>
        <v>10</v>
      </c>
      <c r="J52" s="21">
        <f>ROUND('Operation Inventory (HVC)'!I52*$B52/(1-$B52), 0)</f>
        <v>0</v>
      </c>
    </row>
    <row r="53" spans="1:10">
      <c r="A53" s="1" t="s">
        <v>78</v>
      </c>
      <c r="B53" s="39">
        <v>0.83</v>
      </c>
      <c r="C53" s="21">
        <f>ROUND('Operation Inventory (HVC)'!B53*$B53/(1-$B53), 0)</f>
        <v>78</v>
      </c>
      <c r="D53" s="21">
        <f>ROUND('Operation Inventory (HVC)'!C53*$B53/(1-$B53), 0)</f>
        <v>0</v>
      </c>
      <c r="E53" s="21">
        <f>ROUND('Operation Inventory (HVC)'!D53*$B53/(1-$B53), 0)</f>
        <v>0</v>
      </c>
      <c r="F53" s="21">
        <f>ROUND('Operation Inventory (HVC)'!E53*$B53/(1-$B53), 0)</f>
        <v>93</v>
      </c>
      <c r="G53" s="21">
        <f>ROUND('Operation Inventory (HVC)'!F53*$B53/(1-$B53), 0)</f>
        <v>0</v>
      </c>
      <c r="H53" s="21">
        <f>ROUND('Operation Inventory (HVC)'!G53*$B53/(1-$B53), 0)</f>
        <v>137</v>
      </c>
      <c r="I53" s="21">
        <f>ROUND('Operation Inventory (HVC)'!H53*$B53/(1-$B53), 0)</f>
        <v>29</v>
      </c>
      <c r="J53" s="21">
        <f>ROUND('Operation Inventory (HVC)'!I53*$B53/(1-$B53), 0)</f>
        <v>0</v>
      </c>
    </row>
    <row r="54" spans="1:10">
      <c r="A54" s="1" t="s">
        <v>44</v>
      </c>
      <c r="B54" s="39">
        <v>0.83</v>
      </c>
      <c r="C54" s="21">
        <f>ROUND('Operation Inventory (HVC)'!B52*$B54/(1-$B54), 0)</f>
        <v>29</v>
      </c>
      <c r="D54" s="21">
        <f>ROUND('Operation Inventory (HVC)'!C52*$B54/(1-$B54), 0)</f>
        <v>0</v>
      </c>
      <c r="E54" s="21">
        <f>ROUND('Operation Inventory (HVC)'!D52*$B54/(1-$B54), 0)</f>
        <v>0</v>
      </c>
      <c r="F54" s="21">
        <f>ROUND('Operation Inventory (HVC)'!E52*$B54/(1-$B54), 0)</f>
        <v>24</v>
      </c>
      <c r="G54" s="21">
        <f>ROUND('Operation Inventory (HVC)'!F52*$B54/(1-$B54), 0)</f>
        <v>0</v>
      </c>
      <c r="H54" s="21">
        <f>ROUND('Operation Inventory (HVC)'!G52*$B54/(1-$B54), 0)</f>
        <v>20</v>
      </c>
      <c r="I54" s="21">
        <f>ROUND('Operation Inventory (HVC)'!H52*$B54/(1-$B54), 0)</f>
        <v>10</v>
      </c>
      <c r="J54" s="21">
        <f>ROUND('Operation Inventory (HVC)'!I52*$B54/(1-$B54), 0)</f>
        <v>0</v>
      </c>
    </row>
    <row r="55" spans="1:10">
      <c r="A55" s="1" t="s">
        <v>92</v>
      </c>
      <c r="B55" s="39">
        <v>0.83</v>
      </c>
      <c r="C55" s="21">
        <f>ROUND('Operation Inventory (HVC)'!B53*$B55/(1-$B55), 0)</f>
        <v>78</v>
      </c>
      <c r="D55" s="21">
        <f>ROUND('Operation Inventory (HVC)'!C53*$B55/(1-$B55), 0)</f>
        <v>0</v>
      </c>
      <c r="E55" s="21">
        <f>ROUND('Operation Inventory (HVC)'!D53*$B55/(1-$B55), 0)</f>
        <v>0</v>
      </c>
      <c r="F55" s="21">
        <f>ROUND('Operation Inventory (HVC)'!E53*$B55/(1-$B55), 0)</f>
        <v>93</v>
      </c>
      <c r="G55" s="21">
        <f>ROUND('Operation Inventory (HVC)'!F53*$B55/(1-$B55), 0)</f>
        <v>0</v>
      </c>
      <c r="H55" s="21">
        <f>ROUND('Operation Inventory (HVC)'!G53*$B55/(1-$B55), 0)</f>
        <v>137</v>
      </c>
      <c r="I55" s="21">
        <f>ROUND('Operation Inventory (HVC)'!H53*$B55/(1-$B55), 0)</f>
        <v>29</v>
      </c>
      <c r="J55" s="21">
        <f>ROUND('Operation Inventory (HVC)'!I53*$B55/(1-$B55), 0)</f>
        <v>0</v>
      </c>
    </row>
    <row r="56" spans="1:10">
      <c r="A56" s="1" t="s">
        <v>91</v>
      </c>
      <c r="B56" s="39">
        <v>0.83</v>
      </c>
      <c r="C56" s="21">
        <f>ROUND('Operation Inventory (HVC)'!B54*$B56/(1-$B56), 0)</f>
        <v>352</v>
      </c>
      <c r="D56" s="21">
        <f>ROUND('Operation Inventory (HVC)'!C54*$B56/(1-$B56), 0)</f>
        <v>5</v>
      </c>
      <c r="E56" s="21">
        <f>ROUND('Operation Inventory (HVC)'!D54*$B56/(1-$B56), 0)</f>
        <v>0</v>
      </c>
      <c r="F56" s="21">
        <f>ROUND('Operation Inventory (HVC)'!E54*$B56/(1-$B56), 0)</f>
        <v>225</v>
      </c>
      <c r="G56" s="21">
        <f>ROUND('Operation Inventory (HVC)'!F54*$B56/(1-$B56), 0)</f>
        <v>0</v>
      </c>
      <c r="H56" s="21">
        <f>ROUND('Operation Inventory (HVC)'!G54*$B56/(1-$B56), 0)</f>
        <v>518</v>
      </c>
      <c r="I56" s="21">
        <f>ROUND('Operation Inventory (HVC)'!H54*$B56/(1-$B56), 0)</f>
        <v>34</v>
      </c>
      <c r="J56" s="21">
        <f>ROUND('Operation Inventory (HVC)'!I54*$B56/(1-$B56), 0)</f>
        <v>24</v>
      </c>
    </row>
    <row r="57" spans="1:10">
      <c r="A57" s="1" t="s">
        <v>94</v>
      </c>
      <c r="B57" s="39">
        <v>0.83</v>
      </c>
      <c r="C57" s="21">
        <f>ROUND('Operation Inventory (HVC)'!B55*$B57/(1-$B57), 0)</f>
        <v>98</v>
      </c>
      <c r="D57" s="21">
        <f>ROUND('Operation Inventory (HVC)'!C55*$B57/(1-$B57), 0)</f>
        <v>0</v>
      </c>
      <c r="E57" s="21">
        <f>ROUND('Operation Inventory (HVC)'!D55*$B57/(1-$B57), 0)</f>
        <v>0</v>
      </c>
      <c r="F57" s="21">
        <f>ROUND('Operation Inventory (HVC)'!E55*$B57/(1-$B57), 0)</f>
        <v>98</v>
      </c>
      <c r="G57" s="21">
        <f>ROUND('Operation Inventory (HVC)'!F55*$B57/(1-$B57), 0)</f>
        <v>0</v>
      </c>
      <c r="H57" s="21">
        <f>ROUND('Operation Inventory (HVC)'!G55*$B57/(1-$B57), 0)</f>
        <v>44</v>
      </c>
      <c r="I57" s="21">
        <f>ROUND('Operation Inventory (HVC)'!H55*$B57/(1-$B57), 0)</f>
        <v>5</v>
      </c>
      <c r="J57" s="21">
        <f>ROUND('Operation Inventory (HVC)'!I55*$B57/(1-$B57), 0)</f>
        <v>0</v>
      </c>
    </row>
    <row r="58" spans="1:10">
      <c r="A58" s="1" t="s">
        <v>45</v>
      </c>
      <c r="B58" s="39">
        <v>0.83</v>
      </c>
      <c r="C58" s="21">
        <f>ROUND('Operation Inventory (HVC)'!B56*$B58/(1-$B58), 0)</f>
        <v>103</v>
      </c>
      <c r="D58" s="21">
        <f>ROUND('Operation Inventory (HVC)'!C56*$B58/(1-$B58), 0)</f>
        <v>5</v>
      </c>
      <c r="E58" s="21">
        <f>ROUND('Operation Inventory (HVC)'!D56*$B58/(1-$B58), 0)</f>
        <v>0</v>
      </c>
      <c r="F58" s="21">
        <f>ROUND('Operation Inventory (HVC)'!E56*$B58/(1-$B58), 0)</f>
        <v>166</v>
      </c>
      <c r="G58" s="21">
        <f>ROUND('Operation Inventory (HVC)'!F56*$B58/(1-$B58), 0)</f>
        <v>0</v>
      </c>
      <c r="H58" s="21">
        <f>ROUND('Operation Inventory (HVC)'!G56*$B58/(1-$B58), 0)</f>
        <v>142</v>
      </c>
      <c r="I58" s="21">
        <f>ROUND('Operation Inventory (HVC)'!H56*$B58/(1-$B58), 0)</f>
        <v>24</v>
      </c>
      <c r="J58" s="21">
        <f>ROUND('Operation Inventory (HVC)'!I56*$B58/(1-$B58), 0)</f>
        <v>5</v>
      </c>
    </row>
    <row r="59" spans="1:10">
      <c r="A59" s="1" t="s">
        <v>46</v>
      </c>
      <c r="B59" s="39">
        <v>0.83</v>
      </c>
      <c r="C59" s="21">
        <f>ROUND('Operation Inventory (HVC)'!B57*$B59/(1-$B59), 0)</f>
        <v>93</v>
      </c>
      <c r="D59" s="21">
        <f>ROUND('Operation Inventory (HVC)'!C57*$B59/(1-$B59), 0)</f>
        <v>0</v>
      </c>
      <c r="E59" s="21">
        <f>ROUND('Operation Inventory (HVC)'!D57*$B59/(1-$B59), 0)</f>
        <v>0</v>
      </c>
      <c r="F59" s="21">
        <f>ROUND('Operation Inventory (HVC)'!E57*$B59/(1-$B59), 0)</f>
        <v>107</v>
      </c>
      <c r="G59" s="21">
        <f>ROUND('Operation Inventory (HVC)'!F57*$B59/(1-$B59), 0)</f>
        <v>0</v>
      </c>
      <c r="H59" s="21">
        <f>ROUND('Operation Inventory (HVC)'!G57*$B59/(1-$B59), 0)</f>
        <v>88</v>
      </c>
      <c r="I59" s="21">
        <f>ROUND('Operation Inventory (HVC)'!H57*$B59/(1-$B59), 0)</f>
        <v>29</v>
      </c>
      <c r="J59" s="21">
        <f>ROUND('Operation Inventory (HVC)'!I57*$B59/(1-$B59), 0)</f>
        <v>0</v>
      </c>
    </row>
    <row r="60" spans="1:10">
      <c r="A60" s="1" t="s">
        <v>210</v>
      </c>
      <c r="B60" s="39">
        <v>0.83</v>
      </c>
      <c r="C60" s="21">
        <f>ROUND('Operation Inventory (HVC)'!B58*$B60/(1-$B60), 0)</f>
        <v>381</v>
      </c>
      <c r="D60" s="21">
        <f>ROUND('Operation Inventory (HVC)'!C58*$B60/(1-$B60), 0)</f>
        <v>0</v>
      </c>
      <c r="E60" s="21">
        <f>ROUND('Operation Inventory (HVC)'!D58*$B60/(1-$B60), 0)</f>
        <v>0</v>
      </c>
      <c r="F60" s="21">
        <f>ROUND('Operation Inventory (HVC)'!E58*$B60/(1-$B60), 0)</f>
        <v>249</v>
      </c>
      <c r="G60" s="21">
        <f>ROUND('Operation Inventory (HVC)'!F58*$B60/(1-$B60), 0)</f>
        <v>0</v>
      </c>
      <c r="H60" s="21">
        <f>ROUND('Operation Inventory (HVC)'!G58*$B60/(1-$B60), 0)</f>
        <v>464</v>
      </c>
      <c r="I60" s="21">
        <f>ROUND('Operation Inventory (HVC)'!H58*$B60/(1-$B60), 0)</f>
        <v>5</v>
      </c>
      <c r="J60" s="21">
        <f>ROUND('Operation Inventory (HVC)'!I58*$B60/(1-$B60), 0)</f>
        <v>5</v>
      </c>
    </row>
    <row r="61" spans="1:10">
      <c r="A61" s="1" t="s">
        <v>211</v>
      </c>
      <c r="B61" s="39">
        <v>0.83</v>
      </c>
      <c r="C61" s="21">
        <f>ROUND('Operation Inventory (HVC)'!B59*$B61/(1-$B61), 0)</f>
        <v>332</v>
      </c>
      <c r="D61" s="21">
        <f>ROUND('Operation Inventory (HVC)'!C59*$B61/(1-$B61), 0)</f>
        <v>0</v>
      </c>
      <c r="E61" s="21">
        <f>ROUND('Operation Inventory (HVC)'!D59*$B61/(1-$B61), 0)</f>
        <v>0</v>
      </c>
      <c r="F61" s="21">
        <f>ROUND('Operation Inventory (HVC)'!E59*$B61/(1-$B61), 0)</f>
        <v>288</v>
      </c>
      <c r="G61" s="21">
        <f>ROUND('Operation Inventory (HVC)'!F59*$B61/(1-$B61), 0)</f>
        <v>0</v>
      </c>
      <c r="H61" s="21">
        <f>ROUND('Operation Inventory (HVC)'!G59*$B61/(1-$B61), 0)</f>
        <v>215</v>
      </c>
      <c r="I61" s="21">
        <f>ROUND('Operation Inventory (HVC)'!H59*$B61/(1-$B61), 0)</f>
        <v>5</v>
      </c>
      <c r="J61" s="21">
        <f>ROUND('Operation Inventory (HVC)'!I59*$B61/(1-$B61), 0)</f>
        <v>24</v>
      </c>
    </row>
    <row r="62" spans="1:10">
      <c r="A62" s="1" t="s">
        <v>47</v>
      </c>
      <c r="B62" s="39">
        <v>0.83</v>
      </c>
      <c r="C62" s="21">
        <f>ROUND('Operation Inventory (HVC)'!B60*$B62/(1-$B62), 0)</f>
        <v>234</v>
      </c>
      <c r="D62" s="21">
        <f>ROUND('Operation Inventory (HVC)'!C60*$B62/(1-$B62), 0)</f>
        <v>0</v>
      </c>
      <c r="E62" s="21">
        <f>ROUND('Operation Inventory (HVC)'!D60*$B62/(1-$B62), 0)</f>
        <v>0</v>
      </c>
      <c r="F62" s="21">
        <f>ROUND('Operation Inventory (HVC)'!E60*$B62/(1-$B62), 0)</f>
        <v>156</v>
      </c>
      <c r="G62" s="21">
        <f>ROUND('Operation Inventory (HVC)'!F60*$B62/(1-$B62), 0)</f>
        <v>0</v>
      </c>
      <c r="H62" s="21">
        <f>ROUND('Operation Inventory (HVC)'!G60*$B62/(1-$B62), 0)</f>
        <v>122</v>
      </c>
      <c r="I62" s="21">
        <f>ROUND('Operation Inventory (HVC)'!H60*$B62/(1-$B62), 0)</f>
        <v>0</v>
      </c>
      <c r="J62" s="21">
        <f>ROUND('Operation Inventory (HVC)'!I60*$B62/(1-$B62), 0)</f>
        <v>0</v>
      </c>
    </row>
    <row r="63" spans="1:10">
      <c r="A63" s="1" t="s">
        <v>55</v>
      </c>
      <c r="B63" s="39">
        <v>0.83</v>
      </c>
      <c r="C63" s="21">
        <f>ROUND('Operation Inventory (HVC)'!B61*$B63/(1-$B63), 0)</f>
        <v>239</v>
      </c>
      <c r="D63" s="21">
        <f>ROUND('Operation Inventory (HVC)'!C61*$B63/(1-$B63), 0)</f>
        <v>0</v>
      </c>
      <c r="E63" s="21">
        <f>ROUND('Operation Inventory (HVC)'!D61*$B63/(1-$B63), 0)</f>
        <v>0</v>
      </c>
      <c r="F63" s="21">
        <f>ROUND('Operation Inventory (HVC)'!E61*$B63/(1-$B63), 0)</f>
        <v>215</v>
      </c>
      <c r="G63" s="21">
        <f>ROUND('Operation Inventory (HVC)'!F61*$B63/(1-$B63), 0)</f>
        <v>0</v>
      </c>
      <c r="H63" s="21">
        <f>ROUND('Operation Inventory (HVC)'!G61*$B63/(1-$B63), 0)</f>
        <v>1025</v>
      </c>
      <c r="I63" s="21">
        <f>ROUND('Operation Inventory (HVC)'!H61*$B63/(1-$B63), 0)</f>
        <v>20</v>
      </c>
      <c r="J63" s="21">
        <f>ROUND('Operation Inventory (HVC)'!I61*$B63/(1-$B63), 0)</f>
        <v>117</v>
      </c>
    </row>
    <row r="64" spans="1:10">
      <c r="A64" s="1" t="s">
        <v>48</v>
      </c>
      <c r="B64" s="39">
        <v>0.83</v>
      </c>
      <c r="C64" s="21">
        <f>ROUND('Operation Inventory (HVC)'!B62*$B64/(1-$B64), 0)</f>
        <v>10</v>
      </c>
      <c r="D64" s="21">
        <f>ROUND('Operation Inventory (HVC)'!C62*$B64/(1-$B64), 0)</f>
        <v>0</v>
      </c>
      <c r="E64" s="21">
        <f>ROUND('Operation Inventory (HVC)'!D62*$B64/(1-$B64), 0)</f>
        <v>0</v>
      </c>
      <c r="F64" s="21">
        <f>ROUND('Operation Inventory (HVC)'!E62*$B64/(1-$B64), 0)</f>
        <v>186</v>
      </c>
      <c r="G64" s="21">
        <f>ROUND('Operation Inventory (HVC)'!F62*$B64/(1-$B64), 0)</f>
        <v>0</v>
      </c>
      <c r="H64" s="21">
        <f>ROUND('Operation Inventory (HVC)'!G62*$B64/(1-$B64), 0)</f>
        <v>34</v>
      </c>
      <c r="I64" s="21">
        <f>ROUND('Operation Inventory (HVC)'!H62*$B64/(1-$B64), 0)</f>
        <v>0</v>
      </c>
      <c r="J64" s="21">
        <f>ROUND('Operation Inventory (HVC)'!I62*$B64/(1-$B64), 0)</f>
        <v>0</v>
      </c>
    </row>
    <row r="65" spans="1:10">
      <c r="A65" s="1" t="s">
        <v>209</v>
      </c>
      <c r="B65" s="39">
        <v>0.83</v>
      </c>
      <c r="C65" s="21">
        <f>ROUND('Operation Inventory (HVC)'!B63*$B65/(1-$B65), 0)</f>
        <v>151</v>
      </c>
      <c r="D65" s="21">
        <f>ROUND('Operation Inventory (HVC)'!C63*$B65/(1-$B65), 0)</f>
        <v>0</v>
      </c>
      <c r="E65" s="21">
        <f>ROUND('Operation Inventory (HVC)'!D63*$B65/(1-$B65), 0)</f>
        <v>0</v>
      </c>
      <c r="F65" s="21">
        <f>ROUND('Operation Inventory (HVC)'!E63*$B65/(1-$B65), 0)</f>
        <v>317</v>
      </c>
      <c r="G65" s="21">
        <f>ROUND('Operation Inventory (HVC)'!F63*$B65/(1-$B65), 0)</f>
        <v>0</v>
      </c>
      <c r="H65" s="21">
        <f>ROUND('Operation Inventory (HVC)'!G63*$B65/(1-$B65), 0)</f>
        <v>430</v>
      </c>
      <c r="I65" s="21">
        <f>ROUND('Operation Inventory (HVC)'!H63*$B65/(1-$B65), 0)</f>
        <v>0</v>
      </c>
      <c r="J65" s="21">
        <f>ROUND('Operation Inventory (HVC)'!I63*$B65/(1-$B65), 0)</f>
        <v>10</v>
      </c>
    </row>
    <row r="66" spans="1:10">
      <c r="A66" s="1" t="s">
        <v>59</v>
      </c>
      <c r="B66" s="39">
        <v>0.83</v>
      </c>
      <c r="C66" s="21">
        <f>ROUND('Operation Inventory (HVC)'!B64*$B66/(1-$B66), 0)</f>
        <v>176</v>
      </c>
      <c r="D66" s="21">
        <f>ROUND('Operation Inventory (HVC)'!C64*$B66/(1-$B66), 0)</f>
        <v>0</v>
      </c>
      <c r="E66" s="21">
        <f>ROUND('Operation Inventory (HVC)'!D64*$B66/(1-$B66), 0)</f>
        <v>0</v>
      </c>
      <c r="F66" s="21">
        <f>ROUND('Operation Inventory (HVC)'!E64*$B66/(1-$B66), 0)</f>
        <v>54</v>
      </c>
      <c r="G66" s="21">
        <f>ROUND('Operation Inventory (HVC)'!F64*$B66/(1-$B66), 0)</f>
        <v>0</v>
      </c>
      <c r="H66" s="21">
        <f>ROUND('Operation Inventory (HVC)'!G64*$B66/(1-$B66), 0)</f>
        <v>435</v>
      </c>
      <c r="I66" s="21">
        <f>ROUND('Operation Inventory (HVC)'!H64*$B66/(1-$B66), 0)</f>
        <v>5</v>
      </c>
      <c r="J66" s="21">
        <f>ROUND('Operation Inventory (HVC)'!I64*$B66/(1-$B66), 0)</f>
        <v>5</v>
      </c>
    </row>
    <row r="67" spans="1:10">
      <c r="A67" s="1" t="s">
        <v>81</v>
      </c>
      <c r="B67" s="39">
        <v>0.83</v>
      </c>
      <c r="C67" s="21">
        <f>ROUND('Operation Inventory (HVC)'!B65*$B67/(1-$B67), 0)</f>
        <v>112</v>
      </c>
      <c r="D67" s="21">
        <f>ROUND('Operation Inventory (HVC)'!C65*$B67/(1-$B67), 0)</f>
        <v>0</v>
      </c>
      <c r="E67" s="21">
        <f>ROUND('Operation Inventory (HVC)'!D65*$B67/(1-$B67), 0)</f>
        <v>0</v>
      </c>
      <c r="F67" s="21">
        <f>ROUND('Operation Inventory (HVC)'!E65*$B67/(1-$B67), 0)</f>
        <v>786</v>
      </c>
      <c r="G67" s="21">
        <f>ROUND('Operation Inventory (HVC)'!F65*$B67/(1-$B67), 0)</f>
        <v>0</v>
      </c>
      <c r="H67" s="21">
        <f>ROUND('Operation Inventory (HVC)'!G65*$B67/(1-$B67), 0)</f>
        <v>605</v>
      </c>
      <c r="I67" s="21">
        <f>ROUND('Operation Inventory (HVC)'!H65*$B67/(1-$B67), 0)</f>
        <v>0</v>
      </c>
      <c r="J67" s="21">
        <f>ROUND('Operation Inventory (HVC)'!I65*$B67/(1-$B67), 0)</f>
        <v>0</v>
      </c>
    </row>
    <row r="68" spans="1:10">
      <c r="A68" s="1" t="s">
        <v>207</v>
      </c>
      <c r="B68" s="39">
        <v>0.83</v>
      </c>
      <c r="C68" s="21">
        <f>ROUND('Operation Inventory (HVC)'!B66*$B68/(1-$B68), 0)</f>
        <v>39</v>
      </c>
      <c r="D68" s="21">
        <f>ROUND('Operation Inventory (HVC)'!C66*$B68/(1-$B68), 0)</f>
        <v>0</v>
      </c>
      <c r="E68" s="21">
        <f>ROUND('Operation Inventory (HVC)'!D66*$B68/(1-$B68), 0)</f>
        <v>0</v>
      </c>
      <c r="F68" s="21">
        <f>ROUND('Operation Inventory (HVC)'!E66*$B68/(1-$B68), 0)</f>
        <v>205</v>
      </c>
      <c r="G68" s="21">
        <f>ROUND('Operation Inventory (HVC)'!F66*$B68/(1-$B68), 0)</f>
        <v>0</v>
      </c>
      <c r="H68" s="21">
        <f>ROUND('Operation Inventory (HVC)'!G66*$B68/(1-$B68), 0)</f>
        <v>137</v>
      </c>
      <c r="I68" s="21">
        <f>ROUND('Operation Inventory (HVC)'!H66*$B68/(1-$B68), 0)</f>
        <v>0</v>
      </c>
      <c r="J68" s="21">
        <f>ROUND('Operation Inventory (HVC)'!I66*$B68/(1-$B68), 0)</f>
        <v>29</v>
      </c>
    </row>
    <row r="69" spans="1:10">
      <c r="A69" s="1" t="s">
        <v>208</v>
      </c>
      <c r="B69" s="39">
        <v>0.83</v>
      </c>
      <c r="C69" s="21">
        <f>ROUND('Operation Inventory (HVC)'!B67*$B69/(1-$B69), 0)</f>
        <v>78</v>
      </c>
      <c r="D69" s="21">
        <f>ROUND('Operation Inventory (HVC)'!C67*$B69/(1-$B69), 0)</f>
        <v>0</v>
      </c>
      <c r="E69" s="21">
        <f>ROUND('Operation Inventory (HVC)'!D67*$B69/(1-$B69), 0)</f>
        <v>0</v>
      </c>
      <c r="F69" s="21">
        <f>ROUND('Operation Inventory (HVC)'!E67*$B69/(1-$B69), 0)</f>
        <v>483</v>
      </c>
      <c r="G69" s="21">
        <f>ROUND('Operation Inventory (HVC)'!F67*$B69/(1-$B69), 0)</f>
        <v>0</v>
      </c>
      <c r="H69" s="21">
        <f>ROUND('Operation Inventory (HVC)'!G67*$B69/(1-$B69), 0)</f>
        <v>425</v>
      </c>
      <c r="I69" s="21">
        <f>ROUND('Operation Inventory (HVC)'!H67*$B69/(1-$B69), 0)</f>
        <v>5</v>
      </c>
      <c r="J69" s="21">
        <f>ROUND('Operation Inventory (HVC)'!I67*$B69/(1-$B69), 0)</f>
        <v>49</v>
      </c>
    </row>
    <row r="70" spans="1:10">
      <c r="A70" s="1" t="s">
        <v>83</v>
      </c>
      <c r="B70" s="39">
        <v>0.83</v>
      </c>
      <c r="C70" s="21">
        <f>ROUND('Operation Inventory (HVC)'!B68*$B70/(1-$B70), 0)</f>
        <v>5</v>
      </c>
      <c r="D70" s="21">
        <f>ROUND('Operation Inventory (HVC)'!C68*$B70/(1-$B70), 0)</f>
        <v>0</v>
      </c>
      <c r="E70" s="21">
        <f>ROUND('Operation Inventory (HVC)'!D68*$B70/(1-$B70), 0)</f>
        <v>0</v>
      </c>
      <c r="F70" s="21">
        <f>ROUND('Operation Inventory (HVC)'!E68*$B70/(1-$B70), 0)</f>
        <v>142</v>
      </c>
      <c r="G70" s="21">
        <f>ROUND('Operation Inventory (HVC)'!F68*$B70/(1-$B70), 0)</f>
        <v>0</v>
      </c>
      <c r="H70" s="21">
        <f>ROUND('Operation Inventory (HVC)'!G68*$B70/(1-$B70), 0)</f>
        <v>73</v>
      </c>
      <c r="I70" s="21">
        <f>ROUND('Operation Inventory (HVC)'!H68*$B70/(1-$B70), 0)</f>
        <v>0</v>
      </c>
      <c r="J70" s="21">
        <f>ROUND('Operation Inventory (HVC)'!I68*$B70/(1-$B70), 0)</f>
        <v>34</v>
      </c>
    </row>
    <row r="71" spans="1:10">
      <c r="A71" s="1" t="s">
        <v>96</v>
      </c>
      <c r="B71" s="39">
        <v>0.83</v>
      </c>
      <c r="C71" s="21">
        <f>ROUND('Operation Inventory (HVC)'!B69*$B71/(1-$B71), 0)</f>
        <v>10</v>
      </c>
      <c r="D71" s="21">
        <f>ROUND('Operation Inventory (HVC)'!C69*$B71/(1-$B71), 0)</f>
        <v>0</v>
      </c>
      <c r="E71" s="21">
        <f>ROUND('Operation Inventory (HVC)'!D69*$B71/(1-$B71), 0)</f>
        <v>0</v>
      </c>
      <c r="F71" s="21">
        <f>ROUND('Operation Inventory (HVC)'!E69*$B71/(1-$B71), 0)</f>
        <v>181</v>
      </c>
      <c r="G71" s="21">
        <f>ROUND('Operation Inventory (HVC)'!F69*$B71/(1-$B71), 0)</f>
        <v>0</v>
      </c>
      <c r="H71" s="21">
        <f>ROUND('Operation Inventory (HVC)'!G69*$B71/(1-$B71), 0)</f>
        <v>200</v>
      </c>
      <c r="I71" s="21">
        <f>ROUND('Operation Inventory (HVC)'!H69*$B71/(1-$B71), 0)</f>
        <v>0</v>
      </c>
      <c r="J71" s="21">
        <f>ROUND('Operation Inventory (HVC)'!I69*$B71/(1-$B71), 0)</f>
        <v>20</v>
      </c>
    </row>
    <row r="72" spans="1:10">
      <c r="A72" s="1" t="s">
        <v>212</v>
      </c>
      <c r="B72" s="39">
        <v>0.83</v>
      </c>
      <c r="C72" s="21">
        <f>ROUND('Operation Inventory (HVC)'!B70*$B72/(1-$B72), 0)</f>
        <v>24</v>
      </c>
      <c r="D72" s="21">
        <f>ROUND('Operation Inventory (HVC)'!C70*$B72/(1-$B72), 0)</f>
        <v>0</v>
      </c>
      <c r="E72" s="21">
        <f>ROUND('Operation Inventory (HVC)'!D70*$B72/(1-$B72), 0)</f>
        <v>0</v>
      </c>
      <c r="F72" s="21">
        <f>ROUND('Operation Inventory (HVC)'!E70*$B72/(1-$B72), 0)</f>
        <v>767</v>
      </c>
      <c r="G72" s="21">
        <f>ROUND('Operation Inventory (HVC)'!F70*$B72/(1-$B72), 0)</f>
        <v>0</v>
      </c>
      <c r="H72" s="21">
        <f>ROUND('Operation Inventory (HVC)'!G70*$B72/(1-$B72), 0)</f>
        <v>376</v>
      </c>
      <c r="I72" s="21">
        <f>ROUND('Operation Inventory (HVC)'!H70*$B72/(1-$B72), 0)</f>
        <v>0</v>
      </c>
      <c r="J72" s="21">
        <f>ROUND('Operation Inventory (HVC)'!I70*$B72/(1-$B72), 0)</f>
        <v>34</v>
      </c>
    </row>
    <row r="73" spans="1:10">
      <c r="A73" s="1" t="s">
        <v>49</v>
      </c>
      <c r="B73" s="39">
        <v>0.83</v>
      </c>
      <c r="C73" s="21">
        <f>ROUND('Operation Inventory (HVC)'!B71*$B73/(1-$B73), 0)</f>
        <v>83</v>
      </c>
      <c r="D73" s="21">
        <f>ROUND('Operation Inventory (HVC)'!C71*$B73/(1-$B73), 0)</f>
        <v>10</v>
      </c>
      <c r="E73" s="21">
        <f>ROUND('Operation Inventory (HVC)'!D71*$B73/(1-$B73), 0)</f>
        <v>0</v>
      </c>
      <c r="F73" s="21">
        <f>ROUND('Operation Inventory (HVC)'!E71*$B73/(1-$B73), 0)</f>
        <v>1055</v>
      </c>
      <c r="G73" s="21">
        <f>ROUND('Operation Inventory (HVC)'!F71*$B73/(1-$B73), 0)</f>
        <v>0</v>
      </c>
      <c r="H73" s="21">
        <f>ROUND('Operation Inventory (HVC)'!G71*$B73/(1-$B73), 0)</f>
        <v>151</v>
      </c>
      <c r="I73" s="21">
        <f>ROUND('Operation Inventory (HVC)'!H71*$B73/(1-$B73), 0)</f>
        <v>54</v>
      </c>
      <c r="J73" s="21">
        <f>ROUND('Operation Inventory (HVC)'!I71*$B73/(1-$B73), 0)</f>
        <v>15</v>
      </c>
    </row>
    <row r="74" spans="1:10">
      <c r="A74" s="1" t="s">
        <v>50</v>
      </c>
      <c r="B74" s="39">
        <v>0.83</v>
      </c>
      <c r="C74" s="21">
        <f>ROUND('Operation Inventory (HVC)'!B72*$B74/(1-$B74), 0)</f>
        <v>288</v>
      </c>
      <c r="D74" s="21">
        <f>ROUND('Operation Inventory (HVC)'!C72*$B74/(1-$B74), 0)</f>
        <v>0</v>
      </c>
      <c r="E74" s="21">
        <f>ROUND('Operation Inventory (HVC)'!D72*$B74/(1-$B74), 0)</f>
        <v>0</v>
      </c>
      <c r="F74" s="21">
        <f>ROUND('Operation Inventory (HVC)'!E72*$B74/(1-$B74), 0)</f>
        <v>1367</v>
      </c>
      <c r="G74" s="21">
        <f>ROUND('Operation Inventory (HVC)'!F72*$B74/(1-$B74), 0)</f>
        <v>0</v>
      </c>
      <c r="H74" s="21">
        <f>ROUND('Operation Inventory (HVC)'!G72*$B74/(1-$B74), 0)</f>
        <v>366</v>
      </c>
      <c r="I74" s="21">
        <f>ROUND('Operation Inventory (HVC)'!H72*$B74/(1-$B74), 0)</f>
        <v>156</v>
      </c>
      <c r="J74" s="21">
        <f>ROUND('Operation Inventory (HVC)'!I72*$B74/(1-$B74), 0)</f>
        <v>29</v>
      </c>
    </row>
    <row r="75" spans="1:10">
      <c r="A75" s="1" t="s">
        <v>51</v>
      </c>
      <c r="B75" s="39">
        <v>0.83</v>
      </c>
      <c r="C75" s="21">
        <f>ROUND('Operation Inventory (HVC)'!B73*$B75/(1-$B75), 0)</f>
        <v>347</v>
      </c>
      <c r="D75" s="21">
        <f>ROUND('Operation Inventory (HVC)'!C73*$B75/(1-$B75), 0)</f>
        <v>10</v>
      </c>
      <c r="E75" s="21">
        <f>ROUND('Operation Inventory (HVC)'!D73*$B75/(1-$B75), 0)</f>
        <v>0</v>
      </c>
      <c r="F75" s="21">
        <f>ROUND('Operation Inventory (HVC)'!E73*$B75/(1-$B75), 0)</f>
        <v>1245</v>
      </c>
      <c r="G75" s="21">
        <f>ROUND('Operation Inventory (HVC)'!F73*$B75/(1-$B75), 0)</f>
        <v>0</v>
      </c>
      <c r="H75" s="21">
        <f>ROUND('Operation Inventory (HVC)'!G73*$B75/(1-$B75), 0)</f>
        <v>312</v>
      </c>
      <c r="I75" s="21">
        <f>ROUND('Operation Inventory (HVC)'!H73*$B75/(1-$B75), 0)</f>
        <v>200</v>
      </c>
      <c r="J75" s="21">
        <f>ROUND('Operation Inventory (HVC)'!I73*$B75/(1-$B75), 0)</f>
        <v>29</v>
      </c>
    </row>
    <row r="76" spans="1:10">
      <c r="A76" s="1" t="s">
        <v>213</v>
      </c>
      <c r="B76" s="39">
        <v>0.83</v>
      </c>
      <c r="C76" s="21">
        <f>ROUND('Operation Inventory (HVC)'!B74*$B76/(1-$B76), 0)</f>
        <v>996</v>
      </c>
      <c r="D76" s="21">
        <f>ROUND('Operation Inventory (HVC)'!C74*$B76/(1-$B76), 0)</f>
        <v>0</v>
      </c>
      <c r="E76" s="21">
        <f>ROUND('Operation Inventory (HVC)'!D74*$B76/(1-$B76), 0)</f>
        <v>0</v>
      </c>
      <c r="F76" s="21">
        <f>ROUND('Operation Inventory (HVC)'!E74*$B76/(1-$B76), 0)</f>
        <v>1099</v>
      </c>
      <c r="G76" s="21">
        <f>ROUND('Operation Inventory (HVC)'!F74*$B76/(1-$B76), 0)</f>
        <v>0</v>
      </c>
      <c r="H76" s="21">
        <f>ROUND('Operation Inventory (HVC)'!G74*$B76/(1-$B76), 0)</f>
        <v>552</v>
      </c>
      <c r="I76" s="21">
        <f>ROUND('Operation Inventory (HVC)'!H74*$B76/(1-$B76), 0)</f>
        <v>186</v>
      </c>
      <c r="J76" s="21">
        <f>ROUND('Operation Inventory (HVC)'!I74*$B76/(1-$B76), 0)</f>
        <v>44</v>
      </c>
    </row>
    <row r="77" spans="1:10">
      <c r="A77" s="1" t="s">
        <v>145</v>
      </c>
      <c r="B77" s="39">
        <v>0.83</v>
      </c>
      <c r="C77" s="21">
        <f>ROUND('Operation Inventory (HVC)'!B75*$B77/(1-$B77), 0)</f>
        <v>361</v>
      </c>
      <c r="D77" s="21">
        <f>ROUND('Operation Inventory (HVC)'!C75*$B77/(1-$B77), 0)</f>
        <v>15</v>
      </c>
      <c r="E77" s="21">
        <f>ROUND('Operation Inventory (HVC)'!D75*$B77/(1-$B77), 0)</f>
        <v>0</v>
      </c>
      <c r="F77" s="21">
        <f>ROUND('Operation Inventory (HVC)'!E75*$B77/(1-$B77), 0)</f>
        <v>1489</v>
      </c>
      <c r="G77" s="21">
        <f>ROUND('Operation Inventory (HVC)'!F75*$B77/(1-$B77), 0)</f>
        <v>0</v>
      </c>
      <c r="H77" s="21">
        <f>ROUND('Operation Inventory (HVC)'!G75*$B77/(1-$B77), 0)</f>
        <v>620</v>
      </c>
      <c r="I77" s="21">
        <f>ROUND('Operation Inventory (HVC)'!H75*$B77/(1-$B77), 0)</f>
        <v>83</v>
      </c>
      <c r="J77" s="21">
        <f>ROUND('Operation Inventory (HVC)'!I75*$B77/(1-$B77), 0)</f>
        <v>15</v>
      </c>
    </row>
    <row r="78" spans="1:10">
      <c r="A78" s="1" t="s">
        <v>204</v>
      </c>
      <c r="B78" s="39">
        <v>0.83</v>
      </c>
      <c r="C78" s="21">
        <f>ROUND('Operation Inventory (HVC)'!B76*$B78/(1-$B78), 0)</f>
        <v>425</v>
      </c>
      <c r="D78" s="21">
        <f>ROUND('Operation Inventory (HVC)'!C76*$B78/(1-$B78), 0)</f>
        <v>10</v>
      </c>
      <c r="E78" s="21">
        <f>ROUND('Operation Inventory (HVC)'!D76*$B78/(1-$B78), 0)</f>
        <v>0</v>
      </c>
      <c r="F78" s="21">
        <f>ROUND('Operation Inventory (HVC)'!E76*$B78/(1-$B78), 0)</f>
        <v>1592</v>
      </c>
      <c r="G78" s="21">
        <f>ROUND('Operation Inventory (HVC)'!F76*$B78/(1-$B78), 0)</f>
        <v>0</v>
      </c>
      <c r="H78" s="21">
        <f>ROUND('Operation Inventory (HVC)'!G76*$B78/(1-$B78), 0)</f>
        <v>674</v>
      </c>
      <c r="I78" s="21">
        <f>ROUND('Operation Inventory (HVC)'!H76*$B78/(1-$B78), 0)</f>
        <v>103</v>
      </c>
      <c r="J78" s="21">
        <f>ROUND('Operation Inventory (HVC)'!I76*$B78/(1-$B78), 0)</f>
        <v>39</v>
      </c>
    </row>
    <row r="79" spans="1:10">
      <c r="A79" s="1" t="s">
        <v>52</v>
      </c>
      <c r="B79" s="39">
        <v>0.83</v>
      </c>
      <c r="C79" s="21">
        <f>ROUND('Operation Inventory (HVC)'!B77*$B79/(1-$B79), 0)</f>
        <v>127</v>
      </c>
      <c r="D79" s="21">
        <f>ROUND('Operation Inventory (HVC)'!C77*$B79/(1-$B79), 0)</f>
        <v>0</v>
      </c>
      <c r="E79" s="21">
        <f>ROUND('Operation Inventory (HVC)'!D77*$B79/(1-$B79), 0)</f>
        <v>0</v>
      </c>
      <c r="F79" s="21">
        <f>ROUND('Operation Inventory (HVC)'!E77*$B79/(1-$B79), 0)</f>
        <v>478</v>
      </c>
      <c r="G79" s="21">
        <f>ROUND('Operation Inventory (HVC)'!F77*$B79/(1-$B79), 0)</f>
        <v>0</v>
      </c>
      <c r="H79" s="21">
        <f>ROUND('Operation Inventory (HVC)'!G77*$B79/(1-$B79), 0)</f>
        <v>98</v>
      </c>
      <c r="I79" s="21">
        <f>ROUND('Operation Inventory (HVC)'!H77*$B79/(1-$B79), 0)</f>
        <v>10</v>
      </c>
      <c r="J79" s="21">
        <f>ROUND('Operation Inventory (HVC)'!I77*$B79/(1-$B79), 0)</f>
        <v>0</v>
      </c>
    </row>
    <row r="80" spans="1:10">
      <c r="A80" s="1" t="s">
        <v>205</v>
      </c>
      <c r="B80" s="39">
        <v>0.83</v>
      </c>
      <c r="C80" s="21">
        <f>ROUND('Operation Inventory (HVC)'!B78*$B80/(1-$B80), 0)</f>
        <v>308</v>
      </c>
      <c r="D80" s="21">
        <f>ROUND('Operation Inventory (HVC)'!C78*$B80/(1-$B80), 0)</f>
        <v>10</v>
      </c>
      <c r="E80" s="21">
        <f>ROUND('Operation Inventory (HVC)'!D78*$B80/(1-$B80), 0)</f>
        <v>0</v>
      </c>
      <c r="F80" s="21">
        <f>ROUND('Operation Inventory (HVC)'!E78*$B80/(1-$B80), 0)</f>
        <v>1079</v>
      </c>
      <c r="G80" s="21">
        <f>ROUND('Operation Inventory (HVC)'!F78*$B80/(1-$B80), 0)</f>
        <v>0</v>
      </c>
      <c r="H80" s="21">
        <f>ROUND('Operation Inventory (HVC)'!G78*$B80/(1-$B80), 0)</f>
        <v>176</v>
      </c>
      <c r="I80" s="21">
        <f>ROUND('Operation Inventory (HVC)'!H78*$B80/(1-$B80), 0)</f>
        <v>5</v>
      </c>
      <c r="J80" s="21">
        <f>ROUND('Operation Inventory (HVC)'!I78*$B80/(1-$B80), 0)</f>
        <v>0</v>
      </c>
    </row>
    <row r="81" spans="1:10">
      <c r="A81" s="1" t="s">
        <v>206</v>
      </c>
      <c r="B81" s="39">
        <v>0.83</v>
      </c>
      <c r="C81" s="21">
        <f>ROUND('Operation Inventory (HVC)'!B79*$B81/(1-$B81), 0)</f>
        <v>342</v>
      </c>
      <c r="D81" s="21">
        <f>ROUND('Operation Inventory (HVC)'!C79*$B81/(1-$B81), 0)</f>
        <v>15</v>
      </c>
      <c r="E81" s="21">
        <f>ROUND('Operation Inventory (HVC)'!D79*$B81/(1-$B81), 0)</f>
        <v>0</v>
      </c>
      <c r="F81" s="21">
        <f>ROUND('Operation Inventory (HVC)'!E79*$B81/(1-$B81), 0)</f>
        <v>767</v>
      </c>
      <c r="G81" s="21">
        <f>ROUND('Operation Inventory (HVC)'!F79*$B81/(1-$B81), 0)</f>
        <v>0</v>
      </c>
      <c r="H81" s="21">
        <f>ROUND('Operation Inventory (HVC)'!G79*$B81/(1-$B81), 0)</f>
        <v>552</v>
      </c>
      <c r="I81" s="21">
        <f>ROUND('Operation Inventory (HVC)'!H79*$B81/(1-$B81), 0)</f>
        <v>122</v>
      </c>
      <c r="J81" s="21">
        <f>ROUND('Operation Inventory (HVC)'!I79*$B81/(1-$B81), 0)</f>
        <v>34</v>
      </c>
    </row>
    <row r="82" spans="1:10">
      <c r="A82" s="1" t="s">
        <v>160</v>
      </c>
      <c r="B82" s="39">
        <v>0.83</v>
      </c>
      <c r="C82" s="21">
        <f>ROUND('Operation Inventory (HVC)'!B80*$B82/(1-$B82), 0)</f>
        <v>5</v>
      </c>
      <c r="D82" s="21">
        <f>ROUND('Operation Inventory (HVC)'!C80*$B82/(1-$B82), 0)</f>
        <v>0</v>
      </c>
      <c r="E82" s="21">
        <f>ROUND('Operation Inventory (HVC)'!D80*$B82/(1-$B82), 0)</f>
        <v>0</v>
      </c>
      <c r="F82" s="21">
        <f>ROUND('Operation Inventory (HVC)'!E80*$B82/(1-$B82), 0)</f>
        <v>10</v>
      </c>
      <c r="G82" s="21">
        <f>ROUND('Operation Inventory (HVC)'!F80*$B82/(1-$B82), 0)</f>
        <v>0</v>
      </c>
      <c r="H82" s="21">
        <f>ROUND('Operation Inventory (HVC)'!G80*$B82/(1-$B82), 0)</f>
        <v>20</v>
      </c>
      <c r="I82" s="21">
        <f>ROUND('Operation Inventory (HVC)'!H80*$B82/(1-$B82), 0)</f>
        <v>0</v>
      </c>
      <c r="J82" s="21">
        <f>ROUND('Operation Inventory (HVC)'!I80*$B82/(1-$B82), 0)</f>
        <v>0</v>
      </c>
    </row>
    <row r="83" spans="1:10">
      <c r="A83" s="1" t="s">
        <v>203</v>
      </c>
      <c r="B83" s="39">
        <v>0.83</v>
      </c>
      <c r="C83" s="21">
        <f>ROUND('Operation Inventory (HVC)'!B81*$B83/(1-$B83), 0)</f>
        <v>0</v>
      </c>
      <c r="D83" s="21">
        <f>ROUND('Operation Inventory (HVC)'!C81*$B83/(1-$B83), 0)</f>
        <v>0</v>
      </c>
      <c r="E83" s="21">
        <f>ROUND('Operation Inventory (HVC)'!D81*$B83/(1-$B83), 0)</f>
        <v>0</v>
      </c>
      <c r="F83" s="21">
        <f>ROUND('Operation Inventory (HVC)'!E81*$B83/(1-$B83), 0)</f>
        <v>0</v>
      </c>
      <c r="G83" s="21">
        <f>ROUND('Operation Inventory (HVC)'!F81*$B83/(1-$B83), 0)</f>
        <v>0</v>
      </c>
      <c r="H83" s="21">
        <f>ROUND('Operation Inventory (HVC)'!G81*$B83/(1-$B83), 0)</f>
        <v>5</v>
      </c>
      <c r="I83" s="21">
        <f>ROUND('Operation Inventory (HVC)'!H81*$B83/(1-$B83), 0)</f>
        <v>0</v>
      </c>
      <c r="J83" s="21">
        <f>ROUND('Operation Inventory (HVC)'!I81*$B83/(1-$B83), 0)</f>
        <v>0</v>
      </c>
    </row>
    <row r="84" spans="1:10">
      <c r="A84" s="1" t="s">
        <v>53</v>
      </c>
      <c r="B84" s="39">
        <v>0.83</v>
      </c>
      <c r="C84" s="21">
        <f>ROUND('Operation Inventory (HVC)'!B82*$B84/(1-$B84), 0)</f>
        <v>5</v>
      </c>
      <c r="D84" s="21">
        <f>ROUND('Operation Inventory (HVC)'!C82*$B84/(1-$B84), 0)</f>
        <v>0</v>
      </c>
      <c r="E84" s="21">
        <f>ROUND('Operation Inventory (HVC)'!D82*$B84/(1-$B84), 0)</f>
        <v>0</v>
      </c>
      <c r="F84" s="21">
        <f>ROUND('Operation Inventory (HVC)'!E82*$B84/(1-$B84), 0)</f>
        <v>0</v>
      </c>
      <c r="G84" s="21">
        <f>ROUND('Operation Inventory (HVC)'!F82*$B84/(1-$B84), 0)</f>
        <v>0</v>
      </c>
      <c r="H84" s="21">
        <f>ROUND('Operation Inventory (HVC)'!G82*$B84/(1-$B84), 0)</f>
        <v>10</v>
      </c>
      <c r="I84" s="21">
        <f>ROUND('Operation Inventory (HVC)'!H82*$B84/(1-$B84), 0)</f>
        <v>0</v>
      </c>
      <c r="J84" s="21">
        <f>ROUND('Operation Inventory (HVC)'!I82*$B84/(1-$B84), 0)</f>
        <v>0</v>
      </c>
    </row>
    <row r="85" spans="1:10">
      <c r="A85" t="s">
        <v>9</v>
      </c>
      <c r="C85" s="12">
        <f>SUM(C4:C84)</f>
        <v>23187</v>
      </c>
      <c r="D85" s="12">
        <f t="shared" ref="D85:J85" si="0">SUM(D4:D84)</f>
        <v>325</v>
      </c>
      <c r="E85" s="12">
        <f t="shared" si="0"/>
        <v>5</v>
      </c>
      <c r="F85" s="12">
        <f t="shared" si="0"/>
        <v>49320</v>
      </c>
      <c r="G85" s="12">
        <f t="shared" si="0"/>
        <v>15</v>
      </c>
      <c r="H85" s="12">
        <f t="shared" si="0"/>
        <v>26185</v>
      </c>
      <c r="I85" s="12">
        <f t="shared" si="0"/>
        <v>2625</v>
      </c>
      <c r="J85" s="12">
        <f t="shared" si="0"/>
        <v>993</v>
      </c>
    </row>
  </sheetData>
  <mergeCells count="2">
    <mergeCell ref="B2:B3"/>
    <mergeCell ref="C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83"/>
  <sheetViews>
    <sheetView workbookViewId="0">
      <selection activeCell="I5" sqref="I5"/>
    </sheetView>
  </sheetViews>
  <sheetFormatPr defaultColWidth="20.77734375" defaultRowHeight="14.4"/>
  <cols>
    <col min="2" max="4" width="20.77734375" style="31"/>
    <col min="5" max="6" width="20.77734375" style="32"/>
    <col min="7" max="7" width="20.77734375" style="31"/>
    <col min="8" max="9" width="20.77734375" style="32"/>
    <col min="10" max="10" width="20.77734375" style="31"/>
    <col min="11" max="11" width="20.77734375" style="26"/>
    <col min="12" max="23" width="20.77734375" style="31"/>
    <col min="24" max="24" width="20.77734375" style="32"/>
  </cols>
  <sheetData>
    <row r="1" spans="1:24" s="9" customFormat="1" ht="28.8">
      <c r="A1" s="16"/>
      <c r="B1" s="16" t="s">
        <v>6</v>
      </c>
      <c r="C1" s="16" t="s">
        <v>5</v>
      </c>
      <c r="D1" s="16" t="s">
        <v>7</v>
      </c>
      <c r="E1" s="16" t="s">
        <v>1</v>
      </c>
      <c r="F1" s="16" t="s">
        <v>3</v>
      </c>
      <c r="G1" s="16" t="s">
        <v>8</v>
      </c>
      <c r="H1" s="16" t="s">
        <v>2</v>
      </c>
      <c r="I1" s="16" t="s">
        <v>231</v>
      </c>
      <c r="J1" s="14"/>
      <c r="K1" s="593" t="s">
        <v>253</v>
      </c>
      <c r="L1" s="635" t="s">
        <v>238</v>
      </c>
      <c r="M1" s="635" t="s">
        <v>239</v>
      </c>
      <c r="N1" s="635" t="s">
        <v>240</v>
      </c>
      <c r="O1" s="635" t="s">
        <v>241</v>
      </c>
      <c r="P1" s="635" t="s">
        <v>236</v>
      </c>
      <c r="Q1" s="635" t="s">
        <v>237</v>
      </c>
      <c r="R1" s="635" t="s">
        <v>242</v>
      </c>
      <c r="S1" s="635" t="s">
        <v>243</v>
      </c>
      <c r="T1" s="635" t="s">
        <v>244</v>
      </c>
      <c r="U1" s="635" t="s">
        <v>245</v>
      </c>
      <c r="V1" s="635" t="s">
        <v>246</v>
      </c>
      <c r="W1" s="635" t="s">
        <v>247</v>
      </c>
      <c r="X1" s="593" t="s">
        <v>254</v>
      </c>
    </row>
    <row r="2" spans="1:24" s="9" customFormat="1" ht="43.2">
      <c r="A2" s="16" t="s">
        <v>249</v>
      </c>
      <c r="B2" s="16">
        <f>'Operation Inventory (HVC)'!B2</f>
        <v>60</v>
      </c>
      <c r="C2" s="16">
        <f>'Operation Inventory (HVC)'!C2</f>
        <v>150</v>
      </c>
      <c r="D2" s="16">
        <f>'Operation Inventory (HVC)'!D2</f>
        <v>105.60000000000001</v>
      </c>
      <c r="E2" s="16">
        <f>'Operation Inventory (HVC)'!E2</f>
        <v>64</v>
      </c>
      <c r="F2" s="16">
        <f>'Operation Inventory (HVC)'!F2</f>
        <v>900</v>
      </c>
      <c r="G2" s="16">
        <f>'Operation Inventory (HVC)'!G2</f>
        <v>135</v>
      </c>
      <c r="H2" s="16">
        <f>'Operation Inventory (HVC)'!H2</f>
        <v>2160</v>
      </c>
      <c r="I2" s="16">
        <f>'Operation Inventory (HVC)'!I2</f>
        <v>360</v>
      </c>
      <c r="J2" s="14"/>
      <c r="K2" s="593"/>
      <c r="L2" s="636"/>
      <c r="M2" s="636"/>
      <c r="N2" s="636"/>
      <c r="O2" s="636"/>
      <c r="P2" s="636"/>
      <c r="Q2" s="636"/>
      <c r="R2" s="636"/>
      <c r="S2" s="636"/>
      <c r="T2" s="636"/>
      <c r="U2" s="636"/>
      <c r="V2" s="636"/>
      <c r="W2" s="636"/>
      <c r="X2" s="593"/>
    </row>
    <row r="3" spans="1:24" s="9" customFormat="1" ht="28.8">
      <c r="A3" s="16" t="s">
        <v>253</v>
      </c>
      <c r="B3" s="16" t="s">
        <v>224</v>
      </c>
      <c r="C3" s="16" t="s">
        <v>216</v>
      </c>
      <c r="D3" s="16" t="s">
        <v>225</v>
      </c>
      <c r="E3" s="16" t="s">
        <v>226</v>
      </c>
      <c r="F3" s="16" t="s">
        <v>227</v>
      </c>
      <c r="G3" s="16" t="s">
        <v>228</v>
      </c>
      <c r="H3" s="16" t="s">
        <v>229</v>
      </c>
      <c r="I3" s="16" t="s">
        <v>230</v>
      </c>
      <c r="J3" s="14"/>
      <c r="K3" s="593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593"/>
    </row>
    <row r="4" spans="1:24">
      <c r="A4" s="5" t="s">
        <v>88</v>
      </c>
      <c r="B4" s="42">
        <f>B$2*'Total Inventory (HVC)'!C4</f>
        <v>8220</v>
      </c>
      <c r="C4" s="42">
        <f>C$2*'Total Inventory (HVC)'!D4</f>
        <v>0</v>
      </c>
      <c r="D4" s="42">
        <f>D$2*'Total Inventory (HVC)'!E4</f>
        <v>0</v>
      </c>
      <c r="E4" s="42">
        <f>E$2*'Total Inventory (HVC)'!F4</f>
        <v>24384</v>
      </c>
      <c r="F4" s="42">
        <f>F$2*'Total Inventory (HVC)'!G4</f>
        <v>0</v>
      </c>
      <c r="G4" s="42">
        <f>G$2*'Total Inventory (HVC)'!H4</f>
        <v>17145</v>
      </c>
      <c r="H4" s="42">
        <f>H$2*'Total Inventory (HVC)'!I4</f>
        <v>0</v>
      </c>
      <c r="I4" s="42">
        <f>I$2*'Total Inventory (HVC)'!J4</f>
        <v>5400</v>
      </c>
      <c r="K4" s="23" t="s">
        <v>88</v>
      </c>
      <c r="L4" s="36"/>
      <c r="M4" s="36"/>
      <c r="N4" s="36"/>
      <c r="O4" s="36"/>
      <c r="P4" s="36"/>
      <c r="Q4" s="36"/>
      <c r="R4" s="36"/>
      <c r="S4" s="36"/>
      <c r="T4" s="36">
        <f>$B4+$C4+$D4</f>
        <v>8220</v>
      </c>
      <c r="U4" s="36">
        <f>$E4</f>
        <v>24384</v>
      </c>
      <c r="V4" s="36">
        <f>$F4+$G4+$H4+$I4</f>
        <v>22545</v>
      </c>
      <c r="W4" s="36"/>
      <c r="X4" s="37">
        <f>SUM(L4:W4)</f>
        <v>55149</v>
      </c>
    </row>
    <row r="5" spans="1:24">
      <c r="A5" s="5" t="s">
        <v>85</v>
      </c>
      <c r="B5" s="42">
        <f>B$2*'Total Inventory (HVC)'!C5</f>
        <v>30180</v>
      </c>
      <c r="C5" s="42">
        <f>C$2*'Total Inventory (HVC)'!D5</f>
        <v>0</v>
      </c>
      <c r="D5" s="42">
        <f>D$2*'Total Inventory (HVC)'!E5</f>
        <v>0</v>
      </c>
      <c r="E5" s="42">
        <f>E$2*'Total Inventory (HVC)'!F5</f>
        <v>20608</v>
      </c>
      <c r="F5" s="42">
        <f>F$2*'Total Inventory (HVC)'!G5</f>
        <v>0</v>
      </c>
      <c r="G5" s="42">
        <f>G$2*'Total Inventory (HVC)'!H5</f>
        <v>18495</v>
      </c>
      <c r="H5" s="42">
        <f>H$2*'Total Inventory (HVC)'!I5</f>
        <v>0</v>
      </c>
      <c r="I5" s="42">
        <f>I$2*'Total Inventory (HVC)'!J5</f>
        <v>5400</v>
      </c>
      <c r="K5" s="23" t="s">
        <v>85</v>
      </c>
      <c r="L5" s="36">
        <f>$F5+$G5+$H5+$I5</f>
        <v>23895</v>
      </c>
      <c r="M5" s="36"/>
      <c r="N5" s="36"/>
      <c r="O5" s="36"/>
      <c r="P5" s="36">
        <f t="shared" ref="P5:P13" si="0">$B5+$C5+$D5+$E5</f>
        <v>50788</v>
      </c>
      <c r="Q5" s="36">
        <f t="shared" ref="Q5:Q13" si="1">$E5</f>
        <v>20608</v>
      </c>
      <c r="R5" s="36">
        <f t="shared" ref="R5:R13" si="2">$F5+$G5+$H5+$I5</f>
        <v>23895</v>
      </c>
      <c r="S5" s="36"/>
      <c r="T5" s="36"/>
      <c r="U5" s="36"/>
      <c r="V5" s="36">
        <f>$B5+$C5+$D5+$E5</f>
        <v>50788</v>
      </c>
      <c r="W5" s="36">
        <f>$E5</f>
        <v>20608</v>
      </c>
      <c r="X5" s="37">
        <f t="shared" ref="X5:X68" si="3">SUM(L5:W5)</f>
        <v>190582</v>
      </c>
    </row>
    <row r="6" spans="1:24">
      <c r="A6" s="5" t="s">
        <v>146</v>
      </c>
      <c r="B6" s="42">
        <f>B$2*'Total Inventory (HVC)'!C6</f>
        <v>44520</v>
      </c>
      <c r="C6" s="42">
        <f>C$2*'Total Inventory (HVC)'!D6</f>
        <v>0</v>
      </c>
      <c r="D6" s="42">
        <f>D$2*'Total Inventory (HVC)'!E6</f>
        <v>0</v>
      </c>
      <c r="E6" s="42">
        <f>E$2*'Total Inventory (HVC)'!F6</f>
        <v>47488</v>
      </c>
      <c r="F6" s="42">
        <f>F$2*'Total Inventory (HVC)'!G6</f>
        <v>0</v>
      </c>
      <c r="G6" s="42">
        <f>G$2*'Total Inventory (HVC)'!H6</f>
        <v>25110</v>
      </c>
      <c r="H6" s="42">
        <f>H$2*'Total Inventory (HVC)'!I6</f>
        <v>0</v>
      </c>
      <c r="I6" s="42">
        <f>I$2*'Total Inventory (HVC)'!J6</f>
        <v>1800</v>
      </c>
      <c r="K6" s="23" t="s">
        <v>146</v>
      </c>
      <c r="L6" s="36">
        <f>$F6+$G6+$H6+$I6</f>
        <v>26910</v>
      </c>
      <c r="M6" s="36"/>
      <c r="N6" s="36"/>
      <c r="O6" s="36"/>
      <c r="P6" s="36">
        <f t="shared" si="0"/>
        <v>92008</v>
      </c>
      <c r="Q6" s="36">
        <f t="shared" si="1"/>
        <v>47488</v>
      </c>
      <c r="R6" s="36">
        <f t="shared" si="2"/>
        <v>26910</v>
      </c>
      <c r="S6" s="36"/>
      <c r="T6" s="36"/>
      <c r="U6" s="36"/>
      <c r="V6" s="36">
        <f>$B6+$C6+$D6+$E6</f>
        <v>92008</v>
      </c>
      <c r="W6" s="36">
        <f>$E6</f>
        <v>47488</v>
      </c>
      <c r="X6" s="37">
        <f t="shared" si="3"/>
        <v>332812</v>
      </c>
    </row>
    <row r="7" spans="1:24">
      <c r="A7" s="5" t="s">
        <v>84</v>
      </c>
      <c r="B7" s="42">
        <f>B$2*'Total Inventory (HVC)'!C7</f>
        <v>8220</v>
      </c>
      <c r="C7" s="42">
        <f>C$2*'Total Inventory (HVC)'!D7</f>
        <v>750</v>
      </c>
      <c r="D7" s="42">
        <f>D$2*'Total Inventory (HVC)'!E7</f>
        <v>0</v>
      </c>
      <c r="E7" s="42">
        <f>E$2*'Total Inventory (HVC)'!F7</f>
        <v>62208</v>
      </c>
      <c r="F7" s="42">
        <f>F$2*'Total Inventory (HVC)'!G7</f>
        <v>0</v>
      </c>
      <c r="G7" s="42">
        <f>G$2*'Total Inventory (HVC)'!H7</f>
        <v>25650</v>
      </c>
      <c r="H7" s="42">
        <f>H$2*'Total Inventory (HVC)'!I7</f>
        <v>0</v>
      </c>
      <c r="I7" s="42">
        <f>I$2*'Total Inventory (HVC)'!J7</f>
        <v>0</v>
      </c>
      <c r="K7" s="23" t="s">
        <v>84</v>
      </c>
      <c r="L7" s="36">
        <f>$F7+$G7+$H7+$I7</f>
        <v>25650</v>
      </c>
      <c r="M7" s="36"/>
      <c r="N7" s="38"/>
      <c r="O7" s="36"/>
      <c r="P7" s="36">
        <f t="shared" si="0"/>
        <v>71178</v>
      </c>
      <c r="Q7" s="36">
        <f t="shared" si="1"/>
        <v>62208</v>
      </c>
      <c r="R7" s="36">
        <f t="shared" si="2"/>
        <v>25650</v>
      </c>
      <c r="S7" s="36"/>
      <c r="T7" s="36"/>
      <c r="U7" s="36"/>
      <c r="V7" s="36">
        <f>$B7+$C7+$D7+$E7</f>
        <v>71178</v>
      </c>
      <c r="W7" s="36">
        <f>$E7</f>
        <v>62208</v>
      </c>
      <c r="X7" s="37">
        <f t="shared" si="3"/>
        <v>318072</v>
      </c>
    </row>
    <row r="8" spans="1:24">
      <c r="A8" s="5" t="s">
        <v>86</v>
      </c>
      <c r="B8" s="42">
        <f>B$2*'Total Inventory (HVC)'!C8</f>
        <v>5580</v>
      </c>
      <c r="C8" s="42">
        <f>C$2*'Total Inventory (HVC)'!D8</f>
        <v>0</v>
      </c>
      <c r="D8" s="42">
        <f>D$2*'Total Inventory (HVC)'!E8</f>
        <v>0</v>
      </c>
      <c r="E8" s="42">
        <f>E$2*'Total Inventory (HVC)'!F8</f>
        <v>11904</v>
      </c>
      <c r="F8" s="42">
        <f>F$2*'Total Inventory (HVC)'!G8</f>
        <v>0</v>
      </c>
      <c r="G8" s="42">
        <f>G$2*'Total Inventory (HVC)'!H8</f>
        <v>13230</v>
      </c>
      <c r="H8" s="42">
        <f>H$2*'Total Inventory (HVC)'!I8</f>
        <v>0</v>
      </c>
      <c r="I8" s="42">
        <f>I$2*'Total Inventory (HVC)'!J8</f>
        <v>0</v>
      </c>
      <c r="K8" s="23" t="s">
        <v>86</v>
      </c>
      <c r="L8" s="36">
        <f>$F8+$G8+$H8+$I8</f>
        <v>13230</v>
      </c>
      <c r="M8" s="36"/>
      <c r="N8" s="36"/>
      <c r="O8" s="36"/>
      <c r="P8" s="36">
        <f t="shared" si="0"/>
        <v>17484</v>
      </c>
      <c r="Q8" s="36">
        <f t="shared" si="1"/>
        <v>11904</v>
      </c>
      <c r="R8" s="36">
        <f t="shared" si="2"/>
        <v>13230</v>
      </c>
      <c r="S8" s="36"/>
      <c r="T8" s="36"/>
      <c r="U8" s="36"/>
      <c r="V8" s="36">
        <f>$B8+$C8+$D8+$E8</f>
        <v>17484</v>
      </c>
      <c r="W8" s="36">
        <f>$E8</f>
        <v>11904</v>
      </c>
      <c r="X8" s="37">
        <f t="shared" si="3"/>
        <v>85236</v>
      </c>
    </row>
    <row r="9" spans="1:24">
      <c r="A9" s="5" t="s">
        <v>87</v>
      </c>
      <c r="B9" s="42">
        <f>B$2*'Total Inventory (HVC)'!C9</f>
        <v>16140</v>
      </c>
      <c r="C9" s="42">
        <f>C$2*'Total Inventory (HVC)'!D9</f>
        <v>0</v>
      </c>
      <c r="D9" s="42">
        <f>D$2*'Total Inventory (HVC)'!E9</f>
        <v>0</v>
      </c>
      <c r="E9" s="42">
        <f>E$2*'Total Inventory (HVC)'!F9</f>
        <v>11264</v>
      </c>
      <c r="F9" s="42">
        <f>F$2*'Total Inventory (HVC)'!G9</f>
        <v>0</v>
      </c>
      <c r="G9" s="42">
        <f>G$2*'Total Inventory (HVC)'!H9</f>
        <v>26325</v>
      </c>
      <c r="H9" s="42">
        <f>H$2*'Total Inventory (HVC)'!I9</f>
        <v>21600</v>
      </c>
      <c r="I9" s="42">
        <f>I$2*'Total Inventory (HVC)'!J9</f>
        <v>1800</v>
      </c>
      <c r="K9" s="23" t="s">
        <v>87</v>
      </c>
      <c r="L9" s="36">
        <f>$F9+$G9+$H9+$I9</f>
        <v>49725</v>
      </c>
      <c r="M9" s="36"/>
      <c r="N9" s="38"/>
      <c r="O9" s="36"/>
      <c r="P9" s="36">
        <f t="shared" si="0"/>
        <v>27404</v>
      </c>
      <c r="Q9" s="36">
        <f t="shared" si="1"/>
        <v>11264</v>
      </c>
      <c r="R9" s="36">
        <f t="shared" si="2"/>
        <v>49725</v>
      </c>
      <c r="S9" s="36"/>
      <c r="T9" s="36"/>
      <c r="U9" s="36"/>
      <c r="V9" s="36">
        <f>$B9+$C9+$D9+$E9</f>
        <v>27404</v>
      </c>
      <c r="W9" s="36">
        <f>$E9</f>
        <v>11264</v>
      </c>
      <c r="X9" s="37">
        <f t="shared" si="3"/>
        <v>176786</v>
      </c>
    </row>
    <row r="10" spans="1:24">
      <c r="A10" s="5" t="s">
        <v>11</v>
      </c>
      <c r="B10" s="42">
        <f>B$2*'Total Inventory (HVC)'!C10</f>
        <v>19020</v>
      </c>
      <c r="C10" s="42">
        <f>C$2*'Total Inventory (HVC)'!D10</f>
        <v>13200</v>
      </c>
      <c r="D10" s="42">
        <f>D$2*'Total Inventory (HVC)'!E10</f>
        <v>0</v>
      </c>
      <c r="E10" s="42">
        <f>E$2*'Total Inventory (HVC)'!F10</f>
        <v>94656</v>
      </c>
      <c r="F10" s="42">
        <f>F$2*'Total Inventory (HVC)'!G10</f>
        <v>0</v>
      </c>
      <c r="G10" s="42">
        <f>G$2*'Total Inventory (HVC)'!H10</f>
        <v>30915</v>
      </c>
      <c r="H10" s="42">
        <f>H$2*'Total Inventory (HVC)'!I10</f>
        <v>21600</v>
      </c>
      <c r="I10" s="42">
        <f>I$2*'Total Inventory (HVC)'!J10</f>
        <v>8640</v>
      </c>
      <c r="K10" s="23" t="s">
        <v>11</v>
      </c>
      <c r="L10" s="38"/>
      <c r="M10" s="36"/>
      <c r="N10" s="36"/>
      <c r="O10" s="36"/>
      <c r="P10" s="36">
        <f t="shared" si="0"/>
        <v>126876</v>
      </c>
      <c r="Q10" s="36">
        <f t="shared" si="1"/>
        <v>94656</v>
      </c>
      <c r="R10" s="36">
        <f t="shared" si="2"/>
        <v>61155</v>
      </c>
      <c r="S10" s="36"/>
      <c r="T10" s="36"/>
      <c r="U10" s="36">
        <f t="shared" ref="U10:U21" si="4">$B10+$C10+$D10+$E10</f>
        <v>126876</v>
      </c>
      <c r="V10" s="36">
        <f t="shared" ref="V10:V21" si="5">$E10</f>
        <v>94656</v>
      </c>
      <c r="W10" s="36">
        <f t="shared" ref="W10:W21" si="6">$F10+$G10+$H10+$I10</f>
        <v>61155</v>
      </c>
      <c r="X10" s="37">
        <f t="shared" si="3"/>
        <v>565374</v>
      </c>
    </row>
    <row r="11" spans="1:24">
      <c r="A11" s="5" t="s">
        <v>12</v>
      </c>
      <c r="B11" s="42">
        <f>B$2*'Total Inventory (HVC)'!C11</f>
        <v>14040</v>
      </c>
      <c r="C11" s="42">
        <f>C$2*'Total Inventory (HVC)'!D11</f>
        <v>6600</v>
      </c>
      <c r="D11" s="42">
        <f>D$2*'Total Inventory (HVC)'!E11</f>
        <v>0</v>
      </c>
      <c r="E11" s="42">
        <f>E$2*'Total Inventory (HVC)'!F11</f>
        <v>45632</v>
      </c>
      <c r="F11" s="42">
        <f>F$2*'Total Inventory (HVC)'!G11</f>
        <v>0</v>
      </c>
      <c r="G11" s="42">
        <f>G$2*'Total Inventory (HVC)'!H11</f>
        <v>30375</v>
      </c>
      <c r="H11" s="42">
        <f>H$2*'Total Inventory (HVC)'!I11</f>
        <v>0</v>
      </c>
      <c r="I11" s="42">
        <f>I$2*'Total Inventory (HVC)'!J11</f>
        <v>1800</v>
      </c>
      <c r="K11" s="23" t="s">
        <v>12</v>
      </c>
      <c r="L11" s="38"/>
      <c r="M11" s="36"/>
      <c r="N11" s="36"/>
      <c r="O11" s="36"/>
      <c r="P11" s="36">
        <f t="shared" si="0"/>
        <v>66272</v>
      </c>
      <c r="Q11" s="36">
        <f t="shared" si="1"/>
        <v>45632</v>
      </c>
      <c r="R11" s="36">
        <f t="shared" si="2"/>
        <v>32175</v>
      </c>
      <c r="S11" s="36"/>
      <c r="T11" s="36"/>
      <c r="U11" s="36">
        <f t="shared" si="4"/>
        <v>66272</v>
      </c>
      <c r="V11" s="36">
        <f t="shared" si="5"/>
        <v>45632</v>
      </c>
      <c r="W11" s="36">
        <f t="shared" si="6"/>
        <v>32175</v>
      </c>
      <c r="X11" s="37">
        <f t="shared" si="3"/>
        <v>288158</v>
      </c>
    </row>
    <row r="12" spans="1:24">
      <c r="A12" s="5" t="s">
        <v>13</v>
      </c>
      <c r="B12" s="42">
        <f>B$2*'Total Inventory (HVC)'!C12</f>
        <v>9660</v>
      </c>
      <c r="C12" s="42">
        <f>C$2*'Total Inventory (HVC)'!D12</f>
        <v>10950</v>
      </c>
      <c r="D12" s="42">
        <f>D$2*'Total Inventory (HVC)'!E12</f>
        <v>0</v>
      </c>
      <c r="E12" s="42">
        <f>E$2*'Total Inventory (HVC)'!F12</f>
        <v>82816</v>
      </c>
      <c r="F12" s="42">
        <f>F$2*'Total Inventory (HVC)'!G12</f>
        <v>0</v>
      </c>
      <c r="G12" s="42">
        <f>G$2*'Total Inventory (HVC)'!H12</f>
        <v>24435</v>
      </c>
      <c r="H12" s="42">
        <f>H$2*'Total Inventory (HVC)'!I12</f>
        <v>10800</v>
      </c>
      <c r="I12" s="42">
        <f>I$2*'Total Inventory (HVC)'!J12</f>
        <v>1800</v>
      </c>
      <c r="K12" s="23" t="s">
        <v>13</v>
      </c>
      <c r="L12" s="38"/>
      <c r="M12" s="36"/>
      <c r="N12" s="36"/>
      <c r="O12" s="36"/>
      <c r="P12" s="36">
        <f t="shared" si="0"/>
        <v>103426</v>
      </c>
      <c r="Q12" s="36">
        <f t="shared" si="1"/>
        <v>82816</v>
      </c>
      <c r="R12" s="36">
        <f t="shared" si="2"/>
        <v>37035</v>
      </c>
      <c r="S12" s="36"/>
      <c r="T12" s="36"/>
      <c r="U12" s="36">
        <f t="shared" si="4"/>
        <v>103426</v>
      </c>
      <c r="V12" s="36">
        <f t="shared" si="5"/>
        <v>82816</v>
      </c>
      <c r="W12" s="36">
        <f t="shared" si="6"/>
        <v>37035</v>
      </c>
      <c r="X12" s="37">
        <f t="shared" si="3"/>
        <v>446554</v>
      </c>
    </row>
    <row r="13" spans="1:24">
      <c r="A13" s="5" t="s">
        <v>14</v>
      </c>
      <c r="B13" s="42">
        <f>B$2*'Total Inventory (HVC)'!C13</f>
        <v>51540</v>
      </c>
      <c r="C13" s="42">
        <f>C$2*'Total Inventory (HVC)'!D13</f>
        <v>0</v>
      </c>
      <c r="D13" s="42">
        <f>D$2*'Total Inventory (HVC)'!E13</f>
        <v>0</v>
      </c>
      <c r="E13" s="42">
        <f>E$2*'Total Inventory (HVC)'!F13</f>
        <v>150592</v>
      </c>
      <c r="F13" s="42">
        <f>F$2*'Total Inventory (HVC)'!G13</f>
        <v>0</v>
      </c>
      <c r="G13" s="42">
        <f>G$2*'Total Inventory (HVC)'!H13</f>
        <v>40905</v>
      </c>
      <c r="H13" s="42">
        <f>H$2*'Total Inventory (HVC)'!I13</f>
        <v>0</v>
      </c>
      <c r="I13" s="42">
        <f>I$2*'Total Inventory (HVC)'!J13</f>
        <v>5400</v>
      </c>
      <c r="K13" s="23" t="s">
        <v>14</v>
      </c>
      <c r="L13" s="38"/>
      <c r="M13" s="36"/>
      <c r="N13" s="36"/>
      <c r="O13" s="36"/>
      <c r="P13" s="36">
        <f t="shared" si="0"/>
        <v>202132</v>
      </c>
      <c r="Q13" s="36">
        <f t="shared" si="1"/>
        <v>150592</v>
      </c>
      <c r="R13" s="36">
        <f t="shared" si="2"/>
        <v>46305</v>
      </c>
      <c r="S13" s="36"/>
      <c r="T13" s="36"/>
      <c r="U13" s="36">
        <f t="shared" si="4"/>
        <v>202132</v>
      </c>
      <c r="V13" s="36">
        <f t="shared" si="5"/>
        <v>150592</v>
      </c>
      <c r="W13" s="36">
        <f t="shared" si="6"/>
        <v>46305</v>
      </c>
      <c r="X13" s="37">
        <f t="shared" si="3"/>
        <v>798058</v>
      </c>
    </row>
    <row r="14" spans="1:24">
      <c r="A14" s="5" t="s">
        <v>10</v>
      </c>
      <c r="B14" s="42">
        <f>B$2*'Total Inventory (HVC)'!C14</f>
        <v>1200</v>
      </c>
      <c r="C14" s="42">
        <f>C$2*'Total Inventory (HVC)'!D14</f>
        <v>750</v>
      </c>
      <c r="D14" s="42">
        <f>D$2*'Total Inventory (HVC)'!E14</f>
        <v>0</v>
      </c>
      <c r="E14" s="42">
        <f>E$2*'Total Inventory (HVC)'!F14</f>
        <v>0</v>
      </c>
      <c r="F14" s="42">
        <f>F$2*'Total Inventory (HVC)'!G14</f>
        <v>0</v>
      </c>
      <c r="G14" s="42">
        <f>G$2*'Total Inventory (HVC)'!H14</f>
        <v>675</v>
      </c>
      <c r="H14" s="42">
        <f>H$2*'Total Inventory (HVC)'!I14</f>
        <v>0</v>
      </c>
      <c r="I14" s="42">
        <f>I$2*'Total Inventory (HVC)'!J14</f>
        <v>0</v>
      </c>
      <c r="K14" s="23" t="s">
        <v>10</v>
      </c>
      <c r="L14" s="36">
        <f t="shared" ref="L14:L19" si="7">$B14+$C14+$D14+$E14</f>
        <v>1950</v>
      </c>
      <c r="M14" s="36">
        <f t="shared" ref="M14:M19" si="8">$E14</f>
        <v>0</v>
      </c>
      <c r="N14" s="36">
        <f t="shared" ref="N14:N19" si="9">$B14+$C14+$D14+$E14+$F14+$G14+$H14+$I14</f>
        <v>2625</v>
      </c>
      <c r="O14" s="36">
        <f t="shared" ref="O14:O19" si="10">$E14</f>
        <v>0</v>
      </c>
      <c r="P14" s="36">
        <f t="shared" ref="P14:P19" si="11">$F14+$G14+$H14+$I14</f>
        <v>675</v>
      </c>
      <c r="Q14" s="36">
        <f t="shared" ref="Q14:Q19" si="12">$B14+$C14+$D14+$E14</f>
        <v>1950</v>
      </c>
      <c r="R14" s="36">
        <f t="shared" ref="R14:R19" si="13">$E14</f>
        <v>0</v>
      </c>
      <c r="S14" s="36">
        <f t="shared" ref="S14:S19" si="14">$F14+$G14+$H14+$I14</f>
        <v>675</v>
      </c>
      <c r="T14" s="36"/>
      <c r="U14" s="36">
        <f t="shared" si="4"/>
        <v>1950</v>
      </c>
      <c r="V14" s="36">
        <f t="shared" si="5"/>
        <v>0</v>
      </c>
      <c r="W14" s="36">
        <f t="shared" si="6"/>
        <v>675</v>
      </c>
      <c r="X14" s="37">
        <f t="shared" si="3"/>
        <v>10500</v>
      </c>
    </row>
    <row r="15" spans="1:24">
      <c r="A15" s="5" t="s">
        <v>15</v>
      </c>
      <c r="B15" s="42">
        <f>B$2*'Total Inventory (HVC)'!C15</f>
        <v>28140</v>
      </c>
      <c r="C15" s="42">
        <f>C$2*'Total Inventory (HVC)'!D15</f>
        <v>0</v>
      </c>
      <c r="D15" s="42">
        <f>D$2*'Total Inventory (HVC)'!E15</f>
        <v>0</v>
      </c>
      <c r="E15" s="42">
        <f>E$2*'Total Inventory (HVC)'!F15</f>
        <v>4032</v>
      </c>
      <c r="F15" s="42">
        <f>F$2*'Total Inventory (HVC)'!G15</f>
        <v>0</v>
      </c>
      <c r="G15" s="42">
        <f>G$2*'Total Inventory (HVC)'!H15</f>
        <v>288630</v>
      </c>
      <c r="H15" s="42">
        <f>H$2*'Total Inventory (HVC)'!I15</f>
        <v>1328400</v>
      </c>
      <c r="I15" s="42">
        <f>I$2*'Total Inventory (HVC)'!J15</f>
        <v>10440</v>
      </c>
      <c r="K15" s="23" t="s">
        <v>15</v>
      </c>
      <c r="L15" s="36">
        <f t="shared" si="7"/>
        <v>32172</v>
      </c>
      <c r="M15" s="36">
        <f t="shared" si="8"/>
        <v>4032</v>
      </c>
      <c r="N15" s="36">
        <f t="shared" si="9"/>
        <v>1659642</v>
      </c>
      <c r="O15" s="36">
        <f t="shared" si="10"/>
        <v>4032</v>
      </c>
      <c r="P15" s="36">
        <f t="shared" si="11"/>
        <v>1627470</v>
      </c>
      <c r="Q15" s="36">
        <f t="shared" si="12"/>
        <v>32172</v>
      </c>
      <c r="R15" s="36">
        <f t="shared" si="13"/>
        <v>4032</v>
      </c>
      <c r="S15" s="36">
        <f t="shared" si="14"/>
        <v>1627470</v>
      </c>
      <c r="T15" s="36"/>
      <c r="U15" s="36">
        <f t="shared" si="4"/>
        <v>32172</v>
      </c>
      <c r="V15" s="36">
        <f t="shared" si="5"/>
        <v>4032</v>
      </c>
      <c r="W15" s="36">
        <f t="shared" si="6"/>
        <v>1627470</v>
      </c>
      <c r="X15" s="37">
        <f t="shared" si="3"/>
        <v>6654696</v>
      </c>
    </row>
    <row r="16" spans="1:24">
      <c r="A16" s="5" t="s">
        <v>16</v>
      </c>
      <c r="B16" s="42">
        <f>B$2*'Total Inventory (HVC)'!C16</f>
        <v>515880</v>
      </c>
      <c r="C16" s="42">
        <f>C$2*'Total Inventory (HVC)'!D16</f>
        <v>0</v>
      </c>
      <c r="D16" s="42">
        <f>D$2*'Total Inventory (HVC)'!E16</f>
        <v>0</v>
      </c>
      <c r="E16" s="42">
        <f>E$2*'Total Inventory (HVC)'!F16</f>
        <v>9984</v>
      </c>
      <c r="F16" s="42">
        <f>F$2*'Total Inventory (HVC)'!G16</f>
        <v>4500</v>
      </c>
      <c r="G16" s="42">
        <f>G$2*'Total Inventory (HVC)'!H16</f>
        <v>495045</v>
      </c>
      <c r="H16" s="42">
        <f>H$2*'Total Inventory (HVC)'!I16</f>
        <v>760320</v>
      </c>
      <c r="I16" s="42">
        <f>I$2*'Total Inventory (HVC)'!J16</f>
        <v>10440</v>
      </c>
      <c r="K16" s="23" t="s">
        <v>16</v>
      </c>
      <c r="L16" s="36">
        <f t="shared" si="7"/>
        <v>525864</v>
      </c>
      <c r="M16" s="36">
        <f t="shared" si="8"/>
        <v>9984</v>
      </c>
      <c r="N16" s="36">
        <f t="shared" si="9"/>
        <v>1796169</v>
      </c>
      <c r="O16" s="36">
        <f t="shared" si="10"/>
        <v>9984</v>
      </c>
      <c r="P16" s="36">
        <f t="shared" si="11"/>
        <v>1270305</v>
      </c>
      <c r="Q16" s="36">
        <f t="shared" si="12"/>
        <v>525864</v>
      </c>
      <c r="R16" s="36">
        <f t="shared" si="13"/>
        <v>9984</v>
      </c>
      <c r="S16" s="36">
        <f t="shared" si="14"/>
        <v>1270305</v>
      </c>
      <c r="T16" s="36"/>
      <c r="U16" s="36">
        <f t="shared" si="4"/>
        <v>525864</v>
      </c>
      <c r="V16" s="36">
        <f t="shared" si="5"/>
        <v>9984</v>
      </c>
      <c r="W16" s="36">
        <f t="shared" si="6"/>
        <v>1270305</v>
      </c>
      <c r="X16" s="37">
        <f t="shared" si="3"/>
        <v>7224612</v>
      </c>
    </row>
    <row r="17" spans="1:24">
      <c r="A17" s="5" t="s">
        <v>17</v>
      </c>
      <c r="B17" s="42">
        <f>B$2*'Total Inventory (HVC)'!C17</f>
        <v>18180</v>
      </c>
      <c r="C17" s="42">
        <f>C$2*'Total Inventory (HVC)'!D17</f>
        <v>0</v>
      </c>
      <c r="D17" s="42">
        <f>D$2*'Total Inventory (HVC)'!E17</f>
        <v>0</v>
      </c>
      <c r="E17" s="42">
        <f>E$2*'Total Inventory (HVC)'!F17</f>
        <v>1280</v>
      </c>
      <c r="F17" s="42">
        <f>F$2*'Total Inventory (HVC)'!G17</f>
        <v>0</v>
      </c>
      <c r="G17" s="42">
        <f>G$2*'Total Inventory (HVC)'!H17</f>
        <v>102870</v>
      </c>
      <c r="H17" s="42">
        <f>H$2*'Total Inventory (HVC)'!I17</f>
        <v>190080</v>
      </c>
      <c r="I17" s="42">
        <f>I$2*'Total Inventory (HVC)'!J17</f>
        <v>7200</v>
      </c>
      <c r="K17" s="23" t="s">
        <v>17</v>
      </c>
      <c r="L17" s="36">
        <f t="shared" si="7"/>
        <v>19460</v>
      </c>
      <c r="M17" s="36">
        <f t="shared" si="8"/>
        <v>1280</v>
      </c>
      <c r="N17" s="36">
        <f t="shared" si="9"/>
        <v>319610</v>
      </c>
      <c r="O17" s="36">
        <f t="shared" si="10"/>
        <v>1280</v>
      </c>
      <c r="P17" s="36">
        <f t="shared" si="11"/>
        <v>300150</v>
      </c>
      <c r="Q17" s="36">
        <f t="shared" si="12"/>
        <v>19460</v>
      </c>
      <c r="R17" s="36">
        <f t="shared" si="13"/>
        <v>1280</v>
      </c>
      <c r="S17" s="36">
        <f t="shared" si="14"/>
        <v>300150</v>
      </c>
      <c r="T17" s="36"/>
      <c r="U17" s="36">
        <f t="shared" si="4"/>
        <v>19460</v>
      </c>
      <c r="V17" s="36">
        <f t="shared" si="5"/>
        <v>1280</v>
      </c>
      <c r="W17" s="36">
        <f t="shared" si="6"/>
        <v>300150</v>
      </c>
      <c r="X17" s="37">
        <f t="shared" si="3"/>
        <v>1283560</v>
      </c>
    </row>
    <row r="18" spans="1:24">
      <c r="A18" s="5" t="s">
        <v>18</v>
      </c>
      <c r="B18" s="42">
        <f>B$2*'Total Inventory (HVC)'!C18</f>
        <v>28980</v>
      </c>
      <c r="C18" s="42">
        <f>C$2*'Total Inventory (HVC)'!D18</f>
        <v>0</v>
      </c>
      <c r="D18" s="42">
        <f>D$2*'Total Inventory (HVC)'!E18</f>
        <v>0</v>
      </c>
      <c r="E18" s="42">
        <f>E$2*'Total Inventory (HVC)'!F18</f>
        <v>320</v>
      </c>
      <c r="F18" s="42">
        <f>F$2*'Total Inventory (HVC)'!G18</f>
        <v>0</v>
      </c>
      <c r="G18" s="42">
        <f>G$2*'Total Inventory (HVC)'!H18</f>
        <v>298620</v>
      </c>
      <c r="H18" s="42">
        <f>H$2*'Total Inventory (HVC)'!I18</f>
        <v>252720</v>
      </c>
      <c r="I18" s="42">
        <f>I$2*'Total Inventory (HVC)'!J18</f>
        <v>15840</v>
      </c>
      <c r="K18" s="23" t="s">
        <v>18</v>
      </c>
      <c r="L18" s="36">
        <f t="shared" si="7"/>
        <v>29300</v>
      </c>
      <c r="M18" s="36">
        <f t="shared" si="8"/>
        <v>320</v>
      </c>
      <c r="N18" s="36">
        <f t="shared" si="9"/>
        <v>596480</v>
      </c>
      <c r="O18" s="36">
        <f t="shared" si="10"/>
        <v>320</v>
      </c>
      <c r="P18" s="36">
        <f t="shared" si="11"/>
        <v>567180</v>
      </c>
      <c r="Q18" s="36">
        <f t="shared" si="12"/>
        <v>29300</v>
      </c>
      <c r="R18" s="36">
        <f t="shared" si="13"/>
        <v>320</v>
      </c>
      <c r="S18" s="36">
        <f t="shared" si="14"/>
        <v>567180</v>
      </c>
      <c r="T18" s="36"/>
      <c r="U18" s="36">
        <f t="shared" si="4"/>
        <v>29300</v>
      </c>
      <c r="V18" s="36">
        <f t="shared" si="5"/>
        <v>320</v>
      </c>
      <c r="W18" s="36">
        <f t="shared" si="6"/>
        <v>567180</v>
      </c>
      <c r="X18" s="37">
        <f t="shared" si="3"/>
        <v>2387200</v>
      </c>
    </row>
    <row r="19" spans="1:24">
      <c r="A19" s="5" t="s">
        <v>19</v>
      </c>
      <c r="B19" s="42">
        <f>B$2*'Total Inventory (HVC)'!C19</f>
        <v>3780</v>
      </c>
      <c r="C19" s="42">
        <f>C$2*'Total Inventory (HVC)'!D19</f>
        <v>0</v>
      </c>
      <c r="D19" s="42">
        <f>D$2*'Total Inventory (HVC)'!E19</f>
        <v>0</v>
      </c>
      <c r="E19" s="42">
        <f>E$2*'Total Inventory (HVC)'!F19</f>
        <v>69696</v>
      </c>
      <c r="F19" s="42">
        <f>F$2*'Total Inventory (HVC)'!G19</f>
        <v>0</v>
      </c>
      <c r="G19" s="42">
        <f>G$2*'Total Inventory (HVC)'!H19</f>
        <v>2025</v>
      </c>
      <c r="H19" s="42">
        <f>H$2*'Total Inventory (HVC)'!I19</f>
        <v>0</v>
      </c>
      <c r="I19" s="42">
        <f>I$2*'Total Inventory (HVC)'!J19</f>
        <v>0</v>
      </c>
      <c r="K19" s="23" t="s">
        <v>19</v>
      </c>
      <c r="L19" s="36">
        <f t="shared" si="7"/>
        <v>73476</v>
      </c>
      <c r="M19" s="36">
        <f t="shared" si="8"/>
        <v>69696</v>
      </c>
      <c r="N19" s="36">
        <f t="shared" si="9"/>
        <v>75501</v>
      </c>
      <c r="O19" s="36">
        <f t="shared" si="10"/>
        <v>69696</v>
      </c>
      <c r="P19" s="36">
        <f t="shared" si="11"/>
        <v>2025</v>
      </c>
      <c r="Q19" s="36">
        <f t="shared" si="12"/>
        <v>73476</v>
      </c>
      <c r="R19" s="36">
        <f t="shared" si="13"/>
        <v>69696</v>
      </c>
      <c r="S19" s="36">
        <f t="shared" si="14"/>
        <v>2025</v>
      </c>
      <c r="T19" s="36"/>
      <c r="U19" s="36">
        <f t="shared" si="4"/>
        <v>73476</v>
      </c>
      <c r="V19" s="36">
        <f t="shared" si="5"/>
        <v>69696</v>
      </c>
      <c r="W19" s="36">
        <f t="shared" si="6"/>
        <v>2025</v>
      </c>
      <c r="X19" s="37">
        <f t="shared" si="3"/>
        <v>580788</v>
      </c>
    </row>
    <row r="20" spans="1:24">
      <c r="A20" s="5" t="s">
        <v>20</v>
      </c>
      <c r="B20" s="42">
        <f>B$2*'Total Inventory (HVC)'!C20</f>
        <v>4980</v>
      </c>
      <c r="C20" s="42">
        <f>C$2*'Total Inventory (HVC)'!D20</f>
        <v>0</v>
      </c>
      <c r="D20" s="42">
        <f>D$2*'Total Inventory (HVC)'!E20</f>
        <v>0</v>
      </c>
      <c r="E20" s="42">
        <f>E$2*'Total Inventory (HVC)'!F20</f>
        <v>68096</v>
      </c>
      <c r="F20" s="42">
        <f>F$2*'Total Inventory (HVC)'!G20</f>
        <v>0</v>
      </c>
      <c r="G20" s="42">
        <f>G$2*'Total Inventory (HVC)'!H20</f>
        <v>4590</v>
      </c>
      <c r="H20" s="42">
        <f>H$2*'Total Inventory (HVC)'!I20</f>
        <v>0</v>
      </c>
      <c r="I20" s="42">
        <f>I$2*'Total Inventory (HVC)'!J20</f>
        <v>0</v>
      </c>
      <c r="K20" s="23" t="s">
        <v>20</v>
      </c>
      <c r="L20" s="36"/>
      <c r="M20" s="36"/>
      <c r="N20" s="36"/>
      <c r="O20" s="36"/>
      <c r="P20" s="36">
        <f t="shared" ref="P20:P28" si="15">$B20+$C20+$D20+$E20</f>
        <v>73076</v>
      </c>
      <c r="Q20" s="36">
        <f t="shared" ref="Q20:Q28" si="16">$E20</f>
        <v>68096</v>
      </c>
      <c r="R20" s="36">
        <f t="shared" ref="R20:R28" si="17">$F20+$G20+$H20+$I20</f>
        <v>4590</v>
      </c>
      <c r="S20" s="36"/>
      <c r="T20" s="36"/>
      <c r="U20" s="36">
        <f t="shared" si="4"/>
        <v>73076</v>
      </c>
      <c r="V20" s="36">
        <f t="shared" si="5"/>
        <v>68096</v>
      </c>
      <c r="W20" s="36">
        <f t="shared" si="6"/>
        <v>4590</v>
      </c>
      <c r="X20" s="37">
        <f t="shared" si="3"/>
        <v>291524</v>
      </c>
    </row>
    <row r="21" spans="1:24">
      <c r="A21" s="5" t="s">
        <v>21</v>
      </c>
      <c r="B21" s="42">
        <f>B$2*'Total Inventory (HVC)'!C21</f>
        <v>4980</v>
      </c>
      <c r="C21" s="42">
        <f>C$2*'Total Inventory (HVC)'!D21</f>
        <v>0</v>
      </c>
      <c r="D21" s="42">
        <f>D$2*'Total Inventory (HVC)'!E21</f>
        <v>0</v>
      </c>
      <c r="E21" s="42">
        <f>E$2*'Total Inventory (HVC)'!F21</f>
        <v>79360</v>
      </c>
      <c r="F21" s="42">
        <f>F$2*'Total Inventory (HVC)'!G21</f>
        <v>0</v>
      </c>
      <c r="G21" s="42">
        <f>G$2*'Total Inventory (HVC)'!H21</f>
        <v>4590</v>
      </c>
      <c r="H21" s="42">
        <f>H$2*'Total Inventory (HVC)'!I21</f>
        <v>0</v>
      </c>
      <c r="I21" s="42">
        <f>I$2*'Total Inventory (HVC)'!J21</f>
        <v>0</v>
      </c>
      <c r="K21" s="23" t="s">
        <v>21</v>
      </c>
      <c r="L21" s="36"/>
      <c r="M21" s="36"/>
      <c r="N21" s="36"/>
      <c r="O21" s="36"/>
      <c r="P21" s="36">
        <f t="shared" si="15"/>
        <v>84340</v>
      </c>
      <c r="Q21" s="36">
        <f t="shared" si="16"/>
        <v>79360</v>
      </c>
      <c r="R21" s="36">
        <f t="shared" si="17"/>
        <v>4590</v>
      </c>
      <c r="S21" s="36"/>
      <c r="T21" s="36"/>
      <c r="U21" s="36">
        <f t="shared" si="4"/>
        <v>84340</v>
      </c>
      <c r="V21" s="36">
        <f t="shared" si="5"/>
        <v>79360</v>
      </c>
      <c r="W21" s="36">
        <f t="shared" si="6"/>
        <v>4590</v>
      </c>
      <c r="X21" s="37">
        <f t="shared" si="3"/>
        <v>336580</v>
      </c>
    </row>
    <row r="22" spans="1:24">
      <c r="A22" s="5" t="s">
        <v>22</v>
      </c>
      <c r="B22" s="42">
        <f>B$2*'Total Inventory (HVC)'!C22</f>
        <v>5280</v>
      </c>
      <c r="C22" s="42">
        <f>C$2*'Total Inventory (HVC)'!D22</f>
        <v>0</v>
      </c>
      <c r="D22" s="42">
        <f>D$2*'Total Inventory (HVC)'!E22</f>
        <v>0</v>
      </c>
      <c r="E22" s="42">
        <f>E$2*'Total Inventory (HVC)'!F22</f>
        <v>96576</v>
      </c>
      <c r="F22" s="42">
        <f>F$2*'Total Inventory (HVC)'!G22</f>
        <v>0</v>
      </c>
      <c r="G22" s="42">
        <f>G$2*'Total Inventory (HVC)'!H22</f>
        <v>7965</v>
      </c>
      <c r="H22" s="42">
        <f>H$2*'Total Inventory (HVC)'!I22</f>
        <v>10800</v>
      </c>
      <c r="I22" s="42">
        <f>I$2*'Total Inventory (HVC)'!J22</f>
        <v>0</v>
      </c>
      <c r="K22" s="23" t="s">
        <v>22</v>
      </c>
      <c r="L22" s="36">
        <f>$F22+$G22+$H22+$I22</f>
        <v>18765</v>
      </c>
      <c r="M22" s="36"/>
      <c r="N22" s="36"/>
      <c r="O22" s="36"/>
      <c r="P22" s="36">
        <f t="shared" si="15"/>
        <v>101856</v>
      </c>
      <c r="Q22" s="36">
        <f t="shared" si="16"/>
        <v>96576</v>
      </c>
      <c r="R22" s="36">
        <f t="shared" si="17"/>
        <v>18765</v>
      </c>
      <c r="S22" s="36"/>
      <c r="T22" s="36"/>
      <c r="U22" s="36"/>
      <c r="V22" s="36">
        <f>$B22+$C22+$D22+$E22</f>
        <v>101856</v>
      </c>
      <c r="W22" s="36">
        <f>$E22</f>
        <v>96576</v>
      </c>
      <c r="X22" s="37">
        <f t="shared" si="3"/>
        <v>434394</v>
      </c>
    </row>
    <row r="23" spans="1:24">
      <c r="A23" s="5" t="s">
        <v>23</v>
      </c>
      <c r="B23" s="42">
        <f>B$2*'Total Inventory (HVC)'!C23</f>
        <v>5580</v>
      </c>
      <c r="C23" s="42">
        <f>C$2*'Total Inventory (HVC)'!D23</f>
        <v>0</v>
      </c>
      <c r="D23" s="42">
        <f>D$2*'Total Inventory (HVC)'!E23</f>
        <v>0</v>
      </c>
      <c r="E23" s="42">
        <f>E$2*'Total Inventory (HVC)'!F23</f>
        <v>92480</v>
      </c>
      <c r="F23" s="42">
        <f>F$2*'Total Inventory (HVC)'!G23</f>
        <v>0</v>
      </c>
      <c r="G23" s="42">
        <f>G$2*'Total Inventory (HVC)'!H23</f>
        <v>17820</v>
      </c>
      <c r="H23" s="42">
        <f>H$2*'Total Inventory (HVC)'!I23</f>
        <v>0</v>
      </c>
      <c r="I23" s="42">
        <f>I$2*'Total Inventory (HVC)'!J23</f>
        <v>0</v>
      </c>
      <c r="K23" s="23" t="s">
        <v>23</v>
      </c>
      <c r="L23" s="36"/>
      <c r="M23" s="36"/>
      <c r="N23" s="36"/>
      <c r="O23" s="36"/>
      <c r="P23" s="36">
        <f t="shared" si="15"/>
        <v>98060</v>
      </c>
      <c r="Q23" s="36">
        <f t="shared" si="16"/>
        <v>92480</v>
      </c>
      <c r="R23" s="36">
        <f t="shared" si="17"/>
        <v>17820</v>
      </c>
      <c r="S23" s="36"/>
      <c r="T23" s="36"/>
      <c r="U23" s="36">
        <f>$B23+$C23+$D23+$E23</f>
        <v>98060</v>
      </c>
      <c r="V23" s="36">
        <f>$E23</f>
        <v>92480</v>
      </c>
      <c r="W23" s="36">
        <f>$F23+$G23+$H23+$I23</f>
        <v>17820</v>
      </c>
      <c r="X23" s="37">
        <f t="shared" si="3"/>
        <v>416720</v>
      </c>
    </row>
    <row r="24" spans="1:24">
      <c r="A24" s="5" t="s">
        <v>24</v>
      </c>
      <c r="B24" s="42">
        <f>B$2*'Total Inventory (HVC)'!C24</f>
        <v>5580</v>
      </c>
      <c r="C24" s="42">
        <f>C$2*'Total Inventory (HVC)'!D24</f>
        <v>0</v>
      </c>
      <c r="D24" s="42">
        <f>D$2*'Total Inventory (HVC)'!E24</f>
        <v>0</v>
      </c>
      <c r="E24" s="42">
        <f>E$2*'Total Inventory (HVC)'!F24</f>
        <v>63424</v>
      </c>
      <c r="F24" s="42">
        <f>F$2*'Total Inventory (HVC)'!G24</f>
        <v>4500</v>
      </c>
      <c r="G24" s="42">
        <f>G$2*'Total Inventory (HVC)'!H24</f>
        <v>18495</v>
      </c>
      <c r="H24" s="42">
        <f>H$2*'Total Inventory (HVC)'!I24</f>
        <v>0</v>
      </c>
      <c r="I24" s="42">
        <f>I$2*'Total Inventory (HVC)'!J24</f>
        <v>0</v>
      </c>
      <c r="K24" s="23" t="s">
        <v>24</v>
      </c>
      <c r="L24" s="36"/>
      <c r="M24" s="36"/>
      <c r="N24" s="36"/>
      <c r="O24" s="36"/>
      <c r="P24" s="36">
        <f t="shared" si="15"/>
        <v>69004</v>
      </c>
      <c r="Q24" s="36">
        <f t="shared" si="16"/>
        <v>63424</v>
      </c>
      <c r="R24" s="36">
        <f t="shared" si="17"/>
        <v>22995</v>
      </c>
      <c r="S24" s="36"/>
      <c r="T24" s="36"/>
      <c r="U24" s="36">
        <f>$B24+$C24+$D24+$E24</f>
        <v>69004</v>
      </c>
      <c r="V24" s="36">
        <f>$E24</f>
        <v>63424</v>
      </c>
      <c r="W24" s="36">
        <f>$F24+$G24+$H24+$I24</f>
        <v>22995</v>
      </c>
      <c r="X24" s="37">
        <f t="shared" si="3"/>
        <v>310846</v>
      </c>
    </row>
    <row r="25" spans="1:24">
      <c r="A25" s="5" t="s">
        <v>25</v>
      </c>
      <c r="B25" s="42">
        <f>B$2*'Total Inventory (HVC)'!C25</f>
        <v>5580</v>
      </c>
      <c r="C25" s="42">
        <f>C$2*'Total Inventory (HVC)'!D25</f>
        <v>0</v>
      </c>
      <c r="D25" s="42">
        <f>D$2*'Total Inventory (HVC)'!E25</f>
        <v>0</v>
      </c>
      <c r="E25" s="42">
        <f>E$2*'Total Inventory (HVC)'!F25</f>
        <v>85952</v>
      </c>
      <c r="F25" s="42">
        <f>F$2*'Total Inventory (HVC)'!G25</f>
        <v>0</v>
      </c>
      <c r="G25" s="42">
        <f>G$2*'Total Inventory (HVC)'!H25</f>
        <v>5940</v>
      </c>
      <c r="H25" s="42">
        <f>H$2*'Total Inventory (HVC)'!I25</f>
        <v>10800</v>
      </c>
      <c r="I25" s="42">
        <f>I$2*'Total Inventory (HVC)'!J25</f>
        <v>0</v>
      </c>
      <c r="K25" s="23" t="s">
        <v>25</v>
      </c>
      <c r="L25" s="36"/>
      <c r="M25" s="36"/>
      <c r="N25" s="36"/>
      <c r="O25" s="36"/>
      <c r="P25" s="36">
        <f t="shared" si="15"/>
        <v>91532</v>
      </c>
      <c r="Q25" s="36">
        <f t="shared" si="16"/>
        <v>85952</v>
      </c>
      <c r="R25" s="36">
        <f t="shared" si="17"/>
        <v>16740</v>
      </c>
      <c r="S25" s="36"/>
      <c r="T25" s="36"/>
      <c r="U25" s="36">
        <f>$B25+$C25+$D25+$E25</f>
        <v>91532</v>
      </c>
      <c r="V25" s="36">
        <f>$E25</f>
        <v>85952</v>
      </c>
      <c r="W25" s="36">
        <f>$F25+$G25+$H25+$I25</f>
        <v>16740</v>
      </c>
      <c r="X25" s="37">
        <f t="shared" si="3"/>
        <v>388448</v>
      </c>
    </row>
    <row r="26" spans="1:24">
      <c r="A26" s="5" t="s">
        <v>64</v>
      </c>
      <c r="B26" s="42">
        <f>B$2*'Total Inventory (HVC)'!C26</f>
        <v>26640</v>
      </c>
      <c r="C26" s="42">
        <f>C$2*'Total Inventory (HVC)'!D26</f>
        <v>0</v>
      </c>
      <c r="D26" s="42">
        <f>D$2*'Total Inventory (HVC)'!E26</f>
        <v>0</v>
      </c>
      <c r="E26" s="42">
        <f>E$2*'Total Inventory (HVC)'!F26</f>
        <v>164672</v>
      </c>
      <c r="F26" s="42">
        <f>F$2*'Total Inventory (HVC)'!G26</f>
        <v>0</v>
      </c>
      <c r="G26" s="42">
        <f>G$2*'Total Inventory (HVC)'!H26</f>
        <v>63990</v>
      </c>
      <c r="H26" s="42">
        <f>H$2*'Total Inventory (HVC)'!I26</f>
        <v>0</v>
      </c>
      <c r="I26" s="42">
        <f>I$2*'Total Inventory (HVC)'!J26</f>
        <v>12240</v>
      </c>
      <c r="K26" s="23" t="s">
        <v>64</v>
      </c>
      <c r="L26" s="36"/>
      <c r="M26" s="36"/>
      <c r="N26" s="36"/>
      <c r="O26" s="38"/>
      <c r="P26" s="36">
        <f t="shared" si="15"/>
        <v>191312</v>
      </c>
      <c r="Q26" s="36">
        <f t="shared" si="16"/>
        <v>164672</v>
      </c>
      <c r="R26" s="36">
        <f t="shared" si="17"/>
        <v>76230</v>
      </c>
      <c r="S26" s="36"/>
      <c r="T26" s="36"/>
      <c r="U26" s="36">
        <f>$B26+$C26+$D26+$E26</f>
        <v>191312</v>
      </c>
      <c r="V26" s="36">
        <f>$E26</f>
        <v>164672</v>
      </c>
      <c r="W26" s="36">
        <f>$F26+$G26+$H26+$I26</f>
        <v>76230</v>
      </c>
      <c r="X26" s="37">
        <f t="shared" si="3"/>
        <v>864428</v>
      </c>
    </row>
    <row r="27" spans="1:24">
      <c r="A27" s="5" t="s">
        <v>72</v>
      </c>
      <c r="B27" s="42">
        <f>B$2*'Total Inventory (HVC)'!C27</f>
        <v>10260</v>
      </c>
      <c r="C27" s="42">
        <f>C$2*'Total Inventory (HVC)'!D27</f>
        <v>0</v>
      </c>
      <c r="D27" s="42">
        <f>D$2*'Total Inventory (HVC)'!E27</f>
        <v>0</v>
      </c>
      <c r="E27" s="42">
        <f>E$2*'Total Inventory (HVC)'!F27</f>
        <v>125632</v>
      </c>
      <c r="F27" s="42">
        <f>F$2*'Total Inventory (HVC)'!G27</f>
        <v>0</v>
      </c>
      <c r="G27" s="42">
        <f>G$2*'Total Inventory (HVC)'!H27</f>
        <v>43470</v>
      </c>
      <c r="H27" s="42">
        <f>H$2*'Total Inventory (HVC)'!I27</f>
        <v>0</v>
      </c>
      <c r="I27" s="42">
        <f>I$2*'Total Inventory (HVC)'!J27</f>
        <v>3600</v>
      </c>
      <c r="K27" s="23" t="s">
        <v>72</v>
      </c>
      <c r="L27" s="36">
        <f>$F27+$G27+$H27+$I27</f>
        <v>47070</v>
      </c>
      <c r="M27" s="36"/>
      <c r="N27" s="38"/>
      <c r="O27" s="38"/>
      <c r="P27" s="36">
        <f t="shared" si="15"/>
        <v>135892</v>
      </c>
      <c r="Q27" s="36">
        <f t="shared" si="16"/>
        <v>125632</v>
      </c>
      <c r="R27" s="36">
        <f t="shared" si="17"/>
        <v>47070</v>
      </c>
      <c r="S27" s="36"/>
      <c r="T27" s="36"/>
      <c r="U27" s="36"/>
      <c r="V27" s="36">
        <f>$B27+$C27+$D27+$E27</f>
        <v>135892</v>
      </c>
      <c r="W27" s="36">
        <f>$E27</f>
        <v>125632</v>
      </c>
      <c r="X27" s="37">
        <f t="shared" si="3"/>
        <v>617188</v>
      </c>
    </row>
    <row r="28" spans="1:24">
      <c r="A28" s="5" t="s">
        <v>26</v>
      </c>
      <c r="B28" s="42">
        <f>B$2*'Total Inventory (HVC)'!C28</f>
        <v>7320</v>
      </c>
      <c r="C28" s="42">
        <f>C$2*'Total Inventory (HVC)'!D28</f>
        <v>0</v>
      </c>
      <c r="D28" s="42">
        <f>D$2*'Total Inventory (HVC)'!E28</f>
        <v>0</v>
      </c>
      <c r="E28" s="42">
        <f>E$2*'Total Inventory (HVC)'!F28</f>
        <v>193408</v>
      </c>
      <c r="F28" s="42">
        <f>F$2*'Total Inventory (HVC)'!G28</f>
        <v>0</v>
      </c>
      <c r="G28" s="42">
        <f>G$2*'Total Inventory (HVC)'!H28</f>
        <v>42120</v>
      </c>
      <c r="H28" s="42">
        <f>H$2*'Total Inventory (HVC)'!I28</f>
        <v>0</v>
      </c>
      <c r="I28" s="42">
        <f>I$2*'Total Inventory (HVC)'!J28</f>
        <v>0</v>
      </c>
      <c r="K28" s="23" t="s">
        <v>26</v>
      </c>
      <c r="L28" s="36">
        <f>$F28+$G28+$H28+$I28</f>
        <v>42120</v>
      </c>
      <c r="M28" s="36"/>
      <c r="N28" s="36"/>
      <c r="O28" s="38"/>
      <c r="P28" s="36">
        <f t="shared" si="15"/>
        <v>200728</v>
      </c>
      <c r="Q28" s="36">
        <f t="shared" si="16"/>
        <v>193408</v>
      </c>
      <c r="R28" s="36">
        <f t="shared" si="17"/>
        <v>42120</v>
      </c>
      <c r="S28" s="36"/>
      <c r="T28" s="36"/>
      <c r="U28" s="36"/>
      <c r="V28" s="36">
        <f>$B28+$C28+$D28+$E28</f>
        <v>200728</v>
      </c>
      <c r="W28" s="36">
        <f>$E28</f>
        <v>193408</v>
      </c>
      <c r="X28" s="37">
        <f t="shared" si="3"/>
        <v>872512</v>
      </c>
    </row>
    <row r="29" spans="1:24">
      <c r="A29" s="5" t="s">
        <v>57</v>
      </c>
      <c r="B29" s="42">
        <f>B$2*'Total Inventory (HVC)'!C29</f>
        <v>12300</v>
      </c>
      <c r="C29" s="42">
        <f>C$2*'Total Inventory (HVC)'!D29</f>
        <v>0</v>
      </c>
      <c r="D29" s="42">
        <f>D$2*'Total Inventory (HVC)'!E29</f>
        <v>0</v>
      </c>
      <c r="E29" s="42">
        <f>E$2*'Total Inventory (HVC)'!F29</f>
        <v>198720</v>
      </c>
      <c r="F29" s="42">
        <f>F$2*'Total Inventory (HVC)'!G29</f>
        <v>0</v>
      </c>
      <c r="G29" s="42">
        <f>G$2*'Total Inventory (HVC)'!H29</f>
        <v>73170</v>
      </c>
      <c r="H29" s="42">
        <f>H$2*'Total Inventory (HVC)'!I29</f>
        <v>0</v>
      </c>
      <c r="I29" s="42">
        <f>I$2*'Total Inventory (HVC)'!J29</f>
        <v>1800</v>
      </c>
      <c r="K29" s="23" t="s">
        <v>57</v>
      </c>
      <c r="L29" s="36">
        <f>$B29+$C29+$D29+$E29</f>
        <v>211020</v>
      </c>
      <c r="M29" s="36">
        <f>$E29</f>
        <v>198720</v>
      </c>
      <c r="N29" s="36">
        <f>$B29+$C29+$D29+$E29+$F29+$G29+$H29+$I29</f>
        <v>285990</v>
      </c>
      <c r="O29" s="36">
        <f>$E29</f>
        <v>198720</v>
      </c>
      <c r="P29" s="36">
        <f>$F29+$G29+$H29+$I29</f>
        <v>74970</v>
      </c>
      <c r="Q29" s="36">
        <f>$B29+$C29+$D29+$E29</f>
        <v>211020</v>
      </c>
      <c r="R29" s="36">
        <f>$E29</f>
        <v>198720</v>
      </c>
      <c r="S29" s="36">
        <f>$F29+$G29+$H29+$I29</f>
        <v>74970</v>
      </c>
      <c r="T29" s="36"/>
      <c r="U29" s="36">
        <f>$B29+$C29+$D29+$E29</f>
        <v>211020</v>
      </c>
      <c r="V29" s="36">
        <f>$E29</f>
        <v>198720</v>
      </c>
      <c r="W29" s="36">
        <f>$F29+$G29+$H29+$I29</f>
        <v>74970</v>
      </c>
      <c r="X29" s="37">
        <f t="shared" si="3"/>
        <v>1938840</v>
      </c>
    </row>
    <row r="30" spans="1:24">
      <c r="A30" s="5" t="s">
        <v>74</v>
      </c>
      <c r="B30" s="42">
        <f>B$2*'Total Inventory (HVC)'!C30</f>
        <v>10260</v>
      </c>
      <c r="C30" s="42">
        <f>C$2*'Total Inventory (HVC)'!D30</f>
        <v>0</v>
      </c>
      <c r="D30" s="42">
        <f>D$2*'Total Inventory (HVC)'!E30</f>
        <v>0</v>
      </c>
      <c r="E30" s="42">
        <f>E$2*'Total Inventory (HVC)'!F30</f>
        <v>106560</v>
      </c>
      <c r="F30" s="42">
        <f>F$2*'Total Inventory (HVC)'!G30</f>
        <v>0</v>
      </c>
      <c r="G30" s="42">
        <f>G$2*'Total Inventory (HVC)'!H30</f>
        <v>29700</v>
      </c>
      <c r="H30" s="42">
        <f>H$2*'Total Inventory (HVC)'!I30</f>
        <v>0</v>
      </c>
      <c r="I30" s="42">
        <f>I$2*'Total Inventory (HVC)'!J30</f>
        <v>8640</v>
      </c>
      <c r="K30" s="23" t="s">
        <v>74</v>
      </c>
      <c r="L30" s="36">
        <f>$B30+$C30+$D30+$E30</f>
        <v>116820</v>
      </c>
      <c r="M30" s="36">
        <f>$E30</f>
        <v>106560</v>
      </c>
      <c r="N30" s="36">
        <f>$B30+$C30+$D30+$E30+$F30+$G30+$H30+$I30</f>
        <v>155160</v>
      </c>
      <c r="O30" s="36">
        <f>$E30</f>
        <v>106560</v>
      </c>
      <c r="P30" s="36">
        <f>$F30+$G30+$H30+$I30</f>
        <v>38340</v>
      </c>
      <c r="Q30" s="36">
        <f>$B30+$C30+$D30+$E30</f>
        <v>116820</v>
      </c>
      <c r="R30" s="36">
        <f>$E30</f>
        <v>106560</v>
      </c>
      <c r="S30" s="36">
        <f>$F30+$G30+$H30+$I30</f>
        <v>38340</v>
      </c>
      <c r="T30" s="36"/>
      <c r="U30" s="36">
        <f>$B30+$C30+$D30+$E30</f>
        <v>116820</v>
      </c>
      <c r="V30" s="36">
        <f>$E30</f>
        <v>106560</v>
      </c>
      <c r="W30" s="36">
        <f>$F30+$G30+$H30+$I30</f>
        <v>38340</v>
      </c>
      <c r="X30" s="37">
        <f t="shared" si="3"/>
        <v>1046880</v>
      </c>
    </row>
    <row r="31" spans="1:24">
      <c r="A31" s="5" t="s">
        <v>27</v>
      </c>
      <c r="B31" s="42">
        <f>B$2*'Total Inventory (HVC)'!C31</f>
        <v>4080</v>
      </c>
      <c r="C31" s="42">
        <f>C$2*'Total Inventory (HVC)'!D31</f>
        <v>0</v>
      </c>
      <c r="D31" s="42">
        <f>D$2*'Total Inventory (HVC)'!E31</f>
        <v>0</v>
      </c>
      <c r="E31" s="42">
        <f>E$2*'Total Inventory (HVC)'!F31</f>
        <v>320</v>
      </c>
      <c r="F31" s="42">
        <f>F$2*'Total Inventory (HVC)'!G31</f>
        <v>0</v>
      </c>
      <c r="G31" s="42">
        <f>G$2*'Total Inventory (HVC)'!H31</f>
        <v>15795</v>
      </c>
      <c r="H31" s="42">
        <f>H$2*'Total Inventory (HVC)'!I31</f>
        <v>21600</v>
      </c>
      <c r="I31" s="42">
        <f>I$2*'Total Inventory (HVC)'!J31</f>
        <v>0</v>
      </c>
      <c r="K31" s="23" t="s">
        <v>27</v>
      </c>
      <c r="L31" s="36">
        <f>$F31+$G31+$H31+$I31</f>
        <v>37395</v>
      </c>
      <c r="M31" s="38"/>
      <c r="N31" s="38"/>
      <c r="O31" s="38"/>
      <c r="P31" s="36">
        <f t="shared" ref="P31:P36" si="18">$B31+$C31+$D31+$E31</f>
        <v>4400</v>
      </c>
      <c r="Q31" s="36">
        <f t="shared" ref="Q31:Q36" si="19">$E31</f>
        <v>320</v>
      </c>
      <c r="R31" s="36">
        <f t="shared" ref="R31:R36" si="20">$F31+$G31+$H31+$I31</f>
        <v>37395</v>
      </c>
      <c r="S31" s="36"/>
      <c r="T31" s="36"/>
      <c r="U31" s="36"/>
      <c r="V31" s="36">
        <f>$B31+$C31+$D31+$E31</f>
        <v>4400</v>
      </c>
      <c r="W31" s="36">
        <f>$E31</f>
        <v>320</v>
      </c>
      <c r="X31" s="37">
        <f t="shared" si="3"/>
        <v>84230</v>
      </c>
    </row>
    <row r="32" spans="1:24">
      <c r="A32" s="5" t="s">
        <v>28</v>
      </c>
      <c r="B32" s="42">
        <f>B$2*'Total Inventory (HVC)'!C32</f>
        <v>12300</v>
      </c>
      <c r="C32" s="42">
        <f>C$2*'Total Inventory (HVC)'!D32</f>
        <v>2250</v>
      </c>
      <c r="D32" s="42">
        <f>D$2*'Total Inventory (HVC)'!E32</f>
        <v>0</v>
      </c>
      <c r="E32" s="42">
        <f>E$2*'Total Inventory (HVC)'!F32</f>
        <v>0</v>
      </c>
      <c r="F32" s="42">
        <f>F$2*'Total Inventory (HVC)'!G32</f>
        <v>0</v>
      </c>
      <c r="G32" s="42">
        <f>G$2*'Total Inventory (HVC)'!H32</f>
        <v>13230</v>
      </c>
      <c r="H32" s="42">
        <f>H$2*'Total Inventory (HVC)'!I32</f>
        <v>21600</v>
      </c>
      <c r="I32" s="42">
        <f>I$2*'Total Inventory (HVC)'!J32</f>
        <v>0</v>
      </c>
      <c r="K32" s="23" t="s">
        <v>28</v>
      </c>
      <c r="L32" s="38"/>
      <c r="M32" s="38"/>
      <c r="N32" s="38"/>
      <c r="O32" s="38"/>
      <c r="P32" s="36">
        <f t="shared" si="18"/>
        <v>14550</v>
      </c>
      <c r="Q32" s="36">
        <f t="shared" si="19"/>
        <v>0</v>
      </c>
      <c r="R32" s="36">
        <f t="shared" si="20"/>
        <v>34830</v>
      </c>
      <c r="S32" s="36"/>
      <c r="T32" s="36"/>
      <c r="U32" s="36">
        <f>$B32+$C32+$D32+$E32</f>
        <v>14550</v>
      </c>
      <c r="V32" s="36">
        <f>$E32</f>
        <v>0</v>
      </c>
      <c r="W32" s="36">
        <f>$F32+$G32+$H32+$I32</f>
        <v>34830</v>
      </c>
      <c r="X32" s="37">
        <f t="shared" si="3"/>
        <v>98760</v>
      </c>
    </row>
    <row r="33" spans="1:24">
      <c r="A33" s="5" t="s">
        <v>29</v>
      </c>
      <c r="B33" s="42">
        <f>B$2*'Total Inventory (HVC)'!C33</f>
        <v>12000</v>
      </c>
      <c r="C33" s="42">
        <f>C$2*'Total Inventory (HVC)'!D33</f>
        <v>0</v>
      </c>
      <c r="D33" s="42">
        <f>D$2*'Total Inventory (HVC)'!E33</f>
        <v>0</v>
      </c>
      <c r="E33" s="42">
        <f>E$2*'Total Inventory (HVC)'!F33</f>
        <v>0</v>
      </c>
      <c r="F33" s="42">
        <f>F$2*'Total Inventory (HVC)'!G33</f>
        <v>0</v>
      </c>
      <c r="G33" s="42">
        <f>G$2*'Total Inventory (HVC)'!H33</f>
        <v>29700</v>
      </c>
      <c r="H33" s="42">
        <f>H$2*'Total Inventory (HVC)'!I33</f>
        <v>32400</v>
      </c>
      <c r="I33" s="42">
        <f>I$2*'Total Inventory (HVC)'!J33</f>
        <v>1800</v>
      </c>
      <c r="K33" s="23" t="s">
        <v>29</v>
      </c>
      <c r="L33" s="36">
        <f>$F33+$G33+$H33+$I33</f>
        <v>63900</v>
      </c>
      <c r="M33" s="36"/>
      <c r="N33" s="38"/>
      <c r="O33" s="36"/>
      <c r="P33" s="36">
        <f t="shared" si="18"/>
        <v>12000</v>
      </c>
      <c r="Q33" s="36">
        <f t="shared" si="19"/>
        <v>0</v>
      </c>
      <c r="R33" s="36">
        <f t="shared" si="20"/>
        <v>63900</v>
      </c>
      <c r="S33" s="36"/>
      <c r="T33" s="36"/>
      <c r="U33" s="36"/>
      <c r="V33" s="36">
        <f>$B33+$C33+$D33+$E33</f>
        <v>12000</v>
      </c>
      <c r="W33" s="36">
        <f>$E33</f>
        <v>0</v>
      </c>
      <c r="X33" s="37">
        <f t="shared" si="3"/>
        <v>151800</v>
      </c>
    </row>
    <row r="34" spans="1:24">
      <c r="A34" s="5" t="s">
        <v>30</v>
      </c>
      <c r="B34" s="42">
        <f>B$2*'Total Inventory (HVC)'!C34</f>
        <v>20820</v>
      </c>
      <c r="C34" s="42">
        <f>C$2*'Total Inventory (HVC)'!D34</f>
        <v>0</v>
      </c>
      <c r="D34" s="42">
        <f>D$2*'Total Inventory (HVC)'!E34</f>
        <v>0</v>
      </c>
      <c r="E34" s="42">
        <f>E$2*'Total Inventory (HVC)'!F34</f>
        <v>0</v>
      </c>
      <c r="F34" s="42">
        <f>F$2*'Total Inventory (HVC)'!G34</f>
        <v>0</v>
      </c>
      <c r="G34" s="42">
        <f>G$2*'Total Inventory (HVC)'!H34</f>
        <v>15120</v>
      </c>
      <c r="H34" s="42">
        <f>H$2*'Total Inventory (HVC)'!I34</f>
        <v>43200</v>
      </c>
      <c r="I34" s="42">
        <f>I$2*'Total Inventory (HVC)'!J34</f>
        <v>0</v>
      </c>
      <c r="K34" s="23" t="s">
        <v>30</v>
      </c>
      <c r="L34" s="38"/>
      <c r="M34" s="36"/>
      <c r="N34" s="38"/>
      <c r="O34" s="36"/>
      <c r="P34" s="36">
        <f t="shared" si="18"/>
        <v>20820</v>
      </c>
      <c r="Q34" s="36">
        <f t="shared" si="19"/>
        <v>0</v>
      </c>
      <c r="R34" s="36">
        <f t="shared" si="20"/>
        <v>58320</v>
      </c>
      <c r="S34" s="36"/>
      <c r="T34" s="36"/>
      <c r="U34" s="36">
        <f>$B34+$C34+$D34+$E34</f>
        <v>20820</v>
      </c>
      <c r="V34" s="36">
        <f>$E34</f>
        <v>0</v>
      </c>
      <c r="W34" s="36">
        <f>$F34+$G34+$H34+$I34</f>
        <v>58320</v>
      </c>
      <c r="X34" s="37">
        <f t="shared" si="3"/>
        <v>158280</v>
      </c>
    </row>
    <row r="35" spans="1:24">
      <c r="A35" s="5" t="s">
        <v>31</v>
      </c>
      <c r="B35" s="42">
        <f>B$2*'Total Inventory (HVC)'!C35</f>
        <v>11400</v>
      </c>
      <c r="C35" s="42">
        <f>C$2*'Total Inventory (HVC)'!D35</f>
        <v>0</v>
      </c>
      <c r="D35" s="42">
        <f>D$2*'Total Inventory (HVC)'!E35</f>
        <v>0</v>
      </c>
      <c r="E35" s="42">
        <f>E$2*'Total Inventory (HVC)'!F35</f>
        <v>960</v>
      </c>
      <c r="F35" s="42">
        <f>F$2*'Total Inventory (HVC)'!G35</f>
        <v>0</v>
      </c>
      <c r="G35" s="42">
        <f>G$2*'Total Inventory (HVC)'!H35</f>
        <v>9180</v>
      </c>
      <c r="H35" s="42">
        <f>H$2*'Total Inventory (HVC)'!I35</f>
        <v>0</v>
      </c>
      <c r="I35" s="42">
        <f>I$2*'Total Inventory (HVC)'!J35</f>
        <v>0</v>
      </c>
      <c r="K35" s="23" t="s">
        <v>31</v>
      </c>
      <c r="L35" s="36">
        <f>$F35+$G35+$H35+$I35</f>
        <v>9180</v>
      </c>
      <c r="M35" s="36"/>
      <c r="N35" s="38"/>
      <c r="O35" s="38"/>
      <c r="P35" s="36">
        <f t="shared" si="18"/>
        <v>12360</v>
      </c>
      <c r="Q35" s="36">
        <f t="shared" si="19"/>
        <v>960</v>
      </c>
      <c r="R35" s="36">
        <f t="shared" si="20"/>
        <v>9180</v>
      </c>
      <c r="S35" s="36"/>
      <c r="T35" s="36"/>
      <c r="U35" s="36"/>
      <c r="V35" s="36">
        <f>$B35+$C35+$D35+$E35</f>
        <v>12360</v>
      </c>
      <c r="W35" s="36">
        <f>$E35</f>
        <v>960</v>
      </c>
      <c r="X35" s="37">
        <f t="shared" si="3"/>
        <v>45000</v>
      </c>
    </row>
    <row r="36" spans="1:24">
      <c r="A36" s="5" t="s">
        <v>32</v>
      </c>
      <c r="B36" s="42">
        <f>B$2*'Total Inventory (HVC)'!C36</f>
        <v>2940</v>
      </c>
      <c r="C36" s="42">
        <f>C$2*'Total Inventory (HVC)'!D36</f>
        <v>0</v>
      </c>
      <c r="D36" s="42">
        <f>D$2*'Total Inventory (HVC)'!E36</f>
        <v>0</v>
      </c>
      <c r="E36" s="42">
        <f>E$2*'Total Inventory (HVC)'!F36</f>
        <v>19392</v>
      </c>
      <c r="F36" s="42">
        <f>F$2*'Total Inventory (HVC)'!G36</f>
        <v>0</v>
      </c>
      <c r="G36" s="42">
        <f>G$2*'Total Inventory (HVC)'!H36</f>
        <v>13905</v>
      </c>
      <c r="H36" s="42">
        <f>H$2*'Total Inventory (HVC)'!I36</f>
        <v>0</v>
      </c>
      <c r="I36" s="42">
        <f>I$2*'Total Inventory (HVC)'!J36</f>
        <v>3600</v>
      </c>
      <c r="K36" s="23" t="s">
        <v>32</v>
      </c>
      <c r="L36" s="36">
        <f>$F36+$G36+$H36+$I36</f>
        <v>17505</v>
      </c>
      <c r="M36" s="36"/>
      <c r="N36" s="36"/>
      <c r="O36" s="36"/>
      <c r="P36" s="36">
        <f t="shared" si="18"/>
        <v>22332</v>
      </c>
      <c r="Q36" s="36">
        <f t="shared" si="19"/>
        <v>19392</v>
      </c>
      <c r="R36" s="36">
        <f t="shared" si="20"/>
        <v>17505</v>
      </c>
      <c r="S36" s="36"/>
      <c r="T36" s="36">
        <f>$B36+$C36+$D36+$E36</f>
        <v>22332</v>
      </c>
      <c r="U36" s="36">
        <f>$E36</f>
        <v>19392</v>
      </c>
      <c r="V36" s="36">
        <f>$F36+$G36+$H36+$I36+$B36+$C36+$D36+$E36</f>
        <v>39837</v>
      </c>
      <c r="W36" s="36">
        <f>$E36</f>
        <v>19392</v>
      </c>
      <c r="X36" s="37">
        <f t="shared" si="3"/>
        <v>177687</v>
      </c>
    </row>
    <row r="37" spans="1:24">
      <c r="A37" s="5" t="s">
        <v>33</v>
      </c>
      <c r="B37" s="42">
        <f>B$2*'Total Inventory (HVC)'!C37</f>
        <v>1200</v>
      </c>
      <c r="C37" s="42">
        <f>C$2*'Total Inventory (HVC)'!D37</f>
        <v>0</v>
      </c>
      <c r="D37" s="42">
        <f>D$2*'Total Inventory (HVC)'!E37</f>
        <v>0</v>
      </c>
      <c r="E37" s="42">
        <f>E$2*'Total Inventory (HVC)'!F37</f>
        <v>11264</v>
      </c>
      <c r="F37" s="42">
        <f>F$2*'Total Inventory (HVC)'!G37</f>
        <v>0</v>
      </c>
      <c r="G37" s="42">
        <f>G$2*'Total Inventory (HVC)'!H37</f>
        <v>17820</v>
      </c>
      <c r="H37" s="42">
        <f>H$2*'Total Inventory (HVC)'!I37</f>
        <v>0</v>
      </c>
      <c r="I37" s="42">
        <f>I$2*'Total Inventory (HVC)'!J37</f>
        <v>3600</v>
      </c>
      <c r="K37" s="23" t="s">
        <v>33</v>
      </c>
      <c r="L37" s="36">
        <f>$B37+$C37+$D37+$E37</f>
        <v>12464</v>
      </c>
      <c r="M37" s="36">
        <f>$E37</f>
        <v>11264</v>
      </c>
      <c r="N37" s="36">
        <f>$B37+$C37+$D37+$E37+$F37+$G37+$H37+$I37</f>
        <v>33884</v>
      </c>
      <c r="O37" s="36">
        <f>$E37</f>
        <v>11264</v>
      </c>
      <c r="P37" s="36">
        <f>$F37+$G37+$H37+$I37</f>
        <v>21420</v>
      </c>
      <c r="Q37" s="36">
        <f>$B37+$C37+$D37+$E37</f>
        <v>12464</v>
      </c>
      <c r="R37" s="36">
        <f>$E37</f>
        <v>11264</v>
      </c>
      <c r="S37" s="36">
        <f>$F37+$G37+$H37+$I37</f>
        <v>21420</v>
      </c>
      <c r="T37" s="36"/>
      <c r="U37" s="36">
        <f>$B37+$C37+$D37+$E37</f>
        <v>12464</v>
      </c>
      <c r="V37" s="36">
        <f>$E37</f>
        <v>11264</v>
      </c>
      <c r="W37" s="36">
        <f>$F37+$G37+$H37+$I37</f>
        <v>21420</v>
      </c>
      <c r="X37" s="37">
        <f t="shared" si="3"/>
        <v>180592</v>
      </c>
    </row>
    <row r="38" spans="1:24">
      <c r="A38" s="5" t="s">
        <v>34</v>
      </c>
      <c r="B38" s="42">
        <f>B$2*'Total Inventory (HVC)'!C38</f>
        <v>3240</v>
      </c>
      <c r="C38" s="42">
        <f>C$2*'Total Inventory (HVC)'!D38</f>
        <v>0</v>
      </c>
      <c r="D38" s="42">
        <f>D$2*'Total Inventory (HVC)'!E38</f>
        <v>0</v>
      </c>
      <c r="E38" s="42">
        <f>E$2*'Total Inventory (HVC)'!F38</f>
        <v>112192</v>
      </c>
      <c r="F38" s="42">
        <f>F$2*'Total Inventory (HVC)'!G38</f>
        <v>0</v>
      </c>
      <c r="G38" s="42">
        <f>G$2*'Total Inventory (HVC)'!H38</f>
        <v>42120</v>
      </c>
      <c r="H38" s="42">
        <f>H$2*'Total Inventory (HVC)'!I38</f>
        <v>43200</v>
      </c>
      <c r="I38" s="42">
        <f>I$2*'Total Inventory (HVC)'!J38</f>
        <v>21240</v>
      </c>
      <c r="K38" s="23" t="s">
        <v>34</v>
      </c>
      <c r="L38" s="36">
        <f>$F38+$G38+$H38+$I38</f>
        <v>106560</v>
      </c>
      <c r="M38" s="36"/>
      <c r="N38" s="36"/>
      <c r="O38" s="36"/>
      <c r="P38" s="36">
        <f>$B38+$C38+$D38+$E38</f>
        <v>115432</v>
      </c>
      <c r="Q38" s="36">
        <f>$E38</f>
        <v>112192</v>
      </c>
      <c r="R38" s="36">
        <f>$F38+$G38+$H38+$I38</f>
        <v>106560</v>
      </c>
      <c r="S38" s="36"/>
      <c r="T38" s="36">
        <f>$B38+$C38+$D38+$E38</f>
        <v>115432</v>
      </c>
      <c r="U38" s="36">
        <f>$E38</f>
        <v>112192</v>
      </c>
      <c r="V38" s="36">
        <f>$F38+$G38+$H38+$I38+$B38+$C38+$D38+$E38</f>
        <v>221992</v>
      </c>
      <c r="W38" s="36">
        <f>$E38</f>
        <v>112192</v>
      </c>
      <c r="X38" s="37">
        <f t="shared" si="3"/>
        <v>1002552</v>
      </c>
    </row>
    <row r="39" spans="1:24">
      <c r="A39" s="5" t="s">
        <v>35</v>
      </c>
      <c r="B39" s="42">
        <f>B$2*'Total Inventory (HVC)'!C39</f>
        <v>2040</v>
      </c>
      <c r="C39" s="42">
        <f>C$2*'Total Inventory (HVC)'!D39</f>
        <v>0</v>
      </c>
      <c r="D39" s="42">
        <f>D$2*'Total Inventory (HVC)'!E39</f>
        <v>0</v>
      </c>
      <c r="E39" s="42">
        <f>E$2*'Total Inventory (HVC)'!F39</f>
        <v>25600</v>
      </c>
      <c r="F39" s="42">
        <f>F$2*'Total Inventory (HVC)'!G39</f>
        <v>0</v>
      </c>
      <c r="G39" s="42">
        <f>G$2*'Total Inventory (HVC)'!H39</f>
        <v>3915</v>
      </c>
      <c r="H39" s="42">
        <f>H$2*'Total Inventory (HVC)'!I39</f>
        <v>0</v>
      </c>
      <c r="I39" s="42">
        <f>I$2*'Total Inventory (HVC)'!J39</f>
        <v>0</v>
      </c>
      <c r="K39" s="23" t="s">
        <v>35</v>
      </c>
      <c r="L39" s="36">
        <f>$B39+$C39+$D39+$E39</f>
        <v>27640</v>
      </c>
      <c r="M39" s="36">
        <f>$E39</f>
        <v>25600</v>
      </c>
      <c r="N39" s="36">
        <f>$B39+$C39+$D39+$E39+$F39+$G39+$H39+$I39</f>
        <v>31555</v>
      </c>
      <c r="O39" s="36">
        <f>$E39</f>
        <v>25600</v>
      </c>
      <c r="P39" s="36">
        <f>$F39+$G39+$H39+$I39</f>
        <v>3915</v>
      </c>
      <c r="Q39" s="36">
        <f>$B39+$C39+$D39+$E39</f>
        <v>27640</v>
      </c>
      <c r="R39" s="36">
        <f>$E39</f>
        <v>25600</v>
      </c>
      <c r="S39" s="36">
        <f>$F39+$G39+$H39+$I39</f>
        <v>3915</v>
      </c>
      <c r="T39" s="36"/>
      <c r="U39" s="36">
        <f>$B39+$C39+$D39+$E39</f>
        <v>27640</v>
      </c>
      <c r="V39" s="36">
        <f>$E39</f>
        <v>25600</v>
      </c>
      <c r="W39" s="36">
        <f>$F39+$G39+$H39+$I39</f>
        <v>3915</v>
      </c>
      <c r="X39" s="37">
        <f t="shared" si="3"/>
        <v>228620</v>
      </c>
    </row>
    <row r="40" spans="1:24">
      <c r="A40" s="5" t="s">
        <v>36</v>
      </c>
      <c r="B40" s="42">
        <f>B$2*'Total Inventory (HVC)'!C40</f>
        <v>2040</v>
      </c>
      <c r="C40" s="42">
        <f>C$2*'Total Inventory (HVC)'!D40</f>
        <v>0</v>
      </c>
      <c r="D40" s="42">
        <f>D$2*'Total Inventory (HVC)'!E40</f>
        <v>0</v>
      </c>
      <c r="E40" s="42">
        <f>E$2*'Total Inventory (HVC)'!F40</f>
        <v>11264</v>
      </c>
      <c r="F40" s="42">
        <f>F$2*'Total Inventory (HVC)'!G40</f>
        <v>0</v>
      </c>
      <c r="G40" s="42">
        <f>G$2*'Total Inventory (HVC)'!H40</f>
        <v>19710</v>
      </c>
      <c r="H40" s="42">
        <f>H$2*'Total Inventory (HVC)'!I40</f>
        <v>0</v>
      </c>
      <c r="I40" s="42">
        <f>I$2*'Total Inventory (HVC)'!J40</f>
        <v>3600</v>
      </c>
      <c r="K40" s="23" t="s">
        <v>36</v>
      </c>
      <c r="L40" s="36">
        <f>$F40+$G40+$H40+$I40</f>
        <v>23310</v>
      </c>
      <c r="M40" s="36"/>
      <c r="N40" s="36"/>
      <c r="O40" s="36"/>
      <c r="P40" s="36">
        <f>$B40+$C40+$D40+$E40</f>
        <v>13304</v>
      </c>
      <c r="Q40" s="36">
        <f>$E40</f>
        <v>11264</v>
      </c>
      <c r="R40" s="36">
        <f>$F40+$G40+$H40+$I40</f>
        <v>23310</v>
      </c>
      <c r="S40" s="36"/>
      <c r="T40" s="36"/>
      <c r="U40" s="36"/>
      <c r="V40" s="36">
        <f>$B40+$C40+$D40+$E40</f>
        <v>13304</v>
      </c>
      <c r="W40" s="36">
        <f>$E40</f>
        <v>11264</v>
      </c>
      <c r="X40" s="37">
        <f t="shared" si="3"/>
        <v>95756</v>
      </c>
    </row>
    <row r="41" spans="1:24">
      <c r="A41" s="5" t="s">
        <v>37</v>
      </c>
      <c r="B41" s="42">
        <f>B$2*'Total Inventory (HVC)'!C41</f>
        <v>2040</v>
      </c>
      <c r="C41" s="42">
        <f>C$2*'Total Inventory (HVC)'!D41</f>
        <v>0</v>
      </c>
      <c r="D41" s="42">
        <f>D$2*'Total Inventory (HVC)'!E41</f>
        <v>0</v>
      </c>
      <c r="E41" s="42">
        <f>E$2*'Total Inventory (HVC)'!F41</f>
        <v>13440</v>
      </c>
      <c r="F41" s="42">
        <f>F$2*'Total Inventory (HVC)'!G41</f>
        <v>0</v>
      </c>
      <c r="G41" s="42">
        <f>G$2*'Total Inventory (HVC)'!H41</f>
        <v>21735</v>
      </c>
      <c r="H41" s="42">
        <f>H$2*'Total Inventory (HVC)'!I41</f>
        <v>0</v>
      </c>
      <c r="I41" s="42">
        <f>I$2*'Total Inventory (HVC)'!J41</f>
        <v>3600</v>
      </c>
      <c r="K41" s="23" t="s">
        <v>37</v>
      </c>
      <c r="L41" s="36">
        <f>$B41+$C41+$D41+$E41</f>
        <v>15480</v>
      </c>
      <c r="M41" s="36">
        <f>$E41</f>
        <v>13440</v>
      </c>
      <c r="N41" s="36">
        <f>$B41+$C41+$D41+$E41+$F41+$G41+$H41+$I41</f>
        <v>40815</v>
      </c>
      <c r="O41" s="36">
        <f>$E41</f>
        <v>13440</v>
      </c>
      <c r="P41" s="36">
        <f>$F41+$G41+$H41+$I41</f>
        <v>25335</v>
      </c>
      <c r="Q41" s="36">
        <f>$B41+$C41+$D41+$E41</f>
        <v>15480</v>
      </c>
      <c r="R41" s="36">
        <f>$E41</f>
        <v>13440</v>
      </c>
      <c r="S41" s="36">
        <f>$F41+$G41+$H41+$I41</f>
        <v>25335</v>
      </c>
      <c r="T41" s="36"/>
      <c r="U41" s="36">
        <f>$B41+$C41+$D41+$E41</f>
        <v>15480</v>
      </c>
      <c r="V41" s="36">
        <f>$E41</f>
        <v>13440</v>
      </c>
      <c r="W41" s="36">
        <f>$F41+$G41+$H41+$I41</f>
        <v>25335</v>
      </c>
      <c r="X41" s="37">
        <f t="shared" si="3"/>
        <v>217020</v>
      </c>
    </row>
    <row r="42" spans="1:24">
      <c r="A42" s="5" t="s">
        <v>38</v>
      </c>
      <c r="B42" s="42">
        <f>B$2*'Total Inventory (HVC)'!C42</f>
        <v>1740</v>
      </c>
      <c r="C42" s="42">
        <f>C$2*'Total Inventory (HVC)'!D42</f>
        <v>0</v>
      </c>
      <c r="D42" s="42">
        <f>D$2*'Total Inventory (HVC)'!E42</f>
        <v>0</v>
      </c>
      <c r="E42" s="42">
        <f>E$2*'Total Inventory (HVC)'!F42</f>
        <v>2816</v>
      </c>
      <c r="F42" s="42">
        <f>F$2*'Total Inventory (HVC)'!G42</f>
        <v>0</v>
      </c>
      <c r="G42" s="42">
        <f>G$2*'Total Inventory (HVC)'!H42</f>
        <v>21060</v>
      </c>
      <c r="H42" s="42">
        <f>H$2*'Total Inventory (HVC)'!I42</f>
        <v>0</v>
      </c>
      <c r="I42" s="42">
        <f>I$2*'Total Inventory (HVC)'!J42</f>
        <v>0</v>
      </c>
      <c r="K42" s="23" t="s">
        <v>38</v>
      </c>
      <c r="L42" s="36"/>
      <c r="M42" s="36"/>
      <c r="N42" s="36"/>
      <c r="O42" s="36"/>
      <c r="P42" s="36">
        <f t="shared" ref="P42:P47" si="21">$B42+$C42+$D42+$E42</f>
        <v>4556</v>
      </c>
      <c r="Q42" s="36">
        <f t="shared" ref="Q42:Q47" si="22">$E42</f>
        <v>2816</v>
      </c>
      <c r="R42" s="36">
        <f t="shared" ref="R42:R47" si="23">$F42+$G42+$H42+$I42</f>
        <v>21060</v>
      </c>
      <c r="S42" s="36"/>
      <c r="T42" s="36"/>
      <c r="U42" s="36">
        <f>$B42+$C42+$D42+$E42</f>
        <v>4556</v>
      </c>
      <c r="V42" s="36">
        <f>$E42</f>
        <v>2816</v>
      </c>
      <c r="W42" s="36">
        <f>$F42+$G42+$H42+$I42</f>
        <v>21060</v>
      </c>
      <c r="X42" s="37">
        <f t="shared" si="3"/>
        <v>56864</v>
      </c>
    </row>
    <row r="43" spans="1:24">
      <c r="A43" s="5" t="s">
        <v>39</v>
      </c>
      <c r="B43" s="42">
        <f>B$2*'Total Inventory (HVC)'!C43</f>
        <v>7020</v>
      </c>
      <c r="C43" s="42">
        <f>C$2*'Total Inventory (HVC)'!D43</f>
        <v>750</v>
      </c>
      <c r="D43" s="42">
        <f>D$2*'Total Inventory (HVC)'!E43</f>
        <v>0</v>
      </c>
      <c r="E43" s="42">
        <f>E$2*'Total Inventory (HVC)'!F43</f>
        <v>2496</v>
      </c>
      <c r="F43" s="42">
        <f>F$2*'Total Inventory (HVC)'!G43</f>
        <v>0</v>
      </c>
      <c r="G43" s="42">
        <f>G$2*'Total Inventory (HVC)'!H43</f>
        <v>9180</v>
      </c>
      <c r="H43" s="42">
        <f>H$2*'Total Inventory (HVC)'!I43</f>
        <v>32400</v>
      </c>
      <c r="I43" s="42">
        <f>I$2*'Total Inventory (HVC)'!J43</f>
        <v>0</v>
      </c>
      <c r="K43" s="23" t="s">
        <v>39</v>
      </c>
      <c r="L43" s="36">
        <f>$F43+$G43+$H43+$I43</f>
        <v>41580</v>
      </c>
      <c r="M43" s="36"/>
      <c r="N43" s="36"/>
      <c r="O43" s="36"/>
      <c r="P43" s="36">
        <f t="shared" si="21"/>
        <v>10266</v>
      </c>
      <c r="Q43" s="36">
        <f t="shared" si="22"/>
        <v>2496</v>
      </c>
      <c r="R43" s="36">
        <f t="shared" si="23"/>
        <v>41580</v>
      </c>
      <c r="S43" s="36"/>
      <c r="T43" s="36">
        <f>$B43+$C43+$D43+$E43</f>
        <v>10266</v>
      </c>
      <c r="U43" s="36">
        <f>$E43</f>
        <v>2496</v>
      </c>
      <c r="V43" s="36">
        <f>$F43+$G43+$H43+$I43+$B43+$C43+$D43+$E43</f>
        <v>51846</v>
      </c>
      <c r="W43" s="36">
        <f>$E43</f>
        <v>2496</v>
      </c>
      <c r="X43" s="37">
        <f t="shared" si="3"/>
        <v>163026</v>
      </c>
    </row>
    <row r="44" spans="1:24">
      <c r="A44" s="5" t="s">
        <v>40</v>
      </c>
      <c r="B44" s="42">
        <f>B$2*'Total Inventory (HVC)'!C44</f>
        <v>1740</v>
      </c>
      <c r="C44" s="42">
        <f>C$2*'Total Inventory (HVC)'!D44</f>
        <v>0</v>
      </c>
      <c r="D44" s="42">
        <f>D$2*'Total Inventory (HVC)'!E44</f>
        <v>0</v>
      </c>
      <c r="E44" s="42">
        <f>E$2*'Total Inventory (HVC)'!F44</f>
        <v>2176</v>
      </c>
      <c r="F44" s="42">
        <f>F$2*'Total Inventory (HVC)'!G44</f>
        <v>0</v>
      </c>
      <c r="G44" s="42">
        <f>G$2*'Total Inventory (HVC)'!H44</f>
        <v>23085</v>
      </c>
      <c r="H44" s="42">
        <f>H$2*'Total Inventory (HVC)'!I44</f>
        <v>21600</v>
      </c>
      <c r="I44" s="42">
        <f>I$2*'Total Inventory (HVC)'!J44</f>
        <v>0</v>
      </c>
      <c r="K44" s="23" t="s">
        <v>40</v>
      </c>
      <c r="L44" s="36">
        <f>$F44+$G44+$H44+$I44</f>
        <v>44685</v>
      </c>
      <c r="M44" s="36"/>
      <c r="N44" s="36"/>
      <c r="O44" s="36"/>
      <c r="P44" s="36">
        <f t="shared" si="21"/>
        <v>3916</v>
      </c>
      <c r="Q44" s="36">
        <f t="shared" si="22"/>
        <v>2176</v>
      </c>
      <c r="R44" s="36">
        <f t="shared" si="23"/>
        <v>44685</v>
      </c>
      <c r="S44" s="36"/>
      <c r="T44" s="36"/>
      <c r="U44" s="36"/>
      <c r="V44" s="36">
        <f>$B44+$C44+$D44+$E44</f>
        <v>3916</v>
      </c>
      <c r="W44" s="36">
        <f>$E44</f>
        <v>2176</v>
      </c>
      <c r="X44" s="37">
        <f t="shared" si="3"/>
        <v>101554</v>
      </c>
    </row>
    <row r="45" spans="1:24">
      <c r="A45" s="5" t="s">
        <v>41</v>
      </c>
      <c r="B45" s="42">
        <f>B$2*'Total Inventory (HVC)'!C45</f>
        <v>6720</v>
      </c>
      <c r="C45" s="42">
        <f>C$2*'Total Inventory (HVC)'!D45</f>
        <v>0</v>
      </c>
      <c r="D45" s="42">
        <f>D$2*'Total Inventory (HVC)'!E45</f>
        <v>0</v>
      </c>
      <c r="E45" s="42">
        <f>E$2*'Total Inventory (HVC)'!F45</f>
        <v>4992</v>
      </c>
      <c r="F45" s="42">
        <f>F$2*'Total Inventory (HVC)'!G45</f>
        <v>0</v>
      </c>
      <c r="G45" s="42">
        <f>G$2*'Total Inventory (HVC)'!H45</f>
        <v>675</v>
      </c>
      <c r="H45" s="42">
        <f>H$2*'Total Inventory (HVC)'!I45</f>
        <v>0</v>
      </c>
      <c r="I45" s="42">
        <f>I$2*'Total Inventory (HVC)'!J45</f>
        <v>0</v>
      </c>
      <c r="K45" s="23" t="s">
        <v>41</v>
      </c>
      <c r="L45" s="36">
        <f>$F45+$G45+$H45+$I45</f>
        <v>675</v>
      </c>
      <c r="M45" s="36"/>
      <c r="N45" s="36"/>
      <c r="O45" s="36"/>
      <c r="P45" s="36">
        <f t="shared" si="21"/>
        <v>11712</v>
      </c>
      <c r="Q45" s="36">
        <f t="shared" si="22"/>
        <v>4992</v>
      </c>
      <c r="R45" s="36">
        <f t="shared" si="23"/>
        <v>675</v>
      </c>
      <c r="S45" s="36"/>
      <c r="T45" s="36"/>
      <c r="U45" s="36"/>
      <c r="V45" s="36">
        <f>$B45+$C45+$D45+$E45</f>
        <v>11712</v>
      </c>
      <c r="W45" s="36">
        <f>$E45</f>
        <v>4992</v>
      </c>
      <c r="X45" s="37">
        <f t="shared" si="3"/>
        <v>34758</v>
      </c>
    </row>
    <row r="46" spans="1:24">
      <c r="A46" s="5" t="s">
        <v>42</v>
      </c>
      <c r="B46" s="42">
        <f>B$2*'Total Inventory (HVC)'!C46</f>
        <v>3240</v>
      </c>
      <c r="C46" s="42">
        <f>C$2*'Total Inventory (HVC)'!D46</f>
        <v>0</v>
      </c>
      <c r="D46" s="42">
        <f>D$2*'Total Inventory (HVC)'!E46</f>
        <v>528</v>
      </c>
      <c r="E46" s="42">
        <f>E$2*'Total Inventory (HVC)'!F46</f>
        <v>9664</v>
      </c>
      <c r="F46" s="42">
        <f>F$2*'Total Inventory (HVC)'!G46</f>
        <v>0</v>
      </c>
      <c r="G46" s="42">
        <f>G$2*'Total Inventory (HVC)'!H46</f>
        <v>23760</v>
      </c>
      <c r="H46" s="42">
        <f>H$2*'Total Inventory (HVC)'!I46</f>
        <v>62640</v>
      </c>
      <c r="I46" s="42">
        <f>I$2*'Total Inventory (HVC)'!J46</f>
        <v>1800</v>
      </c>
      <c r="K46" s="23" t="s">
        <v>42</v>
      </c>
      <c r="L46" s="38"/>
      <c r="M46" s="36"/>
      <c r="N46" s="36"/>
      <c r="O46" s="36"/>
      <c r="P46" s="36">
        <f t="shared" si="21"/>
        <v>13432</v>
      </c>
      <c r="Q46" s="36">
        <f t="shared" si="22"/>
        <v>9664</v>
      </c>
      <c r="R46" s="36">
        <f t="shared" si="23"/>
        <v>88200</v>
      </c>
      <c r="S46" s="36"/>
      <c r="T46" s="36"/>
      <c r="U46" s="36">
        <f>$B46+$C46+$D46+$E46</f>
        <v>13432</v>
      </c>
      <c r="V46" s="36">
        <f>$E46</f>
        <v>9664</v>
      </c>
      <c r="W46" s="36">
        <f>$F46+$G46+$H46+$I46</f>
        <v>88200</v>
      </c>
      <c r="X46" s="37">
        <f t="shared" si="3"/>
        <v>222592</v>
      </c>
    </row>
    <row r="47" spans="1:24">
      <c r="A47" s="5" t="s">
        <v>43</v>
      </c>
      <c r="B47" s="42">
        <f>B$2*'Total Inventory (HVC)'!C47</f>
        <v>1740</v>
      </c>
      <c r="C47" s="42">
        <f>C$2*'Total Inventory (HVC)'!D47</f>
        <v>750</v>
      </c>
      <c r="D47" s="42">
        <f>D$2*'Total Inventory (HVC)'!E47</f>
        <v>0</v>
      </c>
      <c r="E47" s="42">
        <f>E$2*'Total Inventory (HVC)'!F47</f>
        <v>4672</v>
      </c>
      <c r="F47" s="42">
        <f>F$2*'Total Inventory (HVC)'!G47</f>
        <v>0</v>
      </c>
      <c r="G47" s="42">
        <f>G$2*'Total Inventory (HVC)'!H47</f>
        <v>11880</v>
      </c>
      <c r="H47" s="42">
        <f>H$2*'Total Inventory (HVC)'!I47</f>
        <v>51840</v>
      </c>
      <c r="I47" s="42">
        <f>I$2*'Total Inventory (HVC)'!J47</f>
        <v>0</v>
      </c>
      <c r="K47" s="23" t="s">
        <v>43</v>
      </c>
      <c r="L47" s="36">
        <f t="shared" ref="L47:L52" si="24">$F47+$G47+$H47+$I47</f>
        <v>63720</v>
      </c>
      <c r="M47" s="36"/>
      <c r="N47" s="36"/>
      <c r="O47" s="36"/>
      <c r="P47" s="36">
        <f t="shared" si="21"/>
        <v>7162</v>
      </c>
      <c r="Q47" s="36">
        <f t="shared" si="22"/>
        <v>4672</v>
      </c>
      <c r="R47" s="36">
        <f t="shared" si="23"/>
        <v>63720</v>
      </c>
      <c r="S47" s="36"/>
      <c r="T47" s="36"/>
      <c r="U47" s="36"/>
      <c r="V47" s="36">
        <f>$B47+$C47+$D47+$E47</f>
        <v>7162</v>
      </c>
      <c r="W47" s="36">
        <f t="shared" ref="W47:W52" si="25">$E47</f>
        <v>4672</v>
      </c>
      <c r="X47" s="37">
        <f t="shared" si="3"/>
        <v>151108</v>
      </c>
    </row>
    <row r="48" spans="1:24">
      <c r="A48" s="5" t="s">
        <v>77</v>
      </c>
      <c r="B48" s="42">
        <f>B$2*'Total Inventory (HVC)'!C48</f>
        <v>9960</v>
      </c>
      <c r="C48" s="42">
        <f>C$2*'Total Inventory (HVC)'!D48</f>
        <v>0</v>
      </c>
      <c r="D48" s="42">
        <f>D$2*'Total Inventory (HVC)'!E48</f>
        <v>0</v>
      </c>
      <c r="E48" s="42">
        <f>E$2*'Total Inventory (HVC)'!F48</f>
        <v>20928</v>
      </c>
      <c r="F48" s="42">
        <f>F$2*'Total Inventory (HVC)'!G48</f>
        <v>0</v>
      </c>
      <c r="G48" s="42">
        <f>G$2*'Total Inventory (HVC)'!H48</f>
        <v>68580</v>
      </c>
      <c r="H48" s="42">
        <f>H$2*'Total Inventory (HVC)'!I48</f>
        <v>73440</v>
      </c>
      <c r="I48" s="42">
        <f>I$2*'Total Inventory (HVC)'!J48</f>
        <v>10440</v>
      </c>
      <c r="K48" s="23" t="s">
        <v>77</v>
      </c>
      <c r="L48" s="36">
        <f t="shared" si="24"/>
        <v>152460</v>
      </c>
      <c r="M48" s="38"/>
      <c r="N48" s="38"/>
      <c r="O48" s="36"/>
      <c r="P48" s="36">
        <f>$B48+$C48+$D48+$E48</f>
        <v>30888</v>
      </c>
      <c r="Q48" s="36">
        <f>$E48</f>
        <v>20928</v>
      </c>
      <c r="R48" s="36">
        <f>$F48+$G48+$H48+$I48</f>
        <v>152460</v>
      </c>
      <c r="S48" s="36"/>
      <c r="T48" s="36">
        <f>$B48+$C48+$D48+$E48</f>
        <v>30888</v>
      </c>
      <c r="U48" s="36">
        <f>$E48</f>
        <v>20928</v>
      </c>
      <c r="V48" s="36">
        <f>$F48+$G48+$H48+$I48+$B48+$C48+$D48+$E48</f>
        <v>183348</v>
      </c>
      <c r="W48" s="36">
        <f t="shared" si="25"/>
        <v>20928</v>
      </c>
      <c r="X48" s="37">
        <f t="shared" si="3"/>
        <v>612828</v>
      </c>
    </row>
    <row r="49" spans="1:24">
      <c r="A49" s="5" t="s">
        <v>78</v>
      </c>
      <c r="B49" s="42">
        <f>B$2*'Total Inventory (HVC)'!C49</f>
        <v>8760</v>
      </c>
      <c r="C49" s="42">
        <f>C$2*'Total Inventory (HVC)'!D49</f>
        <v>750</v>
      </c>
      <c r="D49" s="42">
        <f>D$2*'Total Inventory (HVC)'!E49</f>
        <v>0</v>
      </c>
      <c r="E49" s="42">
        <f>E$2*'Total Inventory (HVC)'!F49</f>
        <v>19392</v>
      </c>
      <c r="F49" s="42">
        <f>F$2*'Total Inventory (HVC)'!G49</f>
        <v>0</v>
      </c>
      <c r="G49" s="42">
        <f>G$2*'Total Inventory (HVC)'!H49</f>
        <v>73170</v>
      </c>
      <c r="H49" s="42">
        <f>H$2*'Total Inventory (HVC)'!I49</f>
        <v>62640</v>
      </c>
      <c r="I49" s="42">
        <f>I$2*'Total Inventory (HVC)'!J49</f>
        <v>0</v>
      </c>
      <c r="K49" s="23" t="s">
        <v>78</v>
      </c>
      <c r="L49" s="36">
        <f t="shared" si="24"/>
        <v>135810</v>
      </c>
      <c r="M49" s="38"/>
      <c r="N49" s="38"/>
      <c r="O49" s="36"/>
      <c r="P49" s="36">
        <f>$B49+$C49+$D49+$E49</f>
        <v>28902</v>
      </c>
      <c r="Q49" s="36">
        <f>$E49</f>
        <v>19392</v>
      </c>
      <c r="R49" s="36">
        <f>$F49+$G49+$H49+$I49</f>
        <v>135810</v>
      </c>
      <c r="S49" s="36"/>
      <c r="T49" s="36">
        <f>$B49+$C49+$D49+$E49</f>
        <v>28902</v>
      </c>
      <c r="U49" s="36">
        <f>$E49</f>
        <v>19392</v>
      </c>
      <c r="V49" s="36">
        <f>$F49+$G49+$H49+$I49+$B49+$C49+$D49+$E49</f>
        <v>164712</v>
      </c>
      <c r="W49" s="36">
        <f t="shared" si="25"/>
        <v>19392</v>
      </c>
      <c r="X49" s="37">
        <f t="shared" si="3"/>
        <v>552312</v>
      </c>
    </row>
    <row r="50" spans="1:24">
      <c r="A50" s="5" t="s">
        <v>79</v>
      </c>
      <c r="B50" s="42">
        <f>B$2*'Total Inventory (HVC)'!C50</f>
        <v>9360</v>
      </c>
      <c r="C50" s="42">
        <f>C$2*'Total Inventory (HVC)'!D50</f>
        <v>0</v>
      </c>
      <c r="D50" s="42">
        <f>D$2*'Total Inventory (HVC)'!E50</f>
        <v>0</v>
      </c>
      <c r="E50" s="42">
        <f>E$2*'Total Inventory (HVC)'!F50</f>
        <v>15296</v>
      </c>
      <c r="F50" s="42">
        <f>F$2*'Total Inventory (HVC)'!G50</f>
        <v>4500</v>
      </c>
      <c r="G50" s="42">
        <f>G$2*'Total Inventory (HVC)'!H50</f>
        <v>98820</v>
      </c>
      <c r="H50" s="42">
        <f>H$2*'Total Inventory (HVC)'!I50</f>
        <v>157680</v>
      </c>
      <c r="I50" s="42">
        <f>I$2*'Total Inventory (HVC)'!J50</f>
        <v>3600</v>
      </c>
      <c r="K50" s="23" t="s">
        <v>79</v>
      </c>
      <c r="L50" s="36">
        <f t="shared" si="24"/>
        <v>264600</v>
      </c>
      <c r="M50" s="38"/>
      <c r="N50" s="38"/>
      <c r="O50" s="36"/>
      <c r="P50" s="36">
        <f>$B50+$C50+$D50+$E50</f>
        <v>24656</v>
      </c>
      <c r="Q50" s="36">
        <f>$E50</f>
        <v>15296</v>
      </c>
      <c r="R50" s="36">
        <f>$F50+$G50+$H50+$I50</f>
        <v>264600</v>
      </c>
      <c r="S50" s="36"/>
      <c r="T50" s="36"/>
      <c r="U50" s="36"/>
      <c r="V50" s="36">
        <f>$B50+$C50+$D50+$E50</f>
        <v>24656</v>
      </c>
      <c r="W50" s="36">
        <f t="shared" si="25"/>
        <v>15296</v>
      </c>
      <c r="X50" s="37">
        <f t="shared" si="3"/>
        <v>609104</v>
      </c>
    </row>
    <row r="51" spans="1:24">
      <c r="A51" s="5" t="s">
        <v>80</v>
      </c>
      <c r="B51" s="42">
        <f>B$2*'Total Inventory (HVC)'!C51</f>
        <v>8520</v>
      </c>
      <c r="C51" s="42">
        <f>C$2*'Total Inventory (HVC)'!D51</f>
        <v>0</v>
      </c>
      <c r="D51" s="42">
        <f>D$2*'Total Inventory (HVC)'!E51</f>
        <v>0</v>
      </c>
      <c r="E51" s="42">
        <f>E$2*'Total Inventory (HVC)'!F51</f>
        <v>5312</v>
      </c>
      <c r="F51" s="42">
        <f>F$2*'Total Inventory (HVC)'!G51</f>
        <v>0</v>
      </c>
      <c r="G51" s="42">
        <f>G$2*'Total Inventory (HVC)'!H51</f>
        <v>10530</v>
      </c>
      <c r="H51" s="42">
        <f>H$2*'Total Inventory (HVC)'!I51</f>
        <v>0</v>
      </c>
      <c r="I51" s="42">
        <f>I$2*'Total Inventory (HVC)'!J51</f>
        <v>0</v>
      </c>
      <c r="K51" s="23" t="s">
        <v>80</v>
      </c>
      <c r="L51" s="36">
        <f t="shared" si="24"/>
        <v>10530</v>
      </c>
      <c r="M51" s="38"/>
      <c r="N51" s="38"/>
      <c r="O51" s="36"/>
      <c r="P51" s="36">
        <f>$B51+$C51+$D51+$E51</f>
        <v>13832</v>
      </c>
      <c r="Q51" s="36">
        <f>$E51</f>
        <v>5312</v>
      </c>
      <c r="R51" s="36">
        <f>$F51+$G51+$H51+$I51</f>
        <v>10530</v>
      </c>
      <c r="S51" s="36"/>
      <c r="T51" s="36">
        <f>$B51+$C51+$D51+$E51</f>
        <v>13832</v>
      </c>
      <c r="U51" s="36">
        <f>$E51</f>
        <v>5312</v>
      </c>
      <c r="V51" s="36">
        <f>$F51+$G51+$H51+$I51+$B51+$C51+$D51+$E51</f>
        <v>24362</v>
      </c>
      <c r="W51" s="36">
        <f t="shared" si="25"/>
        <v>5312</v>
      </c>
      <c r="X51" s="37">
        <f t="shared" si="3"/>
        <v>89022</v>
      </c>
    </row>
    <row r="52" spans="1:24">
      <c r="A52" s="5" t="s">
        <v>44</v>
      </c>
      <c r="B52" s="42">
        <f>B$2*'Total Inventory (HVC)'!C54</f>
        <v>1740</v>
      </c>
      <c r="C52" s="42">
        <f>C$2*'Total Inventory (HVC)'!D54</f>
        <v>0</v>
      </c>
      <c r="D52" s="42">
        <f>D$2*'Total Inventory (HVC)'!E54</f>
        <v>0</v>
      </c>
      <c r="E52" s="42">
        <f>E$2*'Total Inventory (HVC)'!F54</f>
        <v>1536</v>
      </c>
      <c r="F52" s="42">
        <f>F$2*'Total Inventory (HVC)'!G54</f>
        <v>0</v>
      </c>
      <c r="G52" s="42">
        <f>G$2*'Total Inventory (HVC)'!H54</f>
        <v>2700</v>
      </c>
      <c r="H52" s="42">
        <f>H$2*'Total Inventory (HVC)'!I54</f>
        <v>21600</v>
      </c>
      <c r="I52" s="42">
        <f>I$2*'Total Inventory (HVC)'!J54</f>
        <v>0</v>
      </c>
      <c r="K52" s="23" t="s">
        <v>44</v>
      </c>
      <c r="L52" s="36">
        <f t="shared" si="24"/>
        <v>24300</v>
      </c>
      <c r="M52" s="36"/>
      <c r="N52" s="36"/>
      <c r="O52" s="36"/>
      <c r="P52" s="36">
        <f>$B52+$C52+$D52+$E52</f>
        <v>3276</v>
      </c>
      <c r="Q52" s="36">
        <f>$E52</f>
        <v>1536</v>
      </c>
      <c r="R52" s="36">
        <f>$F52+$G52+$H52+$I52</f>
        <v>24300</v>
      </c>
      <c r="S52" s="36"/>
      <c r="T52" s="36">
        <f>$B52+$C52+$D52+$E52</f>
        <v>3276</v>
      </c>
      <c r="U52" s="36">
        <f>$E52</f>
        <v>1536</v>
      </c>
      <c r="V52" s="36">
        <f>$F52+$G52+$H52+$I52+$B52+$C52+$D52+$E52</f>
        <v>27576</v>
      </c>
      <c r="W52" s="36">
        <f t="shared" si="25"/>
        <v>1536</v>
      </c>
      <c r="X52" s="37">
        <f t="shared" si="3"/>
        <v>87336</v>
      </c>
    </row>
    <row r="53" spans="1:24">
      <c r="A53" s="5" t="s">
        <v>92</v>
      </c>
      <c r="B53" s="42">
        <f>B$2*'Total Inventory (HVC)'!C55</f>
        <v>4680</v>
      </c>
      <c r="C53" s="42">
        <f>C$2*'Total Inventory (HVC)'!D55</f>
        <v>0</v>
      </c>
      <c r="D53" s="42">
        <f>D$2*'Total Inventory (HVC)'!E55</f>
        <v>0</v>
      </c>
      <c r="E53" s="42">
        <f>E$2*'Total Inventory (HVC)'!F55</f>
        <v>5952</v>
      </c>
      <c r="F53" s="42">
        <f>F$2*'Total Inventory (HVC)'!G55</f>
        <v>0</v>
      </c>
      <c r="G53" s="42">
        <f>G$2*'Total Inventory (HVC)'!H55</f>
        <v>18495</v>
      </c>
      <c r="H53" s="42">
        <f>H$2*'Total Inventory (HVC)'!I55</f>
        <v>62640</v>
      </c>
      <c r="I53" s="42">
        <f>I$2*'Total Inventory (HVC)'!J55</f>
        <v>0</v>
      </c>
      <c r="K53" s="23" t="s">
        <v>92</v>
      </c>
      <c r="L53" s="36">
        <f>$B53+$C53+$D53+$E53</f>
        <v>10632</v>
      </c>
      <c r="M53" s="36">
        <f>$E53</f>
        <v>5952</v>
      </c>
      <c r="N53" s="36">
        <f>$B53+$C53+$D53+$E53+$F53+$G53+$H53+$I53</f>
        <v>91767</v>
      </c>
      <c r="O53" s="36">
        <f>$E53</f>
        <v>5952</v>
      </c>
      <c r="P53" s="36">
        <f>$F53+$G53+$H53+$I53</f>
        <v>81135</v>
      </c>
      <c r="Q53" s="36">
        <f>$B53+$C53+$D53+$E53</f>
        <v>10632</v>
      </c>
      <c r="R53" s="36">
        <f>$E53</f>
        <v>5952</v>
      </c>
      <c r="S53" s="36">
        <f>$F53+$G53+$H53+$I53</f>
        <v>81135</v>
      </c>
      <c r="T53" s="36"/>
      <c r="U53" s="36">
        <f>$B53+$C53+$D53+$E53</f>
        <v>10632</v>
      </c>
      <c r="V53" s="36">
        <f>$E53</f>
        <v>5952</v>
      </c>
      <c r="W53" s="36">
        <f>$F53+$G53+$H53+$I53</f>
        <v>81135</v>
      </c>
      <c r="X53" s="37">
        <f t="shared" si="3"/>
        <v>390876</v>
      </c>
    </row>
    <row r="54" spans="1:24">
      <c r="A54" s="5" t="s">
        <v>91</v>
      </c>
      <c r="B54" s="42">
        <f>B$2*'Total Inventory (HVC)'!C56</f>
        <v>21120</v>
      </c>
      <c r="C54" s="42">
        <f>C$2*'Total Inventory (HVC)'!D56</f>
        <v>750</v>
      </c>
      <c r="D54" s="42">
        <f>D$2*'Total Inventory (HVC)'!E56</f>
        <v>0</v>
      </c>
      <c r="E54" s="42">
        <f>E$2*'Total Inventory (HVC)'!F56</f>
        <v>14400</v>
      </c>
      <c r="F54" s="42">
        <f>F$2*'Total Inventory (HVC)'!G56</f>
        <v>0</v>
      </c>
      <c r="G54" s="42">
        <f>G$2*'Total Inventory (HVC)'!H56</f>
        <v>69930</v>
      </c>
      <c r="H54" s="42">
        <f>H$2*'Total Inventory (HVC)'!I56</f>
        <v>73440</v>
      </c>
      <c r="I54" s="42">
        <f>I$2*'Total Inventory (HVC)'!J56</f>
        <v>8640</v>
      </c>
      <c r="K54" s="23" t="s">
        <v>91</v>
      </c>
      <c r="L54" s="36">
        <f>$F54+$G54+$H54+$I54</f>
        <v>152010</v>
      </c>
      <c r="M54" s="36"/>
      <c r="N54" s="36"/>
      <c r="O54" s="36"/>
      <c r="P54" s="36">
        <f>$B54+$C54+$D54+$E54</f>
        <v>36270</v>
      </c>
      <c r="Q54" s="36">
        <f>$E54</f>
        <v>14400</v>
      </c>
      <c r="R54" s="36">
        <f>$F54+$G54+$H54+$I54</f>
        <v>152010</v>
      </c>
      <c r="S54" s="36"/>
      <c r="T54" s="36">
        <f>$B54+$C54+$D54+$E54</f>
        <v>36270</v>
      </c>
      <c r="U54" s="36">
        <f>$E54</f>
        <v>14400</v>
      </c>
      <c r="V54" s="36">
        <f>$F54+$G54+$H54+$I54+$B54+$C54+$D54+$E54</f>
        <v>188280</v>
      </c>
      <c r="W54" s="36">
        <f>$E54</f>
        <v>14400</v>
      </c>
      <c r="X54" s="37">
        <f t="shared" si="3"/>
        <v>608040</v>
      </c>
    </row>
    <row r="55" spans="1:24">
      <c r="A55" s="5" t="s">
        <v>94</v>
      </c>
      <c r="B55" s="42">
        <f>B$2*'Total Inventory (HVC)'!C57</f>
        <v>5880</v>
      </c>
      <c r="C55" s="42">
        <f>C$2*'Total Inventory (HVC)'!D57</f>
        <v>0</v>
      </c>
      <c r="D55" s="42">
        <f>D$2*'Total Inventory (HVC)'!E57</f>
        <v>0</v>
      </c>
      <c r="E55" s="42">
        <f>E$2*'Total Inventory (HVC)'!F57</f>
        <v>6272</v>
      </c>
      <c r="F55" s="42">
        <f>F$2*'Total Inventory (HVC)'!G57</f>
        <v>0</v>
      </c>
      <c r="G55" s="42">
        <f>G$2*'Total Inventory (HVC)'!H57</f>
        <v>5940</v>
      </c>
      <c r="H55" s="42">
        <f>H$2*'Total Inventory (HVC)'!I57</f>
        <v>10800</v>
      </c>
      <c r="I55" s="42">
        <f>I$2*'Total Inventory (HVC)'!J57</f>
        <v>0</v>
      </c>
      <c r="K55" s="23" t="s">
        <v>94</v>
      </c>
      <c r="L55" s="36">
        <f>$B55+$C55+$D55+$E55</f>
        <v>12152</v>
      </c>
      <c r="M55" s="36">
        <f>$E55</f>
        <v>6272</v>
      </c>
      <c r="N55" s="36">
        <f>$B55+$C55+$D55+$E55+$F55+$G55+$H55+$I55</f>
        <v>28892</v>
      </c>
      <c r="O55" s="36">
        <f>$E55</f>
        <v>6272</v>
      </c>
      <c r="P55" s="36">
        <f>$F55+$G55+$H55+$I55</f>
        <v>16740</v>
      </c>
      <c r="Q55" s="36">
        <f>$B55+$C55+$D55+$E55</f>
        <v>12152</v>
      </c>
      <c r="R55" s="36">
        <f>$E55</f>
        <v>6272</v>
      </c>
      <c r="S55" s="36">
        <f>$F55+$G55+$H55+$I55</f>
        <v>16740</v>
      </c>
      <c r="T55" s="36"/>
      <c r="U55" s="36">
        <f>$B55+$C55+$D55+$E55</f>
        <v>12152</v>
      </c>
      <c r="V55" s="36">
        <f>$E55</f>
        <v>6272</v>
      </c>
      <c r="W55" s="36">
        <f>$F55+$G55+$H55+$I55</f>
        <v>16740</v>
      </c>
      <c r="X55" s="37">
        <f t="shared" si="3"/>
        <v>140656</v>
      </c>
    </row>
    <row r="56" spans="1:24">
      <c r="A56" s="5" t="s">
        <v>45</v>
      </c>
      <c r="B56" s="42">
        <f>B$2*'Total Inventory (HVC)'!C58</f>
        <v>6180</v>
      </c>
      <c r="C56" s="42">
        <f>C$2*'Total Inventory (HVC)'!D58</f>
        <v>750</v>
      </c>
      <c r="D56" s="42">
        <f>D$2*'Total Inventory (HVC)'!E58</f>
        <v>0</v>
      </c>
      <c r="E56" s="42">
        <f>E$2*'Total Inventory (HVC)'!F58</f>
        <v>10624</v>
      </c>
      <c r="F56" s="42">
        <f>F$2*'Total Inventory (HVC)'!G58</f>
        <v>0</v>
      </c>
      <c r="G56" s="42">
        <f>G$2*'Total Inventory (HVC)'!H58</f>
        <v>19170</v>
      </c>
      <c r="H56" s="42">
        <f>H$2*'Total Inventory (HVC)'!I58</f>
        <v>51840</v>
      </c>
      <c r="I56" s="42">
        <f>I$2*'Total Inventory (HVC)'!J58</f>
        <v>1800</v>
      </c>
      <c r="K56" s="23" t="s">
        <v>45</v>
      </c>
      <c r="L56" s="36">
        <f>$F56+$G56+$H56+$I56</f>
        <v>72810</v>
      </c>
      <c r="M56" s="36"/>
      <c r="N56" s="36"/>
      <c r="O56" s="36"/>
      <c r="P56" s="36">
        <f>$B56+$C56+$D56+$E56</f>
        <v>17554</v>
      </c>
      <c r="Q56" s="36">
        <f>$E56</f>
        <v>10624</v>
      </c>
      <c r="R56" s="36">
        <f>$F56+$G56+$H56+$I56</f>
        <v>72810</v>
      </c>
      <c r="S56" s="36"/>
      <c r="T56" s="36">
        <f>$B56+$C56+$D56+$E56</f>
        <v>17554</v>
      </c>
      <c r="U56" s="36">
        <f>$E56</f>
        <v>10624</v>
      </c>
      <c r="V56" s="36">
        <f>$F56+$G56+$H56+$I56+$B56+$C56+$D56+$E56</f>
        <v>90364</v>
      </c>
      <c r="W56" s="36">
        <f>$E56</f>
        <v>10624</v>
      </c>
      <c r="X56" s="37">
        <f t="shared" si="3"/>
        <v>302964</v>
      </c>
    </row>
    <row r="57" spans="1:24">
      <c r="A57" s="5" t="s">
        <v>46</v>
      </c>
      <c r="B57" s="42">
        <f>B$2*'Total Inventory (HVC)'!C59</f>
        <v>5580</v>
      </c>
      <c r="C57" s="42">
        <f>C$2*'Total Inventory (HVC)'!D59</f>
        <v>0</v>
      </c>
      <c r="D57" s="42">
        <f>D$2*'Total Inventory (HVC)'!E59</f>
        <v>0</v>
      </c>
      <c r="E57" s="42">
        <f>E$2*'Total Inventory (HVC)'!F59</f>
        <v>6848</v>
      </c>
      <c r="F57" s="42">
        <f>F$2*'Total Inventory (HVC)'!G59</f>
        <v>0</v>
      </c>
      <c r="G57" s="42">
        <f>G$2*'Total Inventory (HVC)'!H59</f>
        <v>11880</v>
      </c>
      <c r="H57" s="42">
        <f>H$2*'Total Inventory (HVC)'!I59</f>
        <v>62640</v>
      </c>
      <c r="I57" s="42">
        <f>I$2*'Total Inventory (HVC)'!J59</f>
        <v>0</v>
      </c>
      <c r="K57" s="23" t="s">
        <v>46</v>
      </c>
      <c r="L57" s="36">
        <f>$B57+$C57+$D57+$E57</f>
        <v>12428</v>
      </c>
      <c r="M57" s="36">
        <f>$E57</f>
        <v>6848</v>
      </c>
      <c r="N57" s="36">
        <f>$B57+$C57+$D57+$E57+$F57+$G57+$H57+$I57</f>
        <v>86948</v>
      </c>
      <c r="O57" s="36">
        <f>$E57</f>
        <v>6848</v>
      </c>
      <c r="P57" s="36">
        <f>$F57+$G57+$H57+$I57</f>
        <v>74520</v>
      </c>
      <c r="Q57" s="36">
        <f>$B57+$C57+$D57+$E57</f>
        <v>12428</v>
      </c>
      <c r="R57" s="36">
        <f>$E57</f>
        <v>6848</v>
      </c>
      <c r="S57" s="36">
        <f>$F57+$G57+$H57+$I57</f>
        <v>74520</v>
      </c>
      <c r="T57" s="36"/>
      <c r="U57" s="36">
        <f>$B57+$C57+$D57+$E57</f>
        <v>12428</v>
      </c>
      <c r="V57" s="36">
        <f>$E57</f>
        <v>6848</v>
      </c>
      <c r="W57" s="36">
        <f>$F57+$G57+$H57+$I57</f>
        <v>74520</v>
      </c>
      <c r="X57" s="37">
        <f t="shared" si="3"/>
        <v>375184</v>
      </c>
    </row>
    <row r="58" spans="1:24">
      <c r="A58" s="5" t="s">
        <v>210</v>
      </c>
      <c r="B58" s="42">
        <f>B$2*'Total Inventory (HVC)'!C60</f>
        <v>22860</v>
      </c>
      <c r="C58" s="42">
        <f>C$2*'Total Inventory (HVC)'!D60</f>
        <v>0</v>
      </c>
      <c r="D58" s="42">
        <f>D$2*'Total Inventory (HVC)'!E60</f>
        <v>0</v>
      </c>
      <c r="E58" s="42">
        <f>E$2*'Total Inventory (HVC)'!F60</f>
        <v>15936</v>
      </c>
      <c r="F58" s="42">
        <f>F$2*'Total Inventory (HVC)'!G60</f>
        <v>0</v>
      </c>
      <c r="G58" s="42">
        <f>G$2*'Total Inventory (HVC)'!H60</f>
        <v>62640</v>
      </c>
      <c r="H58" s="42">
        <f>H$2*'Total Inventory (HVC)'!I60</f>
        <v>10800</v>
      </c>
      <c r="I58" s="42">
        <f>I$2*'Total Inventory (HVC)'!J60</f>
        <v>1800</v>
      </c>
      <c r="K58" s="23" t="s">
        <v>210</v>
      </c>
      <c r="L58" s="36">
        <f t="shared" ref="L58:L65" si="26">$F58+$G58+$H58+$I58</f>
        <v>75240</v>
      </c>
      <c r="M58" s="36"/>
      <c r="N58" s="36"/>
      <c r="O58" s="36"/>
      <c r="P58" s="36">
        <f t="shared" ref="P58:P65" si="27">$B58+$C58+$D58+$E58</f>
        <v>38796</v>
      </c>
      <c r="Q58" s="36">
        <f t="shared" ref="Q58:Q65" si="28">$E58</f>
        <v>15936</v>
      </c>
      <c r="R58" s="36">
        <f t="shared" ref="R58:R65" si="29">$F58+$G58+$H58+$I58</f>
        <v>75240</v>
      </c>
      <c r="S58" s="36"/>
      <c r="T58" s="36"/>
      <c r="U58" s="36"/>
      <c r="V58" s="36">
        <f>$B58+$C58+$D58+$E58</f>
        <v>38796</v>
      </c>
      <c r="W58" s="36">
        <f t="shared" ref="W58:W65" si="30">$E58</f>
        <v>15936</v>
      </c>
      <c r="X58" s="37">
        <f t="shared" si="3"/>
        <v>259944</v>
      </c>
    </row>
    <row r="59" spans="1:24">
      <c r="A59" s="5" t="s">
        <v>211</v>
      </c>
      <c r="B59" s="42">
        <f>B$2*'Total Inventory (HVC)'!C61</f>
        <v>19920</v>
      </c>
      <c r="C59" s="42">
        <f>C$2*'Total Inventory (HVC)'!D61</f>
        <v>0</v>
      </c>
      <c r="D59" s="42">
        <f>D$2*'Total Inventory (HVC)'!E61</f>
        <v>0</v>
      </c>
      <c r="E59" s="42">
        <f>E$2*'Total Inventory (HVC)'!F61</f>
        <v>18432</v>
      </c>
      <c r="F59" s="42">
        <f>F$2*'Total Inventory (HVC)'!G61</f>
        <v>0</v>
      </c>
      <c r="G59" s="42">
        <f>G$2*'Total Inventory (HVC)'!H61</f>
        <v>29025</v>
      </c>
      <c r="H59" s="42">
        <f>H$2*'Total Inventory (HVC)'!I61</f>
        <v>10800</v>
      </c>
      <c r="I59" s="42">
        <f>I$2*'Total Inventory (HVC)'!J61</f>
        <v>8640</v>
      </c>
      <c r="K59" s="23" t="s">
        <v>211</v>
      </c>
      <c r="L59" s="36">
        <f t="shared" si="26"/>
        <v>48465</v>
      </c>
      <c r="M59" s="36"/>
      <c r="N59" s="36"/>
      <c r="O59" s="36"/>
      <c r="P59" s="36">
        <f t="shared" si="27"/>
        <v>38352</v>
      </c>
      <c r="Q59" s="36">
        <f t="shared" si="28"/>
        <v>18432</v>
      </c>
      <c r="R59" s="36">
        <f t="shared" si="29"/>
        <v>48465</v>
      </c>
      <c r="S59" s="36"/>
      <c r="T59" s="36">
        <f>$B59+$C59+$D59+$E59</f>
        <v>38352</v>
      </c>
      <c r="U59" s="36">
        <f>$E59</f>
        <v>18432</v>
      </c>
      <c r="V59" s="36">
        <f>$F59+$G59+$H59+$I59+$B59+$C59+$D59+$E59</f>
        <v>86817</v>
      </c>
      <c r="W59" s="36">
        <f t="shared" si="30"/>
        <v>18432</v>
      </c>
      <c r="X59" s="37">
        <f t="shared" si="3"/>
        <v>315747</v>
      </c>
    </row>
    <row r="60" spans="1:24">
      <c r="A60" s="5" t="s">
        <v>47</v>
      </c>
      <c r="B60" s="42">
        <f>B$2*'Total Inventory (HVC)'!C62</f>
        <v>14040</v>
      </c>
      <c r="C60" s="42">
        <f>C$2*'Total Inventory (HVC)'!D62</f>
        <v>0</v>
      </c>
      <c r="D60" s="42">
        <f>D$2*'Total Inventory (HVC)'!E62</f>
        <v>0</v>
      </c>
      <c r="E60" s="42">
        <f>E$2*'Total Inventory (HVC)'!F62</f>
        <v>9984</v>
      </c>
      <c r="F60" s="42">
        <f>F$2*'Total Inventory (HVC)'!G62</f>
        <v>0</v>
      </c>
      <c r="G60" s="42">
        <f>G$2*'Total Inventory (HVC)'!H62</f>
        <v>16470</v>
      </c>
      <c r="H60" s="42">
        <f>H$2*'Total Inventory (HVC)'!I62</f>
        <v>0</v>
      </c>
      <c r="I60" s="42">
        <f>I$2*'Total Inventory (HVC)'!J62</f>
        <v>0</v>
      </c>
      <c r="K60" s="23" t="s">
        <v>47</v>
      </c>
      <c r="L60" s="36">
        <f t="shared" si="26"/>
        <v>16470</v>
      </c>
      <c r="M60" s="36"/>
      <c r="N60" s="36"/>
      <c r="O60" s="36"/>
      <c r="P60" s="36">
        <f t="shared" si="27"/>
        <v>24024</v>
      </c>
      <c r="Q60" s="36">
        <f t="shared" si="28"/>
        <v>9984</v>
      </c>
      <c r="R60" s="36">
        <f t="shared" si="29"/>
        <v>16470</v>
      </c>
      <c r="S60" s="36"/>
      <c r="T60" s="36"/>
      <c r="U60" s="36"/>
      <c r="V60" s="36">
        <f t="shared" ref="V60:V65" si="31">$B60+$C60+$D60+$E60</f>
        <v>24024</v>
      </c>
      <c r="W60" s="36">
        <f t="shared" si="30"/>
        <v>9984</v>
      </c>
      <c r="X60" s="37">
        <f t="shared" si="3"/>
        <v>100956</v>
      </c>
    </row>
    <row r="61" spans="1:24">
      <c r="A61" s="5" t="s">
        <v>55</v>
      </c>
      <c r="B61" s="42">
        <f>B$2*'Total Inventory (HVC)'!C63</f>
        <v>14340</v>
      </c>
      <c r="C61" s="42">
        <f>C$2*'Total Inventory (HVC)'!D63</f>
        <v>0</v>
      </c>
      <c r="D61" s="42">
        <f>D$2*'Total Inventory (HVC)'!E63</f>
        <v>0</v>
      </c>
      <c r="E61" s="42">
        <f>E$2*'Total Inventory (HVC)'!F63</f>
        <v>13760</v>
      </c>
      <c r="F61" s="42">
        <f>F$2*'Total Inventory (HVC)'!G63</f>
        <v>0</v>
      </c>
      <c r="G61" s="42">
        <f>G$2*'Total Inventory (HVC)'!H63</f>
        <v>138375</v>
      </c>
      <c r="H61" s="42">
        <f>H$2*'Total Inventory (HVC)'!I63</f>
        <v>43200</v>
      </c>
      <c r="I61" s="42">
        <f>I$2*'Total Inventory (HVC)'!J63</f>
        <v>42120</v>
      </c>
      <c r="K61" s="23" t="s">
        <v>55</v>
      </c>
      <c r="L61" s="36">
        <f t="shared" si="26"/>
        <v>223695</v>
      </c>
      <c r="M61" s="36"/>
      <c r="N61" s="36"/>
      <c r="O61" s="36"/>
      <c r="P61" s="36">
        <f t="shared" si="27"/>
        <v>28100</v>
      </c>
      <c r="Q61" s="36">
        <f t="shared" si="28"/>
        <v>13760</v>
      </c>
      <c r="R61" s="36">
        <f t="shared" si="29"/>
        <v>223695</v>
      </c>
      <c r="S61" s="36"/>
      <c r="T61" s="36"/>
      <c r="U61" s="36"/>
      <c r="V61" s="36">
        <f t="shared" si="31"/>
        <v>28100</v>
      </c>
      <c r="W61" s="36">
        <f t="shared" si="30"/>
        <v>13760</v>
      </c>
      <c r="X61" s="37">
        <f t="shared" si="3"/>
        <v>531110</v>
      </c>
    </row>
    <row r="62" spans="1:24">
      <c r="A62" s="5" t="s">
        <v>48</v>
      </c>
      <c r="B62" s="42">
        <f>B$2*'Total Inventory (HVC)'!C64</f>
        <v>600</v>
      </c>
      <c r="C62" s="42">
        <f>C$2*'Total Inventory (HVC)'!D64</f>
        <v>0</v>
      </c>
      <c r="D62" s="42">
        <f>D$2*'Total Inventory (HVC)'!E64</f>
        <v>0</v>
      </c>
      <c r="E62" s="42">
        <f>E$2*'Total Inventory (HVC)'!F64</f>
        <v>11904</v>
      </c>
      <c r="F62" s="42">
        <f>F$2*'Total Inventory (HVC)'!G64</f>
        <v>0</v>
      </c>
      <c r="G62" s="42">
        <f>G$2*'Total Inventory (HVC)'!H64</f>
        <v>4590</v>
      </c>
      <c r="H62" s="42">
        <f>H$2*'Total Inventory (HVC)'!I64</f>
        <v>0</v>
      </c>
      <c r="I62" s="42">
        <f>I$2*'Total Inventory (HVC)'!J64</f>
        <v>0</v>
      </c>
      <c r="K62" s="23" t="s">
        <v>48</v>
      </c>
      <c r="L62" s="36">
        <f t="shared" si="26"/>
        <v>4590</v>
      </c>
      <c r="M62" s="36"/>
      <c r="N62" s="36"/>
      <c r="O62" s="36"/>
      <c r="P62" s="36">
        <f t="shared" si="27"/>
        <v>12504</v>
      </c>
      <c r="Q62" s="36">
        <f t="shared" si="28"/>
        <v>11904</v>
      </c>
      <c r="R62" s="36">
        <f t="shared" si="29"/>
        <v>4590</v>
      </c>
      <c r="S62" s="36"/>
      <c r="T62" s="36"/>
      <c r="U62" s="36"/>
      <c r="V62" s="36">
        <f t="shared" si="31"/>
        <v>12504</v>
      </c>
      <c r="W62" s="36">
        <f t="shared" si="30"/>
        <v>11904</v>
      </c>
      <c r="X62" s="37">
        <f t="shared" si="3"/>
        <v>57996</v>
      </c>
    </row>
    <row r="63" spans="1:24">
      <c r="A63" s="5" t="s">
        <v>209</v>
      </c>
      <c r="B63" s="42">
        <f>B$2*'Total Inventory (HVC)'!C65</f>
        <v>9060</v>
      </c>
      <c r="C63" s="42">
        <f>C$2*'Total Inventory (HVC)'!D65</f>
        <v>0</v>
      </c>
      <c r="D63" s="42">
        <f>D$2*'Total Inventory (HVC)'!E65</f>
        <v>0</v>
      </c>
      <c r="E63" s="42">
        <f>E$2*'Total Inventory (HVC)'!F65</f>
        <v>20288</v>
      </c>
      <c r="F63" s="42">
        <f>F$2*'Total Inventory (HVC)'!G65</f>
        <v>0</v>
      </c>
      <c r="G63" s="42">
        <f>G$2*'Total Inventory (HVC)'!H65</f>
        <v>58050</v>
      </c>
      <c r="H63" s="42">
        <f>H$2*'Total Inventory (HVC)'!I65</f>
        <v>0</v>
      </c>
      <c r="I63" s="42">
        <f>I$2*'Total Inventory (HVC)'!J65</f>
        <v>3600</v>
      </c>
      <c r="K63" s="23" t="s">
        <v>209</v>
      </c>
      <c r="L63" s="36">
        <f t="shared" si="26"/>
        <v>61650</v>
      </c>
      <c r="M63" s="36"/>
      <c r="N63" s="36"/>
      <c r="O63" s="36"/>
      <c r="P63" s="36">
        <f t="shared" si="27"/>
        <v>29348</v>
      </c>
      <c r="Q63" s="36">
        <f t="shared" si="28"/>
        <v>20288</v>
      </c>
      <c r="R63" s="36">
        <f t="shared" si="29"/>
        <v>61650</v>
      </c>
      <c r="S63" s="36"/>
      <c r="T63" s="36"/>
      <c r="U63" s="36"/>
      <c r="V63" s="36">
        <f t="shared" si="31"/>
        <v>29348</v>
      </c>
      <c r="W63" s="36">
        <f t="shared" si="30"/>
        <v>20288</v>
      </c>
      <c r="X63" s="37">
        <f t="shared" si="3"/>
        <v>222572</v>
      </c>
    </row>
    <row r="64" spans="1:24">
      <c r="A64" s="5" t="s">
        <v>59</v>
      </c>
      <c r="B64" s="42">
        <f>B$2*'Total Inventory (HVC)'!C66</f>
        <v>10560</v>
      </c>
      <c r="C64" s="42">
        <f>C$2*'Total Inventory (HVC)'!D66</f>
        <v>0</v>
      </c>
      <c r="D64" s="42">
        <f>D$2*'Total Inventory (HVC)'!E66</f>
        <v>0</v>
      </c>
      <c r="E64" s="42">
        <f>E$2*'Total Inventory (HVC)'!F66</f>
        <v>3456</v>
      </c>
      <c r="F64" s="42">
        <f>F$2*'Total Inventory (HVC)'!G66</f>
        <v>0</v>
      </c>
      <c r="G64" s="42">
        <f>G$2*'Total Inventory (HVC)'!H66</f>
        <v>58725</v>
      </c>
      <c r="H64" s="42">
        <f>H$2*'Total Inventory (HVC)'!I66</f>
        <v>10800</v>
      </c>
      <c r="I64" s="42">
        <f>I$2*'Total Inventory (HVC)'!J66</f>
        <v>1800</v>
      </c>
      <c r="K64" s="23" t="s">
        <v>59</v>
      </c>
      <c r="L64" s="36">
        <f t="shared" si="26"/>
        <v>71325</v>
      </c>
      <c r="M64" s="36"/>
      <c r="N64" s="36"/>
      <c r="O64" s="36"/>
      <c r="P64" s="36">
        <f t="shared" si="27"/>
        <v>14016</v>
      </c>
      <c r="Q64" s="36">
        <f t="shared" si="28"/>
        <v>3456</v>
      </c>
      <c r="R64" s="36">
        <f t="shared" si="29"/>
        <v>71325</v>
      </c>
      <c r="S64" s="36"/>
      <c r="T64" s="36"/>
      <c r="U64" s="36"/>
      <c r="V64" s="36">
        <f t="shared" si="31"/>
        <v>14016</v>
      </c>
      <c r="W64" s="36">
        <f t="shared" si="30"/>
        <v>3456</v>
      </c>
      <c r="X64" s="37">
        <f t="shared" si="3"/>
        <v>177594</v>
      </c>
    </row>
    <row r="65" spans="1:24">
      <c r="A65" s="5" t="s">
        <v>81</v>
      </c>
      <c r="B65" s="42">
        <f>B$2*'Total Inventory (HVC)'!C67</f>
        <v>6720</v>
      </c>
      <c r="C65" s="42">
        <f>C$2*'Total Inventory (HVC)'!D67</f>
        <v>0</v>
      </c>
      <c r="D65" s="42">
        <f>D$2*'Total Inventory (HVC)'!E67</f>
        <v>0</v>
      </c>
      <c r="E65" s="42">
        <f>E$2*'Total Inventory (HVC)'!F67</f>
        <v>50304</v>
      </c>
      <c r="F65" s="42">
        <f>F$2*'Total Inventory (HVC)'!G67</f>
        <v>0</v>
      </c>
      <c r="G65" s="42">
        <f>G$2*'Total Inventory (HVC)'!H67</f>
        <v>81675</v>
      </c>
      <c r="H65" s="42">
        <f>H$2*'Total Inventory (HVC)'!I67</f>
        <v>0</v>
      </c>
      <c r="I65" s="42">
        <f>I$2*'Total Inventory (HVC)'!J67</f>
        <v>0</v>
      </c>
      <c r="K65" s="23" t="s">
        <v>81</v>
      </c>
      <c r="L65" s="36">
        <f t="shared" si="26"/>
        <v>81675</v>
      </c>
      <c r="M65" s="36"/>
      <c r="N65" s="36"/>
      <c r="O65" s="36"/>
      <c r="P65" s="36">
        <f t="shared" si="27"/>
        <v>57024</v>
      </c>
      <c r="Q65" s="36">
        <f t="shared" si="28"/>
        <v>50304</v>
      </c>
      <c r="R65" s="36">
        <f t="shared" si="29"/>
        <v>81675</v>
      </c>
      <c r="S65" s="36"/>
      <c r="T65" s="36"/>
      <c r="U65" s="36"/>
      <c r="V65" s="36">
        <f t="shared" si="31"/>
        <v>57024</v>
      </c>
      <c r="W65" s="36">
        <f t="shared" si="30"/>
        <v>50304</v>
      </c>
      <c r="X65" s="37">
        <f t="shared" si="3"/>
        <v>378006</v>
      </c>
    </row>
    <row r="66" spans="1:24">
      <c r="A66" s="5" t="s">
        <v>207</v>
      </c>
      <c r="B66" s="42">
        <f>B$2*'Total Inventory (HVC)'!C68</f>
        <v>2340</v>
      </c>
      <c r="C66" s="42">
        <f>C$2*'Total Inventory (HVC)'!D68</f>
        <v>0</v>
      </c>
      <c r="D66" s="42">
        <f>D$2*'Total Inventory (HVC)'!E68</f>
        <v>0</v>
      </c>
      <c r="E66" s="42">
        <f>E$2*'Total Inventory (HVC)'!F68</f>
        <v>13120</v>
      </c>
      <c r="F66" s="42">
        <f>F$2*'Total Inventory (HVC)'!G68</f>
        <v>0</v>
      </c>
      <c r="G66" s="42">
        <f>G$2*'Total Inventory (HVC)'!H68</f>
        <v>18495</v>
      </c>
      <c r="H66" s="42">
        <f>H$2*'Total Inventory (HVC)'!I68</f>
        <v>0</v>
      </c>
      <c r="I66" s="42">
        <f>I$2*'Total Inventory (HVC)'!J68</f>
        <v>10440</v>
      </c>
      <c r="K66" s="23" t="s">
        <v>207</v>
      </c>
      <c r="L66" s="36">
        <f t="shared" ref="L66:L77" si="32">$F66+$G66+$H66+$I66</f>
        <v>28935</v>
      </c>
      <c r="M66" s="36"/>
      <c r="N66" s="36"/>
      <c r="O66" s="36"/>
      <c r="P66" s="36">
        <f t="shared" ref="P66:P77" si="33">$B66+$C66+$D66+$E66</f>
        <v>15460</v>
      </c>
      <c r="Q66" s="36">
        <f t="shared" ref="Q66:Q77" si="34">$E66</f>
        <v>13120</v>
      </c>
      <c r="R66" s="36">
        <f t="shared" ref="R66:R77" si="35">$F66+$G66+$H66+$I66</f>
        <v>28935</v>
      </c>
      <c r="S66" s="36"/>
      <c r="T66" s="36">
        <f t="shared" ref="T66:T77" si="36">$B66+$C66+$D66+$E66</f>
        <v>15460</v>
      </c>
      <c r="U66" s="36">
        <f t="shared" ref="U66:U77" si="37">$E66</f>
        <v>13120</v>
      </c>
      <c r="V66" s="36">
        <f t="shared" ref="V66:V77" si="38">$F66+$G66+$H66+$I66+$B66+$C66+$D66+$E66</f>
        <v>44395</v>
      </c>
      <c r="W66" s="36">
        <f t="shared" ref="W66:W77" si="39">$E66</f>
        <v>13120</v>
      </c>
      <c r="X66" s="37">
        <f t="shared" si="3"/>
        <v>172545</v>
      </c>
    </row>
    <row r="67" spans="1:24">
      <c r="A67" s="5" t="s">
        <v>208</v>
      </c>
      <c r="B67" s="42">
        <f>B$2*'Total Inventory (HVC)'!C69</f>
        <v>4680</v>
      </c>
      <c r="C67" s="42">
        <f>C$2*'Total Inventory (HVC)'!D69</f>
        <v>0</v>
      </c>
      <c r="D67" s="42">
        <f>D$2*'Total Inventory (HVC)'!E69</f>
        <v>0</v>
      </c>
      <c r="E67" s="42">
        <f>E$2*'Total Inventory (HVC)'!F69</f>
        <v>30912</v>
      </c>
      <c r="F67" s="42">
        <f>F$2*'Total Inventory (HVC)'!G69</f>
        <v>0</v>
      </c>
      <c r="G67" s="42">
        <f>G$2*'Total Inventory (HVC)'!H69</f>
        <v>57375</v>
      </c>
      <c r="H67" s="42">
        <f>H$2*'Total Inventory (HVC)'!I69</f>
        <v>10800</v>
      </c>
      <c r="I67" s="42">
        <f>I$2*'Total Inventory (HVC)'!J69</f>
        <v>17640</v>
      </c>
      <c r="K67" s="23" t="s">
        <v>208</v>
      </c>
      <c r="L67" s="36">
        <f t="shared" si="32"/>
        <v>85815</v>
      </c>
      <c r="M67" s="36"/>
      <c r="N67" s="36"/>
      <c r="O67" s="36"/>
      <c r="P67" s="36">
        <f t="shared" si="33"/>
        <v>35592</v>
      </c>
      <c r="Q67" s="36">
        <f t="shared" si="34"/>
        <v>30912</v>
      </c>
      <c r="R67" s="36">
        <f t="shared" si="35"/>
        <v>85815</v>
      </c>
      <c r="S67" s="36"/>
      <c r="T67" s="36">
        <f t="shared" si="36"/>
        <v>35592</v>
      </c>
      <c r="U67" s="36">
        <f t="shared" si="37"/>
        <v>30912</v>
      </c>
      <c r="V67" s="36">
        <f t="shared" si="38"/>
        <v>121407</v>
      </c>
      <c r="W67" s="36">
        <f t="shared" si="39"/>
        <v>30912</v>
      </c>
      <c r="X67" s="37">
        <f t="shared" si="3"/>
        <v>456957</v>
      </c>
    </row>
    <row r="68" spans="1:24">
      <c r="A68" s="5" t="s">
        <v>83</v>
      </c>
      <c r="B68" s="42">
        <f>B$2*'Total Inventory (HVC)'!C70</f>
        <v>300</v>
      </c>
      <c r="C68" s="42">
        <f>C$2*'Total Inventory (HVC)'!D70</f>
        <v>0</v>
      </c>
      <c r="D68" s="42">
        <f>D$2*'Total Inventory (HVC)'!E70</f>
        <v>0</v>
      </c>
      <c r="E68" s="42">
        <f>E$2*'Total Inventory (HVC)'!F70</f>
        <v>9088</v>
      </c>
      <c r="F68" s="42">
        <f>F$2*'Total Inventory (HVC)'!G70</f>
        <v>0</v>
      </c>
      <c r="G68" s="42">
        <f>G$2*'Total Inventory (HVC)'!H70</f>
        <v>9855</v>
      </c>
      <c r="H68" s="42">
        <f>H$2*'Total Inventory (HVC)'!I70</f>
        <v>0</v>
      </c>
      <c r="I68" s="42">
        <f>I$2*'Total Inventory (HVC)'!J70</f>
        <v>12240</v>
      </c>
      <c r="K68" s="23" t="s">
        <v>83</v>
      </c>
      <c r="L68" s="36">
        <f t="shared" si="32"/>
        <v>22095</v>
      </c>
      <c r="M68" s="36"/>
      <c r="N68" s="36"/>
      <c r="O68" s="36"/>
      <c r="P68" s="36">
        <f t="shared" si="33"/>
        <v>9388</v>
      </c>
      <c r="Q68" s="36">
        <f t="shared" si="34"/>
        <v>9088</v>
      </c>
      <c r="R68" s="36">
        <f t="shared" si="35"/>
        <v>22095</v>
      </c>
      <c r="S68" s="36"/>
      <c r="T68" s="36">
        <f t="shared" si="36"/>
        <v>9388</v>
      </c>
      <c r="U68" s="36">
        <f t="shared" si="37"/>
        <v>9088</v>
      </c>
      <c r="V68" s="36">
        <f t="shared" si="38"/>
        <v>31483</v>
      </c>
      <c r="W68" s="36">
        <f t="shared" si="39"/>
        <v>9088</v>
      </c>
      <c r="X68" s="37">
        <f t="shared" si="3"/>
        <v>121713</v>
      </c>
    </row>
    <row r="69" spans="1:24">
      <c r="A69" s="5" t="s">
        <v>96</v>
      </c>
      <c r="B69" s="42">
        <f>B$2*'Total Inventory (HVC)'!C71</f>
        <v>600</v>
      </c>
      <c r="C69" s="42">
        <f>C$2*'Total Inventory (HVC)'!D71</f>
        <v>0</v>
      </c>
      <c r="D69" s="42">
        <f>D$2*'Total Inventory (HVC)'!E71</f>
        <v>0</v>
      </c>
      <c r="E69" s="42">
        <f>E$2*'Total Inventory (HVC)'!F71</f>
        <v>11584</v>
      </c>
      <c r="F69" s="42">
        <f>F$2*'Total Inventory (HVC)'!G71</f>
        <v>0</v>
      </c>
      <c r="G69" s="42">
        <f>G$2*'Total Inventory (HVC)'!H71</f>
        <v>27000</v>
      </c>
      <c r="H69" s="42">
        <f>H$2*'Total Inventory (HVC)'!I71</f>
        <v>0</v>
      </c>
      <c r="I69" s="42">
        <f>I$2*'Total Inventory (HVC)'!J71</f>
        <v>7200</v>
      </c>
      <c r="K69" s="23" t="s">
        <v>96</v>
      </c>
      <c r="L69" s="36">
        <f t="shared" si="32"/>
        <v>34200</v>
      </c>
      <c r="M69" s="36"/>
      <c r="N69" s="36"/>
      <c r="O69" s="36"/>
      <c r="P69" s="36">
        <f t="shared" si="33"/>
        <v>12184</v>
      </c>
      <c r="Q69" s="36">
        <f t="shared" si="34"/>
        <v>11584</v>
      </c>
      <c r="R69" s="36">
        <f t="shared" si="35"/>
        <v>34200</v>
      </c>
      <c r="S69" s="36"/>
      <c r="T69" s="36">
        <f t="shared" si="36"/>
        <v>12184</v>
      </c>
      <c r="U69" s="36">
        <f t="shared" si="37"/>
        <v>11584</v>
      </c>
      <c r="V69" s="36">
        <f t="shared" si="38"/>
        <v>46384</v>
      </c>
      <c r="W69" s="36">
        <f t="shared" si="39"/>
        <v>11584</v>
      </c>
      <c r="X69" s="37">
        <f t="shared" ref="X69:X82" si="40">SUM(L69:W69)</f>
        <v>173904</v>
      </c>
    </row>
    <row r="70" spans="1:24">
      <c r="A70" s="5" t="s">
        <v>212</v>
      </c>
      <c r="B70" s="42">
        <f>B$2*'Total Inventory (HVC)'!C72</f>
        <v>1440</v>
      </c>
      <c r="C70" s="42">
        <f>C$2*'Total Inventory (HVC)'!D72</f>
        <v>0</v>
      </c>
      <c r="D70" s="42">
        <f>D$2*'Total Inventory (HVC)'!E72</f>
        <v>0</v>
      </c>
      <c r="E70" s="42">
        <f>E$2*'Total Inventory (HVC)'!F72</f>
        <v>49088</v>
      </c>
      <c r="F70" s="42">
        <f>F$2*'Total Inventory (HVC)'!G72</f>
        <v>0</v>
      </c>
      <c r="G70" s="42">
        <f>G$2*'Total Inventory (HVC)'!H72</f>
        <v>50760</v>
      </c>
      <c r="H70" s="42">
        <f>H$2*'Total Inventory (HVC)'!I72</f>
        <v>0</v>
      </c>
      <c r="I70" s="42">
        <f>I$2*'Total Inventory (HVC)'!J72</f>
        <v>12240</v>
      </c>
      <c r="K70" s="23" t="s">
        <v>212</v>
      </c>
      <c r="L70" s="36">
        <f t="shared" si="32"/>
        <v>63000</v>
      </c>
      <c r="M70" s="36"/>
      <c r="N70" s="36"/>
      <c r="O70" s="36"/>
      <c r="P70" s="36">
        <f t="shared" si="33"/>
        <v>50528</v>
      </c>
      <c r="Q70" s="36">
        <f t="shared" si="34"/>
        <v>49088</v>
      </c>
      <c r="R70" s="36">
        <f t="shared" si="35"/>
        <v>63000</v>
      </c>
      <c r="S70" s="36"/>
      <c r="T70" s="36">
        <f t="shared" si="36"/>
        <v>50528</v>
      </c>
      <c r="U70" s="36">
        <f t="shared" si="37"/>
        <v>49088</v>
      </c>
      <c r="V70" s="36">
        <f t="shared" si="38"/>
        <v>113528</v>
      </c>
      <c r="W70" s="36">
        <f t="shared" si="39"/>
        <v>49088</v>
      </c>
      <c r="X70" s="37">
        <f t="shared" si="40"/>
        <v>487848</v>
      </c>
    </row>
    <row r="71" spans="1:24">
      <c r="A71" s="5" t="s">
        <v>49</v>
      </c>
      <c r="B71" s="42">
        <f>B$2*'Total Inventory (HVC)'!C73</f>
        <v>4980</v>
      </c>
      <c r="C71" s="42">
        <f>C$2*'Total Inventory (HVC)'!D73</f>
        <v>1500</v>
      </c>
      <c r="D71" s="42">
        <f>D$2*'Total Inventory (HVC)'!E73</f>
        <v>0</v>
      </c>
      <c r="E71" s="42">
        <f>E$2*'Total Inventory (HVC)'!F73</f>
        <v>67520</v>
      </c>
      <c r="F71" s="42">
        <f>F$2*'Total Inventory (HVC)'!G73</f>
        <v>0</v>
      </c>
      <c r="G71" s="42">
        <f>G$2*'Total Inventory (HVC)'!H73</f>
        <v>20385</v>
      </c>
      <c r="H71" s="42">
        <f>H$2*'Total Inventory (HVC)'!I73</f>
        <v>116640</v>
      </c>
      <c r="I71" s="42">
        <f>I$2*'Total Inventory (HVC)'!J73</f>
        <v>5400</v>
      </c>
      <c r="K71" s="23" t="s">
        <v>49</v>
      </c>
      <c r="L71" s="36">
        <f t="shared" si="32"/>
        <v>142425</v>
      </c>
      <c r="M71" s="38"/>
      <c r="N71" s="38"/>
      <c r="O71" s="36"/>
      <c r="P71" s="36">
        <f t="shared" si="33"/>
        <v>74000</v>
      </c>
      <c r="Q71" s="36">
        <f t="shared" si="34"/>
        <v>67520</v>
      </c>
      <c r="R71" s="36">
        <f t="shared" si="35"/>
        <v>142425</v>
      </c>
      <c r="S71" s="36"/>
      <c r="T71" s="36">
        <f t="shared" si="36"/>
        <v>74000</v>
      </c>
      <c r="U71" s="36">
        <f t="shared" si="37"/>
        <v>67520</v>
      </c>
      <c r="V71" s="36">
        <f t="shared" si="38"/>
        <v>216425</v>
      </c>
      <c r="W71" s="36">
        <f t="shared" si="39"/>
        <v>67520</v>
      </c>
      <c r="X71" s="37">
        <f t="shared" si="40"/>
        <v>851835</v>
      </c>
    </row>
    <row r="72" spans="1:24">
      <c r="A72" s="5" t="s">
        <v>50</v>
      </c>
      <c r="B72" s="42">
        <f>B$2*'Total Inventory (HVC)'!C74</f>
        <v>17280</v>
      </c>
      <c r="C72" s="42">
        <f>C$2*'Total Inventory (HVC)'!D74</f>
        <v>0</v>
      </c>
      <c r="D72" s="42">
        <f>D$2*'Total Inventory (HVC)'!E74</f>
        <v>0</v>
      </c>
      <c r="E72" s="42">
        <f>E$2*'Total Inventory (HVC)'!F74</f>
        <v>87488</v>
      </c>
      <c r="F72" s="42">
        <f>F$2*'Total Inventory (HVC)'!G74</f>
        <v>0</v>
      </c>
      <c r="G72" s="42">
        <f>G$2*'Total Inventory (HVC)'!H74</f>
        <v>49410</v>
      </c>
      <c r="H72" s="42">
        <f>H$2*'Total Inventory (HVC)'!I74</f>
        <v>336960</v>
      </c>
      <c r="I72" s="42">
        <f>I$2*'Total Inventory (HVC)'!J74</f>
        <v>10440</v>
      </c>
      <c r="K72" s="23" t="s">
        <v>50</v>
      </c>
      <c r="L72" s="36">
        <f t="shared" si="32"/>
        <v>396810</v>
      </c>
      <c r="M72" s="38"/>
      <c r="N72" s="38"/>
      <c r="O72" s="36"/>
      <c r="P72" s="36">
        <f t="shared" si="33"/>
        <v>104768</v>
      </c>
      <c r="Q72" s="36">
        <f t="shared" si="34"/>
        <v>87488</v>
      </c>
      <c r="R72" s="36">
        <f t="shared" si="35"/>
        <v>396810</v>
      </c>
      <c r="S72" s="36"/>
      <c r="T72" s="36">
        <f t="shared" si="36"/>
        <v>104768</v>
      </c>
      <c r="U72" s="36">
        <f t="shared" si="37"/>
        <v>87488</v>
      </c>
      <c r="V72" s="36">
        <f t="shared" si="38"/>
        <v>501578</v>
      </c>
      <c r="W72" s="36">
        <f t="shared" si="39"/>
        <v>87488</v>
      </c>
      <c r="X72" s="37">
        <f t="shared" si="40"/>
        <v>1767198</v>
      </c>
    </row>
    <row r="73" spans="1:24">
      <c r="A73" s="5" t="s">
        <v>51</v>
      </c>
      <c r="B73" s="42">
        <f>B$2*'Total Inventory (HVC)'!C75</f>
        <v>20820</v>
      </c>
      <c r="C73" s="42">
        <f>C$2*'Total Inventory (HVC)'!D75</f>
        <v>1500</v>
      </c>
      <c r="D73" s="42">
        <f>D$2*'Total Inventory (HVC)'!E75</f>
        <v>0</v>
      </c>
      <c r="E73" s="42">
        <f>E$2*'Total Inventory (HVC)'!F75</f>
        <v>79680</v>
      </c>
      <c r="F73" s="42">
        <f>F$2*'Total Inventory (HVC)'!G75</f>
        <v>0</v>
      </c>
      <c r="G73" s="42">
        <f>G$2*'Total Inventory (HVC)'!H75</f>
        <v>42120</v>
      </c>
      <c r="H73" s="42">
        <f>H$2*'Total Inventory (HVC)'!I75</f>
        <v>432000</v>
      </c>
      <c r="I73" s="42">
        <f>I$2*'Total Inventory (HVC)'!J75</f>
        <v>10440</v>
      </c>
      <c r="K73" s="23" t="s">
        <v>51</v>
      </c>
      <c r="L73" s="36">
        <f t="shared" si="32"/>
        <v>484560</v>
      </c>
      <c r="M73" s="38"/>
      <c r="N73" s="38"/>
      <c r="O73" s="36"/>
      <c r="P73" s="36">
        <f t="shared" si="33"/>
        <v>102000</v>
      </c>
      <c r="Q73" s="36">
        <f t="shared" si="34"/>
        <v>79680</v>
      </c>
      <c r="R73" s="36">
        <f t="shared" si="35"/>
        <v>484560</v>
      </c>
      <c r="S73" s="36"/>
      <c r="T73" s="36">
        <f t="shared" si="36"/>
        <v>102000</v>
      </c>
      <c r="U73" s="36">
        <f t="shared" si="37"/>
        <v>79680</v>
      </c>
      <c r="V73" s="36">
        <f t="shared" si="38"/>
        <v>586560</v>
      </c>
      <c r="W73" s="36">
        <f t="shared" si="39"/>
        <v>79680</v>
      </c>
      <c r="X73" s="37">
        <f t="shared" si="40"/>
        <v>1998720</v>
      </c>
    </row>
    <row r="74" spans="1:24">
      <c r="A74" s="5" t="s">
        <v>213</v>
      </c>
      <c r="B74" s="42">
        <f>B$2*'Total Inventory (HVC)'!C76</f>
        <v>59760</v>
      </c>
      <c r="C74" s="42">
        <f>C$2*'Total Inventory (HVC)'!D76</f>
        <v>0</v>
      </c>
      <c r="D74" s="42">
        <f>D$2*'Total Inventory (HVC)'!E76</f>
        <v>0</v>
      </c>
      <c r="E74" s="42">
        <f>E$2*'Total Inventory (HVC)'!F76</f>
        <v>70336</v>
      </c>
      <c r="F74" s="42">
        <f>F$2*'Total Inventory (HVC)'!G76</f>
        <v>0</v>
      </c>
      <c r="G74" s="42">
        <f>G$2*'Total Inventory (HVC)'!H76</f>
        <v>74520</v>
      </c>
      <c r="H74" s="42">
        <f>H$2*'Total Inventory (HVC)'!I76</f>
        <v>401760</v>
      </c>
      <c r="I74" s="42">
        <f>I$2*'Total Inventory (HVC)'!J76</f>
        <v>15840</v>
      </c>
      <c r="K74" s="23" t="s">
        <v>213</v>
      </c>
      <c r="L74" s="36">
        <f t="shared" si="32"/>
        <v>492120</v>
      </c>
      <c r="M74" s="38"/>
      <c r="N74" s="38"/>
      <c r="O74" s="36"/>
      <c r="P74" s="36">
        <f t="shared" si="33"/>
        <v>130096</v>
      </c>
      <c r="Q74" s="36">
        <f t="shared" si="34"/>
        <v>70336</v>
      </c>
      <c r="R74" s="36">
        <f t="shared" si="35"/>
        <v>492120</v>
      </c>
      <c r="S74" s="36"/>
      <c r="T74" s="36">
        <f t="shared" si="36"/>
        <v>130096</v>
      </c>
      <c r="U74" s="36">
        <f t="shared" si="37"/>
        <v>70336</v>
      </c>
      <c r="V74" s="36">
        <f t="shared" si="38"/>
        <v>622216</v>
      </c>
      <c r="W74" s="36">
        <f t="shared" si="39"/>
        <v>70336</v>
      </c>
      <c r="X74" s="37">
        <f t="shared" si="40"/>
        <v>2077656</v>
      </c>
    </row>
    <row r="75" spans="1:24">
      <c r="A75" s="5" t="s">
        <v>145</v>
      </c>
      <c r="B75" s="42">
        <f>B$2*'Total Inventory (HVC)'!C77</f>
        <v>21660</v>
      </c>
      <c r="C75" s="42">
        <f>C$2*'Total Inventory (HVC)'!D77</f>
        <v>2250</v>
      </c>
      <c r="D75" s="42">
        <f>D$2*'Total Inventory (HVC)'!E77</f>
        <v>0</v>
      </c>
      <c r="E75" s="42">
        <f>E$2*'Total Inventory (HVC)'!F77</f>
        <v>95296</v>
      </c>
      <c r="F75" s="42">
        <f>F$2*'Total Inventory (HVC)'!G77</f>
        <v>0</v>
      </c>
      <c r="G75" s="42">
        <f>G$2*'Total Inventory (HVC)'!H77</f>
        <v>83700</v>
      </c>
      <c r="H75" s="42">
        <f>H$2*'Total Inventory (HVC)'!I77</f>
        <v>179280</v>
      </c>
      <c r="I75" s="42">
        <f>I$2*'Total Inventory (HVC)'!J77</f>
        <v>5400</v>
      </c>
      <c r="K75" s="23" t="s">
        <v>145</v>
      </c>
      <c r="L75" s="36">
        <f t="shared" si="32"/>
        <v>268380</v>
      </c>
      <c r="M75" s="36"/>
      <c r="N75" s="38"/>
      <c r="O75" s="38"/>
      <c r="P75" s="36">
        <f t="shared" si="33"/>
        <v>119206</v>
      </c>
      <c r="Q75" s="36">
        <f t="shared" si="34"/>
        <v>95296</v>
      </c>
      <c r="R75" s="36">
        <f t="shared" si="35"/>
        <v>268380</v>
      </c>
      <c r="S75" s="36"/>
      <c r="T75" s="36">
        <f t="shared" si="36"/>
        <v>119206</v>
      </c>
      <c r="U75" s="36">
        <f t="shared" si="37"/>
        <v>95296</v>
      </c>
      <c r="V75" s="36">
        <f t="shared" si="38"/>
        <v>387586</v>
      </c>
      <c r="W75" s="36">
        <f t="shared" si="39"/>
        <v>95296</v>
      </c>
      <c r="X75" s="37">
        <f t="shared" si="40"/>
        <v>1448646</v>
      </c>
    </row>
    <row r="76" spans="1:24">
      <c r="A76" s="5" t="s">
        <v>204</v>
      </c>
      <c r="B76" s="42">
        <f>B$2*'Total Inventory (HVC)'!C78</f>
        <v>25500</v>
      </c>
      <c r="C76" s="42">
        <f>C$2*'Total Inventory (HVC)'!D78</f>
        <v>1500</v>
      </c>
      <c r="D76" s="42">
        <f>D$2*'Total Inventory (HVC)'!E78</f>
        <v>0</v>
      </c>
      <c r="E76" s="42">
        <f>E$2*'Total Inventory (HVC)'!F78</f>
        <v>101888</v>
      </c>
      <c r="F76" s="42">
        <f>F$2*'Total Inventory (HVC)'!G78</f>
        <v>0</v>
      </c>
      <c r="G76" s="42">
        <f>G$2*'Total Inventory (HVC)'!H78</f>
        <v>90990</v>
      </c>
      <c r="H76" s="42">
        <f>H$2*'Total Inventory (HVC)'!I78</f>
        <v>222480</v>
      </c>
      <c r="I76" s="42">
        <f>I$2*'Total Inventory (HVC)'!J78</f>
        <v>14040</v>
      </c>
      <c r="K76" s="23" t="s">
        <v>204</v>
      </c>
      <c r="L76" s="36">
        <f t="shared" si="32"/>
        <v>327510</v>
      </c>
      <c r="M76" s="36"/>
      <c r="N76" s="36"/>
      <c r="O76" s="38"/>
      <c r="P76" s="36">
        <f t="shared" si="33"/>
        <v>128888</v>
      </c>
      <c r="Q76" s="36">
        <f t="shared" si="34"/>
        <v>101888</v>
      </c>
      <c r="R76" s="36">
        <f t="shared" si="35"/>
        <v>327510</v>
      </c>
      <c r="S76" s="36"/>
      <c r="T76" s="36">
        <f t="shared" si="36"/>
        <v>128888</v>
      </c>
      <c r="U76" s="36">
        <f t="shared" si="37"/>
        <v>101888</v>
      </c>
      <c r="V76" s="36">
        <f t="shared" si="38"/>
        <v>456398</v>
      </c>
      <c r="W76" s="36">
        <f t="shared" si="39"/>
        <v>101888</v>
      </c>
      <c r="X76" s="37">
        <f t="shared" si="40"/>
        <v>1674858</v>
      </c>
    </row>
    <row r="77" spans="1:24">
      <c r="A77" s="5" t="s">
        <v>52</v>
      </c>
      <c r="B77" s="42">
        <f>B$2*'Total Inventory (HVC)'!C79</f>
        <v>7620</v>
      </c>
      <c r="C77" s="42">
        <f>C$2*'Total Inventory (HVC)'!D79</f>
        <v>0</v>
      </c>
      <c r="D77" s="42">
        <f>D$2*'Total Inventory (HVC)'!E79</f>
        <v>0</v>
      </c>
      <c r="E77" s="42">
        <f>E$2*'Total Inventory (HVC)'!F79</f>
        <v>30592</v>
      </c>
      <c r="F77" s="42">
        <f>F$2*'Total Inventory (HVC)'!G79</f>
        <v>0</v>
      </c>
      <c r="G77" s="42">
        <f>G$2*'Total Inventory (HVC)'!H79</f>
        <v>13230</v>
      </c>
      <c r="H77" s="42">
        <f>H$2*'Total Inventory (HVC)'!I79</f>
        <v>21600</v>
      </c>
      <c r="I77" s="42">
        <f>I$2*'Total Inventory (HVC)'!J79</f>
        <v>0</v>
      </c>
      <c r="K77" s="23" t="s">
        <v>52</v>
      </c>
      <c r="L77" s="36">
        <f t="shared" si="32"/>
        <v>34830</v>
      </c>
      <c r="M77" s="36"/>
      <c r="N77" s="38"/>
      <c r="O77" s="38"/>
      <c r="P77" s="36">
        <f t="shared" si="33"/>
        <v>38212</v>
      </c>
      <c r="Q77" s="36">
        <f t="shared" si="34"/>
        <v>30592</v>
      </c>
      <c r="R77" s="36">
        <f t="shared" si="35"/>
        <v>34830</v>
      </c>
      <c r="S77" s="36"/>
      <c r="T77" s="36">
        <f t="shared" si="36"/>
        <v>38212</v>
      </c>
      <c r="U77" s="36">
        <f t="shared" si="37"/>
        <v>30592</v>
      </c>
      <c r="V77" s="36">
        <f t="shared" si="38"/>
        <v>73042</v>
      </c>
      <c r="W77" s="36">
        <f t="shared" si="39"/>
        <v>30592</v>
      </c>
      <c r="X77" s="37">
        <f t="shared" si="40"/>
        <v>310902</v>
      </c>
    </row>
    <row r="78" spans="1:24">
      <c r="A78" s="5" t="s">
        <v>205</v>
      </c>
      <c r="B78" s="42">
        <f>B$2*'Total Inventory (HVC)'!C80</f>
        <v>18480</v>
      </c>
      <c r="C78" s="42">
        <f>C$2*'Total Inventory (HVC)'!D80</f>
        <v>1500</v>
      </c>
      <c r="D78" s="42">
        <f>D$2*'Total Inventory (HVC)'!E80</f>
        <v>0</v>
      </c>
      <c r="E78" s="42">
        <f>E$2*'Total Inventory (HVC)'!F80</f>
        <v>69056</v>
      </c>
      <c r="F78" s="42">
        <f>F$2*'Total Inventory (HVC)'!G80</f>
        <v>0</v>
      </c>
      <c r="G78" s="42">
        <f>G$2*'Total Inventory (HVC)'!H80</f>
        <v>23760</v>
      </c>
      <c r="H78" s="42">
        <f>H$2*'Total Inventory (HVC)'!I80</f>
        <v>10800</v>
      </c>
      <c r="I78" s="42">
        <f>I$2*'Total Inventory (HVC)'!J80</f>
        <v>0</v>
      </c>
      <c r="K78" s="23" t="s">
        <v>205</v>
      </c>
      <c r="L78" s="36">
        <f>$B78+$C78+$D78+$E78</f>
        <v>89036</v>
      </c>
      <c r="M78" s="36">
        <f>$E78</f>
        <v>69056</v>
      </c>
      <c r="N78" s="36">
        <f>$B78+$C78+$D78+$E78+$F78+$G78+$H78+$I78</f>
        <v>123596</v>
      </c>
      <c r="O78" s="36">
        <f>$E78</f>
        <v>69056</v>
      </c>
      <c r="P78" s="36">
        <f>$F78+$G78+$H78+$I78</f>
        <v>34560</v>
      </c>
      <c r="Q78" s="36">
        <f>$B78+$C78+$D78+$E78</f>
        <v>89036</v>
      </c>
      <c r="R78" s="36">
        <f>$E78</f>
        <v>69056</v>
      </c>
      <c r="S78" s="36">
        <f>$F78+$G78+$H78+$I78</f>
        <v>34560</v>
      </c>
      <c r="T78" s="36"/>
      <c r="U78" s="36">
        <f>$B78+$C78+$D78+$E78</f>
        <v>89036</v>
      </c>
      <c r="V78" s="36">
        <f>$E78</f>
        <v>69056</v>
      </c>
      <c r="W78" s="36">
        <f>$F78+$G78+$H78+$I78</f>
        <v>34560</v>
      </c>
      <c r="X78" s="37">
        <f t="shared" si="40"/>
        <v>770608</v>
      </c>
    </row>
    <row r="79" spans="1:24">
      <c r="A79" s="5" t="s">
        <v>206</v>
      </c>
      <c r="B79" s="42">
        <f>B$2*'Total Inventory (HVC)'!C81</f>
        <v>20520</v>
      </c>
      <c r="C79" s="42">
        <f>C$2*'Total Inventory (HVC)'!D81</f>
        <v>2250</v>
      </c>
      <c r="D79" s="42">
        <f>D$2*'Total Inventory (HVC)'!E81</f>
        <v>0</v>
      </c>
      <c r="E79" s="42">
        <f>E$2*'Total Inventory (HVC)'!F81</f>
        <v>49088</v>
      </c>
      <c r="F79" s="42">
        <f>F$2*'Total Inventory (HVC)'!G81</f>
        <v>0</v>
      </c>
      <c r="G79" s="42">
        <f>G$2*'Total Inventory (HVC)'!H81</f>
        <v>74520</v>
      </c>
      <c r="H79" s="42">
        <f>H$2*'Total Inventory (HVC)'!I81</f>
        <v>263520</v>
      </c>
      <c r="I79" s="42">
        <f>I$2*'Total Inventory (HVC)'!J81</f>
        <v>12240</v>
      </c>
      <c r="K79" s="23" t="s">
        <v>206</v>
      </c>
      <c r="L79" s="36">
        <f>$B79+$C79+$D79+$E79</f>
        <v>71858</v>
      </c>
      <c r="M79" s="36">
        <f>$E79</f>
        <v>49088</v>
      </c>
      <c r="N79" s="36">
        <f>$B79+$C79+$D79+$E79+$F79+$G79+$H79+$I79</f>
        <v>422138</v>
      </c>
      <c r="O79" s="36">
        <f>$E79</f>
        <v>49088</v>
      </c>
      <c r="P79" s="36">
        <f>$F79+$G79+$H79+$I79</f>
        <v>350280</v>
      </c>
      <c r="Q79" s="36">
        <f>$B79+$C79+$D79+$E79</f>
        <v>71858</v>
      </c>
      <c r="R79" s="36">
        <f>$E79</f>
        <v>49088</v>
      </c>
      <c r="S79" s="36">
        <f>$F79+$G79+$H79+$I79</f>
        <v>350280</v>
      </c>
      <c r="T79" s="36"/>
      <c r="U79" s="36">
        <f>$B79+$C79+$D79+$E79</f>
        <v>71858</v>
      </c>
      <c r="V79" s="36">
        <f>$E79</f>
        <v>49088</v>
      </c>
      <c r="W79" s="36">
        <f>$F79+$G79+$H79+$I79</f>
        <v>350280</v>
      </c>
      <c r="X79" s="37">
        <f t="shared" si="40"/>
        <v>1884904</v>
      </c>
    </row>
    <row r="80" spans="1:24">
      <c r="A80" s="5" t="s">
        <v>160</v>
      </c>
      <c r="B80" s="42">
        <f>B$2*'Total Inventory (HVC)'!C82</f>
        <v>300</v>
      </c>
      <c r="C80" s="42">
        <f>C$2*'Total Inventory (HVC)'!D82</f>
        <v>0</v>
      </c>
      <c r="D80" s="42">
        <f>D$2*'Total Inventory (HVC)'!E82</f>
        <v>0</v>
      </c>
      <c r="E80" s="42">
        <f>E$2*'Total Inventory (HVC)'!F82</f>
        <v>640</v>
      </c>
      <c r="F80" s="42">
        <f>F$2*'Total Inventory (HVC)'!G82</f>
        <v>0</v>
      </c>
      <c r="G80" s="42">
        <f>G$2*'Total Inventory (HVC)'!H82</f>
        <v>2700</v>
      </c>
      <c r="H80" s="42">
        <f>H$2*'Total Inventory (HVC)'!I82</f>
        <v>0</v>
      </c>
      <c r="I80" s="42">
        <f>I$2*'Total Inventory (HVC)'!J82</f>
        <v>0</v>
      </c>
      <c r="K80" s="23" t="s">
        <v>160</v>
      </c>
      <c r="L80" s="36">
        <f>$B80+$C80+$D80+$E80</f>
        <v>940</v>
      </c>
      <c r="M80" s="36">
        <f>$E80</f>
        <v>640</v>
      </c>
      <c r="N80" s="36">
        <f>$B80+$C80+$D80+$E80+$F80+$G80+$H80+$I80</f>
        <v>3640</v>
      </c>
      <c r="O80" s="36">
        <f>$E80</f>
        <v>640</v>
      </c>
      <c r="P80" s="36">
        <f>$F80+$G80+$H80+$I80</f>
        <v>2700</v>
      </c>
      <c r="Q80" s="36">
        <f>$B80+$C80+$D80+$E80</f>
        <v>940</v>
      </c>
      <c r="R80" s="36">
        <f>$E80</f>
        <v>640</v>
      </c>
      <c r="S80" s="36">
        <f>$F80+$G80+$H80+$I80</f>
        <v>2700</v>
      </c>
      <c r="T80" s="36"/>
      <c r="U80" s="36">
        <f>$B80+$C80+$D80+$E80</f>
        <v>940</v>
      </c>
      <c r="V80" s="36">
        <f>$E80</f>
        <v>640</v>
      </c>
      <c r="W80" s="36">
        <f>$F80+$G80+$H80+$I80</f>
        <v>2700</v>
      </c>
      <c r="X80" s="37">
        <f t="shared" si="40"/>
        <v>17120</v>
      </c>
    </row>
    <row r="81" spans="1:24">
      <c r="A81" s="5" t="s">
        <v>203</v>
      </c>
      <c r="B81" s="42">
        <f>B$2*'Total Inventory (HVC)'!C83</f>
        <v>0</v>
      </c>
      <c r="C81" s="42">
        <f>C$2*'Total Inventory (HVC)'!D83</f>
        <v>0</v>
      </c>
      <c r="D81" s="42">
        <f>D$2*'Total Inventory (HVC)'!E83</f>
        <v>0</v>
      </c>
      <c r="E81" s="42">
        <f>E$2*'Total Inventory (HVC)'!F83</f>
        <v>0</v>
      </c>
      <c r="F81" s="42">
        <f>F$2*'Total Inventory (HVC)'!G83</f>
        <v>0</v>
      </c>
      <c r="G81" s="42">
        <f>G$2*'Total Inventory (HVC)'!H83</f>
        <v>675</v>
      </c>
      <c r="H81" s="42">
        <f>H$2*'Total Inventory (HVC)'!I83</f>
        <v>0</v>
      </c>
      <c r="I81" s="42">
        <f>I$2*'Total Inventory (HVC)'!J83</f>
        <v>0</v>
      </c>
      <c r="K81" s="23" t="s">
        <v>203</v>
      </c>
      <c r="L81" s="36">
        <f>$B81+$C81+$D81+$E81</f>
        <v>0</v>
      </c>
      <c r="M81" s="36">
        <f>$E81</f>
        <v>0</v>
      </c>
      <c r="N81" s="36">
        <f>$B81+$C81+$D81+$E81+$F81+$G81+$H81+$I81</f>
        <v>675</v>
      </c>
      <c r="O81" s="36">
        <f>$E81</f>
        <v>0</v>
      </c>
      <c r="P81" s="36">
        <f>$F81+$G81+$H81+$I81</f>
        <v>675</v>
      </c>
      <c r="Q81" s="36">
        <f>$B81+$C81+$D81+$E81</f>
        <v>0</v>
      </c>
      <c r="R81" s="36">
        <f>$E81</f>
        <v>0</v>
      </c>
      <c r="S81" s="36">
        <f>$F81+$G81+$H81+$I81</f>
        <v>675</v>
      </c>
      <c r="T81" s="36"/>
      <c r="U81" s="36">
        <f>$B81+$C81+$D81+$E81</f>
        <v>0</v>
      </c>
      <c r="V81" s="36">
        <f>$E81</f>
        <v>0</v>
      </c>
      <c r="W81" s="36">
        <f>$F81+$G81+$H81+$I81</f>
        <v>675</v>
      </c>
      <c r="X81" s="37">
        <f t="shared" si="40"/>
        <v>2700</v>
      </c>
    </row>
    <row r="82" spans="1:24">
      <c r="A82" s="5" t="s">
        <v>53</v>
      </c>
      <c r="B82" s="42">
        <f>B$2*'Total Inventory (HVC)'!C84</f>
        <v>300</v>
      </c>
      <c r="C82" s="42">
        <f>C$2*'Total Inventory (HVC)'!D84</f>
        <v>0</v>
      </c>
      <c r="D82" s="42">
        <f>D$2*'Total Inventory (HVC)'!E84</f>
        <v>0</v>
      </c>
      <c r="E82" s="42">
        <f>E$2*'Total Inventory (HVC)'!F84</f>
        <v>0</v>
      </c>
      <c r="F82" s="42">
        <f>F$2*'Total Inventory (HVC)'!G84</f>
        <v>0</v>
      </c>
      <c r="G82" s="42">
        <f>G$2*'Total Inventory (HVC)'!H84</f>
        <v>1350</v>
      </c>
      <c r="H82" s="42">
        <f>H$2*'Total Inventory (HVC)'!I84</f>
        <v>0</v>
      </c>
      <c r="I82" s="42">
        <f>I$2*'Total Inventory (HVC)'!J84</f>
        <v>0</v>
      </c>
      <c r="K82" s="23" t="s">
        <v>53</v>
      </c>
      <c r="L82" s="36">
        <f>$B82+$C82+$D82+$E82</f>
        <v>300</v>
      </c>
      <c r="M82" s="36">
        <f>$E82</f>
        <v>0</v>
      </c>
      <c r="N82" s="36">
        <f>$B82+$C82+$D82+$E82+$F82+$G82+$H82+$I82</f>
        <v>1650</v>
      </c>
      <c r="O82" s="36">
        <f>$E82</f>
        <v>0</v>
      </c>
      <c r="P82" s="36">
        <f>$F82+$G82+$H82+$I82</f>
        <v>1350</v>
      </c>
      <c r="Q82" s="36">
        <f>$B82+$C82+$D82+$E82</f>
        <v>300</v>
      </c>
      <c r="R82" s="36">
        <f>$E82</f>
        <v>0</v>
      </c>
      <c r="S82" s="36">
        <f>$F82+$G82+$H82+$I82</f>
        <v>1350</v>
      </c>
      <c r="T82" s="36"/>
      <c r="U82" s="36">
        <f>$B82+$C82+$D82+$E82</f>
        <v>300</v>
      </c>
      <c r="V82" s="36">
        <f>$E82</f>
        <v>0</v>
      </c>
      <c r="W82" s="36">
        <f>$F82+$G82+$H82+$I82</f>
        <v>1350</v>
      </c>
      <c r="X82" s="37">
        <f t="shared" si="40"/>
        <v>6600</v>
      </c>
    </row>
    <row r="83" spans="1:24">
      <c r="K83" s="16" t="s">
        <v>255</v>
      </c>
      <c r="L83" s="37">
        <f>SUM(L5:L82)</f>
        <v>5695177</v>
      </c>
      <c r="M83" s="37">
        <f t="shared" ref="M83:X83" si="41">SUM(M5:M82)</f>
        <v>578752</v>
      </c>
      <c r="N83" s="37">
        <f t="shared" si="41"/>
        <v>5756737</v>
      </c>
      <c r="O83" s="37">
        <f t="shared" si="41"/>
        <v>578752</v>
      </c>
      <c r="P83" s="37">
        <f t="shared" si="41"/>
        <v>7781219</v>
      </c>
      <c r="Q83" s="37">
        <f t="shared" si="41"/>
        <v>3808848</v>
      </c>
      <c r="R83" s="37">
        <f t="shared" si="41"/>
        <v>5532982</v>
      </c>
      <c r="S83" s="37">
        <f t="shared" si="41"/>
        <v>4493745</v>
      </c>
      <c r="T83" s="37">
        <f t="shared" si="41"/>
        <v>1137426</v>
      </c>
      <c r="U83" s="37">
        <f t="shared" si="41"/>
        <v>3293676</v>
      </c>
      <c r="V83" s="37">
        <f t="shared" si="41"/>
        <v>6789708</v>
      </c>
      <c r="W83" s="37">
        <f t="shared" si="41"/>
        <v>6621486</v>
      </c>
      <c r="X83" s="37">
        <f t="shared" si="41"/>
        <v>52068508</v>
      </c>
    </row>
  </sheetData>
  <mergeCells count="14">
    <mergeCell ref="X1:X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H45"/>
  <sheetViews>
    <sheetView topLeftCell="A9" workbookViewId="0">
      <selection activeCell="C12" sqref="C12:C22"/>
    </sheetView>
  </sheetViews>
  <sheetFormatPr defaultColWidth="9.109375" defaultRowHeight="14.4"/>
  <cols>
    <col min="1" max="1" width="33.44140625" style="209" customWidth="1"/>
    <col min="2" max="2" width="16.44140625" style="209" bestFit="1" customWidth="1"/>
    <col min="3" max="3" width="7.44140625" style="210" customWidth="1"/>
    <col min="4" max="4" width="21" style="212" customWidth="1"/>
    <col min="5" max="5" width="14.33203125" style="215" customWidth="1"/>
    <col min="6" max="6" width="13.33203125" style="213" customWidth="1"/>
    <col min="7" max="7" width="13.33203125" style="212" customWidth="1"/>
    <col min="8" max="8" width="13.33203125" style="210" customWidth="1"/>
    <col min="9" max="9" width="13.33203125" style="214" customWidth="1"/>
    <col min="10" max="10" width="13.33203125" style="218" customWidth="1"/>
    <col min="11" max="11" width="5.6640625" style="215" customWidth="1"/>
    <col min="12" max="12" width="5.6640625" style="212" customWidth="1"/>
    <col min="13" max="14" width="5.6640625" style="210" customWidth="1"/>
    <col min="15" max="17" width="13.33203125" style="210" customWidth="1"/>
    <col min="18" max="19" width="15.77734375" style="210" customWidth="1"/>
    <col min="20" max="20" width="20.109375" style="210" bestFit="1" customWidth="1"/>
    <col min="21" max="21" width="11.109375" style="216" customWidth="1"/>
    <col min="22" max="23" width="13.109375" style="175" bestFit="1" customWidth="1"/>
    <col min="24" max="24" width="24.44140625" style="176" customWidth="1"/>
    <col min="25" max="25" width="18.109375" style="175" customWidth="1"/>
    <col min="26" max="26" width="13.109375" style="175" bestFit="1" customWidth="1"/>
    <col min="27" max="27" width="11.44140625" style="175" bestFit="1" customWidth="1"/>
    <col min="28" max="30" width="9.44140625" style="175" bestFit="1" customWidth="1"/>
    <col min="31" max="33" width="15" style="175" bestFit="1" customWidth="1"/>
    <col min="34" max="34" width="16.109375" style="175" bestFit="1" customWidth="1"/>
    <col min="35" max="16384" width="9.109375" style="175"/>
  </cols>
  <sheetData>
    <row r="1" spans="1:34" ht="30.75" customHeight="1" thickBot="1">
      <c r="A1" s="642" t="s">
        <v>337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3"/>
      <c r="S1" s="267"/>
      <c r="T1" s="221"/>
      <c r="V1" s="222"/>
      <c r="W1" s="222"/>
      <c r="X1" s="223"/>
      <c r="Y1" s="224"/>
      <c r="Z1" s="225"/>
      <c r="AA1" s="224"/>
      <c r="AB1" s="224"/>
      <c r="AC1" s="224"/>
      <c r="AD1" s="224"/>
      <c r="AE1" s="224"/>
      <c r="AF1" s="224"/>
      <c r="AG1" s="224"/>
      <c r="AH1" s="224"/>
    </row>
    <row r="2" spans="1:34" s="176" customFormat="1" ht="21" customHeight="1">
      <c r="A2" s="644" t="s">
        <v>338</v>
      </c>
      <c r="B2" s="644" t="s">
        <v>202</v>
      </c>
      <c r="C2" s="645" t="s">
        <v>339</v>
      </c>
      <c r="D2" s="646" t="s">
        <v>340</v>
      </c>
      <c r="E2" s="646"/>
      <c r="F2" s="646"/>
      <c r="G2" s="646"/>
      <c r="H2" s="646"/>
      <c r="I2" s="646"/>
      <c r="J2" s="646"/>
      <c r="K2" s="646"/>
      <c r="L2" s="646"/>
      <c r="M2" s="646"/>
      <c r="N2" s="646"/>
      <c r="O2" s="646"/>
      <c r="P2" s="646"/>
      <c r="Q2" s="646"/>
      <c r="R2" s="647" t="s">
        <v>341</v>
      </c>
      <c r="S2" s="268"/>
      <c r="T2" s="638" t="s">
        <v>342</v>
      </c>
      <c r="U2" s="639"/>
      <c r="V2" s="639"/>
      <c r="W2" s="639"/>
      <c r="X2" s="639"/>
      <c r="Y2" s="639"/>
      <c r="Z2" s="639"/>
      <c r="AA2" s="639"/>
      <c r="AB2" s="639"/>
      <c r="AC2" s="639"/>
      <c r="AD2" s="639"/>
      <c r="AE2" s="639"/>
      <c r="AF2" s="639"/>
      <c r="AG2" s="639"/>
      <c r="AH2" s="640" t="s">
        <v>341</v>
      </c>
    </row>
    <row r="3" spans="1:34" s="176" customFormat="1" ht="57.6">
      <c r="A3" s="644"/>
      <c r="B3" s="644"/>
      <c r="C3" s="645"/>
      <c r="D3" s="178" t="s">
        <v>343</v>
      </c>
      <c r="E3" s="179" t="s">
        <v>344</v>
      </c>
      <c r="F3" s="177" t="s">
        <v>323</v>
      </c>
      <c r="G3" s="177" t="s">
        <v>324</v>
      </c>
      <c r="H3" s="177" t="s">
        <v>325</v>
      </c>
      <c r="I3" s="177" t="s">
        <v>326</v>
      </c>
      <c r="J3" s="177" t="s">
        <v>236</v>
      </c>
      <c r="K3" s="177" t="s">
        <v>327</v>
      </c>
      <c r="L3" s="177" t="s">
        <v>328</v>
      </c>
      <c r="M3" s="177" t="s">
        <v>329</v>
      </c>
      <c r="N3" s="177" t="s">
        <v>330</v>
      </c>
      <c r="O3" s="177" t="s">
        <v>331</v>
      </c>
      <c r="P3" s="177" t="s">
        <v>332</v>
      </c>
      <c r="Q3" s="177" t="s">
        <v>333</v>
      </c>
      <c r="R3" s="648"/>
      <c r="S3" s="269" t="s">
        <v>401</v>
      </c>
      <c r="T3" s="226" t="s">
        <v>345</v>
      </c>
      <c r="U3" s="179" t="s">
        <v>344</v>
      </c>
      <c r="V3" s="177" t="s">
        <v>323</v>
      </c>
      <c r="W3" s="177" t="s">
        <v>324</v>
      </c>
      <c r="X3" s="177" t="s">
        <v>325</v>
      </c>
      <c r="Y3" s="177" t="s">
        <v>326</v>
      </c>
      <c r="Z3" s="177" t="s">
        <v>236</v>
      </c>
      <c r="AA3" s="177" t="s">
        <v>327</v>
      </c>
      <c r="AB3" s="177" t="s">
        <v>328</v>
      </c>
      <c r="AC3" s="177" t="s">
        <v>329</v>
      </c>
      <c r="AD3" s="177" t="s">
        <v>330</v>
      </c>
      <c r="AE3" s="177" t="s">
        <v>331</v>
      </c>
      <c r="AF3" s="177" t="s">
        <v>332</v>
      </c>
      <c r="AG3" s="177" t="s">
        <v>333</v>
      </c>
      <c r="AH3" s="641"/>
    </row>
    <row r="4" spans="1:34" s="188" customFormat="1" ht="21" customHeight="1">
      <c r="A4" s="182" t="s">
        <v>346</v>
      </c>
      <c r="B4" s="227" t="s">
        <v>15</v>
      </c>
      <c r="C4" s="228" t="s">
        <v>347</v>
      </c>
      <c r="D4" s="229">
        <v>700</v>
      </c>
      <c r="E4" s="192">
        <v>3</v>
      </c>
      <c r="F4" s="230">
        <f>$D4*$B$37/$E4</f>
        <v>18666.666666666668</v>
      </c>
      <c r="G4" s="230">
        <f>$D4*$B$37/$E4</f>
        <v>18666.666666666668</v>
      </c>
      <c r="H4" s="230">
        <f>$D4*$B$37/$E4</f>
        <v>18666.666666666668</v>
      </c>
      <c r="I4" s="231"/>
      <c r="J4" s="198"/>
      <c r="K4" s="232"/>
      <c r="L4" s="202"/>
      <c r="M4" s="231"/>
      <c r="N4" s="231"/>
      <c r="O4" s="198"/>
      <c r="P4" s="198"/>
      <c r="Q4" s="198"/>
      <c r="R4" s="228">
        <f>SUM(F4:Q4)</f>
        <v>56000</v>
      </c>
      <c r="S4" s="270">
        <f>T4/D4</f>
        <v>164.43134285714285</v>
      </c>
      <c r="T4" s="233">
        <v>115101.94</v>
      </c>
      <c r="U4" s="199">
        <v>5</v>
      </c>
      <c r="V4" s="202"/>
      <c r="W4" s="200">
        <f t="shared" ref="W4:AA5" si="0">$T4*$B$44/$U4</f>
        <v>46040.775999999998</v>
      </c>
      <c r="X4" s="200">
        <f t="shared" si="0"/>
        <v>46040.775999999998</v>
      </c>
      <c r="Y4" s="200">
        <f t="shared" si="0"/>
        <v>46040.775999999998</v>
      </c>
      <c r="Z4" s="200">
        <f t="shared" si="0"/>
        <v>46040.775999999998</v>
      </c>
      <c r="AA4" s="200">
        <f t="shared" si="0"/>
        <v>46040.775999999998</v>
      </c>
      <c r="AB4" s="202"/>
      <c r="AC4" s="202"/>
      <c r="AD4" s="202"/>
      <c r="AE4" s="202"/>
      <c r="AF4" s="202"/>
      <c r="AG4" s="202"/>
      <c r="AH4" s="234">
        <f>SUM(V4:AG4)</f>
        <v>230203.88</v>
      </c>
    </row>
    <row r="5" spans="1:34" s="188" customFormat="1" ht="21" customHeight="1">
      <c r="A5" s="182" t="s">
        <v>16</v>
      </c>
      <c r="B5" s="227" t="s">
        <v>16</v>
      </c>
      <c r="C5" s="228" t="s">
        <v>347</v>
      </c>
      <c r="D5" s="229">
        <v>180</v>
      </c>
      <c r="E5" s="192">
        <v>3</v>
      </c>
      <c r="F5" s="230">
        <f>$D5*$B$37/$E5</f>
        <v>4800</v>
      </c>
      <c r="G5" s="230">
        <f t="shared" ref="F5:J29" si="1">$D5*$B$37/$E5</f>
        <v>4800</v>
      </c>
      <c r="H5" s="230">
        <f t="shared" si="1"/>
        <v>4800</v>
      </c>
      <c r="I5" s="231"/>
      <c r="J5" s="198"/>
      <c r="K5" s="232"/>
      <c r="L5" s="202"/>
      <c r="M5" s="184"/>
      <c r="N5" s="184"/>
      <c r="O5" s="198"/>
      <c r="P5" s="198"/>
      <c r="Q5" s="198"/>
      <c r="R5" s="228">
        <f t="shared" ref="R5:R29" si="2">SUM(F5:Q5)</f>
        <v>14400</v>
      </c>
      <c r="S5" s="270">
        <f t="shared" ref="S5:S29" si="3">T5/D5</f>
        <v>185.03655555555557</v>
      </c>
      <c r="T5" s="233">
        <v>33306.58</v>
      </c>
      <c r="U5" s="199">
        <v>5</v>
      </c>
      <c r="V5" s="200">
        <f>$T5*$B$44/$U5</f>
        <v>13322.632000000001</v>
      </c>
      <c r="W5" s="200">
        <f t="shared" si="0"/>
        <v>13322.632000000001</v>
      </c>
      <c r="X5" s="200">
        <f t="shared" si="0"/>
        <v>13322.632000000001</v>
      </c>
      <c r="Y5" s="200">
        <f t="shared" si="0"/>
        <v>13322.632000000001</v>
      </c>
      <c r="Z5" s="200">
        <f t="shared" si="0"/>
        <v>13322.632000000001</v>
      </c>
      <c r="AA5" s="200">
        <f t="shared" si="0"/>
        <v>13322.632000000001</v>
      </c>
      <c r="AB5" s="187"/>
      <c r="AC5" s="187"/>
      <c r="AD5" s="187"/>
      <c r="AE5" s="187"/>
      <c r="AF5" s="187"/>
      <c r="AG5" s="187"/>
      <c r="AH5" s="234">
        <f t="shared" ref="AH5:AH29" si="4">SUM(V5:AG5)</f>
        <v>79935.792000000001</v>
      </c>
    </row>
    <row r="6" spans="1:34" s="188" customFormat="1" ht="21" customHeight="1">
      <c r="A6" s="182" t="s">
        <v>24</v>
      </c>
      <c r="B6" s="227" t="s">
        <v>24</v>
      </c>
      <c r="C6" s="228" t="s">
        <v>348</v>
      </c>
      <c r="D6" s="229">
        <v>1331.6000000000001</v>
      </c>
      <c r="E6" s="192">
        <v>5</v>
      </c>
      <c r="F6" s="230">
        <f t="shared" si="1"/>
        <v>21305.600000000002</v>
      </c>
      <c r="G6" s="230">
        <f t="shared" si="1"/>
        <v>21305.600000000002</v>
      </c>
      <c r="H6" s="230">
        <f t="shared" si="1"/>
        <v>21305.600000000002</v>
      </c>
      <c r="I6" s="231"/>
      <c r="J6" s="198"/>
      <c r="K6" s="232"/>
      <c r="L6" s="202"/>
      <c r="M6" s="202"/>
      <c r="N6" s="202"/>
      <c r="O6" s="198"/>
      <c r="P6" s="230">
        <f t="shared" ref="P6:Q9" si="5">$D6*$B$37/$E6</f>
        <v>21305.600000000002</v>
      </c>
      <c r="Q6" s="230">
        <f t="shared" si="5"/>
        <v>21305.600000000002</v>
      </c>
      <c r="R6" s="228">
        <f t="shared" si="2"/>
        <v>106528.00000000001</v>
      </c>
      <c r="S6" s="270">
        <f t="shared" si="3"/>
        <v>219.13209672574342</v>
      </c>
      <c r="T6" s="233">
        <v>291796.3</v>
      </c>
      <c r="U6" s="199">
        <v>3</v>
      </c>
      <c r="V6" s="200">
        <f t="shared" ref="V6:AA29" si="6">$T6*$B$44/$U6</f>
        <v>194530.86666666667</v>
      </c>
      <c r="W6" s="200">
        <f t="shared" si="6"/>
        <v>194530.86666666667</v>
      </c>
      <c r="X6" s="187"/>
      <c r="Y6" s="187"/>
      <c r="Z6" s="189"/>
      <c r="AA6" s="187"/>
      <c r="AB6" s="187"/>
      <c r="AC6" s="187"/>
      <c r="AD6" s="187"/>
      <c r="AE6" s="187"/>
      <c r="AF6" s="187"/>
      <c r="AG6" s="200">
        <f t="shared" ref="AE6:AG21" si="7">$T6*$B$44/$U6</f>
        <v>194530.86666666667</v>
      </c>
      <c r="AH6" s="234">
        <f t="shared" si="4"/>
        <v>583592.6</v>
      </c>
    </row>
    <row r="7" spans="1:34" s="188" customFormat="1" ht="21" customHeight="1">
      <c r="A7" s="182" t="s">
        <v>23</v>
      </c>
      <c r="B7" s="227" t="s">
        <v>23</v>
      </c>
      <c r="C7" s="228" t="s">
        <v>348</v>
      </c>
      <c r="D7" s="229">
        <v>574</v>
      </c>
      <c r="E7" s="192">
        <v>5</v>
      </c>
      <c r="F7" s="230">
        <f t="shared" si="1"/>
        <v>9184</v>
      </c>
      <c r="G7" s="230">
        <f t="shared" si="1"/>
        <v>9184</v>
      </c>
      <c r="H7" s="230">
        <f t="shared" si="1"/>
        <v>9184</v>
      </c>
      <c r="I7" s="231"/>
      <c r="J7" s="198"/>
      <c r="K7" s="232"/>
      <c r="L7" s="202"/>
      <c r="M7" s="202"/>
      <c r="N7" s="202"/>
      <c r="O7" s="198"/>
      <c r="P7" s="230">
        <f t="shared" si="5"/>
        <v>9184</v>
      </c>
      <c r="Q7" s="230">
        <f t="shared" si="5"/>
        <v>9184</v>
      </c>
      <c r="R7" s="228">
        <f t="shared" si="2"/>
        <v>45920</v>
      </c>
      <c r="S7" s="270">
        <f t="shared" si="3"/>
        <v>105.54121951219513</v>
      </c>
      <c r="T7" s="233">
        <v>60580.66</v>
      </c>
      <c r="U7" s="199">
        <v>3</v>
      </c>
      <c r="V7" s="200">
        <f t="shared" si="6"/>
        <v>40387.106666666667</v>
      </c>
      <c r="W7" s="200">
        <f t="shared" si="6"/>
        <v>40387.106666666667</v>
      </c>
      <c r="X7" s="187"/>
      <c r="Y7" s="187"/>
      <c r="Z7" s="189"/>
      <c r="AA7" s="187"/>
      <c r="AB7" s="187"/>
      <c r="AC7" s="187"/>
      <c r="AD7" s="187"/>
      <c r="AE7" s="187"/>
      <c r="AF7" s="187"/>
      <c r="AG7" s="200">
        <f t="shared" si="7"/>
        <v>40387.106666666667</v>
      </c>
      <c r="AH7" s="234">
        <f t="shared" si="4"/>
        <v>121161.32</v>
      </c>
    </row>
    <row r="8" spans="1:34" s="188" customFormat="1" ht="21" customHeight="1">
      <c r="A8" s="182" t="s">
        <v>349</v>
      </c>
      <c r="B8" s="227" t="s">
        <v>64</v>
      </c>
      <c r="C8" s="228" t="s">
        <v>350</v>
      </c>
      <c r="D8" s="229">
        <v>2100</v>
      </c>
      <c r="E8" s="192">
        <v>7</v>
      </c>
      <c r="F8" s="230">
        <f t="shared" si="1"/>
        <v>24000</v>
      </c>
      <c r="G8" s="230">
        <f t="shared" si="1"/>
        <v>24000</v>
      </c>
      <c r="H8" s="230">
        <f t="shared" si="1"/>
        <v>24000</v>
      </c>
      <c r="I8" s="230">
        <f t="shared" si="1"/>
        <v>24000</v>
      </c>
      <c r="J8" s="230">
        <f t="shared" si="1"/>
        <v>24000</v>
      </c>
      <c r="K8" s="232"/>
      <c r="L8" s="202"/>
      <c r="M8" s="231"/>
      <c r="N8" s="231"/>
      <c r="O8" s="198"/>
      <c r="P8" s="230">
        <f t="shared" si="5"/>
        <v>24000</v>
      </c>
      <c r="Q8" s="230">
        <f t="shared" si="5"/>
        <v>24000</v>
      </c>
      <c r="R8" s="228">
        <f t="shared" si="2"/>
        <v>168000</v>
      </c>
      <c r="S8" s="270">
        <f t="shared" si="3"/>
        <v>217.59553333333332</v>
      </c>
      <c r="T8" s="233">
        <v>456950.62</v>
      </c>
      <c r="U8" s="199">
        <v>4</v>
      </c>
      <c r="V8" s="200">
        <f t="shared" si="6"/>
        <v>228475.31</v>
      </c>
      <c r="W8" s="200">
        <f t="shared" si="6"/>
        <v>228475.31</v>
      </c>
      <c r="X8" s="200">
        <f t="shared" si="6"/>
        <v>228475.31</v>
      </c>
      <c r="Y8" s="200">
        <f t="shared" si="6"/>
        <v>228475.31</v>
      </c>
      <c r="Z8" s="232"/>
      <c r="AA8" s="202"/>
      <c r="AB8" s="202"/>
      <c r="AC8" s="202"/>
      <c r="AD8" s="202"/>
      <c r="AE8" s="202"/>
      <c r="AF8" s="202"/>
      <c r="AG8" s="202"/>
      <c r="AH8" s="234">
        <f t="shared" si="4"/>
        <v>913901.24</v>
      </c>
    </row>
    <row r="9" spans="1:34" s="188" customFormat="1" ht="21" customHeight="1">
      <c r="A9" s="182" t="s">
        <v>351</v>
      </c>
      <c r="B9" s="227" t="s">
        <v>64</v>
      </c>
      <c r="C9" s="228" t="s">
        <v>350</v>
      </c>
      <c r="D9" s="229">
        <v>2821.5280000000002</v>
      </c>
      <c r="E9" s="192">
        <v>7</v>
      </c>
      <c r="F9" s="230">
        <f t="shared" si="1"/>
        <v>32246.03428571429</v>
      </c>
      <c r="G9" s="230">
        <f t="shared" si="1"/>
        <v>32246.03428571429</v>
      </c>
      <c r="H9" s="230">
        <f t="shared" si="1"/>
        <v>32246.03428571429</v>
      </c>
      <c r="I9" s="230">
        <f t="shared" si="1"/>
        <v>32246.03428571429</v>
      </c>
      <c r="J9" s="230">
        <f t="shared" si="1"/>
        <v>32246.03428571429</v>
      </c>
      <c r="K9" s="232"/>
      <c r="L9" s="202"/>
      <c r="M9" s="202"/>
      <c r="N9" s="202"/>
      <c r="O9" s="198"/>
      <c r="P9" s="230">
        <f t="shared" si="5"/>
        <v>32246.03428571429</v>
      </c>
      <c r="Q9" s="230">
        <f t="shared" si="5"/>
        <v>32246.03428571429</v>
      </c>
      <c r="R9" s="228">
        <f t="shared" si="2"/>
        <v>225722.24000000005</v>
      </c>
      <c r="S9" s="270">
        <f t="shared" si="3"/>
        <v>211.00345982744102</v>
      </c>
      <c r="T9" s="233">
        <v>595352.17000000004</v>
      </c>
      <c r="U9" s="199">
        <v>6</v>
      </c>
      <c r="V9" s="200">
        <f t="shared" si="6"/>
        <v>198450.72333333336</v>
      </c>
      <c r="W9" s="200">
        <f t="shared" si="6"/>
        <v>198450.72333333336</v>
      </c>
      <c r="X9" s="200">
        <f t="shared" si="6"/>
        <v>198450.72333333336</v>
      </c>
      <c r="Y9" s="200">
        <f t="shared" si="6"/>
        <v>198450.72333333336</v>
      </c>
      <c r="Z9" s="232"/>
      <c r="AA9" s="202"/>
      <c r="AB9" s="202"/>
      <c r="AC9" s="202"/>
      <c r="AD9" s="202"/>
      <c r="AE9" s="202"/>
      <c r="AF9" s="200">
        <f t="shared" si="7"/>
        <v>198450.72333333336</v>
      </c>
      <c r="AG9" s="200">
        <f t="shared" si="7"/>
        <v>198450.72333333336</v>
      </c>
      <c r="AH9" s="234">
        <f t="shared" si="4"/>
        <v>1190704.3400000001</v>
      </c>
    </row>
    <row r="10" spans="1:34" s="188" customFormat="1" ht="21" customHeight="1">
      <c r="A10" s="182" t="s">
        <v>352</v>
      </c>
      <c r="B10" s="235" t="s">
        <v>34</v>
      </c>
      <c r="C10" s="228" t="s">
        <v>353</v>
      </c>
      <c r="D10" s="229">
        <v>605</v>
      </c>
      <c r="E10" s="192">
        <v>3</v>
      </c>
      <c r="F10" s="230">
        <f t="shared" si="1"/>
        <v>16133.333333333334</v>
      </c>
      <c r="G10" s="230">
        <f t="shared" si="1"/>
        <v>16133.333333333334</v>
      </c>
      <c r="H10" s="230">
        <f t="shared" si="1"/>
        <v>16133.333333333334</v>
      </c>
      <c r="I10" s="231"/>
      <c r="J10" s="198"/>
      <c r="K10" s="232"/>
      <c r="L10" s="202"/>
      <c r="M10" s="202"/>
      <c r="N10" s="202"/>
      <c r="O10" s="198"/>
      <c r="P10" s="198"/>
      <c r="Q10" s="198"/>
      <c r="R10" s="228">
        <f t="shared" si="2"/>
        <v>48400</v>
      </c>
      <c r="S10" s="270">
        <f t="shared" si="3"/>
        <v>173.00866115702479</v>
      </c>
      <c r="T10" s="233">
        <v>104670.24</v>
      </c>
      <c r="U10" s="199">
        <v>5</v>
      </c>
      <c r="V10" s="200">
        <f t="shared" si="6"/>
        <v>41868.096000000005</v>
      </c>
      <c r="W10" s="200">
        <f t="shared" si="6"/>
        <v>41868.096000000005</v>
      </c>
      <c r="X10" s="200">
        <f t="shared" si="6"/>
        <v>41868.096000000005</v>
      </c>
      <c r="Y10" s="200">
        <f t="shared" si="6"/>
        <v>41868.096000000005</v>
      </c>
      <c r="Z10" s="200">
        <f t="shared" si="6"/>
        <v>41868.096000000005</v>
      </c>
      <c r="AA10" s="202"/>
      <c r="AB10" s="202"/>
      <c r="AC10" s="202"/>
      <c r="AD10" s="202"/>
      <c r="AE10" s="202"/>
      <c r="AF10" s="202"/>
      <c r="AG10" s="202"/>
      <c r="AH10" s="234">
        <f t="shared" si="4"/>
        <v>209340.48000000004</v>
      </c>
    </row>
    <row r="11" spans="1:34" s="188" customFormat="1" ht="21" customHeight="1">
      <c r="A11" s="187" t="s">
        <v>354</v>
      </c>
      <c r="B11" s="235" t="s">
        <v>43</v>
      </c>
      <c r="C11" s="228" t="s">
        <v>782</v>
      </c>
      <c r="D11" s="229">
        <v>3713.6580000000004</v>
      </c>
      <c r="E11" s="192">
        <v>8</v>
      </c>
      <c r="F11" s="230">
        <f t="shared" si="1"/>
        <v>37136.58</v>
      </c>
      <c r="G11" s="230">
        <f t="shared" si="1"/>
        <v>37136.58</v>
      </c>
      <c r="H11" s="230">
        <f t="shared" si="1"/>
        <v>37136.58</v>
      </c>
      <c r="I11" s="230">
        <f t="shared" si="1"/>
        <v>37136.58</v>
      </c>
      <c r="J11" s="230">
        <f t="shared" si="1"/>
        <v>37136.58</v>
      </c>
      <c r="K11" s="189"/>
      <c r="L11" s="202"/>
      <c r="M11" s="202"/>
      <c r="N11" s="202"/>
      <c r="O11" s="230">
        <f t="shared" ref="O11:Q28" si="8">$D11*$B$37/$E11</f>
        <v>37136.58</v>
      </c>
      <c r="P11" s="230">
        <f t="shared" si="8"/>
        <v>37136.58</v>
      </c>
      <c r="Q11" s="230">
        <f t="shared" si="8"/>
        <v>37136.58</v>
      </c>
      <c r="R11" s="228">
        <f t="shared" si="2"/>
        <v>297092.64000000007</v>
      </c>
      <c r="S11" s="270">
        <f t="shared" si="3"/>
        <v>315</v>
      </c>
      <c r="T11" s="233">
        <v>1169802.27</v>
      </c>
      <c r="U11" s="199">
        <v>7</v>
      </c>
      <c r="V11" s="200">
        <f t="shared" si="6"/>
        <v>334229.22000000003</v>
      </c>
      <c r="W11" s="200">
        <f t="shared" si="6"/>
        <v>334229.22000000003</v>
      </c>
      <c r="X11" s="200">
        <f t="shared" si="6"/>
        <v>334229.22000000003</v>
      </c>
      <c r="Y11" s="200">
        <f t="shared" si="6"/>
        <v>334229.22000000003</v>
      </c>
      <c r="Z11" s="232"/>
      <c r="AA11" s="202"/>
      <c r="AB11" s="202"/>
      <c r="AC11" s="202"/>
      <c r="AD11" s="202"/>
      <c r="AE11" s="200">
        <f t="shared" si="7"/>
        <v>334229.22000000003</v>
      </c>
      <c r="AF11" s="200">
        <f t="shared" si="7"/>
        <v>334229.22000000003</v>
      </c>
      <c r="AG11" s="200">
        <f t="shared" si="7"/>
        <v>334229.22000000003</v>
      </c>
      <c r="AH11" s="234">
        <f t="shared" si="4"/>
        <v>2339604.54</v>
      </c>
    </row>
    <row r="12" spans="1:34" ht="21" customHeight="1">
      <c r="A12" s="236" t="s">
        <v>356</v>
      </c>
      <c r="B12" s="237" t="s">
        <v>43</v>
      </c>
      <c r="C12" s="228" t="s">
        <v>782</v>
      </c>
      <c r="D12" s="229">
        <v>2393.0740000000001</v>
      </c>
      <c r="E12" s="192">
        <v>8</v>
      </c>
      <c r="F12" s="230">
        <f t="shared" si="1"/>
        <v>23930.74</v>
      </c>
      <c r="G12" s="230">
        <f t="shared" si="1"/>
        <v>23930.74</v>
      </c>
      <c r="H12" s="230">
        <f t="shared" si="1"/>
        <v>23930.74</v>
      </c>
      <c r="I12" s="230">
        <f t="shared" si="1"/>
        <v>23930.74</v>
      </c>
      <c r="J12" s="230">
        <f t="shared" si="1"/>
        <v>23930.74</v>
      </c>
      <c r="K12" s="232"/>
      <c r="L12" s="202"/>
      <c r="M12" s="202"/>
      <c r="N12" s="202"/>
      <c r="O12" s="230">
        <f t="shared" si="8"/>
        <v>23930.74</v>
      </c>
      <c r="P12" s="230">
        <f t="shared" si="8"/>
        <v>23930.74</v>
      </c>
      <c r="Q12" s="230">
        <f t="shared" si="8"/>
        <v>23930.74</v>
      </c>
      <c r="R12" s="228">
        <f t="shared" si="2"/>
        <v>191445.91999999998</v>
      </c>
      <c r="S12" s="270">
        <f t="shared" si="3"/>
        <v>300.96226443478133</v>
      </c>
      <c r="T12" s="233">
        <v>720224.97</v>
      </c>
      <c r="U12" s="199">
        <v>7</v>
      </c>
      <c r="V12" s="200">
        <f t="shared" si="6"/>
        <v>205778.56285714285</v>
      </c>
      <c r="W12" s="200">
        <f t="shared" si="6"/>
        <v>205778.56285714285</v>
      </c>
      <c r="X12" s="200">
        <f t="shared" si="6"/>
        <v>205778.56285714285</v>
      </c>
      <c r="Y12" s="200">
        <f t="shared" si="6"/>
        <v>205778.56285714285</v>
      </c>
      <c r="Z12" s="174"/>
      <c r="AA12" s="173"/>
      <c r="AB12" s="173"/>
      <c r="AC12" s="173"/>
      <c r="AD12" s="173"/>
      <c r="AE12" s="200">
        <f t="shared" si="7"/>
        <v>205778.56285714285</v>
      </c>
      <c r="AF12" s="200">
        <f t="shared" si="7"/>
        <v>205778.56285714285</v>
      </c>
      <c r="AG12" s="200">
        <f t="shared" si="7"/>
        <v>205778.56285714285</v>
      </c>
      <c r="AH12" s="234">
        <f t="shared" si="4"/>
        <v>1440449.94</v>
      </c>
    </row>
    <row r="13" spans="1:34" ht="21" customHeight="1">
      <c r="A13" s="238" t="s">
        <v>357</v>
      </c>
      <c r="B13" s="232" t="s">
        <v>43</v>
      </c>
      <c r="C13" s="228" t="s">
        <v>782</v>
      </c>
      <c r="D13" s="229">
        <v>4078</v>
      </c>
      <c r="E13" s="192">
        <v>8</v>
      </c>
      <c r="F13" s="230">
        <f t="shared" si="1"/>
        <v>40780</v>
      </c>
      <c r="G13" s="230">
        <f t="shared" si="1"/>
        <v>40780</v>
      </c>
      <c r="H13" s="230">
        <f t="shared" si="1"/>
        <v>40780</v>
      </c>
      <c r="I13" s="230">
        <f t="shared" si="1"/>
        <v>40780</v>
      </c>
      <c r="J13" s="230">
        <f t="shared" si="1"/>
        <v>40780</v>
      </c>
      <c r="K13" s="174"/>
      <c r="L13" s="239"/>
      <c r="M13" s="240"/>
      <c r="N13" s="240"/>
      <c r="O13" s="230">
        <f t="shared" si="8"/>
        <v>40780</v>
      </c>
      <c r="P13" s="230">
        <f t="shared" si="8"/>
        <v>40780</v>
      </c>
      <c r="Q13" s="230">
        <f t="shared" si="8"/>
        <v>40780</v>
      </c>
      <c r="R13" s="228">
        <f t="shared" si="2"/>
        <v>326240</v>
      </c>
      <c r="S13" s="270">
        <f t="shared" si="3"/>
        <v>305</v>
      </c>
      <c r="T13" s="233">
        <v>1243790</v>
      </c>
      <c r="U13" s="199">
        <v>7</v>
      </c>
      <c r="V13" s="200">
        <f t="shared" si="6"/>
        <v>355368.57142857142</v>
      </c>
      <c r="W13" s="200">
        <f t="shared" si="6"/>
        <v>355368.57142857142</v>
      </c>
      <c r="X13" s="200">
        <f t="shared" si="6"/>
        <v>355368.57142857142</v>
      </c>
      <c r="Y13" s="200">
        <f t="shared" si="6"/>
        <v>355368.57142857142</v>
      </c>
      <c r="Z13" s="174"/>
      <c r="AA13" s="173"/>
      <c r="AB13" s="173"/>
      <c r="AC13" s="173"/>
      <c r="AD13" s="173"/>
      <c r="AE13" s="200">
        <f t="shared" si="7"/>
        <v>355368.57142857142</v>
      </c>
      <c r="AF13" s="200">
        <f t="shared" si="7"/>
        <v>355368.57142857142</v>
      </c>
      <c r="AG13" s="200">
        <f t="shared" si="7"/>
        <v>355368.57142857142</v>
      </c>
      <c r="AH13" s="234">
        <f t="shared" si="4"/>
        <v>2487580</v>
      </c>
    </row>
    <row r="14" spans="1:34" ht="21" customHeight="1">
      <c r="A14" s="187" t="s">
        <v>358</v>
      </c>
      <c r="B14" s="232" t="s">
        <v>43</v>
      </c>
      <c r="C14" s="228" t="s">
        <v>782</v>
      </c>
      <c r="D14" s="229">
        <v>2617</v>
      </c>
      <c r="E14" s="192">
        <v>8</v>
      </c>
      <c r="F14" s="230">
        <f t="shared" si="1"/>
        <v>26170</v>
      </c>
      <c r="G14" s="230">
        <f t="shared" si="1"/>
        <v>26170</v>
      </c>
      <c r="H14" s="230">
        <f t="shared" si="1"/>
        <v>26170</v>
      </c>
      <c r="I14" s="230">
        <f t="shared" si="1"/>
        <v>26170</v>
      </c>
      <c r="J14" s="230">
        <f t="shared" si="1"/>
        <v>26170</v>
      </c>
      <c r="K14" s="174"/>
      <c r="L14" s="239"/>
      <c r="M14" s="240"/>
      <c r="N14" s="240"/>
      <c r="O14" s="230">
        <f t="shared" si="8"/>
        <v>26170</v>
      </c>
      <c r="P14" s="230">
        <f t="shared" si="8"/>
        <v>26170</v>
      </c>
      <c r="Q14" s="230">
        <f t="shared" si="8"/>
        <v>26170</v>
      </c>
      <c r="R14" s="228">
        <f t="shared" si="2"/>
        <v>209360</v>
      </c>
      <c r="S14" s="270">
        <f t="shared" si="3"/>
        <v>336.65000000000003</v>
      </c>
      <c r="T14" s="233">
        <v>881013.05</v>
      </c>
      <c r="U14" s="199">
        <v>7</v>
      </c>
      <c r="V14" s="200">
        <f t="shared" si="6"/>
        <v>251718.01428571431</v>
      </c>
      <c r="W14" s="200">
        <f t="shared" si="6"/>
        <v>251718.01428571431</v>
      </c>
      <c r="X14" s="200">
        <f t="shared" si="6"/>
        <v>251718.01428571431</v>
      </c>
      <c r="Y14" s="200">
        <f t="shared" si="6"/>
        <v>251718.01428571431</v>
      </c>
      <c r="Z14" s="174"/>
      <c r="AA14" s="173"/>
      <c r="AB14" s="173"/>
      <c r="AC14" s="173"/>
      <c r="AD14" s="173"/>
      <c r="AE14" s="200">
        <f t="shared" si="7"/>
        <v>251718.01428571431</v>
      </c>
      <c r="AF14" s="200">
        <f t="shared" si="7"/>
        <v>251718.01428571431</v>
      </c>
      <c r="AG14" s="200">
        <f t="shared" si="7"/>
        <v>251718.01428571431</v>
      </c>
      <c r="AH14" s="234">
        <f t="shared" si="4"/>
        <v>1762026.1000000003</v>
      </c>
    </row>
    <row r="15" spans="1:34" ht="21" customHeight="1">
      <c r="A15" s="241" t="s">
        <v>359</v>
      </c>
      <c r="B15" s="242" t="s">
        <v>43</v>
      </c>
      <c r="C15" s="228" t="s">
        <v>782</v>
      </c>
      <c r="D15" s="229">
        <v>5947.4000000000005</v>
      </c>
      <c r="E15" s="192">
        <v>8</v>
      </c>
      <c r="F15" s="230">
        <f t="shared" si="1"/>
        <v>59474.000000000007</v>
      </c>
      <c r="G15" s="230">
        <f t="shared" si="1"/>
        <v>59474.000000000007</v>
      </c>
      <c r="H15" s="230">
        <f t="shared" si="1"/>
        <v>59474.000000000007</v>
      </c>
      <c r="I15" s="230">
        <f t="shared" si="1"/>
        <v>59474.000000000007</v>
      </c>
      <c r="J15" s="230">
        <f t="shared" si="1"/>
        <v>59474.000000000007</v>
      </c>
      <c r="K15" s="232"/>
      <c r="L15" s="202"/>
      <c r="M15" s="202"/>
      <c r="N15" s="202"/>
      <c r="O15" s="230">
        <f t="shared" si="8"/>
        <v>59474.000000000007</v>
      </c>
      <c r="P15" s="230">
        <f t="shared" si="8"/>
        <v>59474.000000000007</v>
      </c>
      <c r="Q15" s="230">
        <f t="shared" si="8"/>
        <v>59474.000000000007</v>
      </c>
      <c r="R15" s="228">
        <f t="shared" si="2"/>
        <v>475792.00000000006</v>
      </c>
      <c r="S15" s="270">
        <f t="shared" si="3"/>
        <v>339.99999999999994</v>
      </c>
      <c r="T15" s="233">
        <v>2022116</v>
      </c>
      <c r="U15" s="199">
        <v>7</v>
      </c>
      <c r="V15" s="200">
        <f t="shared" si="6"/>
        <v>577747.42857142852</v>
      </c>
      <c r="W15" s="200">
        <f t="shared" si="6"/>
        <v>577747.42857142852</v>
      </c>
      <c r="X15" s="200">
        <f t="shared" si="6"/>
        <v>577747.42857142852</v>
      </c>
      <c r="Y15" s="200">
        <f t="shared" si="6"/>
        <v>577747.42857142852</v>
      </c>
      <c r="Z15" s="174"/>
      <c r="AA15" s="173"/>
      <c r="AB15" s="173"/>
      <c r="AC15" s="173"/>
      <c r="AD15" s="173"/>
      <c r="AE15" s="200">
        <f t="shared" si="7"/>
        <v>577747.42857142852</v>
      </c>
      <c r="AF15" s="200">
        <f t="shared" si="7"/>
        <v>577747.42857142852</v>
      </c>
      <c r="AG15" s="200">
        <f t="shared" si="7"/>
        <v>577747.42857142852</v>
      </c>
      <c r="AH15" s="234">
        <f t="shared" si="4"/>
        <v>4044232</v>
      </c>
    </row>
    <row r="16" spans="1:34" s="188" customFormat="1" ht="21" customHeight="1">
      <c r="A16" s="189" t="s">
        <v>360</v>
      </c>
      <c r="B16" s="235" t="s">
        <v>43</v>
      </c>
      <c r="C16" s="228" t="s">
        <v>782</v>
      </c>
      <c r="D16" s="229">
        <v>2909.1820000000002</v>
      </c>
      <c r="E16" s="192">
        <v>8</v>
      </c>
      <c r="F16" s="230">
        <f t="shared" si="1"/>
        <v>29091.820000000003</v>
      </c>
      <c r="G16" s="230">
        <f t="shared" si="1"/>
        <v>29091.820000000003</v>
      </c>
      <c r="H16" s="230">
        <f t="shared" si="1"/>
        <v>29091.820000000003</v>
      </c>
      <c r="I16" s="230">
        <f t="shared" si="1"/>
        <v>29091.820000000003</v>
      </c>
      <c r="J16" s="230">
        <f t="shared" si="1"/>
        <v>29091.820000000003</v>
      </c>
      <c r="K16" s="232"/>
      <c r="L16" s="202"/>
      <c r="M16" s="202"/>
      <c r="N16" s="202"/>
      <c r="O16" s="230">
        <f t="shared" si="8"/>
        <v>29091.820000000003</v>
      </c>
      <c r="P16" s="230">
        <f t="shared" si="8"/>
        <v>29091.820000000003</v>
      </c>
      <c r="Q16" s="230">
        <f t="shared" si="8"/>
        <v>29091.820000000003</v>
      </c>
      <c r="R16" s="228">
        <f t="shared" si="2"/>
        <v>232734.56000000003</v>
      </c>
      <c r="S16" s="270">
        <f t="shared" si="3"/>
        <v>306.7500005156088</v>
      </c>
      <c r="T16" s="233">
        <v>892391.58</v>
      </c>
      <c r="U16" s="199">
        <v>7</v>
      </c>
      <c r="V16" s="200">
        <f t="shared" si="6"/>
        <v>254969.02285714285</v>
      </c>
      <c r="W16" s="200">
        <f t="shared" si="6"/>
        <v>254969.02285714285</v>
      </c>
      <c r="X16" s="200">
        <f t="shared" si="6"/>
        <v>254969.02285714285</v>
      </c>
      <c r="Y16" s="200">
        <f t="shared" si="6"/>
        <v>254969.02285714285</v>
      </c>
      <c r="Z16" s="232"/>
      <c r="AA16" s="202"/>
      <c r="AB16" s="202"/>
      <c r="AC16" s="202"/>
      <c r="AD16" s="202"/>
      <c r="AE16" s="200">
        <f t="shared" si="7"/>
        <v>254969.02285714285</v>
      </c>
      <c r="AF16" s="200">
        <f t="shared" si="7"/>
        <v>254969.02285714285</v>
      </c>
      <c r="AG16" s="200">
        <f t="shared" si="7"/>
        <v>254969.02285714285</v>
      </c>
      <c r="AH16" s="234">
        <f t="shared" si="4"/>
        <v>1784783.16</v>
      </c>
    </row>
    <row r="17" spans="1:34" s="188" customFormat="1" ht="21" customHeight="1">
      <c r="A17" s="187" t="s">
        <v>361</v>
      </c>
      <c r="B17" s="235" t="s">
        <v>43</v>
      </c>
      <c r="C17" s="228" t="s">
        <v>782</v>
      </c>
      <c r="D17" s="229">
        <v>3305.7960000000003</v>
      </c>
      <c r="E17" s="192">
        <v>8</v>
      </c>
      <c r="F17" s="230">
        <f t="shared" si="1"/>
        <v>33057.960000000006</v>
      </c>
      <c r="G17" s="230">
        <f t="shared" si="1"/>
        <v>33057.960000000006</v>
      </c>
      <c r="H17" s="230">
        <f t="shared" si="1"/>
        <v>33057.960000000006</v>
      </c>
      <c r="I17" s="230">
        <f t="shared" si="1"/>
        <v>33057.960000000006</v>
      </c>
      <c r="J17" s="230">
        <f t="shared" si="1"/>
        <v>33057.960000000006</v>
      </c>
      <c r="K17" s="232"/>
      <c r="L17" s="202"/>
      <c r="M17" s="202"/>
      <c r="N17" s="202"/>
      <c r="O17" s="230">
        <f t="shared" si="8"/>
        <v>33057.960000000006</v>
      </c>
      <c r="P17" s="230">
        <f t="shared" si="8"/>
        <v>33057.960000000006</v>
      </c>
      <c r="Q17" s="230">
        <f t="shared" si="8"/>
        <v>33057.960000000006</v>
      </c>
      <c r="R17" s="228">
        <f t="shared" si="2"/>
        <v>264463.68000000011</v>
      </c>
      <c r="S17" s="270">
        <f t="shared" si="3"/>
        <v>284.24999909250295</v>
      </c>
      <c r="T17" s="233">
        <v>939672.51</v>
      </c>
      <c r="U17" s="199">
        <v>7</v>
      </c>
      <c r="V17" s="200">
        <f t="shared" si="6"/>
        <v>268477.86</v>
      </c>
      <c r="W17" s="200">
        <f t="shared" si="6"/>
        <v>268477.86</v>
      </c>
      <c r="X17" s="200">
        <f t="shared" si="6"/>
        <v>268477.86</v>
      </c>
      <c r="Y17" s="200">
        <f t="shared" si="6"/>
        <v>268477.86</v>
      </c>
      <c r="Z17" s="232"/>
      <c r="AA17" s="202"/>
      <c r="AB17" s="202"/>
      <c r="AC17" s="202"/>
      <c r="AD17" s="202"/>
      <c r="AE17" s="200">
        <f t="shared" si="7"/>
        <v>268477.86</v>
      </c>
      <c r="AF17" s="200">
        <f t="shared" si="7"/>
        <v>268477.86</v>
      </c>
      <c r="AG17" s="200">
        <f t="shared" si="7"/>
        <v>268477.86</v>
      </c>
      <c r="AH17" s="234">
        <f t="shared" si="4"/>
        <v>1879345.0199999996</v>
      </c>
    </row>
    <row r="18" spans="1:34" s="188" customFormat="1" ht="21" customHeight="1">
      <c r="A18" s="182" t="s">
        <v>362</v>
      </c>
      <c r="B18" s="235" t="s">
        <v>43</v>
      </c>
      <c r="C18" s="228" t="s">
        <v>782</v>
      </c>
      <c r="D18" s="229">
        <v>1514.6559999999999</v>
      </c>
      <c r="E18" s="192">
        <v>8</v>
      </c>
      <c r="F18" s="230">
        <f t="shared" si="1"/>
        <v>15146.56</v>
      </c>
      <c r="G18" s="230">
        <f t="shared" si="1"/>
        <v>15146.56</v>
      </c>
      <c r="H18" s="230">
        <f t="shared" si="1"/>
        <v>15146.56</v>
      </c>
      <c r="I18" s="230">
        <f t="shared" si="1"/>
        <v>15146.56</v>
      </c>
      <c r="J18" s="230">
        <f t="shared" si="1"/>
        <v>15146.56</v>
      </c>
      <c r="K18" s="232"/>
      <c r="L18" s="202"/>
      <c r="M18" s="202"/>
      <c r="N18" s="202"/>
      <c r="O18" s="230">
        <f t="shared" si="8"/>
        <v>15146.56</v>
      </c>
      <c r="P18" s="230">
        <f t="shared" si="8"/>
        <v>15146.56</v>
      </c>
      <c r="Q18" s="230">
        <f t="shared" si="8"/>
        <v>15146.56</v>
      </c>
      <c r="R18" s="228">
        <f t="shared" si="2"/>
        <v>121172.48</v>
      </c>
      <c r="S18" s="270">
        <f t="shared" si="3"/>
        <v>285</v>
      </c>
      <c r="T18" s="233">
        <v>431676.96</v>
      </c>
      <c r="U18" s="199">
        <v>7</v>
      </c>
      <c r="V18" s="200">
        <f t="shared" si="6"/>
        <v>123336.27428571429</v>
      </c>
      <c r="W18" s="200">
        <f t="shared" si="6"/>
        <v>123336.27428571429</v>
      </c>
      <c r="X18" s="200">
        <f t="shared" si="6"/>
        <v>123336.27428571429</v>
      </c>
      <c r="Y18" s="200">
        <f t="shared" si="6"/>
        <v>123336.27428571429</v>
      </c>
      <c r="Z18" s="232"/>
      <c r="AA18" s="202"/>
      <c r="AB18" s="202"/>
      <c r="AC18" s="202"/>
      <c r="AD18" s="202"/>
      <c r="AE18" s="200">
        <f t="shared" si="7"/>
        <v>123336.27428571429</v>
      </c>
      <c r="AF18" s="200">
        <f t="shared" si="7"/>
        <v>123336.27428571429</v>
      </c>
      <c r="AG18" s="200">
        <f t="shared" si="7"/>
        <v>123336.27428571429</v>
      </c>
      <c r="AH18" s="234">
        <f t="shared" si="4"/>
        <v>863353.91999999993</v>
      </c>
    </row>
    <row r="19" spans="1:34" s="188" customFormat="1" ht="21" customHeight="1">
      <c r="A19" s="187" t="s">
        <v>363</v>
      </c>
      <c r="B19" s="235" t="s">
        <v>43</v>
      </c>
      <c r="C19" s="228" t="s">
        <v>782</v>
      </c>
      <c r="D19" s="229">
        <v>6055.6860000000006</v>
      </c>
      <c r="E19" s="192">
        <v>8</v>
      </c>
      <c r="F19" s="230">
        <f t="shared" si="1"/>
        <v>60556.860000000008</v>
      </c>
      <c r="G19" s="230">
        <f t="shared" si="1"/>
        <v>60556.860000000008</v>
      </c>
      <c r="H19" s="230">
        <f t="shared" si="1"/>
        <v>60556.860000000008</v>
      </c>
      <c r="I19" s="230">
        <f t="shared" si="1"/>
        <v>60556.860000000008</v>
      </c>
      <c r="J19" s="230">
        <f t="shared" si="1"/>
        <v>60556.860000000008</v>
      </c>
      <c r="K19" s="232"/>
      <c r="L19" s="202"/>
      <c r="M19" s="202"/>
      <c r="N19" s="202"/>
      <c r="O19" s="230">
        <f t="shared" si="8"/>
        <v>60556.860000000008</v>
      </c>
      <c r="P19" s="230">
        <f t="shared" si="8"/>
        <v>60556.860000000008</v>
      </c>
      <c r="Q19" s="230">
        <f t="shared" si="8"/>
        <v>60556.860000000008</v>
      </c>
      <c r="R19" s="228">
        <f t="shared" si="2"/>
        <v>484454.88</v>
      </c>
      <c r="S19" s="270">
        <f t="shared" si="3"/>
        <v>296.62564241276709</v>
      </c>
      <c r="T19" s="233">
        <v>1796271.75</v>
      </c>
      <c r="U19" s="199">
        <v>7</v>
      </c>
      <c r="V19" s="200">
        <f t="shared" si="6"/>
        <v>513220.5</v>
      </c>
      <c r="W19" s="200">
        <f t="shared" si="6"/>
        <v>513220.5</v>
      </c>
      <c r="X19" s="200">
        <f t="shared" si="6"/>
        <v>513220.5</v>
      </c>
      <c r="Y19" s="200">
        <f t="shared" si="6"/>
        <v>513220.5</v>
      </c>
      <c r="Z19" s="232"/>
      <c r="AA19" s="202"/>
      <c r="AB19" s="202"/>
      <c r="AC19" s="202"/>
      <c r="AD19" s="202"/>
      <c r="AE19" s="200">
        <f t="shared" si="7"/>
        <v>513220.5</v>
      </c>
      <c r="AF19" s="200">
        <f t="shared" si="7"/>
        <v>513220.5</v>
      </c>
      <c r="AG19" s="200">
        <f t="shared" si="7"/>
        <v>513220.5</v>
      </c>
      <c r="AH19" s="234">
        <f t="shared" si="4"/>
        <v>3592543.5</v>
      </c>
    </row>
    <row r="20" spans="1:34" s="188" customFormat="1" ht="21" customHeight="1">
      <c r="A20" s="238" t="s">
        <v>364</v>
      </c>
      <c r="B20" s="235" t="s">
        <v>43</v>
      </c>
      <c r="C20" s="228" t="s">
        <v>782</v>
      </c>
      <c r="D20" s="229">
        <v>5230.2000000000007</v>
      </c>
      <c r="E20" s="192">
        <v>8</v>
      </c>
      <c r="F20" s="230">
        <f t="shared" si="1"/>
        <v>52302.000000000007</v>
      </c>
      <c r="G20" s="230">
        <f t="shared" si="1"/>
        <v>52302.000000000007</v>
      </c>
      <c r="H20" s="230">
        <f t="shared" si="1"/>
        <v>52302.000000000007</v>
      </c>
      <c r="I20" s="230">
        <f t="shared" si="1"/>
        <v>52302.000000000007</v>
      </c>
      <c r="J20" s="230">
        <f t="shared" si="1"/>
        <v>52302.000000000007</v>
      </c>
      <c r="K20" s="232"/>
      <c r="L20" s="202"/>
      <c r="M20" s="202"/>
      <c r="N20" s="202"/>
      <c r="O20" s="230">
        <f t="shared" si="8"/>
        <v>52302.000000000007</v>
      </c>
      <c r="P20" s="230">
        <f t="shared" si="8"/>
        <v>52302.000000000007</v>
      </c>
      <c r="Q20" s="230">
        <f t="shared" si="8"/>
        <v>52302.000000000007</v>
      </c>
      <c r="R20" s="228">
        <f t="shared" si="2"/>
        <v>418416.00000000006</v>
      </c>
      <c r="S20" s="270">
        <f t="shared" si="3"/>
        <v>273.78730641275666</v>
      </c>
      <c r="T20" s="233">
        <v>1431962.37</v>
      </c>
      <c r="U20" s="199">
        <v>7</v>
      </c>
      <c r="V20" s="200">
        <f t="shared" si="6"/>
        <v>409132.10571428575</v>
      </c>
      <c r="W20" s="200">
        <f t="shared" si="6"/>
        <v>409132.10571428575</v>
      </c>
      <c r="X20" s="200">
        <f t="shared" si="6"/>
        <v>409132.10571428575</v>
      </c>
      <c r="Y20" s="200">
        <f t="shared" si="6"/>
        <v>409132.10571428575</v>
      </c>
      <c r="Z20" s="232"/>
      <c r="AA20" s="202"/>
      <c r="AB20" s="202"/>
      <c r="AC20" s="202"/>
      <c r="AD20" s="202"/>
      <c r="AE20" s="200">
        <f t="shared" si="7"/>
        <v>409132.10571428575</v>
      </c>
      <c r="AF20" s="200">
        <f t="shared" si="7"/>
        <v>409132.10571428575</v>
      </c>
      <c r="AG20" s="200">
        <f t="shared" si="7"/>
        <v>409132.10571428575</v>
      </c>
      <c r="AH20" s="234">
        <f t="shared" si="4"/>
        <v>2863924.74</v>
      </c>
    </row>
    <row r="21" spans="1:34" s="188" customFormat="1" ht="21" customHeight="1">
      <c r="A21" s="182" t="s">
        <v>365</v>
      </c>
      <c r="B21" s="235" t="s">
        <v>366</v>
      </c>
      <c r="C21" s="228" t="s">
        <v>782</v>
      </c>
      <c r="D21" s="229">
        <v>2613.6000000000004</v>
      </c>
      <c r="E21" s="192">
        <v>8</v>
      </c>
      <c r="F21" s="230">
        <f t="shared" si="1"/>
        <v>26136.000000000004</v>
      </c>
      <c r="G21" s="230">
        <f t="shared" si="1"/>
        <v>26136.000000000004</v>
      </c>
      <c r="H21" s="230">
        <f t="shared" si="1"/>
        <v>26136.000000000004</v>
      </c>
      <c r="I21" s="230">
        <f t="shared" si="1"/>
        <v>26136.000000000004</v>
      </c>
      <c r="J21" s="230">
        <f t="shared" si="1"/>
        <v>26136.000000000004</v>
      </c>
      <c r="K21" s="232"/>
      <c r="L21" s="202"/>
      <c r="M21" s="202"/>
      <c r="N21" s="202"/>
      <c r="O21" s="230">
        <f t="shared" si="8"/>
        <v>26136.000000000004</v>
      </c>
      <c r="P21" s="230">
        <f t="shared" si="8"/>
        <v>26136.000000000004</v>
      </c>
      <c r="Q21" s="230">
        <f t="shared" si="8"/>
        <v>26136.000000000004</v>
      </c>
      <c r="R21" s="228">
        <f t="shared" si="2"/>
        <v>209088.00000000003</v>
      </c>
      <c r="S21" s="270">
        <f t="shared" si="3"/>
        <v>255.00485537190076</v>
      </c>
      <c r="T21" s="233">
        <v>666480.68999999994</v>
      </c>
      <c r="U21" s="199">
        <v>7</v>
      </c>
      <c r="V21" s="200">
        <f t="shared" si="6"/>
        <v>190423.05428571426</v>
      </c>
      <c r="W21" s="200">
        <f t="shared" si="6"/>
        <v>190423.05428571426</v>
      </c>
      <c r="X21" s="200">
        <f t="shared" si="6"/>
        <v>190423.05428571426</v>
      </c>
      <c r="Y21" s="200">
        <f t="shared" si="6"/>
        <v>190423.05428571426</v>
      </c>
      <c r="Z21" s="232"/>
      <c r="AA21" s="202"/>
      <c r="AB21" s="202"/>
      <c r="AC21" s="202"/>
      <c r="AD21" s="202"/>
      <c r="AE21" s="200">
        <f t="shared" si="7"/>
        <v>190423.05428571426</v>
      </c>
      <c r="AF21" s="200">
        <f t="shared" si="7"/>
        <v>190423.05428571426</v>
      </c>
      <c r="AG21" s="200">
        <f t="shared" si="7"/>
        <v>190423.05428571426</v>
      </c>
      <c r="AH21" s="234">
        <f t="shared" si="4"/>
        <v>1332961.3799999997</v>
      </c>
    </row>
    <row r="22" spans="1:34" ht="21" customHeight="1">
      <c r="A22" s="187" t="s">
        <v>368</v>
      </c>
      <c r="B22" s="235" t="s">
        <v>366</v>
      </c>
      <c r="C22" s="228" t="s">
        <v>782</v>
      </c>
      <c r="D22" s="229">
        <v>5360</v>
      </c>
      <c r="E22" s="192">
        <v>8</v>
      </c>
      <c r="F22" s="230">
        <f t="shared" si="1"/>
        <v>53600</v>
      </c>
      <c r="G22" s="230">
        <f t="shared" si="1"/>
        <v>53600</v>
      </c>
      <c r="H22" s="230">
        <f t="shared" si="1"/>
        <v>53600</v>
      </c>
      <c r="I22" s="230">
        <f t="shared" si="1"/>
        <v>53600</v>
      </c>
      <c r="J22" s="230">
        <f t="shared" si="1"/>
        <v>53600</v>
      </c>
      <c r="K22" s="232"/>
      <c r="L22" s="202"/>
      <c r="M22" s="202"/>
      <c r="N22" s="202"/>
      <c r="O22" s="230">
        <f t="shared" si="8"/>
        <v>53600</v>
      </c>
      <c r="P22" s="230">
        <f t="shared" si="8"/>
        <v>53600</v>
      </c>
      <c r="Q22" s="230">
        <f t="shared" si="8"/>
        <v>53600</v>
      </c>
      <c r="R22" s="228">
        <f t="shared" si="2"/>
        <v>428800</v>
      </c>
      <c r="S22" s="270">
        <f t="shared" si="3"/>
        <v>267.24634701492533</v>
      </c>
      <c r="T22" s="233">
        <v>1432440.42</v>
      </c>
      <c r="U22" s="199">
        <v>7</v>
      </c>
      <c r="V22" s="200">
        <f t="shared" si="6"/>
        <v>409268.69142857142</v>
      </c>
      <c r="W22" s="200">
        <f t="shared" si="6"/>
        <v>409268.69142857142</v>
      </c>
      <c r="X22" s="200">
        <f t="shared" si="6"/>
        <v>409268.69142857142</v>
      </c>
      <c r="Y22" s="200">
        <f t="shared" si="6"/>
        <v>409268.69142857142</v>
      </c>
      <c r="Z22" s="174"/>
      <c r="AA22" s="173"/>
      <c r="AB22" s="173"/>
      <c r="AC22" s="173"/>
      <c r="AD22" s="173"/>
      <c r="AE22" s="200">
        <f t="shared" ref="AE22:AG29" si="9">$T22*$B$44/$U22</f>
        <v>409268.69142857142</v>
      </c>
      <c r="AF22" s="200">
        <f t="shared" si="9"/>
        <v>409268.69142857142</v>
      </c>
      <c r="AG22" s="200">
        <f t="shared" si="9"/>
        <v>409268.69142857142</v>
      </c>
      <c r="AH22" s="234">
        <f t="shared" si="4"/>
        <v>2864880.84</v>
      </c>
    </row>
    <row r="23" spans="1:34" s="188" customFormat="1" ht="21" customHeight="1">
      <c r="A23" s="187" t="s">
        <v>42</v>
      </c>
      <c r="B23" s="227" t="s">
        <v>42</v>
      </c>
      <c r="C23" s="228" t="s">
        <v>355</v>
      </c>
      <c r="D23" s="229">
        <v>4088</v>
      </c>
      <c r="E23" s="192">
        <v>5</v>
      </c>
      <c r="F23" s="230">
        <f t="shared" si="1"/>
        <v>65408</v>
      </c>
      <c r="G23" s="230">
        <f t="shared" si="1"/>
        <v>65408</v>
      </c>
      <c r="H23" s="230">
        <f t="shared" si="1"/>
        <v>65408</v>
      </c>
      <c r="I23" s="231"/>
      <c r="J23" s="198"/>
      <c r="K23" s="232"/>
      <c r="L23" s="202"/>
      <c r="M23" s="202"/>
      <c r="N23" s="202"/>
      <c r="O23" s="198"/>
      <c r="P23" s="230">
        <f t="shared" si="8"/>
        <v>65408</v>
      </c>
      <c r="Q23" s="230">
        <f t="shared" si="8"/>
        <v>65408</v>
      </c>
      <c r="R23" s="228">
        <f t="shared" si="2"/>
        <v>327040</v>
      </c>
      <c r="S23" s="270">
        <f t="shared" si="3"/>
        <v>241.5</v>
      </c>
      <c r="T23" s="233">
        <v>987252</v>
      </c>
      <c r="U23" s="199">
        <v>8</v>
      </c>
      <c r="V23" s="200">
        <f t="shared" si="6"/>
        <v>246813</v>
      </c>
      <c r="W23" s="200">
        <f t="shared" si="6"/>
        <v>246813</v>
      </c>
      <c r="X23" s="200">
        <f t="shared" si="6"/>
        <v>246813</v>
      </c>
      <c r="Y23" s="200">
        <f t="shared" si="6"/>
        <v>246813</v>
      </c>
      <c r="Z23" s="200">
        <f t="shared" si="6"/>
        <v>246813</v>
      </c>
      <c r="AA23" s="202"/>
      <c r="AB23" s="202"/>
      <c r="AC23" s="202"/>
      <c r="AD23" s="202"/>
      <c r="AE23" s="200">
        <f t="shared" si="9"/>
        <v>246813</v>
      </c>
      <c r="AF23" s="200">
        <f t="shared" si="9"/>
        <v>246813</v>
      </c>
      <c r="AG23" s="200">
        <f t="shared" si="9"/>
        <v>246813</v>
      </c>
      <c r="AH23" s="234">
        <f t="shared" si="4"/>
        <v>1974504</v>
      </c>
    </row>
    <row r="24" spans="1:34" s="188" customFormat="1" ht="21" customHeight="1">
      <c r="A24" s="182" t="s">
        <v>40</v>
      </c>
      <c r="B24" s="227" t="s">
        <v>40</v>
      </c>
      <c r="C24" s="228" t="s">
        <v>355</v>
      </c>
      <c r="D24" s="229">
        <v>2377</v>
      </c>
      <c r="E24" s="192">
        <v>5</v>
      </c>
      <c r="F24" s="230">
        <f t="shared" si="1"/>
        <v>38032</v>
      </c>
      <c r="G24" s="230">
        <f t="shared" si="1"/>
        <v>38032</v>
      </c>
      <c r="H24" s="230">
        <f t="shared" si="1"/>
        <v>38032</v>
      </c>
      <c r="I24" s="231"/>
      <c r="J24" s="198"/>
      <c r="K24" s="232"/>
      <c r="L24" s="202"/>
      <c r="M24" s="202"/>
      <c r="N24" s="202"/>
      <c r="O24" s="198"/>
      <c r="P24" s="230">
        <f t="shared" si="8"/>
        <v>38032</v>
      </c>
      <c r="Q24" s="230">
        <f t="shared" si="8"/>
        <v>38032</v>
      </c>
      <c r="R24" s="228">
        <f t="shared" si="2"/>
        <v>190160</v>
      </c>
      <c r="S24" s="270">
        <f t="shared" si="3"/>
        <v>230</v>
      </c>
      <c r="T24" s="233">
        <v>546710</v>
      </c>
      <c r="U24" s="199">
        <v>8</v>
      </c>
      <c r="V24" s="200">
        <f t="shared" si="6"/>
        <v>136677.5</v>
      </c>
      <c r="W24" s="200">
        <f t="shared" si="6"/>
        <v>136677.5</v>
      </c>
      <c r="X24" s="200">
        <f t="shared" si="6"/>
        <v>136677.5</v>
      </c>
      <c r="Y24" s="200">
        <f t="shared" si="6"/>
        <v>136677.5</v>
      </c>
      <c r="Z24" s="200">
        <f t="shared" si="6"/>
        <v>136677.5</v>
      </c>
      <c r="AA24" s="202"/>
      <c r="AB24" s="202"/>
      <c r="AC24" s="202"/>
      <c r="AD24" s="202"/>
      <c r="AE24" s="200">
        <f t="shared" si="9"/>
        <v>136677.5</v>
      </c>
      <c r="AF24" s="200">
        <f t="shared" si="9"/>
        <v>136677.5</v>
      </c>
      <c r="AG24" s="200">
        <f t="shared" si="9"/>
        <v>136677.5</v>
      </c>
      <c r="AH24" s="234">
        <f t="shared" si="4"/>
        <v>1093420</v>
      </c>
    </row>
    <row r="25" spans="1:34" ht="21" customHeight="1">
      <c r="A25" s="182" t="s">
        <v>369</v>
      </c>
      <c r="B25" s="227" t="s">
        <v>78</v>
      </c>
      <c r="C25" s="228" t="s">
        <v>367</v>
      </c>
      <c r="D25" s="229">
        <v>1018</v>
      </c>
      <c r="E25" s="192">
        <v>4</v>
      </c>
      <c r="F25" s="230">
        <f t="shared" si="1"/>
        <v>20360</v>
      </c>
      <c r="G25" s="230">
        <f t="shared" si="1"/>
        <v>20360</v>
      </c>
      <c r="H25" s="230">
        <f t="shared" si="1"/>
        <v>20360</v>
      </c>
      <c r="I25" s="230">
        <f t="shared" si="1"/>
        <v>20360</v>
      </c>
      <c r="J25" s="198"/>
      <c r="K25" s="232"/>
      <c r="L25" s="202"/>
      <c r="M25" s="202"/>
      <c r="N25" s="202"/>
      <c r="O25" s="198"/>
      <c r="P25" s="198"/>
      <c r="Q25" s="198"/>
      <c r="R25" s="228">
        <f t="shared" si="2"/>
        <v>81440</v>
      </c>
      <c r="S25" s="270">
        <f t="shared" si="3"/>
        <v>150.95535363457759</v>
      </c>
      <c r="T25" s="233">
        <v>153672.54999999999</v>
      </c>
      <c r="U25" s="199">
        <v>5</v>
      </c>
      <c r="V25" s="200">
        <f t="shared" si="6"/>
        <v>61469.02</v>
      </c>
      <c r="W25" s="200">
        <f t="shared" si="6"/>
        <v>61469.02</v>
      </c>
      <c r="X25" s="200">
        <f t="shared" si="6"/>
        <v>61469.02</v>
      </c>
      <c r="Y25" s="200">
        <f t="shared" si="6"/>
        <v>61469.02</v>
      </c>
      <c r="Z25" s="174"/>
      <c r="AA25" s="173"/>
      <c r="AB25" s="173"/>
      <c r="AC25" s="173"/>
      <c r="AD25" s="173"/>
      <c r="AE25" s="173"/>
      <c r="AF25" s="173"/>
      <c r="AG25" s="200">
        <f t="shared" si="9"/>
        <v>61469.02</v>
      </c>
      <c r="AH25" s="234">
        <f t="shared" si="4"/>
        <v>307345.09999999998</v>
      </c>
    </row>
    <row r="26" spans="1:34" s="188" customFormat="1" ht="21" customHeight="1">
      <c r="A26" s="236" t="s">
        <v>370</v>
      </c>
      <c r="B26" s="227" t="s">
        <v>91</v>
      </c>
      <c r="C26" s="228" t="s">
        <v>371</v>
      </c>
      <c r="D26" s="229">
        <v>1200</v>
      </c>
      <c r="E26" s="192">
        <v>6</v>
      </c>
      <c r="F26" s="230">
        <f t="shared" si="1"/>
        <v>16000</v>
      </c>
      <c r="G26" s="230">
        <f t="shared" si="1"/>
        <v>16000</v>
      </c>
      <c r="H26" s="230">
        <f t="shared" si="1"/>
        <v>16000</v>
      </c>
      <c r="I26" s="230">
        <f t="shared" si="1"/>
        <v>16000</v>
      </c>
      <c r="J26" s="198"/>
      <c r="K26" s="232"/>
      <c r="L26" s="202"/>
      <c r="M26" s="202"/>
      <c r="N26" s="202"/>
      <c r="O26" s="198"/>
      <c r="P26" s="230">
        <f t="shared" si="8"/>
        <v>16000</v>
      </c>
      <c r="Q26" s="230">
        <f t="shared" si="8"/>
        <v>16000</v>
      </c>
      <c r="R26" s="228">
        <f t="shared" si="2"/>
        <v>96000</v>
      </c>
      <c r="S26" s="270">
        <f t="shared" si="3"/>
        <v>221.31411666666668</v>
      </c>
      <c r="T26" s="233">
        <v>265576.94</v>
      </c>
      <c r="U26" s="199">
        <v>5</v>
      </c>
      <c r="V26" s="200">
        <f t="shared" si="6"/>
        <v>106230.776</v>
      </c>
      <c r="W26" s="200">
        <f t="shared" si="6"/>
        <v>106230.776</v>
      </c>
      <c r="X26" s="200">
        <f t="shared" si="6"/>
        <v>106230.776</v>
      </c>
      <c r="Y26" s="200">
        <f t="shared" si="6"/>
        <v>106230.776</v>
      </c>
      <c r="Z26" s="200">
        <f t="shared" si="6"/>
        <v>106230.776</v>
      </c>
      <c r="AA26" s="202"/>
      <c r="AB26" s="202"/>
      <c r="AC26" s="202"/>
      <c r="AD26" s="202"/>
      <c r="AE26" s="202"/>
      <c r="AF26" s="202"/>
      <c r="AG26" s="202"/>
      <c r="AH26" s="234">
        <f t="shared" si="4"/>
        <v>531153.88</v>
      </c>
    </row>
    <row r="27" spans="1:34" s="188" customFormat="1" ht="21" customHeight="1">
      <c r="A27" s="187" t="s">
        <v>55</v>
      </c>
      <c r="B27" s="227" t="s">
        <v>55</v>
      </c>
      <c r="C27" s="228" t="s">
        <v>372</v>
      </c>
      <c r="D27" s="229">
        <v>12385.400000000001</v>
      </c>
      <c r="E27" s="192">
        <v>8</v>
      </c>
      <c r="F27" s="230">
        <f t="shared" si="1"/>
        <v>123854.00000000001</v>
      </c>
      <c r="G27" s="230">
        <f t="shared" si="1"/>
        <v>123854.00000000001</v>
      </c>
      <c r="H27" s="230">
        <f t="shared" si="1"/>
        <v>123854.00000000001</v>
      </c>
      <c r="I27" s="230">
        <f t="shared" si="1"/>
        <v>123854.00000000001</v>
      </c>
      <c r="J27" s="230">
        <f t="shared" si="1"/>
        <v>123854.00000000001</v>
      </c>
      <c r="K27" s="189"/>
      <c r="L27" s="202"/>
      <c r="M27" s="202"/>
      <c r="N27" s="202"/>
      <c r="O27" s="230">
        <f t="shared" si="8"/>
        <v>123854.00000000001</v>
      </c>
      <c r="P27" s="230">
        <f t="shared" si="8"/>
        <v>123854.00000000001</v>
      </c>
      <c r="Q27" s="230">
        <f t="shared" si="8"/>
        <v>123854.00000000001</v>
      </c>
      <c r="R27" s="228">
        <f t="shared" si="2"/>
        <v>990832.00000000012</v>
      </c>
      <c r="S27" s="270">
        <f t="shared" si="3"/>
        <v>271.21067466533174</v>
      </c>
      <c r="T27" s="233">
        <v>3359052.69</v>
      </c>
      <c r="U27" s="199">
        <v>8</v>
      </c>
      <c r="V27" s="200">
        <f t="shared" si="6"/>
        <v>839763.17249999999</v>
      </c>
      <c r="W27" s="200">
        <f t="shared" si="6"/>
        <v>839763.17249999999</v>
      </c>
      <c r="X27" s="200">
        <f t="shared" si="6"/>
        <v>839763.17249999999</v>
      </c>
      <c r="Y27" s="200">
        <f t="shared" si="6"/>
        <v>839763.17249999999</v>
      </c>
      <c r="Z27" s="200">
        <f t="shared" si="6"/>
        <v>839763.17249999999</v>
      </c>
      <c r="AA27" s="200">
        <f t="shared" si="6"/>
        <v>839763.17249999999</v>
      </c>
      <c r="AB27" s="202"/>
      <c r="AC27" s="202"/>
      <c r="AD27" s="202"/>
      <c r="AE27" s="202"/>
      <c r="AF27" s="200">
        <f t="shared" si="9"/>
        <v>839763.17249999999</v>
      </c>
      <c r="AG27" s="200">
        <f t="shared" si="9"/>
        <v>839763.17249999999</v>
      </c>
      <c r="AH27" s="234">
        <f t="shared" si="4"/>
        <v>6718105.3800000008</v>
      </c>
    </row>
    <row r="28" spans="1:34" s="188" customFormat="1" ht="21" customHeight="1">
      <c r="A28" s="182" t="s">
        <v>373</v>
      </c>
      <c r="B28" s="235" t="s">
        <v>374</v>
      </c>
      <c r="C28" s="228" t="s">
        <v>375</v>
      </c>
      <c r="D28" s="229">
        <v>1706</v>
      </c>
      <c r="E28" s="192">
        <v>4</v>
      </c>
      <c r="F28" s="230">
        <f t="shared" si="1"/>
        <v>34120</v>
      </c>
      <c r="G28" s="230">
        <f t="shared" si="1"/>
        <v>34120</v>
      </c>
      <c r="H28" s="230">
        <f t="shared" si="1"/>
        <v>34120</v>
      </c>
      <c r="I28" s="231"/>
      <c r="J28" s="198"/>
      <c r="K28" s="232"/>
      <c r="L28" s="202"/>
      <c r="M28" s="202"/>
      <c r="N28" s="202"/>
      <c r="O28" s="198"/>
      <c r="P28" s="198"/>
      <c r="Q28" s="230">
        <f t="shared" si="8"/>
        <v>34120</v>
      </c>
      <c r="R28" s="228">
        <f t="shared" si="2"/>
        <v>136480</v>
      </c>
      <c r="S28" s="270">
        <f t="shared" si="3"/>
        <v>155.85048065650645</v>
      </c>
      <c r="T28" s="233">
        <v>265880.92</v>
      </c>
      <c r="U28" s="199">
        <v>5</v>
      </c>
      <c r="V28" s="200">
        <f t="shared" si="6"/>
        <v>106352.36799999999</v>
      </c>
      <c r="W28" s="200">
        <f t="shared" si="6"/>
        <v>106352.36799999999</v>
      </c>
      <c r="X28" s="200">
        <f t="shared" si="6"/>
        <v>106352.36799999999</v>
      </c>
      <c r="Y28" s="200">
        <f t="shared" si="6"/>
        <v>106352.36799999999</v>
      </c>
      <c r="Z28" s="200">
        <f t="shared" si="6"/>
        <v>106352.36799999999</v>
      </c>
      <c r="AA28" s="202"/>
      <c r="AB28" s="202"/>
      <c r="AC28" s="202"/>
      <c r="AD28" s="202"/>
      <c r="AE28" s="202"/>
      <c r="AF28" s="202"/>
      <c r="AG28" s="202"/>
      <c r="AH28" s="234">
        <f t="shared" si="4"/>
        <v>531761.84</v>
      </c>
    </row>
    <row r="29" spans="1:34" s="197" customFormat="1" ht="21" customHeight="1">
      <c r="A29" s="182" t="s">
        <v>213</v>
      </c>
      <c r="B29" s="227" t="s">
        <v>376</v>
      </c>
      <c r="C29" s="228" t="s">
        <v>377</v>
      </c>
      <c r="D29" s="229">
        <v>2680</v>
      </c>
      <c r="E29" s="192">
        <v>4</v>
      </c>
      <c r="F29" s="230">
        <f t="shared" si="1"/>
        <v>53600</v>
      </c>
      <c r="G29" s="230">
        <f t="shared" si="1"/>
        <v>53600</v>
      </c>
      <c r="H29" s="230">
        <f t="shared" si="1"/>
        <v>53600</v>
      </c>
      <c r="I29" s="231"/>
      <c r="J29" s="198"/>
      <c r="K29" s="232"/>
      <c r="L29" s="202"/>
      <c r="M29" s="201"/>
      <c r="N29" s="201"/>
      <c r="O29" s="198"/>
      <c r="P29" s="198"/>
      <c r="Q29" s="230">
        <f>$D29*$B$37/$E29</f>
        <v>53600</v>
      </c>
      <c r="R29" s="228">
        <f t="shared" si="2"/>
        <v>214400</v>
      </c>
      <c r="S29" s="270">
        <f t="shared" si="3"/>
        <v>214.88022388059701</v>
      </c>
      <c r="T29" s="233">
        <v>575879</v>
      </c>
      <c r="U29" s="199">
        <v>7</v>
      </c>
      <c r="V29" s="200">
        <f t="shared" si="6"/>
        <v>164536.85714285713</v>
      </c>
      <c r="W29" s="200">
        <f t="shared" si="6"/>
        <v>164536.85714285713</v>
      </c>
      <c r="X29" s="200">
        <f t="shared" si="6"/>
        <v>164536.85714285713</v>
      </c>
      <c r="Y29" s="200">
        <f t="shared" si="6"/>
        <v>164536.85714285713</v>
      </c>
      <c r="Z29" s="200">
        <f t="shared" si="6"/>
        <v>164536.85714285713</v>
      </c>
      <c r="AA29" s="196"/>
      <c r="AB29" s="201"/>
      <c r="AC29" s="201"/>
      <c r="AD29" s="201"/>
      <c r="AE29" s="201"/>
      <c r="AF29" s="200">
        <f t="shared" si="9"/>
        <v>164536.85714285713</v>
      </c>
      <c r="AG29" s="200">
        <f t="shared" si="9"/>
        <v>164536.85714285713</v>
      </c>
      <c r="AH29" s="234">
        <f t="shared" si="4"/>
        <v>1151758</v>
      </c>
    </row>
    <row r="30" spans="1:34" ht="21" customHeight="1" thickBot="1">
      <c r="A30" s="203" t="s">
        <v>378</v>
      </c>
      <c r="B30" s="203"/>
      <c r="C30" s="243"/>
      <c r="D30" s="244">
        <v>79504.780000000013</v>
      </c>
      <c r="E30" s="245"/>
      <c r="F30" s="246">
        <f t="shared" ref="F30:Q30" si="10">SUM(F4:F29)</f>
        <v>935092.15428571438</v>
      </c>
      <c r="G30" s="246">
        <f t="shared" si="10"/>
        <v>935092.15428571438</v>
      </c>
      <c r="H30" s="246">
        <f t="shared" si="10"/>
        <v>935092.15428571438</v>
      </c>
      <c r="I30" s="246">
        <f t="shared" si="10"/>
        <v>673842.55428571429</v>
      </c>
      <c r="J30" s="246">
        <f t="shared" si="10"/>
        <v>637482.55428571429</v>
      </c>
      <c r="K30" s="246">
        <f t="shared" si="10"/>
        <v>0</v>
      </c>
      <c r="L30" s="246">
        <f t="shared" si="10"/>
        <v>0</v>
      </c>
      <c r="M30" s="246">
        <f t="shared" si="10"/>
        <v>0</v>
      </c>
      <c r="N30" s="246">
        <f t="shared" si="10"/>
        <v>0</v>
      </c>
      <c r="O30" s="246">
        <f t="shared" si="10"/>
        <v>581236.52</v>
      </c>
      <c r="P30" s="246">
        <f t="shared" si="10"/>
        <v>787412.15428571426</v>
      </c>
      <c r="Q30" s="246">
        <f t="shared" si="10"/>
        <v>875132.15428571426</v>
      </c>
      <c r="R30" s="247">
        <f>SUM(R4:R29)</f>
        <v>6360382.4000000004</v>
      </c>
      <c r="S30" s="270"/>
      <c r="T30" s="248">
        <f>SUM(T4:T29)</f>
        <v>21439625.180000003</v>
      </c>
      <c r="U30" s="249"/>
      <c r="V30" s="246">
        <f>SUM(V4:V29)</f>
        <v>6272546.7340238076</v>
      </c>
      <c r="W30" s="246">
        <f t="shared" ref="W30:AG30" si="11">SUM(W4:W29)</f>
        <v>6318587.5100238081</v>
      </c>
      <c r="X30" s="246">
        <f t="shared" si="11"/>
        <v>6083669.5366904754</v>
      </c>
      <c r="Y30" s="246">
        <f t="shared" si="11"/>
        <v>6083669.5366904754</v>
      </c>
      <c r="Z30" s="246">
        <f t="shared" si="11"/>
        <v>1701605.1776428572</v>
      </c>
      <c r="AA30" s="246">
        <f t="shared" si="11"/>
        <v>899126.58049999992</v>
      </c>
      <c r="AB30" s="246">
        <f t="shared" si="11"/>
        <v>0</v>
      </c>
      <c r="AC30" s="246">
        <f t="shared" si="11"/>
        <v>0</v>
      </c>
      <c r="AD30" s="246">
        <f t="shared" si="11"/>
        <v>0</v>
      </c>
      <c r="AE30" s="246">
        <f t="shared" si="11"/>
        <v>4277159.8057142859</v>
      </c>
      <c r="AF30" s="246">
        <f t="shared" si="11"/>
        <v>5479910.5586904762</v>
      </c>
      <c r="AG30" s="246">
        <f t="shared" si="11"/>
        <v>5776297.5520238094</v>
      </c>
      <c r="AH30" s="250">
        <f>SUM(AH4:AH29)</f>
        <v>42892572.992000006</v>
      </c>
    </row>
    <row r="31" spans="1:34">
      <c r="A31" s="220"/>
      <c r="B31" s="220"/>
      <c r="C31" s="220"/>
      <c r="D31" s="258"/>
      <c r="E31" s="259"/>
      <c r="F31" s="260"/>
      <c r="G31" s="258"/>
      <c r="H31" s="261"/>
      <c r="I31" s="258"/>
      <c r="J31" s="262"/>
      <c r="K31" s="251"/>
      <c r="L31" s="252"/>
      <c r="M31" s="253"/>
      <c r="N31" s="254"/>
      <c r="S31" s="270">
        <f>AVERAGE(S4:S29)</f>
        <v>243.3744666818215</v>
      </c>
      <c r="T31" s="210">
        <f>T30/D30</f>
        <v>269.66460607777293</v>
      </c>
      <c r="V31" s="210"/>
      <c r="W31" s="210"/>
      <c r="X31" s="175"/>
      <c r="Z31" s="176"/>
    </row>
    <row r="32" spans="1:34">
      <c r="A32" s="208" t="s">
        <v>379</v>
      </c>
      <c r="D32" s="255"/>
      <c r="E32" s="256"/>
      <c r="F32" s="211"/>
      <c r="H32" s="213"/>
      <c r="I32" s="212"/>
      <c r="J32" s="210"/>
      <c r="K32" s="214"/>
      <c r="L32" s="218"/>
      <c r="M32" s="215"/>
      <c r="N32" s="212"/>
      <c r="S32" s="270"/>
      <c r="V32" s="210"/>
      <c r="W32" s="210"/>
      <c r="X32" s="175"/>
      <c r="Z32" s="176"/>
    </row>
    <row r="33" spans="1:34">
      <c r="A33" s="209" t="s">
        <v>380</v>
      </c>
      <c r="B33" s="209">
        <v>20</v>
      </c>
      <c r="D33" s="255"/>
      <c r="E33" s="256"/>
      <c r="F33" s="211"/>
      <c r="H33" s="213"/>
      <c r="I33" s="212"/>
      <c r="J33" s="210"/>
      <c r="K33" s="214"/>
      <c r="L33" s="218"/>
      <c r="M33" s="215"/>
      <c r="N33" s="212"/>
      <c r="S33" s="270"/>
      <c r="V33" s="210"/>
      <c r="W33" s="210"/>
      <c r="X33" s="175"/>
      <c r="Z33" s="176"/>
      <c r="AH33" s="257"/>
    </row>
    <row r="34" spans="1:34">
      <c r="A34" s="209" t="s">
        <v>381</v>
      </c>
      <c r="B34" s="209">
        <v>30</v>
      </c>
      <c r="D34" s="257"/>
      <c r="S34" s="270"/>
    </row>
    <row r="35" spans="1:34">
      <c r="A35" s="209" t="s">
        <v>382</v>
      </c>
      <c r="B35" s="209">
        <v>15</v>
      </c>
      <c r="S35" s="270"/>
    </row>
    <row r="36" spans="1:34">
      <c r="A36" s="209" t="s">
        <v>383</v>
      </c>
      <c r="B36" s="209">
        <v>15</v>
      </c>
      <c r="S36" s="270"/>
    </row>
    <row r="37" spans="1:34">
      <c r="A37" s="209" t="s">
        <v>384</v>
      </c>
      <c r="B37" s="175">
        <f>SUM(B33:B36)</f>
        <v>80</v>
      </c>
      <c r="C37" s="175"/>
    </row>
    <row r="38" spans="1:34">
      <c r="B38" s="175"/>
      <c r="C38" s="175"/>
    </row>
    <row r="39" spans="1:34">
      <c r="B39" s="175"/>
      <c r="C39" s="175"/>
    </row>
    <row r="40" spans="1:34">
      <c r="A40" s="220"/>
      <c r="H40" s="217"/>
    </row>
    <row r="41" spans="1:34">
      <c r="A41" s="175"/>
      <c r="F41" s="219"/>
    </row>
    <row r="42" spans="1:34">
      <c r="A42" s="208" t="s">
        <v>385</v>
      </c>
      <c r="D42" s="257"/>
    </row>
    <row r="43" spans="1:34">
      <c r="A43" s="209" t="s">
        <v>386</v>
      </c>
    </row>
    <row r="44" spans="1:34">
      <c r="A44" s="209" t="s">
        <v>387</v>
      </c>
      <c r="B44" s="209">
        <v>2</v>
      </c>
    </row>
    <row r="45" spans="1:34">
      <c r="A45" s="209" t="s">
        <v>402</v>
      </c>
      <c r="B45" s="209">
        <f>ROUNDUP(B44*T31,0)</f>
        <v>540</v>
      </c>
    </row>
  </sheetData>
  <mergeCells count="8">
    <mergeCell ref="T2:AG2"/>
    <mergeCell ref="AH2:AH3"/>
    <mergeCell ref="A1:R1"/>
    <mergeCell ref="A2:A3"/>
    <mergeCell ref="B2:B3"/>
    <mergeCell ref="C2:C3"/>
    <mergeCell ref="D2:Q2"/>
    <mergeCell ref="R2:R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N41"/>
  <sheetViews>
    <sheetView topLeftCell="A11" workbookViewId="0">
      <selection activeCell="C12" sqref="C12:C22"/>
    </sheetView>
  </sheetViews>
  <sheetFormatPr defaultColWidth="9.109375" defaultRowHeight="13.8"/>
  <cols>
    <col min="1" max="1" width="23.77734375" style="125" customWidth="1"/>
    <col min="2" max="2" width="16" style="125" customWidth="1"/>
    <col min="3" max="3" width="7.44140625" style="122" customWidth="1"/>
    <col min="4" max="4" width="15.77734375" style="128" customWidth="1"/>
    <col min="5" max="5" width="15.77734375" style="91" customWidth="1"/>
    <col min="6" max="6" width="15.77734375" style="127" customWidth="1"/>
    <col min="7" max="7" width="15.77734375" style="91" customWidth="1"/>
    <col min="8" max="8" width="15.77734375" style="122" customWidth="1"/>
    <col min="9" max="9" width="15.77734375" style="92" customWidth="1"/>
    <col min="10" max="10" width="15.77734375" style="129" customWidth="1"/>
    <col min="11" max="11" width="15.77734375" style="91" customWidth="1"/>
    <col min="12" max="12" width="15.77734375" style="130" customWidth="1"/>
    <col min="13" max="13" width="15.77734375" style="91" customWidth="1"/>
    <col min="14" max="14" width="15.77734375" style="131" customWidth="1"/>
    <col min="15" max="16" width="15.77734375" style="91" customWidth="1"/>
    <col min="17" max="19" width="15.77734375" style="122" customWidth="1"/>
    <col min="20" max="20" width="15.77734375" style="91" customWidth="1"/>
    <col min="21" max="21" width="15.77734375" style="122" customWidth="1"/>
    <col min="22" max="22" width="15.77734375" style="91" customWidth="1"/>
    <col min="23" max="23" width="15.77734375" style="122" customWidth="1"/>
    <col min="24" max="24" width="15.77734375" style="91" customWidth="1"/>
    <col min="25" max="25" width="15.77734375" style="122" customWidth="1"/>
    <col min="26" max="26" width="25.6640625" style="122" hidden="1" customWidth="1"/>
    <col min="27" max="27" width="11.109375" style="123" hidden="1" customWidth="1"/>
    <col min="28" max="29" width="12.44140625" style="91" hidden="1" customWidth="1"/>
    <col min="30" max="30" width="24.44140625" style="92" hidden="1" customWidth="1"/>
    <col min="31" max="31" width="18.109375" style="91" hidden="1" customWidth="1"/>
    <col min="32" max="32" width="12.44140625" style="91" hidden="1" customWidth="1"/>
    <col min="33" max="33" width="11" style="91" hidden="1" customWidth="1"/>
    <col min="34" max="36" width="9.44140625" style="91" hidden="1" customWidth="1"/>
    <col min="37" max="39" width="14.77734375" style="91" hidden="1" customWidth="1"/>
    <col min="40" max="40" width="13.44140625" style="91" hidden="1" customWidth="1"/>
    <col min="41" max="16384" width="9.109375" style="91"/>
  </cols>
  <sheetData>
    <row r="1" spans="1:40" ht="30.75" customHeight="1" thickBot="1">
      <c r="A1" s="664" t="s">
        <v>388</v>
      </c>
      <c r="B1" s="664"/>
      <c r="C1" s="664"/>
      <c r="D1" s="664"/>
      <c r="E1" s="664"/>
      <c r="F1" s="664"/>
      <c r="G1" s="664"/>
      <c r="H1" s="664"/>
      <c r="I1" s="664"/>
      <c r="J1" s="664"/>
      <c r="K1" s="664"/>
      <c r="L1" s="664"/>
      <c r="M1" s="664"/>
      <c r="N1" s="664"/>
      <c r="O1" s="664"/>
      <c r="P1" s="664"/>
      <c r="Q1" s="664"/>
      <c r="R1" s="664"/>
      <c r="S1" s="664"/>
      <c r="T1" s="664"/>
      <c r="U1" s="664"/>
      <c r="V1" s="664"/>
      <c r="W1" s="664"/>
      <c r="X1" s="664"/>
      <c r="Y1" s="665"/>
      <c r="Z1" s="85"/>
      <c r="AA1" s="86"/>
      <c r="AB1" s="87"/>
      <c r="AC1" s="87"/>
      <c r="AD1" s="88"/>
      <c r="AE1" s="89"/>
      <c r="AF1" s="90"/>
      <c r="AG1" s="89"/>
      <c r="AH1" s="89"/>
      <c r="AI1" s="89"/>
      <c r="AJ1" s="89"/>
      <c r="AK1" s="89"/>
      <c r="AL1" s="89"/>
      <c r="AM1" s="89"/>
      <c r="AN1" s="89"/>
    </row>
    <row r="2" spans="1:40" s="92" customFormat="1" ht="21" customHeight="1">
      <c r="A2" s="666" t="s">
        <v>338</v>
      </c>
      <c r="B2" s="668" t="s">
        <v>202</v>
      </c>
      <c r="C2" s="670" t="s">
        <v>339</v>
      </c>
      <c r="D2" s="672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73"/>
      <c r="Q2" s="673"/>
      <c r="R2" s="673"/>
      <c r="S2" s="673"/>
      <c r="T2" s="673"/>
      <c r="U2" s="673"/>
      <c r="V2" s="673"/>
      <c r="W2" s="673"/>
      <c r="X2" s="674"/>
      <c r="Y2" s="662" t="s">
        <v>341</v>
      </c>
      <c r="Z2" s="660" t="s">
        <v>342</v>
      </c>
      <c r="AA2" s="661"/>
      <c r="AB2" s="661"/>
      <c r="AC2" s="661"/>
      <c r="AD2" s="661"/>
      <c r="AE2" s="661"/>
      <c r="AF2" s="661"/>
      <c r="AG2" s="661"/>
      <c r="AH2" s="661"/>
      <c r="AI2" s="661"/>
      <c r="AJ2" s="661"/>
      <c r="AK2" s="661"/>
      <c r="AL2" s="661"/>
      <c r="AM2" s="661"/>
      <c r="AN2" s="662" t="s">
        <v>341</v>
      </c>
    </row>
    <row r="3" spans="1:40" s="95" customFormat="1" ht="30.75" customHeight="1">
      <c r="A3" s="667"/>
      <c r="B3" s="669"/>
      <c r="C3" s="671"/>
      <c r="D3" s="651" t="s">
        <v>323</v>
      </c>
      <c r="E3" s="652"/>
      <c r="F3" s="651" t="s">
        <v>324</v>
      </c>
      <c r="G3" s="652"/>
      <c r="H3" s="651" t="s">
        <v>325</v>
      </c>
      <c r="I3" s="652"/>
      <c r="J3" s="651" t="s">
        <v>326</v>
      </c>
      <c r="K3" s="652"/>
      <c r="L3" s="651" t="s">
        <v>236</v>
      </c>
      <c r="M3" s="652"/>
      <c r="N3" s="651" t="s">
        <v>327</v>
      </c>
      <c r="O3" s="652"/>
      <c r="P3" s="94" t="s">
        <v>328</v>
      </c>
      <c r="Q3" s="94" t="s">
        <v>329</v>
      </c>
      <c r="R3" s="94" t="s">
        <v>330</v>
      </c>
      <c r="S3" s="651" t="s">
        <v>331</v>
      </c>
      <c r="T3" s="652"/>
      <c r="U3" s="651" t="s">
        <v>332</v>
      </c>
      <c r="V3" s="652"/>
      <c r="W3" s="651" t="s">
        <v>333</v>
      </c>
      <c r="X3" s="652"/>
      <c r="Y3" s="663"/>
      <c r="Z3" s="145" t="s">
        <v>345</v>
      </c>
      <c r="AA3" s="93" t="s">
        <v>344</v>
      </c>
      <c r="AB3" s="94" t="s">
        <v>323</v>
      </c>
      <c r="AC3" s="94" t="s">
        <v>324</v>
      </c>
      <c r="AD3" s="94" t="s">
        <v>325</v>
      </c>
      <c r="AE3" s="94" t="s">
        <v>326</v>
      </c>
      <c r="AF3" s="94" t="s">
        <v>236</v>
      </c>
      <c r="AG3" s="94" t="s">
        <v>327</v>
      </c>
      <c r="AH3" s="94" t="s">
        <v>328</v>
      </c>
      <c r="AI3" s="94" t="s">
        <v>329</v>
      </c>
      <c r="AJ3" s="94" t="s">
        <v>330</v>
      </c>
      <c r="AK3" s="94" t="s">
        <v>331</v>
      </c>
      <c r="AL3" s="94" t="s">
        <v>332</v>
      </c>
      <c r="AM3" s="94" t="s">
        <v>333</v>
      </c>
      <c r="AN3" s="663"/>
    </row>
    <row r="4" spans="1:40" s="104" customFormat="1" ht="21" customHeight="1">
      <c r="A4" s="146" t="s">
        <v>346</v>
      </c>
      <c r="B4" s="96" t="s">
        <v>15</v>
      </c>
      <c r="C4" s="97" t="s">
        <v>347</v>
      </c>
      <c r="D4" s="98">
        <f>BreakDown!F4</f>
        <v>18666.666666666668</v>
      </c>
      <c r="E4" s="102">
        <f>BreakDown!V4</f>
        <v>0</v>
      </c>
      <c r="F4" s="98">
        <f>BreakDown!G4</f>
        <v>18666.666666666668</v>
      </c>
      <c r="G4" s="102">
        <f>BreakDown!W4</f>
        <v>46040.775999999998</v>
      </c>
      <c r="H4" s="98">
        <f>BreakDown!H4</f>
        <v>18666.666666666668</v>
      </c>
      <c r="I4" s="102">
        <f>BreakDown!X4</f>
        <v>46040.775999999998</v>
      </c>
      <c r="J4" s="98">
        <f>BreakDown!I4</f>
        <v>0</v>
      </c>
      <c r="K4" s="102">
        <f>BreakDown!Y4</f>
        <v>46040.775999999998</v>
      </c>
      <c r="L4" s="98">
        <f>BreakDown!J4</f>
        <v>0</v>
      </c>
      <c r="M4" s="102">
        <f>BreakDown!Z4</f>
        <v>46040.775999999998</v>
      </c>
      <c r="N4" s="98">
        <f>BreakDown!K4</f>
        <v>0</v>
      </c>
      <c r="O4" s="102">
        <f>BreakDown!AA4</f>
        <v>46040.775999999998</v>
      </c>
      <c r="P4" s="98">
        <f>BreakDown!L4</f>
        <v>0</v>
      </c>
      <c r="Q4" s="98">
        <f>BreakDown!M4</f>
        <v>0</v>
      </c>
      <c r="R4" s="98">
        <f>BreakDown!N4</f>
        <v>0</v>
      </c>
      <c r="S4" s="98">
        <f>BreakDown!O4</f>
        <v>0</v>
      </c>
      <c r="T4" s="102">
        <f>BreakDown!AE4</f>
        <v>0</v>
      </c>
      <c r="U4" s="98">
        <f>BreakDown!P4</f>
        <v>0</v>
      </c>
      <c r="V4" s="102">
        <f>BreakDown!AF4</f>
        <v>0</v>
      </c>
      <c r="W4" s="98">
        <f>BreakDown!Q4</f>
        <v>0</v>
      </c>
      <c r="X4" s="102">
        <f>BreakDown!AG4</f>
        <v>0</v>
      </c>
      <c r="Y4" s="147">
        <f>SUM(D4:X4)</f>
        <v>286203.88</v>
      </c>
      <c r="Z4" s="148">
        <v>115101.94</v>
      </c>
      <c r="AA4" s="101">
        <v>5</v>
      </c>
      <c r="AB4" s="100"/>
      <c r="AC4" s="102">
        <v>46040.775999999998</v>
      </c>
      <c r="AD4" s="102">
        <v>46040.775999999998</v>
      </c>
      <c r="AE4" s="102">
        <v>46040.775999999998</v>
      </c>
      <c r="AF4" s="102">
        <v>46040.775999999998</v>
      </c>
      <c r="AG4" s="102">
        <v>46040.775999999998</v>
      </c>
      <c r="AH4" s="100"/>
      <c r="AI4" s="100"/>
      <c r="AJ4" s="100"/>
      <c r="AK4" s="100"/>
      <c r="AL4" s="100"/>
      <c r="AM4" s="100"/>
      <c r="AN4" s="103">
        <v>230203.88</v>
      </c>
    </row>
    <row r="5" spans="1:40" s="104" customFormat="1" ht="21" customHeight="1">
      <c r="A5" s="146" t="s">
        <v>16</v>
      </c>
      <c r="B5" s="96" t="s">
        <v>16</v>
      </c>
      <c r="C5" s="97" t="s">
        <v>347</v>
      </c>
      <c r="D5" s="98">
        <f>BreakDown!F5</f>
        <v>4800</v>
      </c>
      <c r="E5" s="102">
        <f>BreakDown!V5</f>
        <v>13322.632000000001</v>
      </c>
      <c r="F5" s="98">
        <f>BreakDown!G5</f>
        <v>4800</v>
      </c>
      <c r="G5" s="102">
        <f>BreakDown!W5</f>
        <v>13322.632000000001</v>
      </c>
      <c r="H5" s="98">
        <f>BreakDown!H5</f>
        <v>4800</v>
      </c>
      <c r="I5" s="102">
        <f>BreakDown!X5</f>
        <v>13322.632000000001</v>
      </c>
      <c r="J5" s="98">
        <f>BreakDown!I5</f>
        <v>0</v>
      </c>
      <c r="K5" s="102">
        <f>BreakDown!Y5</f>
        <v>13322.632000000001</v>
      </c>
      <c r="L5" s="98">
        <f>BreakDown!J5</f>
        <v>0</v>
      </c>
      <c r="M5" s="102">
        <f>BreakDown!Z5</f>
        <v>13322.632000000001</v>
      </c>
      <c r="N5" s="98">
        <f>BreakDown!K5</f>
        <v>0</v>
      </c>
      <c r="O5" s="102">
        <f>BreakDown!AA5</f>
        <v>13322.632000000001</v>
      </c>
      <c r="P5" s="98">
        <f>BreakDown!L5</f>
        <v>0</v>
      </c>
      <c r="Q5" s="98">
        <f>BreakDown!M5</f>
        <v>0</v>
      </c>
      <c r="R5" s="98">
        <f>BreakDown!N5</f>
        <v>0</v>
      </c>
      <c r="S5" s="98">
        <f>BreakDown!O5</f>
        <v>0</v>
      </c>
      <c r="T5" s="102">
        <f>BreakDown!AE5</f>
        <v>0</v>
      </c>
      <c r="U5" s="98">
        <f>BreakDown!P5</f>
        <v>0</v>
      </c>
      <c r="V5" s="102">
        <f>BreakDown!AF5</f>
        <v>0</v>
      </c>
      <c r="W5" s="98">
        <f>BreakDown!Q5</f>
        <v>0</v>
      </c>
      <c r="X5" s="102">
        <f>BreakDown!AG5</f>
        <v>0</v>
      </c>
      <c r="Y5" s="147">
        <f t="shared" ref="Y5:Y29" si="0">SUM(D5:X5)</f>
        <v>94335.792000000001</v>
      </c>
      <c r="Z5" s="148">
        <v>33306.58</v>
      </c>
      <c r="AA5" s="101">
        <v>5</v>
      </c>
      <c r="AB5" s="105"/>
      <c r="AC5" s="102">
        <v>13322.632000000001</v>
      </c>
      <c r="AD5" s="102">
        <v>13322.632000000001</v>
      </c>
      <c r="AE5" s="102">
        <v>13322.632000000001</v>
      </c>
      <c r="AF5" s="102">
        <v>13322.632000000001</v>
      </c>
      <c r="AG5" s="102">
        <v>13322.632000000001</v>
      </c>
      <c r="AH5" s="106"/>
      <c r="AI5" s="106"/>
      <c r="AJ5" s="106"/>
      <c r="AK5" s="106"/>
      <c r="AL5" s="106"/>
      <c r="AM5" s="106"/>
      <c r="AN5" s="103">
        <v>66613.16</v>
      </c>
    </row>
    <row r="6" spans="1:40" s="104" customFormat="1" ht="21" customHeight="1">
      <c r="A6" s="146" t="s">
        <v>24</v>
      </c>
      <c r="B6" s="96" t="s">
        <v>24</v>
      </c>
      <c r="C6" s="97" t="s">
        <v>348</v>
      </c>
      <c r="D6" s="98">
        <f>BreakDown!F6</f>
        <v>21305.600000000002</v>
      </c>
      <c r="E6" s="102">
        <f>BreakDown!V6</f>
        <v>194530.86666666667</v>
      </c>
      <c r="F6" s="98">
        <f>BreakDown!G6</f>
        <v>21305.600000000002</v>
      </c>
      <c r="G6" s="102">
        <f>BreakDown!W6</f>
        <v>194530.86666666667</v>
      </c>
      <c r="H6" s="98">
        <f>BreakDown!H6</f>
        <v>21305.600000000002</v>
      </c>
      <c r="I6" s="102">
        <f>BreakDown!X6</f>
        <v>0</v>
      </c>
      <c r="J6" s="98">
        <f>BreakDown!I6</f>
        <v>0</v>
      </c>
      <c r="K6" s="102">
        <f>BreakDown!Y6</f>
        <v>0</v>
      </c>
      <c r="L6" s="98">
        <f>BreakDown!J6</f>
        <v>0</v>
      </c>
      <c r="M6" s="102">
        <f>BreakDown!Z6</f>
        <v>0</v>
      </c>
      <c r="N6" s="98">
        <f>BreakDown!K6</f>
        <v>0</v>
      </c>
      <c r="O6" s="102">
        <f>BreakDown!AA6</f>
        <v>0</v>
      </c>
      <c r="P6" s="98">
        <f>BreakDown!L6</f>
        <v>0</v>
      </c>
      <c r="Q6" s="98">
        <f>BreakDown!M6</f>
        <v>0</v>
      </c>
      <c r="R6" s="98">
        <f>BreakDown!N6</f>
        <v>0</v>
      </c>
      <c r="S6" s="98">
        <f>BreakDown!O6</f>
        <v>0</v>
      </c>
      <c r="T6" s="102">
        <f>BreakDown!AE6</f>
        <v>0</v>
      </c>
      <c r="U6" s="98">
        <f>BreakDown!P6</f>
        <v>21305.600000000002</v>
      </c>
      <c r="V6" s="102">
        <f>BreakDown!AF6</f>
        <v>0</v>
      </c>
      <c r="W6" s="98">
        <f>BreakDown!Q6</f>
        <v>21305.600000000002</v>
      </c>
      <c r="X6" s="102">
        <f>BreakDown!AG6</f>
        <v>194530.86666666667</v>
      </c>
      <c r="Y6" s="147">
        <f t="shared" si="0"/>
        <v>690120.6</v>
      </c>
      <c r="Z6" s="148">
        <v>291796.3</v>
      </c>
      <c r="AA6" s="101">
        <v>3</v>
      </c>
      <c r="AB6" s="102">
        <v>194530.86666666667</v>
      </c>
      <c r="AC6" s="102">
        <v>194530.86666666667</v>
      </c>
      <c r="AD6" s="106"/>
      <c r="AE6" s="106"/>
      <c r="AF6" s="107"/>
      <c r="AG6" s="106"/>
      <c r="AH6" s="106"/>
      <c r="AI6" s="106"/>
      <c r="AJ6" s="106"/>
      <c r="AK6" s="106"/>
      <c r="AL6" s="106"/>
      <c r="AM6" s="102">
        <v>194530.86666666667</v>
      </c>
      <c r="AN6" s="103">
        <v>583592.6</v>
      </c>
    </row>
    <row r="7" spans="1:40" s="104" customFormat="1" ht="21" customHeight="1">
      <c r="A7" s="146" t="s">
        <v>23</v>
      </c>
      <c r="B7" s="96" t="s">
        <v>23</v>
      </c>
      <c r="C7" s="97" t="s">
        <v>348</v>
      </c>
      <c r="D7" s="98">
        <f>BreakDown!F7</f>
        <v>9184</v>
      </c>
      <c r="E7" s="102">
        <f>BreakDown!V7</f>
        <v>40387.106666666667</v>
      </c>
      <c r="F7" s="98">
        <f>BreakDown!G7</f>
        <v>9184</v>
      </c>
      <c r="G7" s="102">
        <f>BreakDown!W7</f>
        <v>40387.106666666667</v>
      </c>
      <c r="H7" s="98">
        <f>BreakDown!H7</f>
        <v>9184</v>
      </c>
      <c r="I7" s="102">
        <f>BreakDown!X7</f>
        <v>0</v>
      </c>
      <c r="J7" s="98">
        <f>BreakDown!I7</f>
        <v>0</v>
      </c>
      <c r="K7" s="102">
        <f>BreakDown!Y7</f>
        <v>0</v>
      </c>
      <c r="L7" s="98">
        <f>BreakDown!J7</f>
        <v>0</v>
      </c>
      <c r="M7" s="102">
        <f>BreakDown!Z7</f>
        <v>0</v>
      </c>
      <c r="N7" s="98">
        <f>BreakDown!K7</f>
        <v>0</v>
      </c>
      <c r="O7" s="102">
        <f>BreakDown!AA7</f>
        <v>0</v>
      </c>
      <c r="P7" s="98">
        <f>BreakDown!L7</f>
        <v>0</v>
      </c>
      <c r="Q7" s="98">
        <f>BreakDown!M7</f>
        <v>0</v>
      </c>
      <c r="R7" s="98">
        <f>BreakDown!N7</f>
        <v>0</v>
      </c>
      <c r="S7" s="98">
        <f>BreakDown!O7</f>
        <v>0</v>
      </c>
      <c r="T7" s="102">
        <f>BreakDown!AE7</f>
        <v>0</v>
      </c>
      <c r="U7" s="98">
        <f>BreakDown!P7</f>
        <v>9184</v>
      </c>
      <c r="V7" s="102">
        <f>BreakDown!AF7</f>
        <v>0</v>
      </c>
      <c r="W7" s="98">
        <f>BreakDown!Q7</f>
        <v>9184</v>
      </c>
      <c r="X7" s="102">
        <f>BreakDown!AG7</f>
        <v>40387.106666666667</v>
      </c>
      <c r="Y7" s="147">
        <f t="shared" si="0"/>
        <v>167081.32</v>
      </c>
      <c r="Z7" s="148">
        <v>60580.66</v>
      </c>
      <c r="AA7" s="101">
        <v>3</v>
      </c>
      <c r="AB7" s="102">
        <v>40387.106666666667</v>
      </c>
      <c r="AC7" s="102">
        <v>40387.106666666667</v>
      </c>
      <c r="AD7" s="106"/>
      <c r="AE7" s="106"/>
      <c r="AF7" s="107"/>
      <c r="AG7" s="106"/>
      <c r="AH7" s="106"/>
      <c r="AI7" s="106"/>
      <c r="AJ7" s="106"/>
      <c r="AK7" s="106"/>
      <c r="AL7" s="106"/>
      <c r="AM7" s="102">
        <v>40387.106666666667</v>
      </c>
      <c r="AN7" s="103">
        <v>121161.32</v>
      </c>
    </row>
    <row r="8" spans="1:40" s="104" customFormat="1" ht="21" customHeight="1">
      <c r="A8" s="146" t="s">
        <v>349</v>
      </c>
      <c r="B8" s="96" t="s">
        <v>64</v>
      </c>
      <c r="C8" s="97" t="s">
        <v>350</v>
      </c>
      <c r="D8" s="98">
        <f>BreakDown!F8</f>
        <v>24000</v>
      </c>
      <c r="E8" s="102">
        <f>BreakDown!V8</f>
        <v>228475.31</v>
      </c>
      <c r="F8" s="98">
        <f>BreakDown!G8</f>
        <v>24000</v>
      </c>
      <c r="G8" s="102">
        <f>BreakDown!W8</f>
        <v>228475.31</v>
      </c>
      <c r="H8" s="98">
        <f>BreakDown!H8</f>
        <v>24000</v>
      </c>
      <c r="I8" s="102">
        <f>BreakDown!X8</f>
        <v>228475.31</v>
      </c>
      <c r="J8" s="98">
        <f>BreakDown!I8</f>
        <v>24000</v>
      </c>
      <c r="K8" s="102">
        <f>BreakDown!Y8</f>
        <v>228475.31</v>
      </c>
      <c r="L8" s="98">
        <f>BreakDown!J8</f>
        <v>24000</v>
      </c>
      <c r="M8" s="102">
        <f>BreakDown!Z8</f>
        <v>0</v>
      </c>
      <c r="N8" s="98">
        <f>BreakDown!K8</f>
        <v>0</v>
      </c>
      <c r="O8" s="102">
        <f>BreakDown!AA8</f>
        <v>0</v>
      </c>
      <c r="P8" s="98">
        <f>BreakDown!L8</f>
        <v>0</v>
      </c>
      <c r="Q8" s="98">
        <f>BreakDown!M8</f>
        <v>0</v>
      </c>
      <c r="R8" s="98">
        <f>BreakDown!N8</f>
        <v>0</v>
      </c>
      <c r="S8" s="98">
        <f>BreakDown!O8</f>
        <v>0</v>
      </c>
      <c r="T8" s="102">
        <f>BreakDown!AE8</f>
        <v>0</v>
      </c>
      <c r="U8" s="98">
        <f>BreakDown!P8</f>
        <v>24000</v>
      </c>
      <c r="V8" s="102">
        <f>BreakDown!AF8</f>
        <v>0</v>
      </c>
      <c r="W8" s="98">
        <f>BreakDown!Q8</f>
        <v>24000</v>
      </c>
      <c r="X8" s="102">
        <f>BreakDown!AG8</f>
        <v>0</v>
      </c>
      <c r="Y8" s="147">
        <f t="shared" si="0"/>
        <v>1081901.24</v>
      </c>
      <c r="Z8" s="148">
        <v>456950.62</v>
      </c>
      <c r="AA8" s="101">
        <v>4</v>
      </c>
      <c r="AB8" s="102">
        <v>228475.31</v>
      </c>
      <c r="AC8" s="102">
        <v>228475.31</v>
      </c>
      <c r="AD8" s="102">
        <v>228475.31</v>
      </c>
      <c r="AE8" s="102">
        <v>228475.31</v>
      </c>
      <c r="AF8" s="99"/>
      <c r="AG8" s="100"/>
      <c r="AH8" s="100"/>
      <c r="AI8" s="100"/>
      <c r="AJ8" s="100"/>
      <c r="AK8" s="100"/>
      <c r="AL8" s="100"/>
      <c r="AM8" s="100"/>
      <c r="AN8" s="103">
        <v>913901.24</v>
      </c>
    </row>
    <row r="9" spans="1:40" s="104" customFormat="1" ht="21" customHeight="1">
      <c r="A9" s="146" t="s">
        <v>351</v>
      </c>
      <c r="B9" s="96" t="s">
        <v>64</v>
      </c>
      <c r="C9" s="97" t="s">
        <v>350</v>
      </c>
      <c r="D9" s="98">
        <f>BreakDown!F9</f>
        <v>32246.03428571429</v>
      </c>
      <c r="E9" s="102">
        <f>BreakDown!V9</f>
        <v>198450.72333333336</v>
      </c>
      <c r="F9" s="98">
        <f>BreakDown!G9</f>
        <v>32246.03428571429</v>
      </c>
      <c r="G9" s="102">
        <f>BreakDown!W9</f>
        <v>198450.72333333336</v>
      </c>
      <c r="H9" s="98">
        <f>BreakDown!H9</f>
        <v>32246.03428571429</v>
      </c>
      <c r="I9" s="102">
        <f>BreakDown!X9</f>
        <v>198450.72333333336</v>
      </c>
      <c r="J9" s="98">
        <f>BreakDown!I9</f>
        <v>32246.03428571429</v>
      </c>
      <c r="K9" s="102">
        <f>BreakDown!Y9</f>
        <v>198450.72333333336</v>
      </c>
      <c r="L9" s="98">
        <f>BreakDown!J9</f>
        <v>32246.03428571429</v>
      </c>
      <c r="M9" s="102">
        <f>BreakDown!Z9</f>
        <v>0</v>
      </c>
      <c r="N9" s="98">
        <f>BreakDown!K9</f>
        <v>0</v>
      </c>
      <c r="O9" s="102">
        <f>BreakDown!AA9</f>
        <v>0</v>
      </c>
      <c r="P9" s="98">
        <f>BreakDown!L9</f>
        <v>0</v>
      </c>
      <c r="Q9" s="98">
        <f>BreakDown!M9</f>
        <v>0</v>
      </c>
      <c r="R9" s="98">
        <f>BreakDown!N9</f>
        <v>0</v>
      </c>
      <c r="S9" s="98">
        <f>BreakDown!O9</f>
        <v>0</v>
      </c>
      <c r="T9" s="102">
        <f>BreakDown!AE9</f>
        <v>0</v>
      </c>
      <c r="U9" s="98">
        <f>BreakDown!P9</f>
        <v>32246.03428571429</v>
      </c>
      <c r="V9" s="102">
        <f>BreakDown!AF9</f>
        <v>198450.72333333336</v>
      </c>
      <c r="W9" s="98">
        <f>BreakDown!Q9</f>
        <v>32246.03428571429</v>
      </c>
      <c r="X9" s="102">
        <f>BreakDown!AG9</f>
        <v>198450.72333333336</v>
      </c>
      <c r="Y9" s="147">
        <f t="shared" si="0"/>
        <v>1416426.5800000003</v>
      </c>
      <c r="Z9" s="148">
        <v>595352.17000000004</v>
      </c>
      <c r="AA9" s="101">
        <v>6</v>
      </c>
      <c r="AB9" s="102">
        <v>198450.72333333336</v>
      </c>
      <c r="AC9" s="102">
        <v>198450.72333333336</v>
      </c>
      <c r="AD9" s="102">
        <v>198450.72333333336</v>
      </c>
      <c r="AE9" s="102">
        <v>198450.72333333336</v>
      </c>
      <c r="AF9" s="99"/>
      <c r="AG9" s="100"/>
      <c r="AH9" s="100"/>
      <c r="AI9" s="100"/>
      <c r="AJ9" s="100"/>
      <c r="AK9" s="100"/>
      <c r="AL9" s="102">
        <v>198450.72333333336</v>
      </c>
      <c r="AM9" s="102">
        <v>198450.72333333336</v>
      </c>
      <c r="AN9" s="103">
        <v>1190704.3400000001</v>
      </c>
    </row>
    <row r="10" spans="1:40" s="104" customFormat="1" ht="21" customHeight="1">
      <c r="A10" s="146" t="s">
        <v>352</v>
      </c>
      <c r="B10" s="108" t="s">
        <v>34</v>
      </c>
      <c r="C10" s="97" t="s">
        <v>353</v>
      </c>
      <c r="D10" s="98">
        <f>BreakDown!F10</f>
        <v>16133.333333333334</v>
      </c>
      <c r="E10" s="102">
        <f>BreakDown!V10</f>
        <v>41868.096000000005</v>
      </c>
      <c r="F10" s="98">
        <f>BreakDown!G10</f>
        <v>16133.333333333334</v>
      </c>
      <c r="G10" s="102">
        <f>BreakDown!W10</f>
        <v>41868.096000000005</v>
      </c>
      <c r="H10" s="98">
        <f>BreakDown!H10</f>
        <v>16133.333333333334</v>
      </c>
      <c r="I10" s="102">
        <f>BreakDown!X10</f>
        <v>41868.096000000005</v>
      </c>
      <c r="J10" s="98">
        <f>BreakDown!I10</f>
        <v>0</v>
      </c>
      <c r="K10" s="102">
        <f>BreakDown!Y10</f>
        <v>41868.096000000005</v>
      </c>
      <c r="L10" s="98">
        <f>BreakDown!J10</f>
        <v>0</v>
      </c>
      <c r="M10" s="102">
        <f>BreakDown!Z10</f>
        <v>41868.096000000005</v>
      </c>
      <c r="N10" s="98">
        <f>BreakDown!K10</f>
        <v>0</v>
      </c>
      <c r="O10" s="102">
        <f>BreakDown!AA10</f>
        <v>0</v>
      </c>
      <c r="P10" s="98">
        <f>BreakDown!L10</f>
        <v>0</v>
      </c>
      <c r="Q10" s="98">
        <f>BreakDown!M10</f>
        <v>0</v>
      </c>
      <c r="R10" s="98">
        <f>BreakDown!N10</f>
        <v>0</v>
      </c>
      <c r="S10" s="98">
        <f>BreakDown!O10</f>
        <v>0</v>
      </c>
      <c r="T10" s="102">
        <f>BreakDown!AE10</f>
        <v>0</v>
      </c>
      <c r="U10" s="98">
        <f>BreakDown!P10</f>
        <v>0</v>
      </c>
      <c r="V10" s="102">
        <f>BreakDown!AF10</f>
        <v>0</v>
      </c>
      <c r="W10" s="98">
        <f>BreakDown!Q10</f>
        <v>0</v>
      </c>
      <c r="X10" s="102">
        <f>BreakDown!AG10</f>
        <v>0</v>
      </c>
      <c r="Y10" s="147">
        <f t="shared" si="0"/>
        <v>257740.48000000004</v>
      </c>
      <c r="Z10" s="148">
        <v>104670.24</v>
      </c>
      <c r="AA10" s="101">
        <v>5</v>
      </c>
      <c r="AB10" s="102">
        <v>41868.096000000005</v>
      </c>
      <c r="AC10" s="102">
        <v>41868.096000000005</v>
      </c>
      <c r="AD10" s="102">
        <v>41868.096000000005</v>
      </c>
      <c r="AE10" s="102">
        <v>41868.096000000005</v>
      </c>
      <c r="AF10" s="102">
        <v>41868.096000000005</v>
      </c>
      <c r="AG10" s="100"/>
      <c r="AH10" s="100"/>
      <c r="AI10" s="100"/>
      <c r="AJ10" s="100"/>
      <c r="AK10" s="100"/>
      <c r="AL10" s="100"/>
      <c r="AM10" s="100"/>
      <c r="AN10" s="103">
        <v>209340.48000000004</v>
      </c>
    </row>
    <row r="11" spans="1:40" s="104" customFormat="1" ht="21" customHeight="1">
      <c r="A11" s="149" t="s">
        <v>354</v>
      </c>
      <c r="B11" s="108" t="s">
        <v>43</v>
      </c>
      <c r="C11" s="97" t="s">
        <v>782</v>
      </c>
      <c r="D11" s="98">
        <f>BreakDown!F11</f>
        <v>37136.58</v>
      </c>
      <c r="E11" s="102">
        <f>BreakDown!V11</f>
        <v>334229.22000000003</v>
      </c>
      <c r="F11" s="98">
        <f>BreakDown!G11</f>
        <v>37136.58</v>
      </c>
      <c r="G11" s="102">
        <f>BreakDown!W11</f>
        <v>334229.22000000003</v>
      </c>
      <c r="H11" s="98">
        <f>BreakDown!H11</f>
        <v>37136.58</v>
      </c>
      <c r="I11" s="102">
        <f>BreakDown!X11</f>
        <v>334229.22000000003</v>
      </c>
      <c r="J11" s="98">
        <f>BreakDown!I11</f>
        <v>37136.58</v>
      </c>
      <c r="K11" s="102">
        <f>BreakDown!Y11</f>
        <v>334229.22000000003</v>
      </c>
      <c r="L11" s="98">
        <f>BreakDown!J11</f>
        <v>37136.58</v>
      </c>
      <c r="M11" s="102">
        <f>BreakDown!Z11</f>
        <v>0</v>
      </c>
      <c r="N11" s="98">
        <f>BreakDown!K11</f>
        <v>0</v>
      </c>
      <c r="O11" s="102">
        <f>BreakDown!AA11</f>
        <v>0</v>
      </c>
      <c r="P11" s="98">
        <f>BreakDown!L11</f>
        <v>0</v>
      </c>
      <c r="Q11" s="98">
        <f>BreakDown!M11</f>
        <v>0</v>
      </c>
      <c r="R11" s="98">
        <f>BreakDown!N11</f>
        <v>0</v>
      </c>
      <c r="S11" s="98">
        <f>BreakDown!O11</f>
        <v>37136.58</v>
      </c>
      <c r="T11" s="102">
        <f>BreakDown!AE11</f>
        <v>334229.22000000003</v>
      </c>
      <c r="U11" s="98">
        <f>BreakDown!P11</f>
        <v>37136.58</v>
      </c>
      <c r="V11" s="102">
        <f>BreakDown!AF11</f>
        <v>334229.22000000003</v>
      </c>
      <c r="W11" s="98">
        <f>BreakDown!Q11</f>
        <v>37136.58</v>
      </c>
      <c r="X11" s="102">
        <f>BreakDown!AG11</f>
        <v>334229.22000000003</v>
      </c>
      <c r="Y11" s="147">
        <f t="shared" si="0"/>
        <v>2636697.1800000006</v>
      </c>
      <c r="Z11" s="148">
        <v>1169802.27</v>
      </c>
      <c r="AA11" s="101">
        <v>7</v>
      </c>
      <c r="AB11" s="102">
        <v>334229.22000000003</v>
      </c>
      <c r="AC11" s="102">
        <v>334229.22000000003</v>
      </c>
      <c r="AD11" s="102">
        <v>334229.22000000003</v>
      </c>
      <c r="AE11" s="102">
        <v>334229.22000000003</v>
      </c>
      <c r="AF11" s="99"/>
      <c r="AG11" s="100"/>
      <c r="AH11" s="100"/>
      <c r="AI11" s="100"/>
      <c r="AJ11" s="100"/>
      <c r="AK11" s="102">
        <v>334229.22000000003</v>
      </c>
      <c r="AL11" s="102">
        <v>334229.22000000003</v>
      </c>
      <c r="AM11" s="102">
        <v>334229.22000000003</v>
      </c>
      <c r="AN11" s="103">
        <v>2339604.54</v>
      </c>
    </row>
    <row r="12" spans="1:40" ht="21" customHeight="1">
      <c r="A12" s="150" t="s">
        <v>356</v>
      </c>
      <c r="B12" s="109" t="s">
        <v>43</v>
      </c>
      <c r="C12" s="97" t="s">
        <v>782</v>
      </c>
      <c r="D12" s="98">
        <f>BreakDown!F12</f>
        <v>23930.74</v>
      </c>
      <c r="E12" s="102">
        <f>BreakDown!V12</f>
        <v>205778.56285714285</v>
      </c>
      <c r="F12" s="98">
        <f>BreakDown!G12</f>
        <v>23930.74</v>
      </c>
      <c r="G12" s="102">
        <f>BreakDown!W12</f>
        <v>205778.56285714285</v>
      </c>
      <c r="H12" s="98">
        <f>BreakDown!H12</f>
        <v>23930.74</v>
      </c>
      <c r="I12" s="102">
        <f>BreakDown!X12</f>
        <v>205778.56285714285</v>
      </c>
      <c r="J12" s="98">
        <f>BreakDown!I12</f>
        <v>23930.74</v>
      </c>
      <c r="K12" s="102">
        <f>BreakDown!Y12</f>
        <v>205778.56285714285</v>
      </c>
      <c r="L12" s="98">
        <f>BreakDown!J12</f>
        <v>23930.74</v>
      </c>
      <c r="M12" s="102">
        <f>BreakDown!Z12</f>
        <v>0</v>
      </c>
      <c r="N12" s="98">
        <f>BreakDown!K12</f>
        <v>0</v>
      </c>
      <c r="O12" s="102">
        <f>BreakDown!AA12</f>
        <v>0</v>
      </c>
      <c r="P12" s="98">
        <f>BreakDown!L12</f>
        <v>0</v>
      </c>
      <c r="Q12" s="98">
        <f>BreakDown!M12</f>
        <v>0</v>
      </c>
      <c r="R12" s="98">
        <f>BreakDown!N12</f>
        <v>0</v>
      </c>
      <c r="S12" s="98">
        <f>BreakDown!O12</f>
        <v>23930.74</v>
      </c>
      <c r="T12" s="102">
        <f>BreakDown!AE12</f>
        <v>205778.56285714285</v>
      </c>
      <c r="U12" s="98">
        <f>BreakDown!P12</f>
        <v>23930.74</v>
      </c>
      <c r="V12" s="102">
        <f>BreakDown!AF12</f>
        <v>205778.56285714285</v>
      </c>
      <c r="W12" s="98">
        <f>BreakDown!Q12</f>
        <v>23930.74</v>
      </c>
      <c r="X12" s="102">
        <f>BreakDown!AG12</f>
        <v>205778.56285714285</v>
      </c>
      <c r="Y12" s="147">
        <f t="shared" si="0"/>
        <v>1631895.8599999999</v>
      </c>
      <c r="Z12" s="148">
        <v>720224.97</v>
      </c>
      <c r="AA12" s="101">
        <v>7</v>
      </c>
      <c r="AB12" s="102">
        <v>205778.56285714285</v>
      </c>
      <c r="AC12" s="102">
        <v>205778.56285714285</v>
      </c>
      <c r="AD12" s="102">
        <v>205778.56285714285</v>
      </c>
      <c r="AE12" s="102">
        <v>205778.56285714285</v>
      </c>
      <c r="AF12" s="111"/>
      <c r="AG12" s="112"/>
      <c r="AH12" s="112"/>
      <c r="AI12" s="112"/>
      <c r="AJ12" s="112"/>
      <c r="AK12" s="102">
        <v>205778.56285714285</v>
      </c>
      <c r="AL12" s="102">
        <v>205778.56285714285</v>
      </c>
      <c r="AM12" s="102">
        <v>205778.56285714285</v>
      </c>
      <c r="AN12" s="103">
        <v>1440449.94</v>
      </c>
    </row>
    <row r="13" spans="1:40" ht="21" customHeight="1">
      <c r="A13" s="151" t="s">
        <v>357</v>
      </c>
      <c r="B13" s="99" t="s">
        <v>43</v>
      </c>
      <c r="C13" s="97" t="s">
        <v>782</v>
      </c>
      <c r="D13" s="98">
        <f>BreakDown!F13</f>
        <v>40780</v>
      </c>
      <c r="E13" s="102">
        <f>BreakDown!V13</f>
        <v>355368.57142857142</v>
      </c>
      <c r="F13" s="98">
        <f>BreakDown!G13</f>
        <v>40780</v>
      </c>
      <c r="G13" s="102">
        <f>BreakDown!W13</f>
        <v>355368.57142857142</v>
      </c>
      <c r="H13" s="98">
        <f>BreakDown!H13</f>
        <v>40780</v>
      </c>
      <c r="I13" s="102">
        <f>BreakDown!X13</f>
        <v>355368.57142857142</v>
      </c>
      <c r="J13" s="98">
        <f>BreakDown!I13</f>
        <v>40780</v>
      </c>
      <c r="K13" s="102">
        <f>BreakDown!Y13</f>
        <v>355368.57142857142</v>
      </c>
      <c r="L13" s="98">
        <f>BreakDown!J13</f>
        <v>40780</v>
      </c>
      <c r="M13" s="102">
        <f>BreakDown!Z13</f>
        <v>0</v>
      </c>
      <c r="N13" s="98">
        <f>BreakDown!K13</f>
        <v>0</v>
      </c>
      <c r="O13" s="102">
        <f>BreakDown!AA13</f>
        <v>0</v>
      </c>
      <c r="P13" s="98">
        <f>BreakDown!L13</f>
        <v>0</v>
      </c>
      <c r="Q13" s="98">
        <f>BreakDown!M13</f>
        <v>0</v>
      </c>
      <c r="R13" s="98">
        <f>BreakDown!N13</f>
        <v>0</v>
      </c>
      <c r="S13" s="98">
        <f>BreakDown!O13</f>
        <v>40780</v>
      </c>
      <c r="T13" s="102">
        <f>BreakDown!AE13</f>
        <v>355368.57142857142</v>
      </c>
      <c r="U13" s="98">
        <f>BreakDown!P13</f>
        <v>40780</v>
      </c>
      <c r="V13" s="102">
        <f>BreakDown!AF13</f>
        <v>355368.57142857142</v>
      </c>
      <c r="W13" s="98">
        <f>BreakDown!Q13</f>
        <v>40780</v>
      </c>
      <c r="X13" s="102">
        <f>BreakDown!AG13</f>
        <v>355368.57142857142</v>
      </c>
      <c r="Y13" s="147">
        <f t="shared" si="0"/>
        <v>2813820</v>
      </c>
      <c r="Z13" s="148">
        <v>1243790</v>
      </c>
      <c r="AA13" s="101">
        <v>7</v>
      </c>
      <c r="AB13" s="102">
        <v>355368.57142857142</v>
      </c>
      <c r="AC13" s="102">
        <v>355368.57142857142</v>
      </c>
      <c r="AD13" s="102">
        <v>355368.57142857142</v>
      </c>
      <c r="AE13" s="102">
        <v>355368.57142857142</v>
      </c>
      <c r="AF13" s="111"/>
      <c r="AG13" s="112"/>
      <c r="AH13" s="112"/>
      <c r="AI13" s="112"/>
      <c r="AJ13" s="112"/>
      <c r="AK13" s="102">
        <v>355368.57142857142</v>
      </c>
      <c r="AL13" s="102">
        <v>355368.57142857142</v>
      </c>
      <c r="AM13" s="102">
        <v>355368.57142857142</v>
      </c>
      <c r="AN13" s="103">
        <v>2487580</v>
      </c>
    </row>
    <row r="14" spans="1:40" ht="21" customHeight="1">
      <c r="A14" s="149" t="s">
        <v>358</v>
      </c>
      <c r="B14" s="99" t="s">
        <v>43</v>
      </c>
      <c r="C14" s="97" t="s">
        <v>782</v>
      </c>
      <c r="D14" s="98">
        <f>BreakDown!F14</f>
        <v>26170</v>
      </c>
      <c r="E14" s="102">
        <f>BreakDown!V14</f>
        <v>251718.01428571431</v>
      </c>
      <c r="F14" s="98">
        <f>BreakDown!G14</f>
        <v>26170</v>
      </c>
      <c r="G14" s="102">
        <f>BreakDown!W14</f>
        <v>251718.01428571431</v>
      </c>
      <c r="H14" s="98">
        <f>BreakDown!H14</f>
        <v>26170</v>
      </c>
      <c r="I14" s="102">
        <f>BreakDown!X14</f>
        <v>251718.01428571431</v>
      </c>
      <c r="J14" s="98">
        <f>BreakDown!I14</f>
        <v>26170</v>
      </c>
      <c r="K14" s="102">
        <f>BreakDown!Y14</f>
        <v>251718.01428571431</v>
      </c>
      <c r="L14" s="98">
        <f>BreakDown!J14</f>
        <v>26170</v>
      </c>
      <c r="M14" s="102">
        <f>BreakDown!Z14</f>
        <v>0</v>
      </c>
      <c r="N14" s="98">
        <f>BreakDown!K14</f>
        <v>0</v>
      </c>
      <c r="O14" s="102">
        <f>BreakDown!AA14</f>
        <v>0</v>
      </c>
      <c r="P14" s="98">
        <f>BreakDown!L14</f>
        <v>0</v>
      </c>
      <c r="Q14" s="98">
        <f>BreakDown!M14</f>
        <v>0</v>
      </c>
      <c r="R14" s="98">
        <f>BreakDown!N14</f>
        <v>0</v>
      </c>
      <c r="S14" s="98">
        <f>BreakDown!O14</f>
        <v>26170</v>
      </c>
      <c r="T14" s="102">
        <f>BreakDown!AE14</f>
        <v>251718.01428571431</v>
      </c>
      <c r="U14" s="98">
        <f>BreakDown!P14</f>
        <v>26170</v>
      </c>
      <c r="V14" s="102">
        <f>BreakDown!AF14</f>
        <v>251718.01428571431</v>
      </c>
      <c r="W14" s="98">
        <f>BreakDown!Q14</f>
        <v>26170</v>
      </c>
      <c r="X14" s="102">
        <f>BreakDown!AG14</f>
        <v>251718.01428571431</v>
      </c>
      <c r="Y14" s="147">
        <f t="shared" si="0"/>
        <v>1971386.1000000003</v>
      </c>
      <c r="Z14" s="148">
        <v>881013.05</v>
      </c>
      <c r="AA14" s="101">
        <v>7</v>
      </c>
      <c r="AB14" s="102">
        <v>251718.01428571431</v>
      </c>
      <c r="AC14" s="102">
        <v>251718.01428571431</v>
      </c>
      <c r="AD14" s="102">
        <v>251718.01428571431</v>
      </c>
      <c r="AE14" s="102">
        <v>251718.01428571431</v>
      </c>
      <c r="AF14" s="111"/>
      <c r="AG14" s="112"/>
      <c r="AH14" s="112"/>
      <c r="AI14" s="112"/>
      <c r="AJ14" s="112"/>
      <c r="AK14" s="102">
        <v>251718.01428571431</v>
      </c>
      <c r="AL14" s="102">
        <v>251718.01428571431</v>
      </c>
      <c r="AM14" s="102">
        <v>251718.01428571431</v>
      </c>
      <c r="AN14" s="103">
        <v>1762026.1000000003</v>
      </c>
    </row>
    <row r="15" spans="1:40" ht="21" customHeight="1">
      <c r="A15" s="152" t="s">
        <v>359</v>
      </c>
      <c r="B15" s="113" t="s">
        <v>43</v>
      </c>
      <c r="C15" s="97" t="s">
        <v>782</v>
      </c>
      <c r="D15" s="98">
        <f>BreakDown!F15</f>
        <v>59474.000000000007</v>
      </c>
      <c r="E15" s="102">
        <f>BreakDown!V15</f>
        <v>577747.42857142852</v>
      </c>
      <c r="F15" s="98">
        <f>BreakDown!G15</f>
        <v>59474.000000000007</v>
      </c>
      <c r="G15" s="102">
        <f>BreakDown!W15</f>
        <v>577747.42857142852</v>
      </c>
      <c r="H15" s="98">
        <f>BreakDown!H15</f>
        <v>59474.000000000007</v>
      </c>
      <c r="I15" s="102">
        <f>BreakDown!X15</f>
        <v>577747.42857142852</v>
      </c>
      <c r="J15" s="98">
        <f>BreakDown!I15</f>
        <v>59474.000000000007</v>
      </c>
      <c r="K15" s="102">
        <f>BreakDown!Y15</f>
        <v>577747.42857142852</v>
      </c>
      <c r="L15" s="98">
        <f>BreakDown!J15</f>
        <v>59474.000000000007</v>
      </c>
      <c r="M15" s="102">
        <f>BreakDown!Z15</f>
        <v>0</v>
      </c>
      <c r="N15" s="98">
        <f>BreakDown!K15</f>
        <v>0</v>
      </c>
      <c r="O15" s="102">
        <f>BreakDown!AA15</f>
        <v>0</v>
      </c>
      <c r="P15" s="98">
        <f>BreakDown!L15</f>
        <v>0</v>
      </c>
      <c r="Q15" s="98">
        <f>BreakDown!M15</f>
        <v>0</v>
      </c>
      <c r="R15" s="98">
        <f>BreakDown!N15</f>
        <v>0</v>
      </c>
      <c r="S15" s="98">
        <f>BreakDown!O15</f>
        <v>59474.000000000007</v>
      </c>
      <c r="T15" s="102">
        <f>BreakDown!AE15</f>
        <v>577747.42857142852</v>
      </c>
      <c r="U15" s="98">
        <f>BreakDown!P15</f>
        <v>59474.000000000007</v>
      </c>
      <c r="V15" s="102">
        <f>BreakDown!AF15</f>
        <v>577747.42857142852</v>
      </c>
      <c r="W15" s="98">
        <f>BreakDown!Q15</f>
        <v>59474.000000000007</v>
      </c>
      <c r="X15" s="102">
        <f>BreakDown!AG15</f>
        <v>577747.42857142852</v>
      </c>
      <c r="Y15" s="147">
        <f t="shared" si="0"/>
        <v>4520024</v>
      </c>
      <c r="Z15" s="148">
        <v>2022116</v>
      </c>
      <c r="AA15" s="101">
        <v>7</v>
      </c>
      <c r="AB15" s="102">
        <v>577747.42857142852</v>
      </c>
      <c r="AC15" s="102">
        <v>577747.42857142852</v>
      </c>
      <c r="AD15" s="102">
        <v>577747.42857142852</v>
      </c>
      <c r="AE15" s="102">
        <v>577747.42857142852</v>
      </c>
      <c r="AF15" s="111"/>
      <c r="AG15" s="112"/>
      <c r="AH15" s="112"/>
      <c r="AI15" s="112"/>
      <c r="AJ15" s="112"/>
      <c r="AK15" s="102">
        <v>577747.42857142852</v>
      </c>
      <c r="AL15" s="102">
        <v>577747.42857142852</v>
      </c>
      <c r="AM15" s="102">
        <v>577747.42857142852</v>
      </c>
      <c r="AN15" s="103">
        <v>4044232</v>
      </c>
    </row>
    <row r="16" spans="1:40" s="104" customFormat="1" ht="21" customHeight="1">
      <c r="A16" s="153" t="s">
        <v>360</v>
      </c>
      <c r="B16" s="108" t="s">
        <v>43</v>
      </c>
      <c r="C16" s="97" t="s">
        <v>782</v>
      </c>
      <c r="D16" s="98">
        <f>BreakDown!F16</f>
        <v>29091.820000000003</v>
      </c>
      <c r="E16" s="102">
        <f>BreakDown!V16</f>
        <v>254969.02285714285</v>
      </c>
      <c r="F16" s="98">
        <f>BreakDown!G16</f>
        <v>29091.820000000003</v>
      </c>
      <c r="G16" s="102">
        <f>BreakDown!W16</f>
        <v>254969.02285714285</v>
      </c>
      <c r="H16" s="98">
        <f>BreakDown!H16</f>
        <v>29091.820000000003</v>
      </c>
      <c r="I16" s="102">
        <f>BreakDown!X16</f>
        <v>254969.02285714285</v>
      </c>
      <c r="J16" s="98">
        <f>BreakDown!I16</f>
        <v>29091.820000000003</v>
      </c>
      <c r="K16" s="102">
        <f>BreakDown!Y16</f>
        <v>254969.02285714285</v>
      </c>
      <c r="L16" s="98">
        <f>BreakDown!J16</f>
        <v>29091.820000000003</v>
      </c>
      <c r="M16" s="102">
        <f>BreakDown!Z16</f>
        <v>0</v>
      </c>
      <c r="N16" s="98">
        <f>BreakDown!K16</f>
        <v>0</v>
      </c>
      <c r="O16" s="102">
        <f>BreakDown!AA16</f>
        <v>0</v>
      </c>
      <c r="P16" s="98">
        <f>BreakDown!L16</f>
        <v>0</v>
      </c>
      <c r="Q16" s="98">
        <f>BreakDown!M16</f>
        <v>0</v>
      </c>
      <c r="R16" s="98">
        <f>BreakDown!N16</f>
        <v>0</v>
      </c>
      <c r="S16" s="98">
        <f>BreakDown!O16</f>
        <v>29091.820000000003</v>
      </c>
      <c r="T16" s="102">
        <f>BreakDown!AE16</f>
        <v>254969.02285714285</v>
      </c>
      <c r="U16" s="98">
        <f>BreakDown!P16</f>
        <v>29091.820000000003</v>
      </c>
      <c r="V16" s="102">
        <f>BreakDown!AF16</f>
        <v>254969.02285714285</v>
      </c>
      <c r="W16" s="98">
        <f>BreakDown!Q16</f>
        <v>29091.820000000003</v>
      </c>
      <c r="X16" s="102">
        <f>BreakDown!AG16</f>
        <v>254969.02285714285</v>
      </c>
      <c r="Y16" s="147">
        <f t="shared" si="0"/>
        <v>2017517.72</v>
      </c>
      <c r="Z16" s="148">
        <v>892391.58</v>
      </c>
      <c r="AA16" s="101">
        <v>7</v>
      </c>
      <c r="AB16" s="102">
        <v>254969.02285714285</v>
      </c>
      <c r="AC16" s="102">
        <v>254969.02285714285</v>
      </c>
      <c r="AD16" s="102">
        <v>254969.02285714285</v>
      </c>
      <c r="AE16" s="102">
        <v>254969.02285714285</v>
      </c>
      <c r="AF16" s="99"/>
      <c r="AG16" s="100"/>
      <c r="AH16" s="100"/>
      <c r="AI16" s="100"/>
      <c r="AJ16" s="100"/>
      <c r="AK16" s="102">
        <v>254969.02285714285</v>
      </c>
      <c r="AL16" s="102">
        <v>254969.02285714285</v>
      </c>
      <c r="AM16" s="102">
        <v>254969.02285714285</v>
      </c>
      <c r="AN16" s="103">
        <v>1784783.16</v>
      </c>
    </row>
    <row r="17" spans="1:40" s="104" customFormat="1" ht="21" customHeight="1">
      <c r="A17" s="149" t="s">
        <v>361</v>
      </c>
      <c r="B17" s="108" t="s">
        <v>43</v>
      </c>
      <c r="C17" s="97" t="s">
        <v>782</v>
      </c>
      <c r="D17" s="98">
        <f>BreakDown!F17</f>
        <v>33057.960000000006</v>
      </c>
      <c r="E17" s="102">
        <f>BreakDown!V17</f>
        <v>268477.86</v>
      </c>
      <c r="F17" s="98">
        <f>BreakDown!G17</f>
        <v>33057.960000000006</v>
      </c>
      <c r="G17" s="102">
        <f>BreakDown!W17</f>
        <v>268477.86</v>
      </c>
      <c r="H17" s="98">
        <f>BreakDown!H17</f>
        <v>33057.960000000006</v>
      </c>
      <c r="I17" s="102">
        <f>BreakDown!X17</f>
        <v>268477.86</v>
      </c>
      <c r="J17" s="98">
        <f>BreakDown!I17</f>
        <v>33057.960000000006</v>
      </c>
      <c r="K17" s="102">
        <f>BreakDown!Y17</f>
        <v>268477.86</v>
      </c>
      <c r="L17" s="98">
        <f>BreakDown!J17</f>
        <v>33057.960000000006</v>
      </c>
      <c r="M17" s="102">
        <f>BreakDown!Z17</f>
        <v>0</v>
      </c>
      <c r="N17" s="98">
        <f>BreakDown!K17</f>
        <v>0</v>
      </c>
      <c r="O17" s="102">
        <f>BreakDown!AA17</f>
        <v>0</v>
      </c>
      <c r="P17" s="98">
        <f>BreakDown!L17</f>
        <v>0</v>
      </c>
      <c r="Q17" s="98">
        <f>BreakDown!M17</f>
        <v>0</v>
      </c>
      <c r="R17" s="98">
        <f>BreakDown!N17</f>
        <v>0</v>
      </c>
      <c r="S17" s="98">
        <f>BreakDown!O17</f>
        <v>33057.960000000006</v>
      </c>
      <c r="T17" s="102">
        <f>BreakDown!AE17</f>
        <v>268477.86</v>
      </c>
      <c r="U17" s="98">
        <f>BreakDown!P17</f>
        <v>33057.960000000006</v>
      </c>
      <c r="V17" s="102">
        <f>BreakDown!AF17</f>
        <v>268477.86</v>
      </c>
      <c r="W17" s="98">
        <f>BreakDown!Q17</f>
        <v>33057.960000000006</v>
      </c>
      <c r="X17" s="102">
        <f>BreakDown!AG17</f>
        <v>268477.86</v>
      </c>
      <c r="Y17" s="147">
        <f t="shared" si="0"/>
        <v>2143808.6999999993</v>
      </c>
      <c r="Z17" s="148">
        <v>939672.51</v>
      </c>
      <c r="AA17" s="101">
        <v>7</v>
      </c>
      <c r="AB17" s="102">
        <v>268477.86</v>
      </c>
      <c r="AC17" s="102">
        <v>268477.86</v>
      </c>
      <c r="AD17" s="102">
        <v>268477.86</v>
      </c>
      <c r="AE17" s="102">
        <v>268477.86</v>
      </c>
      <c r="AF17" s="99"/>
      <c r="AG17" s="100"/>
      <c r="AH17" s="100"/>
      <c r="AI17" s="100"/>
      <c r="AJ17" s="100"/>
      <c r="AK17" s="102">
        <v>268477.86</v>
      </c>
      <c r="AL17" s="102">
        <v>268477.86</v>
      </c>
      <c r="AM17" s="102">
        <v>268477.86</v>
      </c>
      <c r="AN17" s="103">
        <v>1879345.0199999996</v>
      </c>
    </row>
    <row r="18" spans="1:40" s="104" customFormat="1" ht="21" customHeight="1">
      <c r="A18" s="146" t="s">
        <v>362</v>
      </c>
      <c r="B18" s="108" t="s">
        <v>43</v>
      </c>
      <c r="C18" s="97" t="s">
        <v>782</v>
      </c>
      <c r="D18" s="98">
        <f>BreakDown!F18</f>
        <v>15146.56</v>
      </c>
      <c r="E18" s="102">
        <f>BreakDown!V18</f>
        <v>123336.27428571429</v>
      </c>
      <c r="F18" s="98">
        <f>BreakDown!G18</f>
        <v>15146.56</v>
      </c>
      <c r="G18" s="102">
        <f>BreakDown!W18</f>
        <v>123336.27428571429</v>
      </c>
      <c r="H18" s="98">
        <f>BreakDown!H18</f>
        <v>15146.56</v>
      </c>
      <c r="I18" s="102">
        <f>BreakDown!X18</f>
        <v>123336.27428571429</v>
      </c>
      <c r="J18" s="98">
        <f>BreakDown!I18</f>
        <v>15146.56</v>
      </c>
      <c r="K18" s="102">
        <f>BreakDown!Y18</f>
        <v>123336.27428571429</v>
      </c>
      <c r="L18" s="98">
        <f>BreakDown!J18</f>
        <v>15146.56</v>
      </c>
      <c r="M18" s="102">
        <f>BreakDown!Z18</f>
        <v>0</v>
      </c>
      <c r="N18" s="98">
        <f>BreakDown!K18</f>
        <v>0</v>
      </c>
      <c r="O18" s="102">
        <f>BreakDown!AA18</f>
        <v>0</v>
      </c>
      <c r="P18" s="98">
        <f>BreakDown!L18</f>
        <v>0</v>
      </c>
      <c r="Q18" s="98">
        <f>BreakDown!M18</f>
        <v>0</v>
      </c>
      <c r="R18" s="98">
        <f>BreakDown!N18</f>
        <v>0</v>
      </c>
      <c r="S18" s="98">
        <f>BreakDown!O18</f>
        <v>15146.56</v>
      </c>
      <c r="T18" s="102">
        <f>BreakDown!AE18</f>
        <v>123336.27428571429</v>
      </c>
      <c r="U18" s="98">
        <f>BreakDown!P18</f>
        <v>15146.56</v>
      </c>
      <c r="V18" s="102">
        <f>BreakDown!AF18</f>
        <v>123336.27428571429</v>
      </c>
      <c r="W18" s="98">
        <f>BreakDown!Q18</f>
        <v>15146.56</v>
      </c>
      <c r="X18" s="102">
        <f>BreakDown!AG18</f>
        <v>123336.27428571429</v>
      </c>
      <c r="Y18" s="147">
        <f t="shared" si="0"/>
        <v>984526.40000000014</v>
      </c>
      <c r="Z18" s="148">
        <v>431676.96</v>
      </c>
      <c r="AA18" s="101">
        <v>7</v>
      </c>
      <c r="AB18" s="102">
        <v>123336.27428571429</v>
      </c>
      <c r="AC18" s="102">
        <v>123336.27428571429</v>
      </c>
      <c r="AD18" s="102">
        <v>123336.27428571429</v>
      </c>
      <c r="AE18" s="102">
        <v>123336.27428571429</v>
      </c>
      <c r="AF18" s="99"/>
      <c r="AG18" s="100"/>
      <c r="AH18" s="100"/>
      <c r="AI18" s="100"/>
      <c r="AJ18" s="100"/>
      <c r="AK18" s="102">
        <v>123336.27428571429</v>
      </c>
      <c r="AL18" s="102">
        <v>123336.27428571429</v>
      </c>
      <c r="AM18" s="102">
        <v>123336.27428571429</v>
      </c>
      <c r="AN18" s="103">
        <v>863353.91999999993</v>
      </c>
    </row>
    <row r="19" spans="1:40" s="104" customFormat="1" ht="21" customHeight="1">
      <c r="A19" s="149" t="s">
        <v>363</v>
      </c>
      <c r="B19" s="108" t="s">
        <v>43</v>
      </c>
      <c r="C19" s="97" t="s">
        <v>782</v>
      </c>
      <c r="D19" s="98">
        <f>BreakDown!F19</f>
        <v>60556.860000000008</v>
      </c>
      <c r="E19" s="102">
        <f>BreakDown!V19</f>
        <v>513220.5</v>
      </c>
      <c r="F19" s="98">
        <f>BreakDown!G19</f>
        <v>60556.860000000008</v>
      </c>
      <c r="G19" s="102">
        <f>BreakDown!W19</f>
        <v>513220.5</v>
      </c>
      <c r="H19" s="98">
        <f>BreakDown!H19</f>
        <v>60556.860000000008</v>
      </c>
      <c r="I19" s="102">
        <f>BreakDown!X19</f>
        <v>513220.5</v>
      </c>
      <c r="J19" s="98">
        <f>BreakDown!I19</f>
        <v>60556.860000000008</v>
      </c>
      <c r="K19" s="102">
        <f>BreakDown!Y19</f>
        <v>513220.5</v>
      </c>
      <c r="L19" s="98">
        <f>BreakDown!J19</f>
        <v>60556.860000000008</v>
      </c>
      <c r="M19" s="102">
        <f>BreakDown!Z19</f>
        <v>0</v>
      </c>
      <c r="N19" s="98">
        <f>BreakDown!K19</f>
        <v>0</v>
      </c>
      <c r="O19" s="102">
        <f>BreakDown!AA19</f>
        <v>0</v>
      </c>
      <c r="P19" s="98">
        <f>BreakDown!L19</f>
        <v>0</v>
      </c>
      <c r="Q19" s="98">
        <f>BreakDown!M19</f>
        <v>0</v>
      </c>
      <c r="R19" s="98">
        <f>BreakDown!N19</f>
        <v>0</v>
      </c>
      <c r="S19" s="98">
        <f>BreakDown!O19</f>
        <v>60556.860000000008</v>
      </c>
      <c r="T19" s="102">
        <f>BreakDown!AE19</f>
        <v>513220.5</v>
      </c>
      <c r="U19" s="98">
        <f>BreakDown!P19</f>
        <v>60556.860000000008</v>
      </c>
      <c r="V19" s="102">
        <f>BreakDown!AF19</f>
        <v>513220.5</v>
      </c>
      <c r="W19" s="98">
        <f>BreakDown!Q19</f>
        <v>60556.860000000008</v>
      </c>
      <c r="X19" s="102">
        <f>BreakDown!AG19</f>
        <v>513220.5</v>
      </c>
      <c r="Y19" s="147">
        <f t="shared" si="0"/>
        <v>4076998.38</v>
      </c>
      <c r="Z19" s="148">
        <v>1796271.75</v>
      </c>
      <c r="AA19" s="101">
        <v>7</v>
      </c>
      <c r="AB19" s="102">
        <v>513220.5</v>
      </c>
      <c r="AC19" s="102">
        <v>513220.5</v>
      </c>
      <c r="AD19" s="102">
        <v>513220.5</v>
      </c>
      <c r="AE19" s="102">
        <v>513220.5</v>
      </c>
      <c r="AF19" s="99"/>
      <c r="AG19" s="100"/>
      <c r="AH19" s="100"/>
      <c r="AI19" s="100"/>
      <c r="AJ19" s="100"/>
      <c r="AK19" s="102">
        <v>513220.5</v>
      </c>
      <c r="AL19" s="102">
        <v>513220.5</v>
      </c>
      <c r="AM19" s="102">
        <v>513220.5</v>
      </c>
      <c r="AN19" s="103">
        <v>3592543.5</v>
      </c>
    </row>
    <row r="20" spans="1:40" s="104" customFormat="1" ht="21" customHeight="1">
      <c r="A20" s="151" t="s">
        <v>364</v>
      </c>
      <c r="B20" s="108" t="s">
        <v>43</v>
      </c>
      <c r="C20" s="97" t="s">
        <v>782</v>
      </c>
      <c r="D20" s="98">
        <f>BreakDown!F20</f>
        <v>52302.000000000007</v>
      </c>
      <c r="E20" s="102">
        <f>BreakDown!V20</f>
        <v>409132.10571428575</v>
      </c>
      <c r="F20" s="98">
        <f>BreakDown!G20</f>
        <v>52302.000000000007</v>
      </c>
      <c r="G20" s="102">
        <f>BreakDown!W20</f>
        <v>409132.10571428575</v>
      </c>
      <c r="H20" s="98">
        <f>BreakDown!H20</f>
        <v>52302.000000000007</v>
      </c>
      <c r="I20" s="102">
        <f>BreakDown!X20</f>
        <v>409132.10571428575</v>
      </c>
      <c r="J20" s="98">
        <f>BreakDown!I20</f>
        <v>52302.000000000007</v>
      </c>
      <c r="K20" s="102">
        <f>BreakDown!Y20</f>
        <v>409132.10571428575</v>
      </c>
      <c r="L20" s="98">
        <f>BreakDown!J20</f>
        <v>52302.000000000007</v>
      </c>
      <c r="M20" s="102">
        <f>BreakDown!Z20</f>
        <v>0</v>
      </c>
      <c r="N20" s="98">
        <f>BreakDown!K20</f>
        <v>0</v>
      </c>
      <c r="O20" s="102">
        <f>BreakDown!AA20</f>
        <v>0</v>
      </c>
      <c r="P20" s="98">
        <f>BreakDown!L20</f>
        <v>0</v>
      </c>
      <c r="Q20" s="98">
        <f>BreakDown!M20</f>
        <v>0</v>
      </c>
      <c r="R20" s="98">
        <f>BreakDown!N20</f>
        <v>0</v>
      </c>
      <c r="S20" s="98">
        <f>BreakDown!O20</f>
        <v>52302.000000000007</v>
      </c>
      <c r="T20" s="102">
        <f>BreakDown!AE20</f>
        <v>409132.10571428575</v>
      </c>
      <c r="U20" s="98">
        <f>BreakDown!P20</f>
        <v>52302.000000000007</v>
      </c>
      <c r="V20" s="102">
        <f>BreakDown!AF20</f>
        <v>409132.10571428575</v>
      </c>
      <c r="W20" s="98">
        <f>BreakDown!Q20</f>
        <v>52302.000000000007</v>
      </c>
      <c r="X20" s="102">
        <f>BreakDown!AG20</f>
        <v>409132.10571428575</v>
      </c>
      <c r="Y20" s="147">
        <f t="shared" si="0"/>
        <v>3282340.74</v>
      </c>
      <c r="Z20" s="148">
        <v>1431962.37</v>
      </c>
      <c r="AA20" s="101">
        <v>7</v>
      </c>
      <c r="AB20" s="102">
        <v>409132.10571428575</v>
      </c>
      <c r="AC20" s="102">
        <v>409132.10571428575</v>
      </c>
      <c r="AD20" s="102">
        <v>409132.10571428575</v>
      </c>
      <c r="AE20" s="102">
        <v>409132.10571428575</v>
      </c>
      <c r="AF20" s="99"/>
      <c r="AG20" s="100"/>
      <c r="AH20" s="100"/>
      <c r="AI20" s="100"/>
      <c r="AJ20" s="100"/>
      <c r="AK20" s="102">
        <v>409132.10571428575</v>
      </c>
      <c r="AL20" s="102">
        <v>409132.10571428575</v>
      </c>
      <c r="AM20" s="102">
        <v>409132.10571428575</v>
      </c>
      <c r="AN20" s="103">
        <v>2863924.74</v>
      </c>
    </row>
    <row r="21" spans="1:40" s="104" customFormat="1" ht="21" customHeight="1">
      <c r="A21" s="146" t="s">
        <v>365</v>
      </c>
      <c r="B21" s="108" t="s">
        <v>366</v>
      </c>
      <c r="C21" s="97" t="s">
        <v>782</v>
      </c>
      <c r="D21" s="98">
        <f>BreakDown!F21</f>
        <v>26136.000000000004</v>
      </c>
      <c r="E21" s="102">
        <f>BreakDown!V21</f>
        <v>190423.05428571426</v>
      </c>
      <c r="F21" s="98">
        <f>BreakDown!G21</f>
        <v>26136.000000000004</v>
      </c>
      <c r="G21" s="102">
        <f>BreakDown!W21</f>
        <v>190423.05428571426</v>
      </c>
      <c r="H21" s="98">
        <f>BreakDown!H21</f>
        <v>26136.000000000004</v>
      </c>
      <c r="I21" s="102">
        <f>BreakDown!X21</f>
        <v>190423.05428571426</v>
      </c>
      <c r="J21" s="98">
        <f>BreakDown!I21</f>
        <v>26136.000000000004</v>
      </c>
      <c r="K21" s="102">
        <f>BreakDown!Y21</f>
        <v>190423.05428571426</v>
      </c>
      <c r="L21" s="98">
        <f>BreakDown!J21</f>
        <v>26136.000000000004</v>
      </c>
      <c r="M21" s="102">
        <f>BreakDown!Z21</f>
        <v>0</v>
      </c>
      <c r="N21" s="98">
        <f>BreakDown!K21</f>
        <v>0</v>
      </c>
      <c r="O21" s="102">
        <f>BreakDown!AA21</f>
        <v>0</v>
      </c>
      <c r="P21" s="98">
        <f>BreakDown!L21</f>
        <v>0</v>
      </c>
      <c r="Q21" s="98">
        <f>BreakDown!M21</f>
        <v>0</v>
      </c>
      <c r="R21" s="98">
        <f>BreakDown!N21</f>
        <v>0</v>
      </c>
      <c r="S21" s="98">
        <f>BreakDown!O21</f>
        <v>26136.000000000004</v>
      </c>
      <c r="T21" s="102">
        <f>BreakDown!AE21</f>
        <v>190423.05428571426</v>
      </c>
      <c r="U21" s="98">
        <f>BreakDown!P21</f>
        <v>26136.000000000004</v>
      </c>
      <c r="V21" s="102">
        <f>BreakDown!AF21</f>
        <v>190423.05428571426</v>
      </c>
      <c r="W21" s="98">
        <f>BreakDown!Q21</f>
        <v>26136.000000000004</v>
      </c>
      <c r="X21" s="102">
        <f>BreakDown!AG21</f>
        <v>190423.05428571426</v>
      </c>
      <c r="Y21" s="147">
        <f t="shared" si="0"/>
        <v>1542049.3799999997</v>
      </c>
      <c r="Z21" s="148">
        <v>666480.68999999994</v>
      </c>
      <c r="AA21" s="101">
        <v>7</v>
      </c>
      <c r="AB21" s="102">
        <v>190423.05428571426</v>
      </c>
      <c r="AC21" s="102">
        <v>190423.05428571426</v>
      </c>
      <c r="AD21" s="102">
        <v>190423.05428571426</v>
      </c>
      <c r="AE21" s="102">
        <v>190423.05428571426</v>
      </c>
      <c r="AF21" s="99"/>
      <c r="AG21" s="100"/>
      <c r="AH21" s="100"/>
      <c r="AI21" s="100"/>
      <c r="AJ21" s="100"/>
      <c r="AK21" s="102">
        <v>190423.05428571426</v>
      </c>
      <c r="AL21" s="102">
        <v>190423.05428571426</v>
      </c>
      <c r="AM21" s="102">
        <v>190423.05428571426</v>
      </c>
      <c r="AN21" s="103">
        <v>1332961.3799999997</v>
      </c>
    </row>
    <row r="22" spans="1:40" ht="21" customHeight="1">
      <c r="A22" s="149" t="s">
        <v>368</v>
      </c>
      <c r="B22" s="108" t="s">
        <v>366</v>
      </c>
      <c r="C22" s="97" t="s">
        <v>782</v>
      </c>
      <c r="D22" s="98">
        <f>BreakDown!F22</f>
        <v>53600</v>
      </c>
      <c r="E22" s="102">
        <f>BreakDown!V22</f>
        <v>409268.69142857142</v>
      </c>
      <c r="F22" s="98">
        <f>BreakDown!G22</f>
        <v>53600</v>
      </c>
      <c r="G22" s="102">
        <f>BreakDown!W22</f>
        <v>409268.69142857142</v>
      </c>
      <c r="H22" s="98">
        <f>BreakDown!H22</f>
        <v>53600</v>
      </c>
      <c r="I22" s="102">
        <f>BreakDown!X22</f>
        <v>409268.69142857142</v>
      </c>
      <c r="J22" s="98">
        <f>BreakDown!I22</f>
        <v>53600</v>
      </c>
      <c r="K22" s="102">
        <f>BreakDown!Y22</f>
        <v>409268.69142857142</v>
      </c>
      <c r="L22" s="98">
        <f>BreakDown!J22</f>
        <v>53600</v>
      </c>
      <c r="M22" s="102">
        <f>BreakDown!Z22</f>
        <v>0</v>
      </c>
      <c r="N22" s="98">
        <f>BreakDown!K22</f>
        <v>0</v>
      </c>
      <c r="O22" s="102">
        <f>BreakDown!AA22</f>
        <v>0</v>
      </c>
      <c r="P22" s="98">
        <f>BreakDown!L22</f>
        <v>0</v>
      </c>
      <c r="Q22" s="98">
        <f>BreakDown!M22</f>
        <v>0</v>
      </c>
      <c r="R22" s="98">
        <f>BreakDown!N22</f>
        <v>0</v>
      </c>
      <c r="S22" s="98">
        <f>BreakDown!O22</f>
        <v>53600</v>
      </c>
      <c r="T22" s="102">
        <f>BreakDown!AE22</f>
        <v>409268.69142857142</v>
      </c>
      <c r="U22" s="98">
        <f>BreakDown!P22</f>
        <v>53600</v>
      </c>
      <c r="V22" s="102">
        <f>BreakDown!AF22</f>
        <v>409268.69142857142</v>
      </c>
      <c r="W22" s="98">
        <f>BreakDown!Q22</f>
        <v>53600</v>
      </c>
      <c r="X22" s="102">
        <f>BreakDown!AG22</f>
        <v>409268.69142857142</v>
      </c>
      <c r="Y22" s="147">
        <f t="shared" si="0"/>
        <v>3293680.84</v>
      </c>
      <c r="Z22" s="148">
        <v>1432440.42</v>
      </c>
      <c r="AA22" s="101">
        <v>7</v>
      </c>
      <c r="AB22" s="102">
        <v>409268.69142857142</v>
      </c>
      <c r="AC22" s="102">
        <v>409268.69142857142</v>
      </c>
      <c r="AD22" s="102">
        <v>409268.69142857142</v>
      </c>
      <c r="AE22" s="102">
        <v>409268.69142857142</v>
      </c>
      <c r="AF22" s="111"/>
      <c r="AG22" s="112"/>
      <c r="AH22" s="112"/>
      <c r="AI22" s="112"/>
      <c r="AJ22" s="112"/>
      <c r="AK22" s="102">
        <v>409268.69142857142</v>
      </c>
      <c r="AL22" s="102">
        <v>409268.69142857142</v>
      </c>
      <c r="AM22" s="102">
        <v>409268.69142857142</v>
      </c>
      <c r="AN22" s="103">
        <v>2864880.84</v>
      </c>
    </row>
    <row r="23" spans="1:40" s="104" customFormat="1" ht="21" customHeight="1">
      <c r="A23" s="149" t="s">
        <v>42</v>
      </c>
      <c r="B23" s="96" t="s">
        <v>42</v>
      </c>
      <c r="C23" s="97" t="s">
        <v>355</v>
      </c>
      <c r="D23" s="98">
        <f>BreakDown!F23</f>
        <v>65408</v>
      </c>
      <c r="E23" s="102">
        <f>BreakDown!V23</f>
        <v>246813</v>
      </c>
      <c r="F23" s="98">
        <f>BreakDown!G23</f>
        <v>65408</v>
      </c>
      <c r="G23" s="102">
        <f>BreakDown!W23</f>
        <v>246813</v>
      </c>
      <c r="H23" s="98">
        <f>BreakDown!H23</f>
        <v>65408</v>
      </c>
      <c r="I23" s="102">
        <f>BreakDown!X23</f>
        <v>246813</v>
      </c>
      <c r="J23" s="98">
        <f>BreakDown!I23</f>
        <v>0</v>
      </c>
      <c r="K23" s="102">
        <f>BreakDown!Y23</f>
        <v>246813</v>
      </c>
      <c r="L23" s="98">
        <f>BreakDown!J23</f>
        <v>0</v>
      </c>
      <c r="M23" s="102">
        <f>BreakDown!Z23</f>
        <v>246813</v>
      </c>
      <c r="N23" s="98">
        <f>BreakDown!K23</f>
        <v>0</v>
      </c>
      <c r="O23" s="102">
        <f>BreakDown!AA23</f>
        <v>0</v>
      </c>
      <c r="P23" s="98">
        <f>BreakDown!L23</f>
        <v>0</v>
      </c>
      <c r="Q23" s="98">
        <f>BreakDown!M23</f>
        <v>0</v>
      </c>
      <c r="R23" s="98">
        <f>BreakDown!N23</f>
        <v>0</v>
      </c>
      <c r="S23" s="98">
        <f>BreakDown!O23</f>
        <v>0</v>
      </c>
      <c r="T23" s="102">
        <f>BreakDown!AE23</f>
        <v>246813</v>
      </c>
      <c r="U23" s="98">
        <f>BreakDown!P23</f>
        <v>65408</v>
      </c>
      <c r="V23" s="102">
        <f>BreakDown!AF23</f>
        <v>246813</v>
      </c>
      <c r="W23" s="98">
        <f>BreakDown!Q23</f>
        <v>65408</v>
      </c>
      <c r="X23" s="102">
        <f>BreakDown!AG23</f>
        <v>246813</v>
      </c>
      <c r="Y23" s="147">
        <f t="shared" si="0"/>
        <v>2301544</v>
      </c>
      <c r="Z23" s="148">
        <v>987252</v>
      </c>
      <c r="AA23" s="101">
        <v>8</v>
      </c>
      <c r="AB23" s="102">
        <v>246813</v>
      </c>
      <c r="AC23" s="102">
        <v>246813</v>
      </c>
      <c r="AD23" s="102">
        <v>246813</v>
      </c>
      <c r="AE23" s="102">
        <v>246813</v>
      </c>
      <c r="AF23" s="102">
        <v>246813</v>
      </c>
      <c r="AG23" s="100"/>
      <c r="AH23" s="100"/>
      <c r="AI23" s="100"/>
      <c r="AJ23" s="100"/>
      <c r="AK23" s="102">
        <v>246813</v>
      </c>
      <c r="AL23" s="102">
        <v>246813</v>
      </c>
      <c r="AM23" s="102">
        <v>246813</v>
      </c>
      <c r="AN23" s="103">
        <v>1974504</v>
      </c>
    </row>
    <row r="24" spans="1:40" s="104" customFormat="1" ht="21" customHeight="1">
      <c r="A24" s="146" t="s">
        <v>40</v>
      </c>
      <c r="B24" s="96" t="s">
        <v>40</v>
      </c>
      <c r="C24" s="97" t="s">
        <v>355</v>
      </c>
      <c r="D24" s="98">
        <f>BreakDown!F24</f>
        <v>38032</v>
      </c>
      <c r="E24" s="102">
        <f>BreakDown!V24</f>
        <v>136677.5</v>
      </c>
      <c r="F24" s="98">
        <f>BreakDown!G24</f>
        <v>38032</v>
      </c>
      <c r="G24" s="102">
        <f>BreakDown!W24</f>
        <v>136677.5</v>
      </c>
      <c r="H24" s="98">
        <f>BreakDown!H24</f>
        <v>38032</v>
      </c>
      <c r="I24" s="102">
        <f>BreakDown!X24</f>
        <v>136677.5</v>
      </c>
      <c r="J24" s="98">
        <f>BreakDown!I24</f>
        <v>0</v>
      </c>
      <c r="K24" s="102">
        <f>BreakDown!Y24</f>
        <v>136677.5</v>
      </c>
      <c r="L24" s="98">
        <f>BreakDown!J24</f>
        <v>0</v>
      </c>
      <c r="M24" s="102">
        <f>BreakDown!Z24</f>
        <v>136677.5</v>
      </c>
      <c r="N24" s="98">
        <f>BreakDown!K24</f>
        <v>0</v>
      </c>
      <c r="O24" s="102">
        <f>BreakDown!AA24</f>
        <v>0</v>
      </c>
      <c r="P24" s="98">
        <f>BreakDown!L24</f>
        <v>0</v>
      </c>
      <c r="Q24" s="98">
        <f>BreakDown!M24</f>
        <v>0</v>
      </c>
      <c r="R24" s="98">
        <f>BreakDown!N24</f>
        <v>0</v>
      </c>
      <c r="S24" s="98">
        <f>BreakDown!O24</f>
        <v>0</v>
      </c>
      <c r="T24" s="102">
        <f>BreakDown!AE24</f>
        <v>136677.5</v>
      </c>
      <c r="U24" s="98">
        <f>BreakDown!P24</f>
        <v>38032</v>
      </c>
      <c r="V24" s="102">
        <f>BreakDown!AF24</f>
        <v>136677.5</v>
      </c>
      <c r="W24" s="98">
        <f>BreakDown!Q24</f>
        <v>38032</v>
      </c>
      <c r="X24" s="102">
        <f>BreakDown!AG24</f>
        <v>136677.5</v>
      </c>
      <c r="Y24" s="147">
        <f t="shared" si="0"/>
        <v>1283580</v>
      </c>
      <c r="Z24" s="148">
        <v>546710</v>
      </c>
      <c r="AA24" s="101">
        <v>8</v>
      </c>
      <c r="AB24" s="102">
        <v>136677.5</v>
      </c>
      <c r="AC24" s="102">
        <v>136677.5</v>
      </c>
      <c r="AD24" s="102">
        <v>136677.5</v>
      </c>
      <c r="AE24" s="102">
        <v>136677.5</v>
      </c>
      <c r="AF24" s="102">
        <v>136677.5</v>
      </c>
      <c r="AG24" s="100"/>
      <c r="AH24" s="100"/>
      <c r="AI24" s="100"/>
      <c r="AJ24" s="100"/>
      <c r="AK24" s="102">
        <v>136677.5</v>
      </c>
      <c r="AL24" s="102">
        <v>136677.5</v>
      </c>
      <c r="AM24" s="102">
        <v>136677.5</v>
      </c>
      <c r="AN24" s="103">
        <v>1093420</v>
      </c>
    </row>
    <row r="25" spans="1:40" ht="21" customHeight="1">
      <c r="A25" s="146" t="s">
        <v>369</v>
      </c>
      <c r="B25" s="96" t="s">
        <v>78</v>
      </c>
      <c r="C25" s="97" t="s">
        <v>367</v>
      </c>
      <c r="D25" s="98">
        <f>BreakDown!F25</f>
        <v>20360</v>
      </c>
      <c r="E25" s="102">
        <f>BreakDown!V25</f>
        <v>61469.02</v>
      </c>
      <c r="F25" s="98">
        <f>BreakDown!G25</f>
        <v>20360</v>
      </c>
      <c r="G25" s="102">
        <f>BreakDown!W25</f>
        <v>61469.02</v>
      </c>
      <c r="H25" s="98">
        <f>BreakDown!H25</f>
        <v>20360</v>
      </c>
      <c r="I25" s="102">
        <f>BreakDown!X25</f>
        <v>61469.02</v>
      </c>
      <c r="J25" s="98">
        <f>BreakDown!I25</f>
        <v>20360</v>
      </c>
      <c r="K25" s="102">
        <f>BreakDown!Y25</f>
        <v>61469.02</v>
      </c>
      <c r="L25" s="98">
        <f>BreakDown!J25</f>
        <v>0</v>
      </c>
      <c r="M25" s="102">
        <f>BreakDown!Z25</f>
        <v>0</v>
      </c>
      <c r="N25" s="98">
        <f>BreakDown!K25</f>
        <v>0</v>
      </c>
      <c r="O25" s="102">
        <f>BreakDown!AA25</f>
        <v>0</v>
      </c>
      <c r="P25" s="98">
        <f>BreakDown!L25</f>
        <v>0</v>
      </c>
      <c r="Q25" s="98">
        <f>BreakDown!M25</f>
        <v>0</v>
      </c>
      <c r="R25" s="98">
        <f>BreakDown!N25</f>
        <v>0</v>
      </c>
      <c r="S25" s="98">
        <f>BreakDown!O25</f>
        <v>0</v>
      </c>
      <c r="T25" s="102">
        <f>BreakDown!AE25</f>
        <v>0</v>
      </c>
      <c r="U25" s="98">
        <f>BreakDown!P25</f>
        <v>0</v>
      </c>
      <c r="V25" s="102">
        <f>BreakDown!AF25</f>
        <v>0</v>
      </c>
      <c r="W25" s="98">
        <f>BreakDown!Q25</f>
        <v>0</v>
      </c>
      <c r="X25" s="102">
        <f>BreakDown!AG25</f>
        <v>61469.02</v>
      </c>
      <c r="Y25" s="147">
        <f t="shared" si="0"/>
        <v>388785.1</v>
      </c>
      <c r="Z25" s="148">
        <v>153672.54999999999</v>
      </c>
      <c r="AA25" s="101">
        <v>5</v>
      </c>
      <c r="AB25" s="102">
        <v>61469.02</v>
      </c>
      <c r="AC25" s="102">
        <v>61469.02</v>
      </c>
      <c r="AD25" s="102">
        <v>61469.02</v>
      </c>
      <c r="AE25" s="102">
        <v>61469.02</v>
      </c>
      <c r="AF25" s="111"/>
      <c r="AG25" s="112"/>
      <c r="AH25" s="112"/>
      <c r="AI25" s="112"/>
      <c r="AJ25" s="112"/>
      <c r="AK25" s="112"/>
      <c r="AL25" s="112"/>
      <c r="AM25" s="102">
        <v>61469.02</v>
      </c>
      <c r="AN25" s="103">
        <v>307345.09999999998</v>
      </c>
    </row>
    <row r="26" spans="1:40" s="104" customFormat="1" ht="21" customHeight="1">
      <c r="A26" s="150" t="s">
        <v>370</v>
      </c>
      <c r="B26" s="96" t="s">
        <v>91</v>
      </c>
      <c r="C26" s="97" t="s">
        <v>371</v>
      </c>
      <c r="D26" s="98">
        <f>BreakDown!F26</f>
        <v>16000</v>
      </c>
      <c r="E26" s="102">
        <f>BreakDown!V26</f>
        <v>106230.776</v>
      </c>
      <c r="F26" s="98">
        <f>BreakDown!G26</f>
        <v>16000</v>
      </c>
      <c r="G26" s="102">
        <f>BreakDown!W26</f>
        <v>106230.776</v>
      </c>
      <c r="H26" s="98">
        <f>BreakDown!H26</f>
        <v>16000</v>
      </c>
      <c r="I26" s="102">
        <f>BreakDown!X26</f>
        <v>106230.776</v>
      </c>
      <c r="J26" s="98">
        <f>BreakDown!I26</f>
        <v>16000</v>
      </c>
      <c r="K26" s="102">
        <f>BreakDown!Y26</f>
        <v>106230.776</v>
      </c>
      <c r="L26" s="98">
        <f>BreakDown!J26</f>
        <v>0</v>
      </c>
      <c r="M26" s="102">
        <f>BreakDown!Z26</f>
        <v>106230.776</v>
      </c>
      <c r="N26" s="98">
        <f>BreakDown!K26</f>
        <v>0</v>
      </c>
      <c r="O26" s="102">
        <f>BreakDown!AA26</f>
        <v>0</v>
      </c>
      <c r="P26" s="98">
        <f>BreakDown!L26</f>
        <v>0</v>
      </c>
      <c r="Q26" s="98">
        <f>BreakDown!M26</f>
        <v>0</v>
      </c>
      <c r="R26" s="98">
        <f>BreakDown!N26</f>
        <v>0</v>
      </c>
      <c r="S26" s="98">
        <f>BreakDown!O26</f>
        <v>0</v>
      </c>
      <c r="T26" s="102">
        <f>BreakDown!AE26</f>
        <v>0</v>
      </c>
      <c r="U26" s="98">
        <f>BreakDown!P26</f>
        <v>16000</v>
      </c>
      <c r="V26" s="102">
        <f>BreakDown!AF26</f>
        <v>0</v>
      </c>
      <c r="W26" s="98">
        <f>BreakDown!Q26</f>
        <v>16000</v>
      </c>
      <c r="X26" s="102">
        <f>BreakDown!AG26</f>
        <v>0</v>
      </c>
      <c r="Y26" s="147">
        <f t="shared" si="0"/>
        <v>627153.88</v>
      </c>
      <c r="Z26" s="148">
        <v>265576.94</v>
      </c>
      <c r="AA26" s="101">
        <v>5</v>
      </c>
      <c r="AB26" s="102">
        <v>106230.776</v>
      </c>
      <c r="AC26" s="102">
        <v>106230.776</v>
      </c>
      <c r="AD26" s="102">
        <v>106230.776</v>
      </c>
      <c r="AE26" s="102">
        <v>106230.776</v>
      </c>
      <c r="AF26" s="102">
        <v>106230.776</v>
      </c>
      <c r="AG26" s="100"/>
      <c r="AH26" s="100"/>
      <c r="AI26" s="100"/>
      <c r="AJ26" s="100"/>
      <c r="AK26" s="100"/>
      <c r="AL26" s="100"/>
      <c r="AM26" s="100"/>
      <c r="AN26" s="103">
        <v>531153.88</v>
      </c>
    </row>
    <row r="27" spans="1:40" s="104" customFormat="1" ht="21" customHeight="1">
      <c r="A27" s="149" t="s">
        <v>55</v>
      </c>
      <c r="B27" s="96" t="s">
        <v>55</v>
      </c>
      <c r="C27" s="97" t="s">
        <v>372</v>
      </c>
      <c r="D27" s="98">
        <f>BreakDown!F27</f>
        <v>123854.00000000001</v>
      </c>
      <c r="E27" s="102">
        <f>BreakDown!V27</f>
        <v>839763.17249999999</v>
      </c>
      <c r="F27" s="98">
        <f>BreakDown!G27</f>
        <v>123854.00000000001</v>
      </c>
      <c r="G27" s="102">
        <f>BreakDown!W27</f>
        <v>839763.17249999999</v>
      </c>
      <c r="H27" s="98">
        <f>BreakDown!H27</f>
        <v>123854.00000000001</v>
      </c>
      <c r="I27" s="102">
        <f>BreakDown!X27</f>
        <v>839763.17249999999</v>
      </c>
      <c r="J27" s="98">
        <f>BreakDown!I27</f>
        <v>123854.00000000001</v>
      </c>
      <c r="K27" s="102">
        <f>BreakDown!Y27</f>
        <v>839763.17249999999</v>
      </c>
      <c r="L27" s="98">
        <f>BreakDown!J27</f>
        <v>123854.00000000001</v>
      </c>
      <c r="M27" s="102">
        <f>BreakDown!Z27</f>
        <v>839763.17249999999</v>
      </c>
      <c r="N27" s="98">
        <f>BreakDown!K27</f>
        <v>0</v>
      </c>
      <c r="O27" s="102">
        <f>BreakDown!AA27</f>
        <v>839763.17249999999</v>
      </c>
      <c r="P27" s="98">
        <f>BreakDown!L27</f>
        <v>0</v>
      </c>
      <c r="Q27" s="98">
        <f>BreakDown!M27</f>
        <v>0</v>
      </c>
      <c r="R27" s="98">
        <f>BreakDown!N27</f>
        <v>0</v>
      </c>
      <c r="S27" s="98">
        <f>BreakDown!O27</f>
        <v>123854.00000000001</v>
      </c>
      <c r="T27" s="102">
        <f>BreakDown!AE27</f>
        <v>0</v>
      </c>
      <c r="U27" s="98">
        <f>BreakDown!P27</f>
        <v>123854.00000000001</v>
      </c>
      <c r="V27" s="102">
        <f>BreakDown!AF27</f>
        <v>839763.17249999999</v>
      </c>
      <c r="W27" s="98">
        <f>BreakDown!Q27</f>
        <v>123854.00000000001</v>
      </c>
      <c r="X27" s="102">
        <f>BreakDown!AG27</f>
        <v>839763.17249999999</v>
      </c>
      <c r="Y27" s="147">
        <f t="shared" si="0"/>
        <v>7708937.3800000008</v>
      </c>
      <c r="Z27" s="148">
        <v>3359052.69</v>
      </c>
      <c r="AA27" s="101">
        <v>8</v>
      </c>
      <c r="AB27" s="102">
        <v>839763.17249999999</v>
      </c>
      <c r="AC27" s="102">
        <v>839763.17249999999</v>
      </c>
      <c r="AD27" s="102">
        <v>839763.17249999999</v>
      </c>
      <c r="AE27" s="102">
        <v>839763.17249999999</v>
      </c>
      <c r="AF27" s="102">
        <v>839763.17249999999</v>
      </c>
      <c r="AG27" s="102">
        <v>839763.17249999999</v>
      </c>
      <c r="AH27" s="100"/>
      <c r="AI27" s="100"/>
      <c r="AJ27" s="100"/>
      <c r="AK27" s="100"/>
      <c r="AL27" s="102">
        <v>839763.17249999999</v>
      </c>
      <c r="AM27" s="102">
        <v>839763.17249999999</v>
      </c>
      <c r="AN27" s="103">
        <v>6718105.3800000008</v>
      </c>
    </row>
    <row r="28" spans="1:40" s="104" customFormat="1" ht="21" customHeight="1">
      <c r="A28" s="146" t="s">
        <v>373</v>
      </c>
      <c r="B28" s="108" t="s">
        <v>374</v>
      </c>
      <c r="C28" s="97" t="s">
        <v>375</v>
      </c>
      <c r="D28" s="98">
        <f>BreakDown!F28</f>
        <v>34120</v>
      </c>
      <c r="E28" s="102">
        <f>BreakDown!V28</f>
        <v>106352.36799999999</v>
      </c>
      <c r="F28" s="98">
        <f>BreakDown!G28</f>
        <v>34120</v>
      </c>
      <c r="G28" s="102">
        <f>BreakDown!W28</f>
        <v>106352.36799999999</v>
      </c>
      <c r="H28" s="98">
        <f>BreakDown!H28</f>
        <v>34120</v>
      </c>
      <c r="I28" s="102">
        <f>BreakDown!X28</f>
        <v>106352.36799999999</v>
      </c>
      <c r="J28" s="98">
        <f>BreakDown!I28</f>
        <v>0</v>
      </c>
      <c r="K28" s="102">
        <f>BreakDown!Y28</f>
        <v>106352.36799999999</v>
      </c>
      <c r="L28" s="98">
        <f>BreakDown!J28</f>
        <v>0</v>
      </c>
      <c r="M28" s="102">
        <f>BreakDown!Z28</f>
        <v>106352.36799999999</v>
      </c>
      <c r="N28" s="98">
        <f>BreakDown!K28</f>
        <v>0</v>
      </c>
      <c r="O28" s="102">
        <f>BreakDown!AA28</f>
        <v>0</v>
      </c>
      <c r="P28" s="98">
        <f>BreakDown!L28</f>
        <v>0</v>
      </c>
      <c r="Q28" s="98">
        <f>BreakDown!M28</f>
        <v>0</v>
      </c>
      <c r="R28" s="98">
        <f>BreakDown!N28</f>
        <v>0</v>
      </c>
      <c r="S28" s="98">
        <f>BreakDown!O28</f>
        <v>0</v>
      </c>
      <c r="T28" s="102">
        <f>BreakDown!AE28</f>
        <v>0</v>
      </c>
      <c r="U28" s="98">
        <f>BreakDown!P28</f>
        <v>0</v>
      </c>
      <c r="V28" s="102">
        <f>BreakDown!AF28</f>
        <v>0</v>
      </c>
      <c r="W28" s="98">
        <f>BreakDown!Q28</f>
        <v>34120</v>
      </c>
      <c r="X28" s="102">
        <f>BreakDown!AG28</f>
        <v>0</v>
      </c>
      <c r="Y28" s="147">
        <f t="shared" si="0"/>
        <v>668241.84</v>
      </c>
      <c r="Z28" s="148">
        <v>265880.92</v>
      </c>
      <c r="AA28" s="101">
        <v>5</v>
      </c>
      <c r="AB28" s="102">
        <v>106352.36799999999</v>
      </c>
      <c r="AC28" s="102">
        <v>106352.36799999999</v>
      </c>
      <c r="AD28" s="102">
        <v>106352.36799999999</v>
      </c>
      <c r="AE28" s="102">
        <v>106352.36799999999</v>
      </c>
      <c r="AF28" s="102">
        <v>106352.36799999999</v>
      </c>
      <c r="AG28" s="100"/>
      <c r="AH28" s="100"/>
      <c r="AI28" s="100"/>
      <c r="AJ28" s="100"/>
      <c r="AK28" s="100"/>
      <c r="AL28" s="100"/>
      <c r="AM28" s="100"/>
      <c r="AN28" s="103">
        <v>531761.84</v>
      </c>
    </row>
    <row r="29" spans="1:40" s="116" customFormat="1" ht="21" customHeight="1">
      <c r="A29" s="150" t="s">
        <v>213</v>
      </c>
      <c r="B29" s="154" t="s">
        <v>376</v>
      </c>
      <c r="C29" s="110" t="s">
        <v>377</v>
      </c>
      <c r="D29" s="98">
        <f>BreakDown!F29</f>
        <v>53600</v>
      </c>
      <c r="E29" s="102">
        <f>BreakDown!V29</f>
        <v>164536.85714285713</v>
      </c>
      <c r="F29" s="98">
        <f>BreakDown!G29</f>
        <v>53600</v>
      </c>
      <c r="G29" s="102">
        <f>BreakDown!W29</f>
        <v>164536.85714285713</v>
      </c>
      <c r="H29" s="98">
        <f>BreakDown!H29</f>
        <v>53600</v>
      </c>
      <c r="I29" s="102">
        <f>BreakDown!X29</f>
        <v>164536.85714285713</v>
      </c>
      <c r="J29" s="98">
        <f>BreakDown!I29</f>
        <v>0</v>
      </c>
      <c r="K29" s="102">
        <f>BreakDown!Y29</f>
        <v>164536.85714285713</v>
      </c>
      <c r="L29" s="98">
        <f>BreakDown!J29</f>
        <v>0</v>
      </c>
      <c r="M29" s="102">
        <f>BreakDown!Z29</f>
        <v>164536.85714285713</v>
      </c>
      <c r="N29" s="98">
        <f>BreakDown!K29</f>
        <v>0</v>
      </c>
      <c r="O29" s="102">
        <f>BreakDown!AA29</f>
        <v>0</v>
      </c>
      <c r="P29" s="98">
        <f>BreakDown!L29</f>
        <v>0</v>
      </c>
      <c r="Q29" s="98">
        <f>BreakDown!M29</f>
        <v>0</v>
      </c>
      <c r="R29" s="98">
        <f>BreakDown!N29</f>
        <v>0</v>
      </c>
      <c r="S29" s="98">
        <f>BreakDown!O29</f>
        <v>0</v>
      </c>
      <c r="T29" s="102">
        <f>BreakDown!AE29</f>
        <v>0</v>
      </c>
      <c r="U29" s="98">
        <f>BreakDown!P29</f>
        <v>0</v>
      </c>
      <c r="V29" s="102">
        <f>BreakDown!AF29</f>
        <v>164536.85714285713</v>
      </c>
      <c r="W29" s="98">
        <f>BreakDown!Q29</f>
        <v>53600</v>
      </c>
      <c r="X29" s="102">
        <f>BreakDown!AG29</f>
        <v>164536.85714285713</v>
      </c>
      <c r="Y29" s="147">
        <f t="shared" si="0"/>
        <v>1366158</v>
      </c>
      <c r="Z29" s="148">
        <v>575879</v>
      </c>
      <c r="AA29" s="101">
        <v>7</v>
      </c>
      <c r="AB29" s="102">
        <v>164536.85714285713</v>
      </c>
      <c r="AC29" s="102">
        <v>164536.85714285713</v>
      </c>
      <c r="AD29" s="102">
        <v>164536.85714285713</v>
      </c>
      <c r="AE29" s="102">
        <v>164536.85714285713</v>
      </c>
      <c r="AF29" s="102">
        <v>164536.85714285713</v>
      </c>
      <c r="AG29" s="115"/>
      <c r="AH29" s="114"/>
      <c r="AI29" s="114"/>
      <c r="AJ29" s="114"/>
      <c r="AK29" s="114"/>
      <c r="AL29" s="102">
        <v>164536.85714285713</v>
      </c>
      <c r="AM29" s="102">
        <v>164536.85714285713</v>
      </c>
      <c r="AN29" s="103">
        <v>1151758</v>
      </c>
    </row>
    <row r="30" spans="1:40" ht="21" customHeight="1" thickBot="1">
      <c r="A30" s="654" t="s">
        <v>378</v>
      </c>
      <c r="B30" s="117"/>
      <c r="C30" s="117"/>
      <c r="D30" s="155">
        <f>SUM(D4:D29)</f>
        <v>935092.15428571438</v>
      </c>
      <c r="E30" s="155">
        <f t="shared" ref="E30:X30" si="1">SUM(E4:E29)</f>
        <v>6272546.7340238076</v>
      </c>
      <c r="F30" s="155">
        <f t="shared" si="1"/>
        <v>935092.15428571438</v>
      </c>
      <c r="G30" s="155">
        <f t="shared" si="1"/>
        <v>6318587.5100238081</v>
      </c>
      <c r="H30" s="155">
        <f t="shared" si="1"/>
        <v>935092.15428571438</v>
      </c>
      <c r="I30" s="155">
        <f t="shared" si="1"/>
        <v>6083669.5366904754</v>
      </c>
      <c r="J30" s="155">
        <f t="shared" si="1"/>
        <v>673842.55428571429</v>
      </c>
      <c r="K30" s="155">
        <f t="shared" si="1"/>
        <v>6083669.5366904754</v>
      </c>
      <c r="L30" s="155">
        <f t="shared" si="1"/>
        <v>637482.55428571429</v>
      </c>
      <c r="M30" s="155">
        <f t="shared" si="1"/>
        <v>1701605.1776428572</v>
      </c>
      <c r="N30" s="155">
        <f t="shared" si="1"/>
        <v>0</v>
      </c>
      <c r="O30" s="155">
        <f t="shared" si="1"/>
        <v>899126.58049999992</v>
      </c>
      <c r="P30" s="155">
        <f t="shared" si="1"/>
        <v>0</v>
      </c>
      <c r="Q30" s="155">
        <f t="shared" si="1"/>
        <v>0</v>
      </c>
      <c r="R30" s="155">
        <f t="shared" si="1"/>
        <v>0</v>
      </c>
      <c r="S30" s="155">
        <f t="shared" si="1"/>
        <v>581236.52</v>
      </c>
      <c r="T30" s="155">
        <f t="shared" si="1"/>
        <v>4277159.8057142859</v>
      </c>
      <c r="U30" s="155">
        <f t="shared" si="1"/>
        <v>787412.15428571426</v>
      </c>
      <c r="V30" s="155">
        <f t="shared" si="1"/>
        <v>5479910.5586904762</v>
      </c>
      <c r="W30" s="155">
        <f t="shared" si="1"/>
        <v>875132.15428571426</v>
      </c>
      <c r="X30" s="155">
        <f t="shared" si="1"/>
        <v>5776297.5520238094</v>
      </c>
      <c r="Y30" s="657">
        <f>SUM(D32:X32)</f>
        <v>49252955.39199999</v>
      </c>
      <c r="Z30" s="156">
        <v>21439625.180000003</v>
      </c>
      <c r="AA30" s="120"/>
      <c r="AB30" s="119">
        <v>6259224.1020238092</v>
      </c>
      <c r="AC30" s="119">
        <v>6318587.5100238081</v>
      </c>
      <c r="AD30" s="119">
        <v>6083669.5366904754</v>
      </c>
      <c r="AE30" s="119">
        <v>6083669.5366904754</v>
      </c>
      <c r="AF30" s="119">
        <v>1701605.1776428572</v>
      </c>
      <c r="AG30" s="119">
        <v>899126.58049999992</v>
      </c>
      <c r="AH30" s="119">
        <v>0</v>
      </c>
      <c r="AI30" s="119">
        <v>0</v>
      </c>
      <c r="AJ30" s="119">
        <v>0</v>
      </c>
      <c r="AK30" s="119">
        <v>4277159.8057142859</v>
      </c>
      <c r="AL30" s="119">
        <v>5479910.5586904762</v>
      </c>
      <c r="AM30" s="119">
        <v>5776297.5520238094</v>
      </c>
      <c r="AN30" s="121">
        <v>42879250.360000007</v>
      </c>
    </row>
    <row r="31" spans="1:40" ht="21" customHeight="1">
      <c r="A31" s="655"/>
      <c r="B31" s="157"/>
      <c r="C31" s="157"/>
      <c r="D31" s="651" t="s">
        <v>323</v>
      </c>
      <c r="E31" s="652"/>
      <c r="F31" s="651" t="s">
        <v>324</v>
      </c>
      <c r="G31" s="652"/>
      <c r="H31" s="651" t="s">
        <v>325</v>
      </c>
      <c r="I31" s="652"/>
      <c r="J31" s="651" t="s">
        <v>326</v>
      </c>
      <c r="K31" s="652"/>
      <c r="L31" s="651" t="s">
        <v>236</v>
      </c>
      <c r="M31" s="652"/>
      <c r="N31" s="651" t="s">
        <v>327</v>
      </c>
      <c r="O31" s="652"/>
      <c r="P31" s="94" t="s">
        <v>328</v>
      </c>
      <c r="Q31" s="94" t="s">
        <v>329</v>
      </c>
      <c r="R31" s="94" t="s">
        <v>330</v>
      </c>
      <c r="S31" s="651" t="s">
        <v>331</v>
      </c>
      <c r="T31" s="652"/>
      <c r="U31" s="651" t="s">
        <v>332</v>
      </c>
      <c r="V31" s="652"/>
      <c r="W31" s="651" t="s">
        <v>333</v>
      </c>
      <c r="X31" s="652"/>
      <c r="Y31" s="658"/>
      <c r="Z31" s="158"/>
      <c r="AA31" s="159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1"/>
    </row>
    <row r="32" spans="1:40" ht="14.4" thickBot="1">
      <c r="A32" s="656"/>
      <c r="B32" s="162"/>
      <c r="C32" s="162"/>
      <c r="D32" s="653">
        <f>SUM(D30:E30)</f>
        <v>7207638.8883095216</v>
      </c>
      <c r="E32" s="653"/>
      <c r="F32" s="653">
        <f>SUM(F30:G30)</f>
        <v>7253679.6643095221</v>
      </c>
      <c r="G32" s="653"/>
      <c r="H32" s="653">
        <f>SUM(H30:I30)</f>
        <v>7018761.6909761894</v>
      </c>
      <c r="I32" s="653"/>
      <c r="J32" s="653">
        <f>SUM(J30:K30)</f>
        <v>6757512.0909761898</v>
      </c>
      <c r="K32" s="653"/>
      <c r="L32" s="653">
        <f>SUM(L30:M30)</f>
        <v>2339087.7319285716</v>
      </c>
      <c r="M32" s="653"/>
      <c r="N32" s="653">
        <f>SUM(N30:O30)</f>
        <v>899126.58049999992</v>
      </c>
      <c r="O32" s="653"/>
      <c r="P32" s="118">
        <f>SUM(P30)</f>
        <v>0</v>
      </c>
      <c r="Q32" s="118">
        <f>SUM(Q30)</f>
        <v>0</v>
      </c>
      <c r="R32" s="118">
        <f>SUM(R30)</f>
        <v>0</v>
      </c>
      <c r="S32" s="653">
        <f>SUM(S30:T30)</f>
        <v>4858396.3257142864</v>
      </c>
      <c r="T32" s="653"/>
      <c r="U32" s="653">
        <f>SUM(U30:V30)</f>
        <v>6267322.7129761903</v>
      </c>
      <c r="V32" s="653"/>
      <c r="W32" s="653">
        <f>SUM(W30:X30)</f>
        <v>6651429.7063095234</v>
      </c>
      <c r="X32" s="653"/>
      <c r="Y32" s="659"/>
      <c r="AA32" s="163"/>
      <c r="AB32" s="122"/>
      <c r="AC32" s="122"/>
      <c r="AD32" s="91"/>
      <c r="AF32" s="92"/>
    </row>
    <row r="33" spans="1:32">
      <c r="A33" s="124"/>
      <c r="D33" s="126"/>
      <c r="E33" s="122"/>
      <c r="G33" s="122"/>
      <c r="H33" s="128"/>
      <c r="I33" s="91"/>
      <c r="J33" s="127"/>
      <c r="L33" s="122"/>
      <c r="M33" s="92"/>
      <c r="N33" s="129"/>
      <c r="Q33" s="131"/>
      <c r="R33" s="127"/>
      <c r="AB33" s="122"/>
      <c r="AC33" s="122"/>
      <c r="AD33" s="91"/>
      <c r="AF33" s="92"/>
    </row>
    <row r="34" spans="1:32">
      <c r="A34" s="649" t="s">
        <v>389</v>
      </c>
      <c r="B34" s="649"/>
      <c r="D34" s="126"/>
      <c r="E34" s="122"/>
      <c r="G34" s="122"/>
      <c r="H34" s="128"/>
      <c r="I34" s="91"/>
      <c r="J34" s="127"/>
      <c r="L34" s="122"/>
      <c r="M34" s="92"/>
      <c r="N34" s="129"/>
      <c r="Q34" s="131"/>
      <c r="R34" s="127"/>
      <c r="AB34" s="122"/>
      <c r="AC34" s="122"/>
      <c r="AD34" s="91"/>
      <c r="AF34" s="92"/>
    </row>
    <row r="35" spans="1:32" s="139" customFormat="1" ht="16.8">
      <c r="A35" s="650" t="s">
        <v>390</v>
      </c>
      <c r="B35" s="650"/>
      <c r="C35" s="132"/>
      <c r="D35" s="134">
        <f>D30/365</f>
        <v>2561.8963131115461</v>
      </c>
      <c r="E35" s="134">
        <f>E30/365</f>
        <v>17185.059545270706</v>
      </c>
      <c r="F35" s="134">
        <f t="shared" ref="F35:X35" si="2">F30/365</f>
        <v>2561.8963131115461</v>
      </c>
      <c r="G35" s="134">
        <f t="shared" si="2"/>
        <v>17311.198657599474</v>
      </c>
      <c r="H35" s="134">
        <f t="shared" si="2"/>
        <v>2561.8963131115461</v>
      </c>
      <c r="I35" s="134">
        <f t="shared" si="2"/>
        <v>16667.587771754726</v>
      </c>
      <c r="J35" s="134">
        <f t="shared" si="2"/>
        <v>1846.1439843444227</v>
      </c>
      <c r="K35" s="134">
        <f t="shared" si="2"/>
        <v>16667.587771754726</v>
      </c>
      <c r="L35" s="134">
        <f t="shared" si="2"/>
        <v>1746.5275459882582</v>
      </c>
      <c r="M35" s="134">
        <f t="shared" si="2"/>
        <v>4661.9319935420745</v>
      </c>
      <c r="N35" s="134">
        <f t="shared" si="2"/>
        <v>0</v>
      </c>
      <c r="O35" s="134">
        <f t="shared" si="2"/>
        <v>2463.3604945205479</v>
      </c>
      <c r="P35" s="134">
        <f t="shared" si="2"/>
        <v>0</v>
      </c>
      <c r="Q35" s="134">
        <f t="shared" si="2"/>
        <v>0</v>
      </c>
      <c r="R35" s="134">
        <f t="shared" si="2"/>
        <v>0</v>
      </c>
      <c r="S35" s="134">
        <f t="shared" si="2"/>
        <v>1592.4288219178084</v>
      </c>
      <c r="T35" s="134">
        <f t="shared" si="2"/>
        <v>11718.246043052839</v>
      </c>
      <c r="U35" s="134">
        <f t="shared" si="2"/>
        <v>2157.2935733855184</v>
      </c>
      <c r="V35" s="134">
        <f t="shared" si="2"/>
        <v>15013.453585453359</v>
      </c>
      <c r="W35" s="134">
        <f t="shared" si="2"/>
        <v>2397.6223405088062</v>
      </c>
      <c r="X35" s="134">
        <f t="shared" si="2"/>
        <v>15825.47274527071</v>
      </c>
      <c r="Y35" s="132"/>
      <c r="Z35" s="132"/>
      <c r="AA35" s="138"/>
      <c r="AD35" s="140"/>
    </row>
    <row r="36" spans="1:32" s="139" customFormat="1" ht="16.8">
      <c r="A36" s="125"/>
      <c r="B36" s="142"/>
      <c r="C36" s="132"/>
      <c r="D36" s="134"/>
      <c r="F36" s="135"/>
      <c r="H36" s="132"/>
      <c r="I36" s="140"/>
      <c r="J36" s="136"/>
      <c r="L36" s="137"/>
      <c r="N36" s="133"/>
      <c r="Q36" s="132"/>
      <c r="R36" s="132"/>
      <c r="S36" s="132"/>
      <c r="U36" s="132"/>
      <c r="W36" s="132"/>
      <c r="Y36" s="132"/>
      <c r="Z36" s="132"/>
      <c r="AA36" s="138"/>
      <c r="AD36" s="140"/>
    </row>
    <row r="37" spans="1:32" s="139" customFormat="1" ht="16.8">
      <c r="A37" s="125"/>
      <c r="B37" s="142"/>
      <c r="C37" s="132"/>
      <c r="D37" s="134"/>
      <c r="F37" s="135"/>
      <c r="H37" s="132"/>
      <c r="I37" s="140"/>
      <c r="J37" s="136"/>
      <c r="L37" s="137"/>
      <c r="N37" s="133"/>
      <c r="Q37" s="132"/>
      <c r="R37" s="132"/>
      <c r="S37" s="132"/>
      <c r="U37" s="132"/>
      <c r="W37" s="132"/>
      <c r="Y37" s="132"/>
      <c r="Z37" s="132"/>
      <c r="AA37" s="138"/>
      <c r="AD37" s="140"/>
    </row>
    <row r="38" spans="1:32" s="139" customFormat="1" ht="16.8">
      <c r="A38" s="125"/>
      <c r="D38" s="134"/>
      <c r="F38" s="135"/>
      <c r="H38" s="132"/>
      <c r="I38" s="140"/>
      <c r="J38" s="136"/>
      <c r="L38" s="137"/>
      <c r="N38" s="133"/>
      <c r="Q38" s="132"/>
      <c r="R38" s="132"/>
      <c r="S38" s="132"/>
      <c r="U38" s="132"/>
      <c r="W38" s="132"/>
      <c r="Y38" s="132"/>
      <c r="Z38" s="132"/>
      <c r="AA38" s="138"/>
      <c r="AD38" s="140"/>
    </row>
    <row r="39" spans="1:32" ht="17.399999999999999">
      <c r="A39" s="141"/>
      <c r="B39" s="142"/>
      <c r="C39" s="132"/>
      <c r="H39" s="143"/>
    </row>
    <row r="40" spans="1:32" ht="16.8">
      <c r="A40" s="139"/>
      <c r="D40" s="144"/>
    </row>
    <row r="41" spans="1:32">
      <c r="A41" s="124"/>
    </row>
  </sheetData>
  <mergeCells count="39">
    <mergeCell ref="A1:Y1"/>
    <mergeCell ref="A2:A3"/>
    <mergeCell ref="B2:B3"/>
    <mergeCell ref="C2:C3"/>
    <mergeCell ref="D2:X2"/>
    <mergeCell ref="Y2:Y3"/>
    <mergeCell ref="W3:X3"/>
    <mergeCell ref="Z2:AM2"/>
    <mergeCell ref="AN2:AN3"/>
    <mergeCell ref="D3:E3"/>
    <mergeCell ref="F3:G3"/>
    <mergeCell ref="H3:I3"/>
    <mergeCell ref="J3:K3"/>
    <mergeCell ref="L3:M3"/>
    <mergeCell ref="N3:O3"/>
    <mergeCell ref="S3:T3"/>
    <mergeCell ref="U3:V3"/>
    <mergeCell ref="Y30:Y32"/>
    <mergeCell ref="D31:E31"/>
    <mergeCell ref="F31:G31"/>
    <mergeCell ref="H31:I31"/>
    <mergeCell ref="J31:K31"/>
    <mergeCell ref="L31:M31"/>
    <mergeCell ref="N31:O31"/>
    <mergeCell ref="S31:T31"/>
    <mergeCell ref="U31:V31"/>
    <mergeCell ref="A34:B34"/>
    <mergeCell ref="A35:B35"/>
    <mergeCell ref="W31:X31"/>
    <mergeCell ref="D32:E32"/>
    <mergeCell ref="F32:G32"/>
    <mergeCell ref="H32:I32"/>
    <mergeCell ref="J32:K32"/>
    <mergeCell ref="L32:M32"/>
    <mergeCell ref="N32:O32"/>
    <mergeCell ref="S32:T32"/>
    <mergeCell ref="U32:V32"/>
    <mergeCell ref="W32:X32"/>
    <mergeCell ref="A30:A3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N92"/>
  <sheetViews>
    <sheetView topLeftCell="A41" workbookViewId="0">
      <selection activeCell="C51" sqref="C51"/>
    </sheetView>
  </sheetViews>
  <sheetFormatPr defaultColWidth="9.109375" defaultRowHeight="14.4"/>
  <cols>
    <col min="1" max="1" width="23.77734375" style="209" customWidth="1"/>
    <col min="2" max="2" width="20.33203125" style="209" bestFit="1" customWidth="1"/>
    <col min="3" max="3" width="10.77734375" style="210" bestFit="1" customWidth="1"/>
    <col min="4" max="4" width="15.77734375" style="213" customWidth="1"/>
    <col min="5" max="5" width="15.77734375" style="175" customWidth="1"/>
    <col min="6" max="6" width="15.77734375" style="212" customWidth="1"/>
    <col min="7" max="7" width="15.77734375" style="175" customWidth="1"/>
    <col min="8" max="8" width="15.77734375" style="210" customWidth="1"/>
    <col min="9" max="9" width="15.77734375" style="176" customWidth="1"/>
    <col min="10" max="10" width="15.77734375" style="214" customWidth="1"/>
    <col min="11" max="11" width="15.77734375" style="175" customWidth="1"/>
    <col min="12" max="12" width="15.77734375" style="218" customWidth="1"/>
    <col min="13" max="13" width="15.77734375" style="175" customWidth="1"/>
    <col min="14" max="14" width="15.77734375" style="215" customWidth="1"/>
    <col min="15" max="16" width="15.77734375" style="175" customWidth="1"/>
    <col min="17" max="19" width="15.77734375" style="210" customWidth="1"/>
    <col min="20" max="20" width="15.77734375" style="175" customWidth="1"/>
    <col min="21" max="21" width="15.77734375" style="210" customWidth="1"/>
    <col min="22" max="22" width="15.77734375" style="175" customWidth="1"/>
    <col min="23" max="23" width="15.77734375" style="210" customWidth="1"/>
    <col min="24" max="24" width="15.77734375" style="175" customWidth="1"/>
    <col min="25" max="25" width="15.77734375" style="210" customWidth="1"/>
    <col min="26" max="26" width="25.6640625" style="210" hidden="1" customWidth="1"/>
    <col min="27" max="27" width="11.109375" style="216" hidden="1" customWidth="1"/>
    <col min="28" max="29" width="12.44140625" style="175" hidden="1" customWidth="1"/>
    <col min="30" max="30" width="24.44140625" style="176" hidden="1" customWidth="1"/>
    <col min="31" max="31" width="18.109375" style="175" hidden="1" customWidth="1"/>
    <col min="32" max="32" width="12.44140625" style="175" hidden="1" customWidth="1"/>
    <col min="33" max="33" width="11" style="175" hidden="1" customWidth="1"/>
    <col min="34" max="36" width="9.44140625" style="175" hidden="1" customWidth="1"/>
    <col min="37" max="39" width="14.77734375" style="175" hidden="1" customWidth="1"/>
    <col min="40" max="40" width="13.44140625" style="175" hidden="1" customWidth="1"/>
    <col min="41" max="16384" width="9.109375" style="175"/>
  </cols>
  <sheetData>
    <row r="1" spans="1:40">
      <c r="A1" s="675" t="s">
        <v>388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5"/>
      <c r="R1" s="675"/>
      <c r="S1" s="675"/>
      <c r="T1" s="675"/>
      <c r="U1" s="675"/>
      <c r="V1" s="675"/>
      <c r="W1" s="675"/>
      <c r="X1" s="675"/>
      <c r="Y1" s="675"/>
      <c r="Z1" s="170"/>
      <c r="AA1" s="171"/>
      <c r="AB1" s="170"/>
      <c r="AC1" s="170"/>
      <c r="AD1" s="172"/>
      <c r="AE1" s="173"/>
      <c r="AF1" s="174"/>
      <c r="AG1" s="173"/>
      <c r="AH1" s="173"/>
      <c r="AI1" s="173"/>
      <c r="AJ1" s="173"/>
      <c r="AK1" s="173"/>
      <c r="AL1" s="173"/>
      <c r="AM1" s="173"/>
      <c r="AN1" s="173"/>
    </row>
    <row r="2" spans="1:40" s="176" customFormat="1">
      <c r="A2" s="644" t="s">
        <v>338</v>
      </c>
      <c r="B2" s="644" t="s">
        <v>202</v>
      </c>
      <c r="C2" s="644" t="s">
        <v>339</v>
      </c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 t="s">
        <v>341</v>
      </c>
      <c r="Z2" s="679" t="s">
        <v>342</v>
      </c>
      <c r="AA2" s="679"/>
      <c r="AB2" s="679"/>
      <c r="AC2" s="679"/>
      <c r="AD2" s="679"/>
      <c r="AE2" s="679"/>
      <c r="AF2" s="679"/>
      <c r="AG2" s="679"/>
      <c r="AH2" s="679"/>
      <c r="AI2" s="679"/>
      <c r="AJ2" s="679"/>
      <c r="AK2" s="679"/>
      <c r="AL2" s="679"/>
      <c r="AM2" s="679"/>
      <c r="AN2" s="676" t="s">
        <v>341</v>
      </c>
    </row>
    <row r="3" spans="1:40" s="176" customFormat="1" ht="57.6">
      <c r="A3" s="644"/>
      <c r="B3" s="644"/>
      <c r="C3" s="644"/>
      <c r="D3" s="676" t="s">
        <v>323</v>
      </c>
      <c r="E3" s="676"/>
      <c r="F3" s="676" t="s">
        <v>324</v>
      </c>
      <c r="G3" s="676"/>
      <c r="H3" s="676" t="s">
        <v>325</v>
      </c>
      <c r="I3" s="676"/>
      <c r="J3" s="676" t="s">
        <v>326</v>
      </c>
      <c r="K3" s="676"/>
      <c r="L3" s="676" t="s">
        <v>236</v>
      </c>
      <c r="M3" s="676"/>
      <c r="N3" s="676" t="s">
        <v>327</v>
      </c>
      <c r="O3" s="676"/>
      <c r="P3" s="177" t="s">
        <v>328</v>
      </c>
      <c r="Q3" s="177" t="s">
        <v>329</v>
      </c>
      <c r="R3" s="177" t="s">
        <v>330</v>
      </c>
      <c r="S3" s="676" t="s">
        <v>331</v>
      </c>
      <c r="T3" s="676"/>
      <c r="U3" s="676" t="s">
        <v>332</v>
      </c>
      <c r="V3" s="676"/>
      <c r="W3" s="676" t="s">
        <v>333</v>
      </c>
      <c r="X3" s="676"/>
      <c r="Y3" s="676"/>
      <c r="Z3" s="178" t="s">
        <v>345</v>
      </c>
      <c r="AA3" s="179" t="s">
        <v>344</v>
      </c>
      <c r="AB3" s="177" t="s">
        <v>323</v>
      </c>
      <c r="AC3" s="177" t="s">
        <v>324</v>
      </c>
      <c r="AD3" s="177" t="s">
        <v>325</v>
      </c>
      <c r="AE3" s="177" t="s">
        <v>326</v>
      </c>
      <c r="AF3" s="177" t="s">
        <v>236</v>
      </c>
      <c r="AG3" s="177" t="s">
        <v>327</v>
      </c>
      <c r="AH3" s="177" t="s">
        <v>328</v>
      </c>
      <c r="AI3" s="177" t="s">
        <v>329</v>
      </c>
      <c r="AJ3" s="177" t="s">
        <v>330</v>
      </c>
      <c r="AK3" s="177" t="s">
        <v>331</v>
      </c>
      <c r="AL3" s="177" t="s">
        <v>332</v>
      </c>
      <c r="AM3" s="177" t="s">
        <v>333</v>
      </c>
      <c r="AN3" s="676"/>
    </row>
    <row r="4" spans="1:40" s="176" customFormat="1" ht="28.8">
      <c r="A4" s="644"/>
      <c r="B4" s="644"/>
      <c r="C4" s="644"/>
      <c r="D4" s="177" t="s">
        <v>389</v>
      </c>
      <c r="E4" s="177" t="s">
        <v>390</v>
      </c>
      <c r="F4" s="177" t="s">
        <v>389</v>
      </c>
      <c r="G4" s="177" t="s">
        <v>390</v>
      </c>
      <c r="H4" s="177" t="s">
        <v>389</v>
      </c>
      <c r="I4" s="177" t="s">
        <v>390</v>
      </c>
      <c r="J4" s="177" t="s">
        <v>389</v>
      </c>
      <c r="K4" s="177" t="s">
        <v>390</v>
      </c>
      <c r="L4" s="177" t="s">
        <v>389</v>
      </c>
      <c r="M4" s="177" t="s">
        <v>390</v>
      </c>
      <c r="N4" s="177" t="s">
        <v>389</v>
      </c>
      <c r="O4" s="177" t="s">
        <v>390</v>
      </c>
      <c r="P4" s="177"/>
      <c r="Q4" s="177"/>
      <c r="R4" s="177"/>
      <c r="S4" s="177" t="s">
        <v>389</v>
      </c>
      <c r="T4" s="177" t="s">
        <v>390</v>
      </c>
      <c r="U4" s="177" t="s">
        <v>389</v>
      </c>
      <c r="V4" s="177" t="s">
        <v>390</v>
      </c>
      <c r="W4" s="177" t="s">
        <v>389</v>
      </c>
      <c r="X4" s="177" t="s">
        <v>390</v>
      </c>
      <c r="Y4" s="177"/>
      <c r="Z4" s="178"/>
      <c r="AA4" s="179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</row>
    <row r="5" spans="1:40" s="176" customFormat="1">
      <c r="A5" s="180"/>
      <c r="B5" s="181" t="s">
        <v>88</v>
      </c>
      <c r="C5" s="180" t="s">
        <v>294</v>
      </c>
      <c r="D5" s="177">
        <v>0</v>
      </c>
      <c r="E5" s="177">
        <v>0</v>
      </c>
      <c r="F5" s="177">
        <v>0</v>
      </c>
      <c r="G5" s="177">
        <v>0</v>
      </c>
      <c r="H5" s="177">
        <v>0</v>
      </c>
      <c r="I5" s="177">
        <v>0</v>
      </c>
      <c r="J5" s="177">
        <v>0</v>
      </c>
      <c r="K5" s="177">
        <v>0</v>
      </c>
      <c r="L5" s="177">
        <v>0</v>
      </c>
      <c r="M5" s="177">
        <v>0</v>
      </c>
      <c r="N5" s="177">
        <v>0</v>
      </c>
      <c r="O5" s="177">
        <v>0</v>
      </c>
      <c r="P5" s="177">
        <v>0</v>
      </c>
      <c r="Q5" s="177">
        <v>0</v>
      </c>
      <c r="R5" s="177">
        <v>0</v>
      </c>
      <c r="S5" s="177">
        <v>0</v>
      </c>
      <c r="T5" s="177">
        <v>0</v>
      </c>
      <c r="U5" s="177">
        <v>0</v>
      </c>
      <c r="V5" s="177">
        <v>0</v>
      </c>
      <c r="W5" s="177">
        <v>0</v>
      </c>
      <c r="X5" s="177">
        <v>0</v>
      </c>
      <c r="Y5" s="177"/>
      <c r="Z5" s="178"/>
      <c r="AA5" s="179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</row>
    <row r="6" spans="1:40" s="176" customFormat="1">
      <c r="A6" s="180"/>
      <c r="B6" s="181" t="s">
        <v>85</v>
      </c>
      <c r="C6" s="180" t="s">
        <v>294</v>
      </c>
      <c r="D6" s="177">
        <v>0</v>
      </c>
      <c r="E6" s="177">
        <v>0</v>
      </c>
      <c r="F6" s="177">
        <v>0</v>
      </c>
      <c r="G6" s="177">
        <v>0</v>
      </c>
      <c r="H6" s="177">
        <v>0</v>
      </c>
      <c r="I6" s="177">
        <v>0</v>
      </c>
      <c r="J6" s="177">
        <v>0</v>
      </c>
      <c r="K6" s="177">
        <v>0</v>
      </c>
      <c r="L6" s="177">
        <v>0</v>
      </c>
      <c r="M6" s="177">
        <v>0</v>
      </c>
      <c r="N6" s="177">
        <v>0</v>
      </c>
      <c r="O6" s="177">
        <v>0</v>
      </c>
      <c r="P6" s="177">
        <v>0</v>
      </c>
      <c r="Q6" s="177">
        <v>0</v>
      </c>
      <c r="R6" s="177">
        <v>0</v>
      </c>
      <c r="S6" s="177">
        <v>0</v>
      </c>
      <c r="T6" s="177">
        <v>0</v>
      </c>
      <c r="U6" s="177">
        <v>0</v>
      </c>
      <c r="V6" s="177">
        <v>0</v>
      </c>
      <c r="W6" s="177">
        <v>0</v>
      </c>
      <c r="X6" s="177">
        <v>0</v>
      </c>
      <c r="Y6" s="177"/>
      <c r="Z6" s="178"/>
      <c r="AA6" s="179"/>
      <c r="AB6" s="177"/>
      <c r="AC6" s="177"/>
      <c r="AD6" s="177"/>
      <c r="AE6" s="177"/>
      <c r="AF6" s="177"/>
      <c r="AG6" s="177"/>
      <c r="AH6" s="177"/>
      <c r="AI6" s="177"/>
      <c r="AJ6" s="177"/>
      <c r="AK6" s="177"/>
      <c r="AL6" s="177"/>
      <c r="AM6" s="177"/>
      <c r="AN6" s="177"/>
    </row>
    <row r="7" spans="1:40" s="176" customFormat="1">
      <c r="A7" s="180"/>
      <c r="B7" s="181" t="s">
        <v>146</v>
      </c>
      <c r="C7" s="180" t="s">
        <v>294</v>
      </c>
      <c r="D7" s="177">
        <v>0</v>
      </c>
      <c r="E7" s="177">
        <v>0</v>
      </c>
      <c r="F7" s="177">
        <v>0</v>
      </c>
      <c r="G7" s="177">
        <v>0</v>
      </c>
      <c r="H7" s="177">
        <v>0</v>
      </c>
      <c r="I7" s="177">
        <v>0</v>
      </c>
      <c r="J7" s="177">
        <v>0</v>
      </c>
      <c r="K7" s="177">
        <v>0</v>
      </c>
      <c r="L7" s="177">
        <v>0</v>
      </c>
      <c r="M7" s="177">
        <v>0</v>
      </c>
      <c r="N7" s="177">
        <v>0</v>
      </c>
      <c r="O7" s="177">
        <v>0</v>
      </c>
      <c r="P7" s="177">
        <v>0</v>
      </c>
      <c r="Q7" s="177">
        <v>0</v>
      </c>
      <c r="R7" s="177">
        <v>0</v>
      </c>
      <c r="S7" s="177">
        <v>0</v>
      </c>
      <c r="T7" s="177">
        <v>0</v>
      </c>
      <c r="U7" s="177">
        <v>0</v>
      </c>
      <c r="V7" s="177">
        <v>0</v>
      </c>
      <c r="W7" s="177">
        <v>0</v>
      </c>
      <c r="X7" s="177">
        <v>0</v>
      </c>
      <c r="Y7" s="177"/>
      <c r="Z7" s="178"/>
      <c r="AA7" s="179"/>
      <c r="AB7" s="177"/>
      <c r="AC7" s="177"/>
      <c r="AD7" s="177"/>
      <c r="AE7" s="177"/>
      <c r="AF7" s="177"/>
      <c r="AG7" s="177"/>
      <c r="AH7" s="177"/>
      <c r="AI7" s="177"/>
      <c r="AJ7" s="177"/>
      <c r="AK7" s="177"/>
      <c r="AL7" s="177"/>
      <c r="AM7" s="177"/>
      <c r="AN7" s="177"/>
    </row>
    <row r="8" spans="1:40" s="176" customFormat="1">
      <c r="A8" s="180"/>
      <c r="B8" s="181" t="s">
        <v>84</v>
      </c>
      <c r="C8" s="180" t="s">
        <v>294</v>
      </c>
      <c r="D8" s="177">
        <v>0</v>
      </c>
      <c r="E8" s="177">
        <v>0</v>
      </c>
      <c r="F8" s="177">
        <v>0</v>
      </c>
      <c r="G8" s="177">
        <v>0</v>
      </c>
      <c r="H8" s="177">
        <v>0</v>
      </c>
      <c r="I8" s="177">
        <v>0</v>
      </c>
      <c r="J8" s="177">
        <v>0</v>
      </c>
      <c r="K8" s="177">
        <v>0</v>
      </c>
      <c r="L8" s="177">
        <v>0</v>
      </c>
      <c r="M8" s="177">
        <v>0</v>
      </c>
      <c r="N8" s="177">
        <v>0</v>
      </c>
      <c r="O8" s="177">
        <v>0</v>
      </c>
      <c r="P8" s="177">
        <v>0</v>
      </c>
      <c r="Q8" s="177">
        <v>0</v>
      </c>
      <c r="R8" s="177">
        <v>0</v>
      </c>
      <c r="S8" s="177">
        <v>0</v>
      </c>
      <c r="T8" s="177">
        <v>0</v>
      </c>
      <c r="U8" s="177">
        <v>0</v>
      </c>
      <c r="V8" s="177">
        <v>0</v>
      </c>
      <c r="W8" s="177">
        <v>0</v>
      </c>
      <c r="X8" s="177">
        <v>0</v>
      </c>
      <c r="Y8" s="177"/>
      <c r="Z8" s="178"/>
      <c r="AA8" s="179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</row>
    <row r="9" spans="1:40" s="176" customFormat="1">
      <c r="A9" s="180"/>
      <c r="B9" s="181" t="s">
        <v>86</v>
      </c>
      <c r="C9" s="180" t="s">
        <v>294</v>
      </c>
      <c r="D9" s="177">
        <v>0</v>
      </c>
      <c r="E9" s="177">
        <v>0</v>
      </c>
      <c r="F9" s="177">
        <v>0</v>
      </c>
      <c r="G9" s="177">
        <v>0</v>
      </c>
      <c r="H9" s="177">
        <v>0</v>
      </c>
      <c r="I9" s="177">
        <v>0</v>
      </c>
      <c r="J9" s="177">
        <v>0</v>
      </c>
      <c r="K9" s="177">
        <v>0</v>
      </c>
      <c r="L9" s="177">
        <v>0</v>
      </c>
      <c r="M9" s="177">
        <v>0</v>
      </c>
      <c r="N9" s="177">
        <v>0</v>
      </c>
      <c r="O9" s="177">
        <v>0</v>
      </c>
      <c r="P9" s="177">
        <v>0</v>
      </c>
      <c r="Q9" s="177">
        <v>0</v>
      </c>
      <c r="R9" s="177">
        <v>0</v>
      </c>
      <c r="S9" s="177">
        <v>0</v>
      </c>
      <c r="T9" s="177">
        <v>0</v>
      </c>
      <c r="U9" s="177">
        <v>0</v>
      </c>
      <c r="V9" s="177">
        <v>0</v>
      </c>
      <c r="W9" s="177">
        <v>0</v>
      </c>
      <c r="X9" s="177">
        <v>0</v>
      </c>
      <c r="Y9" s="177"/>
      <c r="Z9" s="178"/>
      <c r="AA9" s="179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</row>
    <row r="10" spans="1:40" s="176" customFormat="1">
      <c r="A10" s="180"/>
      <c r="B10" s="181" t="s">
        <v>87</v>
      </c>
      <c r="C10" s="180" t="s">
        <v>294</v>
      </c>
      <c r="D10" s="177">
        <v>0</v>
      </c>
      <c r="E10" s="177">
        <v>0</v>
      </c>
      <c r="F10" s="177">
        <v>0</v>
      </c>
      <c r="G10" s="177">
        <v>0</v>
      </c>
      <c r="H10" s="177">
        <v>0</v>
      </c>
      <c r="I10" s="177">
        <v>0</v>
      </c>
      <c r="J10" s="177">
        <v>0</v>
      </c>
      <c r="K10" s="177">
        <v>0</v>
      </c>
      <c r="L10" s="177">
        <v>0</v>
      </c>
      <c r="M10" s="177">
        <v>0</v>
      </c>
      <c r="N10" s="177">
        <v>0</v>
      </c>
      <c r="O10" s="177">
        <v>0</v>
      </c>
      <c r="P10" s="177">
        <v>0</v>
      </c>
      <c r="Q10" s="177">
        <v>0</v>
      </c>
      <c r="R10" s="177">
        <v>0</v>
      </c>
      <c r="S10" s="177">
        <v>0</v>
      </c>
      <c r="T10" s="177">
        <v>0</v>
      </c>
      <c r="U10" s="177">
        <v>0</v>
      </c>
      <c r="V10" s="177">
        <v>0</v>
      </c>
      <c r="W10" s="177">
        <v>0</v>
      </c>
      <c r="X10" s="177">
        <v>0</v>
      </c>
      <c r="Y10" s="177"/>
      <c r="Z10" s="178"/>
      <c r="AA10" s="179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</row>
    <row r="11" spans="1:40" s="176" customFormat="1">
      <c r="A11" s="180"/>
      <c r="B11" s="181" t="s">
        <v>11</v>
      </c>
      <c r="C11" s="180" t="s">
        <v>395</v>
      </c>
      <c r="D11" s="177">
        <v>0</v>
      </c>
      <c r="E11" s="177">
        <v>0</v>
      </c>
      <c r="F11" s="177">
        <v>0</v>
      </c>
      <c r="G11" s="177">
        <v>0</v>
      </c>
      <c r="H11" s="177">
        <v>0</v>
      </c>
      <c r="I11" s="177">
        <v>0</v>
      </c>
      <c r="J11" s="177">
        <v>0</v>
      </c>
      <c r="K11" s="177">
        <v>0</v>
      </c>
      <c r="L11" s="177">
        <v>0</v>
      </c>
      <c r="M11" s="177">
        <v>0</v>
      </c>
      <c r="N11" s="177">
        <v>0</v>
      </c>
      <c r="O11" s="177">
        <v>0</v>
      </c>
      <c r="P11" s="177">
        <v>0</v>
      </c>
      <c r="Q11" s="177">
        <v>0</v>
      </c>
      <c r="R11" s="177">
        <v>0</v>
      </c>
      <c r="S11" s="177">
        <v>0</v>
      </c>
      <c r="T11" s="177">
        <v>0</v>
      </c>
      <c r="U11" s="177">
        <v>0</v>
      </c>
      <c r="V11" s="177">
        <v>0</v>
      </c>
      <c r="W11" s="177">
        <v>0</v>
      </c>
      <c r="X11" s="177">
        <v>0</v>
      </c>
      <c r="Y11" s="177"/>
      <c r="Z11" s="178"/>
      <c r="AA11" s="179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</row>
    <row r="12" spans="1:40" s="176" customFormat="1">
      <c r="A12" s="180"/>
      <c r="B12" s="181" t="s">
        <v>12</v>
      </c>
      <c r="C12" s="180" t="s">
        <v>395</v>
      </c>
      <c r="D12" s="177">
        <v>0</v>
      </c>
      <c r="E12" s="177">
        <v>0</v>
      </c>
      <c r="F12" s="177">
        <v>0</v>
      </c>
      <c r="G12" s="177">
        <v>0</v>
      </c>
      <c r="H12" s="177">
        <v>0</v>
      </c>
      <c r="I12" s="177">
        <v>0</v>
      </c>
      <c r="J12" s="177">
        <v>0</v>
      </c>
      <c r="K12" s="177">
        <v>0</v>
      </c>
      <c r="L12" s="177">
        <v>0</v>
      </c>
      <c r="M12" s="177">
        <v>0</v>
      </c>
      <c r="N12" s="177">
        <v>0</v>
      </c>
      <c r="O12" s="177">
        <v>0</v>
      </c>
      <c r="P12" s="177">
        <v>0</v>
      </c>
      <c r="Q12" s="177">
        <v>0</v>
      </c>
      <c r="R12" s="177">
        <v>0</v>
      </c>
      <c r="S12" s="177">
        <v>0</v>
      </c>
      <c r="T12" s="177">
        <v>0</v>
      </c>
      <c r="U12" s="177">
        <v>0</v>
      </c>
      <c r="V12" s="177">
        <v>0</v>
      </c>
      <c r="W12" s="177">
        <v>0</v>
      </c>
      <c r="X12" s="177">
        <v>0</v>
      </c>
      <c r="Y12" s="177"/>
      <c r="Z12" s="178"/>
      <c r="AA12" s="179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</row>
    <row r="13" spans="1:40" s="176" customFormat="1">
      <c r="A13" s="180"/>
      <c r="B13" s="181" t="s">
        <v>13</v>
      </c>
      <c r="C13" s="180" t="s">
        <v>395</v>
      </c>
      <c r="D13" s="177">
        <v>0</v>
      </c>
      <c r="E13" s="177">
        <v>0</v>
      </c>
      <c r="F13" s="177">
        <v>0</v>
      </c>
      <c r="G13" s="177">
        <v>0</v>
      </c>
      <c r="H13" s="177">
        <v>0</v>
      </c>
      <c r="I13" s="177">
        <v>0</v>
      </c>
      <c r="J13" s="177">
        <v>0</v>
      </c>
      <c r="K13" s="177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  <c r="U13" s="177">
        <v>0</v>
      </c>
      <c r="V13" s="177">
        <v>0</v>
      </c>
      <c r="W13" s="177">
        <v>0</v>
      </c>
      <c r="X13" s="177">
        <v>0</v>
      </c>
      <c r="Y13" s="177"/>
      <c r="Z13" s="178"/>
      <c r="AA13" s="179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</row>
    <row r="14" spans="1:40" s="176" customFormat="1">
      <c r="A14" s="180"/>
      <c r="B14" s="181" t="s">
        <v>14</v>
      </c>
      <c r="C14" s="180" t="s">
        <v>395</v>
      </c>
      <c r="D14" s="177">
        <v>0</v>
      </c>
      <c r="E14" s="177">
        <v>0</v>
      </c>
      <c r="F14" s="177">
        <v>0</v>
      </c>
      <c r="G14" s="177">
        <v>0</v>
      </c>
      <c r="H14" s="177">
        <v>0</v>
      </c>
      <c r="I14" s="177">
        <v>0</v>
      </c>
      <c r="J14" s="177">
        <v>0</v>
      </c>
      <c r="K14" s="177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  <c r="U14" s="177">
        <v>0</v>
      </c>
      <c r="V14" s="177">
        <v>0</v>
      </c>
      <c r="W14" s="177">
        <v>0</v>
      </c>
      <c r="X14" s="177">
        <v>0</v>
      </c>
      <c r="Y14" s="177"/>
      <c r="Z14" s="178"/>
      <c r="AA14" s="179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</row>
    <row r="15" spans="1:40" s="176" customFormat="1">
      <c r="A15" s="180"/>
      <c r="B15" s="181" t="s">
        <v>10</v>
      </c>
      <c r="C15" s="180" t="s">
        <v>347</v>
      </c>
      <c r="D15" s="177">
        <v>0</v>
      </c>
      <c r="E15" s="177">
        <v>0</v>
      </c>
      <c r="F15" s="177">
        <v>0</v>
      </c>
      <c r="G15" s="177">
        <v>0</v>
      </c>
      <c r="H15" s="177">
        <v>0</v>
      </c>
      <c r="I15" s="177">
        <v>0</v>
      </c>
      <c r="J15" s="177">
        <v>0</v>
      </c>
      <c r="K15" s="177">
        <v>0</v>
      </c>
      <c r="L15" s="177">
        <v>0</v>
      </c>
      <c r="M15" s="177">
        <v>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  <c r="U15" s="177">
        <v>0</v>
      </c>
      <c r="V15" s="177">
        <v>0</v>
      </c>
      <c r="W15" s="177">
        <v>0</v>
      </c>
      <c r="X15" s="177">
        <v>0</v>
      </c>
      <c r="Y15" s="177"/>
      <c r="Z15" s="178"/>
      <c r="AA15" s="179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</row>
    <row r="16" spans="1:40" s="188" customFormat="1">
      <c r="A16" s="182" t="s">
        <v>346</v>
      </c>
      <c r="B16" s="181" t="s">
        <v>15</v>
      </c>
      <c r="C16" s="183" t="s">
        <v>347</v>
      </c>
      <c r="D16" s="184">
        <f>'Total Fuel per Operation(Sugar)'!D4</f>
        <v>18666.666666666668</v>
      </c>
      <c r="E16" s="184">
        <f>'Total Fuel per Operation(Sugar)'!E4</f>
        <v>0</v>
      </c>
      <c r="F16" s="184">
        <f>'Total Fuel per Operation(Sugar)'!F4</f>
        <v>18666.666666666668</v>
      </c>
      <c r="G16" s="184">
        <f>'Total Fuel per Operation(Sugar)'!G4</f>
        <v>46040.775999999998</v>
      </c>
      <c r="H16" s="184">
        <f>'Total Fuel per Operation(Sugar)'!H4</f>
        <v>18666.666666666668</v>
      </c>
      <c r="I16" s="184">
        <f>'Total Fuel per Operation(Sugar)'!I4</f>
        <v>46040.775999999998</v>
      </c>
      <c r="J16" s="184">
        <f>'Total Fuel per Operation(Sugar)'!J4</f>
        <v>0</v>
      </c>
      <c r="K16" s="184">
        <f>'Total Fuel per Operation(Sugar)'!K4</f>
        <v>46040.775999999998</v>
      </c>
      <c r="L16" s="184">
        <f>'Total Fuel per Operation(Sugar)'!L4</f>
        <v>0</v>
      </c>
      <c r="M16" s="184">
        <f>'Total Fuel per Operation(Sugar)'!M4</f>
        <v>46040.775999999998</v>
      </c>
      <c r="N16" s="184">
        <f>'Total Fuel per Operation(Sugar)'!N4</f>
        <v>0</v>
      </c>
      <c r="O16" s="184">
        <f>'Total Fuel per Operation(Sugar)'!O4</f>
        <v>46040.775999999998</v>
      </c>
      <c r="P16" s="184">
        <f>'Total Fuel per Operation(Sugar)'!P4</f>
        <v>0</v>
      </c>
      <c r="Q16" s="184">
        <f>'Total Fuel per Operation(Sugar)'!Q4</f>
        <v>0</v>
      </c>
      <c r="R16" s="184">
        <f>'Total Fuel per Operation(Sugar)'!R4</f>
        <v>0</v>
      </c>
      <c r="S16" s="184">
        <f>'Total Fuel per Operation(Sugar)'!S4</f>
        <v>0</v>
      </c>
      <c r="T16" s="184">
        <f>'Total Fuel per Operation(Sugar)'!T4</f>
        <v>0</v>
      </c>
      <c r="U16" s="184">
        <f>'Total Fuel per Operation(Sugar)'!U4</f>
        <v>0</v>
      </c>
      <c r="V16" s="184">
        <f>'Total Fuel per Operation(Sugar)'!V4</f>
        <v>0</v>
      </c>
      <c r="W16" s="184">
        <f>'Total Fuel per Operation(Sugar)'!W4</f>
        <v>0</v>
      </c>
      <c r="X16" s="184">
        <f>'Total Fuel per Operation(Sugar)'!X4</f>
        <v>0</v>
      </c>
      <c r="Y16" s="184">
        <f>SUM(D16:X16)</f>
        <v>286203.88</v>
      </c>
      <c r="Z16" s="185">
        <v>115101.94</v>
      </c>
      <c r="AA16" s="186">
        <v>5</v>
      </c>
      <c r="AB16" s="187"/>
      <c r="AC16" s="184">
        <v>46040.775999999998</v>
      </c>
      <c r="AD16" s="184">
        <v>46040.775999999998</v>
      </c>
      <c r="AE16" s="184">
        <v>46040.775999999998</v>
      </c>
      <c r="AF16" s="184">
        <v>46040.775999999998</v>
      </c>
      <c r="AG16" s="184">
        <v>46040.775999999998</v>
      </c>
      <c r="AH16" s="187"/>
      <c r="AI16" s="187"/>
      <c r="AJ16" s="187"/>
      <c r="AK16" s="187"/>
      <c r="AL16" s="187"/>
      <c r="AM16" s="187"/>
      <c r="AN16" s="187">
        <v>230203.88</v>
      </c>
    </row>
    <row r="17" spans="1:40" s="188" customFormat="1">
      <c r="A17" s="182" t="s">
        <v>16</v>
      </c>
      <c r="B17" s="181" t="s">
        <v>16</v>
      </c>
      <c r="C17" s="183" t="s">
        <v>347</v>
      </c>
      <c r="D17" s="184">
        <f>'Total Fuel per Operation(Sugar)'!D5</f>
        <v>4800</v>
      </c>
      <c r="E17" s="184">
        <f>'Total Fuel per Operation(Sugar)'!E5</f>
        <v>13322.632000000001</v>
      </c>
      <c r="F17" s="184">
        <f>'Total Fuel per Operation(Sugar)'!F5</f>
        <v>4800</v>
      </c>
      <c r="G17" s="184">
        <f>'Total Fuel per Operation(Sugar)'!G5</f>
        <v>13322.632000000001</v>
      </c>
      <c r="H17" s="184">
        <f>'Total Fuel per Operation(Sugar)'!H5</f>
        <v>4800</v>
      </c>
      <c r="I17" s="184">
        <f>'Total Fuel per Operation(Sugar)'!I5</f>
        <v>13322.632000000001</v>
      </c>
      <c r="J17" s="184">
        <f>'Total Fuel per Operation(Sugar)'!J5</f>
        <v>0</v>
      </c>
      <c r="K17" s="184">
        <f>'Total Fuel per Operation(Sugar)'!K5</f>
        <v>13322.632000000001</v>
      </c>
      <c r="L17" s="184">
        <f>'Total Fuel per Operation(Sugar)'!L5</f>
        <v>0</v>
      </c>
      <c r="M17" s="184">
        <f>'Total Fuel per Operation(Sugar)'!M5</f>
        <v>13322.632000000001</v>
      </c>
      <c r="N17" s="184">
        <f>'Total Fuel per Operation(Sugar)'!N5</f>
        <v>0</v>
      </c>
      <c r="O17" s="184">
        <f>'Total Fuel per Operation(Sugar)'!O5</f>
        <v>13322.632000000001</v>
      </c>
      <c r="P17" s="184">
        <f>'Total Fuel per Operation(Sugar)'!P5</f>
        <v>0</v>
      </c>
      <c r="Q17" s="184">
        <f>'Total Fuel per Operation(Sugar)'!Q5</f>
        <v>0</v>
      </c>
      <c r="R17" s="184">
        <f>'Total Fuel per Operation(Sugar)'!R5</f>
        <v>0</v>
      </c>
      <c r="S17" s="184">
        <f>'Total Fuel per Operation(Sugar)'!S5</f>
        <v>0</v>
      </c>
      <c r="T17" s="184">
        <f>'Total Fuel per Operation(Sugar)'!T5</f>
        <v>0</v>
      </c>
      <c r="U17" s="184">
        <f>'Total Fuel per Operation(Sugar)'!U5</f>
        <v>0</v>
      </c>
      <c r="V17" s="184">
        <f>'Total Fuel per Operation(Sugar)'!V5</f>
        <v>0</v>
      </c>
      <c r="W17" s="184">
        <f>'Total Fuel per Operation(Sugar)'!W5</f>
        <v>0</v>
      </c>
      <c r="X17" s="184">
        <f>'Total Fuel per Operation(Sugar)'!X5</f>
        <v>0</v>
      </c>
      <c r="Y17" s="184">
        <f>SUM(D17:X17)</f>
        <v>94335.792000000001</v>
      </c>
      <c r="Z17" s="185">
        <v>33306.58</v>
      </c>
      <c r="AA17" s="186">
        <v>5</v>
      </c>
      <c r="AB17" s="184"/>
      <c r="AC17" s="184">
        <v>13322.632000000001</v>
      </c>
      <c r="AD17" s="184">
        <v>13322.632000000001</v>
      </c>
      <c r="AE17" s="184">
        <v>13322.632000000001</v>
      </c>
      <c r="AF17" s="184">
        <v>13322.632000000001</v>
      </c>
      <c r="AG17" s="184">
        <v>13322.632000000001</v>
      </c>
      <c r="AH17" s="187"/>
      <c r="AI17" s="187"/>
      <c r="AJ17" s="187"/>
      <c r="AK17" s="187"/>
      <c r="AL17" s="187"/>
      <c r="AM17" s="187"/>
      <c r="AN17" s="187">
        <v>66613.16</v>
      </c>
    </row>
    <row r="18" spans="1:40" s="188" customFormat="1">
      <c r="A18" s="182"/>
      <c r="B18" s="181" t="s">
        <v>17</v>
      </c>
      <c r="C18" s="183" t="s">
        <v>347</v>
      </c>
      <c r="D18" s="177">
        <v>0</v>
      </c>
      <c r="E18" s="177">
        <v>0</v>
      </c>
      <c r="F18" s="177">
        <v>0</v>
      </c>
      <c r="G18" s="177">
        <v>0</v>
      </c>
      <c r="H18" s="177">
        <v>0</v>
      </c>
      <c r="I18" s="177">
        <v>0</v>
      </c>
      <c r="J18" s="177">
        <v>0</v>
      </c>
      <c r="K18" s="177">
        <v>0</v>
      </c>
      <c r="L18" s="177">
        <v>0</v>
      </c>
      <c r="M18" s="177">
        <v>0</v>
      </c>
      <c r="N18" s="177">
        <v>0</v>
      </c>
      <c r="O18" s="177">
        <v>0</v>
      </c>
      <c r="P18" s="177">
        <v>0</v>
      </c>
      <c r="Q18" s="177">
        <v>0</v>
      </c>
      <c r="R18" s="177">
        <v>0</v>
      </c>
      <c r="S18" s="177">
        <v>0</v>
      </c>
      <c r="T18" s="177">
        <v>0</v>
      </c>
      <c r="U18" s="177">
        <v>0</v>
      </c>
      <c r="V18" s="177">
        <v>0</v>
      </c>
      <c r="W18" s="177">
        <v>0</v>
      </c>
      <c r="X18" s="177">
        <v>0</v>
      </c>
      <c r="Y18" s="184"/>
      <c r="Z18" s="185"/>
      <c r="AA18" s="186"/>
      <c r="AB18" s="184"/>
      <c r="AC18" s="184"/>
      <c r="AD18" s="184"/>
      <c r="AE18" s="184"/>
      <c r="AF18" s="184"/>
      <c r="AG18" s="184"/>
      <c r="AH18" s="187"/>
      <c r="AI18" s="187"/>
      <c r="AJ18" s="187"/>
      <c r="AK18" s="187"/>
      <c r="AL18" s="187"/>
      <c r="AM18" s="187"/>
      <c r="AN18" s="187"/>
    </row>
    <row r="19" spans="1:40" s="188" customFormat="1">
      <c r="A19" s="182"/>
      <c r="B19" s="181" t="s">
        <v>18</v>
      </c>
      <c r="C19" s="183" t="s">
        <v>347</v>
      </c>
      <c r="D19" s="177">
        <v>0</v>
      </c>
      <c r="E19" s="177">
        <v>0</v>
      </c>
      <c r="F19" s="177">
        <v>0</v>
      </c>
      <c r="G19" s="177">
        <v>0</v>
      </c>
      <c r="H19" s="177">
        <v>0</v>
      </c>
      <c r="I19" s="177">
        <v>0</v>
      </c>
      <c r="J19" s="177">
        <v>0</v>
      </c>
      <c r="K19" s="177">
        <v>0</v>
      </c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  <c r="U19" s="177">
        <v>0</v>
      </c>
      <c r="V19" s="177">
        <v>0</v>
      </c>
      <c r="W19" s="177">
        <v>0</v>
      </c>
      <c r="X19" s="177">
        <v>0</v>
      </c>
      <c r="Y19" s="184"/>
      <c r="Z19" s="185"/>
      <c r="AA19" s="186"/>
      <c r="AB19" s="184"/>
      <c r="AC19" s="184"/>
      <c r="AD19" s="184"/>
      <c r="AE19" s="184"/>
      <c r="AF19" s="184"/>
      <c r="AG19" s="184"/>
      <c r="AH19" s="187"/>
      <c r="AI19" s="187"/>
      <c r="AJ19" s="187"/>
      <c r="AK19" s="187"/>
      <c r="AL19" s="187"/>
      <c r="AM19" s="187"/>
      <c r="AN19" s="187"/>
    </row>
    <row r="20" spans="1:40" s="188" customFormat="1">
      <c r="A20" s="182"/>
      <c r="B20" s="181" t="s">
        <v>19</v>
      </c>
      <c r="C20" s="184" t="s">
        <v>348</v>
      </c>
      <c r="D20" s="177">
        <v>0</v>
      </c>
      <c r="E20" s="177">
        <v>0</v>
      </c>
      <c r="F20" s="177">
        <v>0</v>
      </c>
      <c r="G20" s="177">
        <v>0</v>
      </c>
      <c r="H20" s="177">
        <v>0</v>
      </c>
      <c r="I20" s="177">
        <v>0</v>
      </c>
      <c r="J20" s="177">
        <v>0</v>
      </c>
      <c r="K20" s="177">
        <v>0</v>
      </c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  <c r="U20" s="177">
        <v>0</v>
      </c>
      <c r="V20" s="177">
        <v>0</v>
      </c>
      <c r="W20" s="177">
        <v>0</v>
      </c>
      <c r="X20" s="177">
        <v>0</v>
      </c>
      <c r="Y20" s="184"/>
      <c r="Z20" s="185"/>
      <c r="AA20" s="186"/>
      <c r="AB20" s="184"/>
      <c r="AC20" s="184"/>
      <c r="AD20" s="184"/>
      <c r="AE20" s="184"/>
      <c r="AF20" s="184"/>
      <c r="AG20" s="184"/>
      <c r="AH20" s="187"/>
      <c r="AI20" s="187"/>
      <c r="AJ20" s="187"/>
      <c r="AK20" s="187"/>
      <c r="AL20" s="187"/>
      <c r="AM20" s="187"/>
      <c r="AN20" s="187"/>
    </row>
    <row r="21" spans="1:40" s="188" customFormat="1">
      <c r="A21" s="182"/>
      <c r="B21" s="181" t="s">
        <v>20</v>
      </c>
      <c r="C21" s="184" t="s">
        <v>348</v>
      </c>
      <c r="D21" s="177">
        <v>0</v>
      </c>
      <c r="E21" s="177">
        <v>0</v>
      </c>
      <c r="F21" s="177">
        <v>0</v>
      </c>
      <c r="G21" s="177">
        <v>0</v>
      </c>
      <c r="H21" s="177">
        <v>0</v>
      </c>
      <c r="I21" s="177">
        <v>0</v>
      </c>
      <c r="J21" s="177">
        <v>0</v>
      </c>
      <c r="K21" s="177">
        <v>0</v>
      </c>
      <c r="L21" s="177">
        <v>0</v>
      </c>
      <c r="M21" s="177">
        <v>0</v>
      </c>
      <c r="N21" s="177">
        <v>0</v>
      </c>
      <c r="O21" s="177">
        <v>0</v>
      </c>
      <c r="P21" s="177">
        <v>0</v>
      </c>
      <c r="Q21" s="177">
        <v>0</v>
      </c>
      <c r="R21" s="177">
        <v>0</v>
      </c>
      <c r="S21" s="177">
        <v>0</v>
      </c>
      <c r="T21" s="177">
        <v>0</v>
      </c>
      <c r="U21" s="177">
        <v>0</v>
      </c>
      <c r="V21" s="177">
        <v>0</v>
      </c>
      <c r="W21" s="177">
        <v>0</v>
      </c>
      <c r="X21" s="177">
        <v>0</v>
      </c>
      <c r="Y21" s="184"/>
      <c r="Z21" s="185"/>
      <c r="AA21" s="186"/>
      <c r="AB21" s="184"/>
      <c r="AC21" s="184"/>
      <c r="AD21" s="184"/>
      <c r="AE21" s="184"/>
      <c r="AF21" s="184"/>
      <c r="AG21" s="184"/>
      <c r="AH21" s="187"/>
      <c r="AI21" s="187"/>
      <c r="AJ21" s="187"/>
      <c r="AK21" s="187"/>
      <c r="AL21" s="187"/>
      <c r="AM21" s="187"/>
      <c r="AN21" s="187"/>
    </row>
    <row r="22" spans="1:40" s="188" customFormat="1">
      <c r="A22" s="182"/>
      <c r="B22" s="181" t="s">
        <v>21</v>
      </c>
      <c r="C22" s="184" t="s">
        <v>348</v>
      </c>
      <c r="D22" s="177">
        <v>0</v>
      </c>
      <c r="E22" s="177">
        <v>0</v>
      </c>
      <c r="F22" s="177">
        <v>0</v>
      </c>
      <c r="G22" s="177">
        <v>0</v>
      </c>
      <c r="H22" s="177">
        <v>0</v>
      </c>
      <c r="I22" s="177">
        <v>0</v>
      </c>
      <c r="J22" s="177">
        <v>0</v>
      </c>
      <c r="K22" s="177">
        <v>0</v>
      </c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  <c r="U22" s="177">
        <v>0</v>
      </c>
      <c r="V22" s="177">
        <v>0</v>
      </c>
      <c r="W22" s="177">
        <v>0</v>
      </c>
      <c r="X22" s="177">
        <v>0</v>
      </c>
      <c r="Y22" s="184"/>
      <c r="Z22" s="185"/>
      <c r="AA22" s="186"/>
      <c r="AB22" s="184"/>
      <c r="AC22" s="184"/>
      <c r="AD22" s="184"/>
      <c r="AE22" s="184"/>
      <c r="AF22" s="184"/>
      <c r="AG22" s="184"/>
      <c r="AH22" s="187"/>
      <c r="AI22" s="187"/>
      <c r="AJ22" s="187"/>
      <c r="AK22" s="187"/>
      <c r="AL22" s="187"/>
      <c r="AM22" s="187"/>
      <c r="AN22" s="187"/>
    </row>
    <row r="23" spans="1:40" s="188" customFormat="1">
      <c r="A23" s="182"/>
      <c r="B23" s="181" t="s">
        <v>22</v>
      </c>
      <c r="C23" s="184" t="s">
        <v>348</v>
      </c>
      <c r="D23" s="177">
        <v>0</v>
      </c>
      <c r="E23" s="177">
        <v>0</v>
      </c>
      <c r="F23" s="177">
        <v>0</v>
      </c>
      <c r="G23" s="177">
        <v>0</v>
      </c>
      <c r="H23" s="177">
        <v>0</v>
      </c>
      <c r="I23" s="177">
        <v>0</v>
      </c>
      <c r="J23" s="177">
        <v>0</v>
      </c>
      <c r="K23" s="177">
        <v>0</v>
      </c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  <c r="U23" s="177">
        <v>0</v>
      </c>
      <c r="V23" s="177">
        <v>0</v>
      </c>
      <c r="W23" s="177">
        <v>0</v>
      </c>
      <c r="X23" s="177">
        <v>0</v>
      </c>
      <c r="Y23" s="184"/>
      <c r="Z23" s="185"/>
      <c r="AA23" s="186"/>
      <c r="AB23" s="184"/>
      <c r="AC23" s="184"/>
      <c r="AD23" s="184"/>
      <c r="AE23" s="184"/>
      <c r="AF23" s="184"/>
      <c r="AG23" s="184"/>
      <c r="AH23" s="187"/>
      <c r="AI23" s="187"/>
      <c r="AJ23" s="187"/>
      <c r="AK23" s="187"/>
      <c r="AL23" s="187"/>
      <c r="AM23" s="187"/>
      <c r="AN23" s="187"/>
    </row>
    <row r="24" spans="1:40" s="188" customFormat="1">
      <c r="A24" s="182" t="s">
        <v>23</v>
      </c>
      <c r="B24" s="181" t="s">
        <v>23</v>
      </c>
      <c r="C24" s="184" t="s">
        <v>348</v>
      </c>
      <c r="D24" s="184">
        <f>'Total Fuel per Operation(Sugar)'!D7</f>
        <v>9184</v>
      </c>
      <c r="E24" s="184">
        <f>'Total Fuel per Operation(Sugar)'!E7</f>
        <v>40387.106666666667</v>
      </c>
      <c r="F24" s="184">
        <f>'Total Fuel per Operation(Sugar)'!F7</f>
        <v>9184</v>
      </c>
      <c r="G24" s="184">
        <f>'Total Fuel per Operation(Sugar)'!G7</f>
        <v>40387.106666666667</v>
      </c>
      <c r="H24" s="184">
        <f>'Total Fuel per Operation(Sugar)'!H7</f>
        <v>9184</v>
      </c>
      <c r="I24" s="184">
        <f>'Total Fuel per Operation(Sugar)'!I7</f>
        <v>0</v>
      </c>
      <c r="J24" s="184">
        <f>'Total Fuel per Operation(Sugar)'!J7</f>
        <v>0</v>
      </c>
      <c r="K24" s="184">
        <f>'Total Fuel per Operation(Sugar)'!K7</f>
        <v>0</v>
      </c>
      <c r="L24" s="184">
        <f>'Total Fuel per Operation(Sugar)'!L7</f>
        <v>0</v>
      </c>
      <c r="M24" s="184">
        <f>'Total Fuel per Operation(Sugar)'!M7</f>
        <v>0</v>
      </c>
      <c r="N24" s="184">
        <f>'Total Fuel per Operation(Sugar)'!N7</f>
        <v>0</v>
      </c>
      <c r="O24" s="184">
        <f>'Total Fuel per Operation(Sugar)'!O7</f>
        <v>0</v>
      </c>
      <c r="P24" s="184">
        <f>'Total Fuel per Operation(Sugar)'!P7</f>
        <v>0</v>
      </c>
      <c r="Q24" s="184">
        <f>'Total Fuel per Operation(Sugar)'!Q7</f>
        <v>0</v>
      </c>
      <c r="R24" s="184">
        <f>'Total Fuel per Operation(Sugar)'!R7</f>
        <v>0</v>
      </c>
      <c r="S24" s="184">
        <f>'Total Fuel per Operation(Sugar)'!S7</f>
        <v>0</v>
      </c>
      <c r="T24" s="184">
        <f>'Total Fuel per Operation(Sugar)'!T7</f>
        <v>0</v>
      </c>
      <c r="U24" s="184">
        <f>'Total Fuel per Operation(Sugar)'!U7</f>
        <v>9184</v>
      </c>
      <c r="V24" s="184">
        <f>'Total Fuel per Operation(Sugar)'!V7</f>
        <v>0</v>
      </c>
      <c r="W24" s="184">
        <f>'Total Fuel per Operation(Sugar)'!W7</f>
        <v>9184</v>
      </c>
      <c r="X24" s="184">
        <f>'Total Fuel per Operation(Sugar)'!X7</f>
        <v>40387.106666666667</v>
      </c>
      <c r="Y24" s="184">
        <f>SUM(D24:X24)</f>
        <v>167081.32</v>
      </c>
      <c r="Z24" s="185">
        <v>60580.66</v>
      </c>
      <c r="AA24" s="186">
        <v>3</v>
      </c>
      <c r="AB24" s="184">
        <v>40387.106666666667</v>
      </c>
      <c r="AC24" s="184">
        <v>40387.106666666667</v>
      </c>
      <c r="AD24" s="187"/>
      <c r="AE24" s="187"/>
      <c r="AF24" s="189"/>
      <c r="AG24" s="187"/>
      <c r="AH24" s="187"/>
      <c r="AI24" s="187"/>
      <c r="AJ24" s="187"/>
      <c r="AK24" s="187"/>
      <c r="AL24" s="187"/>
      <c r="AM24" s="184">
        <v>40387.106666666667</v>
      </c>
      <c r="AN24" s="187">
        <v>121161.32</v>
      </c>
    </row>
    <row r="25" spans="1:40" s="188" customFormat="1">
      <c r="A25" s="182" t="s">
        <v>24</v>
      </c>
      <c r="B25" s="181" t="s">
        <v>24</v>
      </c>
      <c r="C25" s="184" t="s">
        <v>348</v>
      </c>
      <c r="D25" s="184">
        <f>'Total Fuel per Operation(Sugar)'!D6</f>
        <v>21305.600000000002</v>
      </c>
      <c r="E25" s="184">
        <f>'Total Fuel per Operation(Sugar)'!E6</f>
        <v>194530.86666666667</v>
      </c>
      <c r="F25" s="184">
        <f>'Total Fuel per Operation(Sugar)'!F6</f>
        <v>21305.600000000002</v>
      </c>
      <c r="G25" s="184">
        <f>'Total Fuel per Operation(Sugar)'!G6</f>
        <v>194530.86666666667</v>
      </c>
      <c r="H25" s="184">
        <f>'Total Fuel per Operation(Sugar)'!H6</f>
        <v>21305.600000000002</v>
      </c>
      <c r="I25" s="184">
        <f>'Total Fuel per Operation(Sugar)'!I6</f>
        <v>0</v>
      </c>
      <c r="J25" s="184">
        <f>'Total Fuel per Operation(Sugar)'!J6</f>
        <v>0</v>
      </c>
      <c r="K25" s="184">
        <f>'Total Fuel per Operation(Sugar)'!K6</f>
        <v>0</v>
      </c>
      <c r="L25" s="184">
        <f>'Total Fuel per Operation(Sugar)'!L6</f>
        <v>0</v>
      </c>
      <c r="M25" s="184">
        <f>'Total Fuel per Operation(Sugar)'!M6</f>
        <v>0</v>
      </c>
      <c r="N25" s="184">
        <f>'Total Fuel per Operation(Sugar)'!N6</f>
        <v>0</v>
      </c>
      <c r="O25" s="184">
        <f>'Total Fuel per Operation(Sugar)'!O6</f>
        <v>0</v>
      </c>
      <c r="P25" s="184">
        <f>'Total Fuel per Operation(Sugar)'!P6</f>
        <v>0</v>
      </c>
      <c r="Q25" s="184">
        <f>'Total Fuel per Operation(Sugar)'!Q6</f>
        <v>0</v>
      </c>
      <c r="R25" s="184">
        <f>'Total Fuel per Operation(Sugar)'!R6</f>
        <v>0</v>
      </c>
      <c r="S25" s="184">
        <f>'Total Fuel per Operation(Sugar)'!S6</f>
        <v>0</v>
      </c>
      <c r="T25" s="184">
        <f>'Total Fuel per Operation(Sugar)'!T6</f>
        <v>0</v>
      </c>
      <c r="U25" s="184">
        <f>'Total Fuel per Operation(Sugar)'!U6</f>
        <v>21305.600000000002</v>
      </c>
      <c r="V25" s="184">
        <f>'Total Fuel per Operation(Sugar)'!V6</f>
        <v>0</v>
      </c>
      <c r="W25" s="184">
        <f>'Total Fuel per Operation(Sugar)'!W6</f>
        <v>21305.600000000002</v>
      </c>
      <c r="X25" s="184">
        <f>'Total Fuel per Operation(Sugar)'!X6</f>
        <v>194530.86666666667</v>
      </c>
      <c r="Y25" s="184">
        <f>SUM(D25:X25)</f>
        <v>690120.6</v>
      </c>
      <c r="Z25" s="185">
        <v>291796.3</v>
      </c>
      <c r="AA25" s="186">
        <v>3</v>
      </c>
      <c r="AB25" s="184">
        <v>194530.86666666667</v>
      </c>
      <c r="AC25" s="184">
        <v>194530.86666666667</v>
      </c>
      <c r="AD25" s="187"/>
      <c r="AE25" s="187"/>
      <c r="AF25" s="189"/>
      <c r="AG25" s="187"/>
      <c r="AH25" s="187"/>
      <c r="AI25" s="187"/>
      <c r="AJ25" s="187"/>
      <c r="AK25" s="187"/>
      <c r="AL25" s="187"/>
      <c r="AM25" s="184">
        <v>194530.86666666667</v>
      </c>
      <c r="AN25" s="187">
        <v>583592.6</v>
      </c>
    </row>
    <row r="26" spans="1:40">
      <c r="A26" s="190"/>
      <c r="B26" s="181" t="s">
        <v>25</v>
      </c>
      <c r="C26" s="184" t="s">
        <v>348</v>
      </c>
      <c r="D26" s="177">
        <v>0</v>
      </c>
      <c r="E26" s="177">
        <v>0</v>
      </c>
      <c r="F26" s="177">
        <v>0</v>
      </c>
      <c r="G26" s="177">
        <v>0</v>
      </c>
      <c r="H26" s="177">
        <v>0</v>
      </c>
      <c r="I26" s="177">
        <v>0</v>
      </c>
      <c r="J26" s="177">
        <v>0</v>
      </c>
      <c r="K26" s="177">
        <v>0</v>
      </c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  <c r="U26" s="177">
        <v>0</v>
      </c>
      <c r="V26" s="177">
        <v>0</v>
      </c>
      <c r="W26" s="177">
        <v>0</v>
      </c>
      <c r="X26" s="177">
        <v>0</v>
      </c>
      <c r="Y26" s="191"/>
      <c r="Z26" s="191"/>
      <c r="AA26" s="192"/>
      <c r="AB26" s="193"/>
      <c r="AC26" s="193"/>
      <c r="AD26" s="194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</row>
    <row r="27" spans="1:40" s="188" customFormat="1">
      <c r="A27" s="182" t="s">
        <v>392</v>
      </c>
      <c r="B27" s="181" t="s">
        <v>64</v>
      </c>
      <c r="C27" s="184" t="s">
        <v>350</v>
      </c>
      <c r="D27" s="184">
        <f>'Total Fuel per Operation(Sugar)'!D8+'Total Fuel per Operation(Sugar)'!D9</f>
        <v>56246.03428571429</v>
      </c>
      <c r="E27" s="184">
        <f>'Total Fuel per Operation(Sugar)'!E8+'Total Fuel per Operation(Sugar)'!E9</f>
        <v>426926.03333333333</v>
      </c>
      <c r="F27" s="184">
        <f>'Total Fuel per Operation(Sugar)'!F8+'Total Fuel per Operation(Sugar)'!F9</f>
        <v>56246.03428571429</v>
      </c>
      <c r="G27" s="184">
        <f>'Total Fuel per Operation(Sugar)'!G8+'Total Fuel per Operation(Sugar)'!G9</f>
        <v>426926.03333333333</v>
      </c>
      <c r="H27" s="184">
        <f>'Total Fuel per Operation(Sugar)'!H8+'Total Fuel per Operation(Sugar)'!H9</f>
        <v>56246.03428571429</v>
      </c>
      <c r="I27" s="184">
        <f>'Total Fuel per Operation(Sugar)'!I8+'Total Fuel per Operation(Sugar)'!I9</f>
        <v>426926.03333333333</v>
      </c>
      <c r="J27" s="184">
        <f>'Total Fuel per Operation(Sugar)'!J8+'Total Fuel per Operation(Sugar)'!J9</f>
        <v>56246.03428571429</v>
      </c>
      <c r="K27" s="184">
        <f>'Total Fuel per Operation(Sugar)'!K8+'Total Fuel per Operation(Sugar)'!K9</f>
        <v>426926.03333333333</v>
      </c>
      <c r="L27" s="184">
        <f>'Total Fuel per Operation(Sugar)'!L8+'Total Fuel per Operation(Sugar)'!L9</f>
        <v>56246.03428571429</v>
      </c>
      <c r="M27" s="184">
        <f>'Total Fuel per Operation(Sugar)'!M8+'Total Fuel per Operation(Sugar)'!M9</f>
        <v>0</v>
      </c>
      <c r="N27" s="184">
        <f>'Total Fuel per Operation(Sugar)'!N8+'Total Fuel per Operation(Sugar)'!N9</f>
        <v>0</v>
      </c>
      <c r="O27" s="184">
        <f>'Total Fuel per Operation(Sugar)'!O8+'Total Fuel per Operation(Sugar)'!O9</f>
        <v>0</v>
      </c>
      <c r="P27" s="184">
        <f>'Total Fuel per Operation(Sugar)'!P8+'Total Fuel per Operation(Sugar)'!P9</f>
        <v>0</v>
      </c>
      <c r="Q27" s="184">
        <f>'Total Fuel per Operation(Sugar)'!Q8+'Total Fuel per Operation(Sugar)'!Q9</f>
        <v>0</v>
      </c>
      <c r="R27" s="184">
        <f>'Total Fuel per Operation(Sugar)'!R8+'Total Fuel per Operation(Sugar)'!R9</f>
        <v>0</v>
      </c>
      <c r="S27" s="184">
        <f>'Total Fuel per Operation(Sugar)'!S8+'Total Fuel per Operation(Sugar)'!S9</f>
        <v>0</v>
      </c>
      <c r="T27" s="184">
        <f>'Total Fuel per Operation(Sugar)'!T8+'Total Fuel per Operation(Sugar)'!T9</f>
        <v>0</v>
      </c>
      <c r="U27" s="184">
        <f>'Total Fuel per Operation(Sugar)'!U8+'Total Fuel per Operation(Sugar)'!U9</f>
        <v>56246.03428571429</v>
      </c>
      <c r="V27" s="184">
        <f>'Total Fuel per Operation(Sugar)'!V8+'Total Fuel per Operation(Sugar)'!V9</f>
        <v>198450.72333333336</v>
      </c>
      <c r="W27" s="184">
        <f>'Total Fuel per Operation(Sugar)'!W8+'Total Fuel per Operation(Sugar)'!W9</f>
        <v>56246.03428571429</v>
      </c>
      <c r="X27" s="184">
        <f>'Total Fuel per Operation(Sugar)'!X8+'Total Fuel per Operation(Sugar)'!X9</f>
        <v>198450.72333333336</v>
      </c>
      <c r="Y27" s="184">
        <f>SUM(D27:X27)</f>
        <v>2498327.8199999998</v>
      </c>
      <c r="Z27" s="185">
        <v>456950.62</v>
      </c>
      <c r="AA27" s="186">
        <v>4</v>
      </c>
      <c r="AB27" s="184">
        <v>228475.31</v>
      </c>
      <c r="AC27" s="184">
        <v>228475.31</v>
      </c>
      <c r="AD27" s="184">
        <v>228475.31</v>
      </c>
      <c r="AE27" s="184">
        <v>228475.31</v>
      </c>
      <c r="AF27" s="189"/>
      <c r="AG27" s="187"/>
      <c r="AH27" s="187"/>
      <c r="AI27" s="187"/>
      <c r="AJ27" s="187"/>
      <c r="AK27" s="187"/>
      <c r="AL27" s="187"/>
      <c r="AM27" s="187"/>
      <c r="AN27" s="187">
        <v>913901.24</v>
      </c>
    </row>
    <row r="28" spans="1:40" s="188" customFormat="1">
      <c r="A28" s="182"/>
      <c r="B28" s="181" t="s">
        <v>72</v>
      </c>
      <c r="C28" s="184" t="s">
        <v>350</v>
      </c>
      <c r="D28" s="177">
        <v>0</v>
      </c>
      <c r="E28" s="177">
        <v>0</v>
      </c>
      <c r="F28" s="177">
        <v>0</v>
      </c>
      <c r="G28" s="177">
        <v>0</v>
      </c>
      <c r="H28" s="177">
        <v>0</v>
      </c>
      <c r="I28" s="177">
        <v>0</v>
      </c>
      <c r="J28" s="177">
        <v>0</v>
      </c>
      <c r="K28" s="177">
        <v>0</v>
      </c>
      <c r="L28" s="177">
        <v>0</v>
      </c>
      <c r="M28" s="177">
        <v>0</v>
      </c>
      <c r="N28" s="177">
        <v>0</v>
      </c>
      <c r="O28" s="177">
        <v>0</v>
      </c>
      <c r="P28" s="177">
        <v>0</v>
      </c>
      <c r="Q28" s="177">
        <v>0</v>
      </c>
      <c r="R28" s="177">
        <v>0</v>
      </c>
      <c r="S28" s="177">
        <v>0</v>
      </c>
      <c r="T28" s="177">
        <v>0</v>
      </c>
      <c r="U28" s="177">
        <v>0</v>
      </c>
      <c r="V28" s="177">
        <v>0</v>
      </c>
      <c r="W28" s="177">
        <v>0</v>
      </c>
      <c r="X28" s="177">
        <v>0</v>
      </c>
      <c r="Y28" s="184"/>
      <c r="Z28" s="185"/>
      <c r="AA28" s="186"/>
      <c r="AB28" s="184"/>
      <c r="AC28" s="184"/>
      <c r="AD28" s="184"/>
      <c r="AE28" s="184"/>
      <c r="AF28" s="189"/>
      <c r="AG28" s="187"/>
      <c r="AH28" s="187"/>
      <c r="AI28" s="187"/>
      <c r="AJ28" s="187"/>
      <c r="AK28" s="187"/>
      <c r="AL28" s="187"/>
      <c r="AM28" s="187"/>
      <c r="AN28" s="187"/>
    </row>
    <row r="29" spans="1:40" s="188" customFormat="1">
      <c r="A29" s="182"/>
      <c r="B29" s="181" t="s">
        <v>26</v>
      </c>
      <c r="C29" s="184" t="s">
        <v>350</v>
      </c>
      <c r="D29" s="177">
        <v>0</v>
      </c>
      <c r="E29" s="177">
        <v>0</v>
      </c>
      <c r="F29" s="177">
        <v>0</v>
      </c>
      <c r="G29" s="177">
        <v>0</v>
      </c>
      <c r="H29" s="177">
        <v>0</v>
      </c>
      <c r="I29" s="177">
        <v>0</v>
      </c>
      <c r="J29" s="177">
        <v>0</v>
      </c>
      <c r="K29" s="177">
        <v>0</v>
      </c>
      <c r="L29" s="177">
        <v>0</v>
      </c>
      <c r="M29" s="177">
        <v>0</v>
      </c>
      <c r="N29" s="177">
        <v>0</v>
      </c>
      <c r="O29" s="177">
        <v>0</v>
      </c>
      <c r="P29" s="177">
        <v>0</v>
      </c>
      <c r="Q29" s="177">
        <v>0</v>
      </c>
      <c r="R29" s="177">
        <v>0</v>
      </c>
      <c r="S29" s="177">
        <v>0</v>
      </c>
      <c r="T29" s="177">
        <v>0</v>
      </c>
      <c r="U29" s="177">
        <v>0</v>
      </c>
      <c r="V29" s="177">
        <v>0</v>
      </c>
      <c r="W29" s="177">
        <v>0</v>
      </c>
      <c r="X29" s="177">
        <v>0</v>
      </c>
      <c r="Y29" s="184"/>
      <c r="Z29" s="185"/>
      <c r="AA29" s="186"/>
      <c r="AB29" s="184"/>
      <c r="AC29" s="184"/>
      <c r="AD29" s="184"/>
      <c r="AE29" s="184"/>
      <c r="AF29" s="189"/>
      <c r="AG29" s="187"/>
      <c r="AH29" s="187"/>
      <c r="AI29" s="187"/>
      <c r="AJ29" s="187"/>
      <c r="AK29" s="187"/>
      <c r="AL29" s="187"/>
      <c r="AM29" s="187"/>
      <c r="AN29" s="187"/>
    </row>
    <row r="30" spans="1:40" s="188" customFormat="1">
      <c r="A30" s="182"/>
      <c r="B30" s="181" t="s">
        <v>57</v>
      </c>
      <c r="C30" s="184" t="s">
        <v>350</v>
      </c>
      <c r="D30" s="177">
        <v>0</v>
      </c>
      <c r="E30" s="177">
        <v>0</v>
      </c>
      <c r="F30" s="177">
        <v>0</v>
      </c>
      <c r="G30" s="177">
        <v>0</v>
      </c>
      <c r="H30" s="177">
        <v>0</v>
      </c>
      <c r="I30" s="177">
        <v>0</v>
      </c>
      <c r="J30" s="177">
        <v>0</v>
      </c>
      <c r="K30" s="177">
        <v>0</v>
      </c>
      <c r="L30" s="177">
        <v>0</v>
      </c>
      <c r="M30" s="177">
        <v>0</v>
      </c>
      <c r="N30" s="177">
        <v>0</v>
      </c>
      <c r="O30" s="177">
        <v>0</v>
      </c>
      <c r="P30" s="177">
        <v>0</v>
      </c>
      <c r="Q30" s="177">
        <v>0</v>
      </c>
      <c r="R30" s="177">
        <v>0</v>
      </c>
      <c r="S30" s="177">
        <v>0</v>
      </c>
      <c r="T30" s="177">
        <v>0</v>
      </c>
      <c r="U30" s="177">
        <v>0</v>
      </c>
      <c r="V30" s="177">
        <v>0</v>
      </c>
      <c r="W30" s="177">
        <v>0</v>
      </c>
      <c r="X30" s="177">
        <v>0</v>
      </c>
      <c r="Y30" s="184"/>
      <c r="Z30" s="185"/>
      <c r="AA30" s="186"/>
      <c r="AB30" s="184"/>
      <c r="AC30" s="184"/>
      <c r="AD30" s="184"/>
      <c r="AE30" s="184"/>
      <c r="AF30" s="189"/>
      <c r="AG30" s="187"/>
      <c r="AH30" s="187"/>
      <c r="AI30" s="187"/>
      <c r="AJ30" s="187"/>
      <c r="AK30" s="187"/>
      <c r="AL30" s="187"/>
      <c r="AM30" s="187"/>
      <c r="AN30" s="187"/>
    </row>
    <row r="31" spans="1:40" s="188" customFormat="1">
      <c r="A31" s="182"/>
      <c r="B31" s="181" t="s">
        <v>74</v>
      </c>
      <c r="C31" s="184" t="s">
        <v>350</v>
      </c>
      <c r="D31" s="177">
        <v>0</v>
      </c>
      <c r="E31" s="177">
        <v>0</v>
      </c>
      <c r="F31" s="177">
        <v>0</v>
      </c>
      <c r="G31" s="177">
        <v>0</v>
      </c>
      <c r="H31" s="177">
        <v>0</v>
      </c>
      <c r="I31" s="177">
        <v>0</v>
      </c>
      <c r="J31" s="177">
        <v>0</v>
      </c>
      <c r="K31" s="177">
        <v>0</v>
      </c>
      <c r="L31" s="177">
        <v>0</v>
      </c>
      <c r="M31" s="177">
        <v>0</v>
      </c>
      <c r="N31" s="177">
        <v>0</v>
      </c>
      <c r="O31" s="177">
        <v>0</v>
      </c>
      <c r="P31" s="177">
        <v>0</v>
      </c>
      <c r="Q31" s="177">
        <v>0</v>
      </c>
      <c r="R31" s="177">
        <v>0</v>
      </c>
      <c r="S31" s="177">
        <v>0</v>
      </c>
      <c r="T31" s="177">
        <v>0</v>
      </c>
      <c r="U31" s="177">
        <v>0</v>
      </c>
      <c r="V31" s="177">
        <v>0</v>
      </c>
      <c r="W31" s="177">
        <v>0</v>
      </c>
      <c r="X31" s="177">
        <v>0</v>
      </c>
      <c r="Y31" s="184"/>
      <c r="Z31" s="185"/>
      <c r="AA31" s="186"/>
      <c r="AB31" s="184"/>
      <c r="AC31" s="184"/>
      <c r="AD31" s="184"/>
      <c r="AE31" s="184"/>
      <c r="AF31" s="189"/>
      <c r="AG31" s="187"/>
      <c r="AH31" s="187"/>
      <c r="AI31" s="187"/>
      <c r="AJ31" s="187"/>
      <c r="AK31" s="187"/>
      <c r="AL31" s="187"/>
      <c r="AM31" s="187"/>
      <c r="AN31" s="187"/>
    </row>
    <row r="32" spans="1:40" s="188" customFormat="1">
      <c r="A32" s="182"/>
      <c r="B32" s="181" t="s">
        <v>27</v>
      </c>
      <c r="C32" s="184" t="s">
        <v>299</v>
      </c>
      <c r="D32" s="177">
        <v>0</v>
      </c>
      <c r="E32" s="177">
        <v>0</v>
      </c>
      <c r="F32" s="177">
        <v>0</v>
      </c>
      <c r="G32" s="177">
        <v>0</v>
      </c>
      <c r="H32" s="177">
        <v>0</v>
      </c>
      <c r="I32" s="177">
        <v>0</v>
      </c>
      <c r="J32" s="177">
        <v>0</v>
      </c>
      <c r="K32" s="177">
        <v>0</v>
      </c>
      <c r="L32" s="177">
        <v>0</v>
      </c>
      <c r="M32" s="177">
        <v>0</v>
      </c>
      <c r="N32" s="177">
        <v>0</v>
      </c>
      <c r="O32" s="177">
        <v>0</v>
      </c>
      <c r="P32" s="177">
        <v>0</v>
      </c>
      <c r="Q32" s="177">
        <v>0</v>
      </c>
      <c r="R32" s="177">
        <v>0</v>
      </c>
      <c r="S32" s="177">
        <v>0</v>
      </c>
      <c r="T32" s="177">
        <v>0</v>
      </c>
      <c r="U32" s="177">
        <v>0</v>
      </c>
      <c r="V32" s="177">
        <v>0</v>
      </c>
      <c r="W32" s="177">
        <v>0</v>
      </c>
      <c r="X32" s="177">
        <v>0</v>
      </c>
      <c r="Y32" s="184"/>
      <c r="Z32" s="185"/>
      <c r="AA32" s="186"/>
      <c r="AB32" s="184"/>
      <c r="AC32" s="184"/>
      <c r="AD32" s="184"/>
      <c r="AE32" s="184"/>
      <c r="AF32" s="189"/>
      <c r="AG32" s="187"/>
      <c r="AH32" s="187"/>
      <c r="AI32" s="187"/>
      <c r="AJ32" s="187"/>
      <c r="AK32" s="187"/>
      <c r="AL32" s="187"/>
      <c r="AM32" s="187"/>
      <c r="AN32" s="187"/>
    </row>
    <row r="33" spans="1:40" s="188" customFormat="1">
      <c r="A33" s="182"/>
      <c r="B33" s="181" t="s">
        <v>28</v>
      </c>
      <c r="C33" s="184" t="s">
        <v>299</v>
      </c>
      <c r="D33" s="177">
        <v>0</v>
      </c>
      <c r="E33" s="177">
        <v>0</v>
      </c>
      <c r="F33" s="177">
        <v>0</v>
      </c>
      <c r="G33" s="177">
        <v>0</v>
      </c>
      <c r="H33" s="177">
        <v>0</v>
      </c>
      <c r="I33" s="177">
        <v>0</v>
      </c>
      <c r="J33" s="177">
        <v>0</v>
      </c>
      <c r="K33" s="177">
        <v>0</v>
      </c>
      <c r="L33" s="177">
        <v>0</v>
      </c>
      <c r="M33" s="177">
        <v>0</v>
      </c>
      <c r="N33" s="177">
        <v>0</v>
      </c>
      <c r="O33" s="177">
        <v>0</v>
      </c>
      <c r="P33" s="177">
        <v>0</v>
      </c>
      <c r="Q33" s="177">
        <v>0</v>
      </c>
      <c r="R33" s="177">
        <v>0</v>
      </c>
      <c r="S33" s="177">
        <v>0</v>
      </c>
      <c r="T33" s="177">
        <v>0</v>
      </c>
      <c r="U33" s="177">
        <v>0</v>
      </c>
      <c r="V33" s="177">
        <v>0</v>
      </c>
      <c r="W33" s="177">
        <v>0</v>
      </c>
      <c r="X33" s="177">
        <v>0</v>
      </c>
      <c r="Y33" s="184"/>
      <c r="Z33" s="185"/>
      <c r="AA33" s="186"/>
      <c r="AB33" s="184"/>
      <c r="AC33" s="184"/>
      <c r="AD33" s="184"/>
      <c r="AE33" s="184"/>
      <c r="AF33" s="189"/>
      <c r="AG33" s="187"/>
      <c r="AH33" s="187"/>
      <c r="AI33" s="187"/>
      <c r="AJ33" s="187"/>
      <c r="AK33" s="187"/>
      <c r="AL33" s="187"/>
      <c r="AM33" s="187"/>
      <c r="AN33" s="187"/>
    </row>
    <row r="34" spans="1:40" s="188" customFormat="1">
      <c r="A34" s="182"/>
      <c r="B34" s="181" t="s">
        <v>29</v>
      </c>
      <c r="C34" s="184" t="s">
        <v>299</v>
      </c>
      <c r="D34" s="177">
        <v>0</v>
      </c>
      <c r="E34" s="177">
        <v>0</v>
      </c>
      <c r="F34" s="177">
        <v>0</v>
      </c>
      <c r="G34" s="177">
        <v>0</v>
      </c>
      <c r="H34" s="177">
        <v>0</v>
      </c>
      <c r="I34" s="177">
        <v>0</v>
      </c>
      <c r="J34" s="177">
        <v>0</v>
      </c>
      <c r="K34" s="177">
        <v>0</v>
      </c>
      <c r="L34" s="177">
        <v>0</v>
      </c>
      <c r="M34" s="177">
        <v>0</v>
      </c>
      <c r="N34" s="177">
        <v>0</v>
      </c>
      <c r="O34" s="177">
        <v>0</v>
      </c>
      <c r="P34" s="177">
        <v>0</v>
      </c>
      <c r="Q34" s="177">
        <v>0</v>
      </c>
      <c r="R34" s="177">
        <v>0</v>
      </c>
      <c r="S34" s="177">
        <v>0</v>
      </c>
      <c r="T34" s="177">
        <v>0</v>
      </c>
      <c r="U34" s="177">
        <v>0</v>
      </c>
      <c r="V34" s="177">
        <v>0</v>
      </c>
      <c r="W34" s="177">
        <v>0</v>
      </c>
      <c r="X34" s="177">
        <v>0</v>
      </c>
      <c r="Y34" s="184"/>
      <c r="Z34" s="185"/>
      <c r="AA34" s="186"/>
      <c r="AB34" s="184"/>
      <c r="AC34" s="184"/>
      <c r="AD34" s="184"/>
      <c r="AE34" s="184"/>
      <c r="AF34" s="189"/>
      <c r="AG34" s="187"/>
      <c r="AH34" s="187"/>
      <c r="AI34" s="187"/>
      <c r="AJ34" s="187"/>
      <c r="AK34" s="187"/>
      <c r="AL34" s="187"/>
      <c r="AM34" s="187"/>
      <c r="AN34" s="187"/>
    </row>
    <row r="35" spans="1:40" s="188" customFormat="1">
      <c r="A35" s="182"/>
      <c r="B35" s="181" t="s">
        <v>30</v>
      </c>
      <c r="C35" s="184" t="s">
        <v>299</v>
      </c>
      <c r="D35" s="177">
        <v>0</v>
      </c>
      <c r="E35" s="177">
        <v>0</v>
      </c>
      <c r="F35" s="177">
        <v>0</v>
      </c>
      <c r="G35" s="177">
        <v>0</v>
      </c>
      <c r="H35" s="177">
        <v>0</v>
      </c>
      <c r="I35" s="177">
        <v>0</v>
      </c>
      <c r="J35" s="177">
        <v>0</v>
      </c>
      <c r="K35" s="177">
        <v>0</v>
      </c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  <c r="U35" s="177">
        <v>0</v>
      </c>
      <c r="V35" s="177">
        <v>0</v>
      </c>
      <c r="W35" s="177">
        <v>0</v>
      </c>
      <c r="X35" s="177">
        <v>0</v>
      </c>
      <c r="Y35" s="184"/>
      <c r="Z35" s="185"/>
      <c r="AA35" s="186"/>
      <c r="AB35" s="184"/>
      <c r="AC35" s="184"/>
      <c r="AD35" s="184"/>
      <c r="AE35" s="184"/>
      <c r="AF35" s="189"/>
      <c r="AG35" s="187"/>
      <c r="AH35" s="187"/>
      <c r="AI35" s="187"/>
      <c r="AJ35" s="187"/>
      <c r="AK35" s="187"/>
      <c r="AL35" s="187"/>
      <c r="AM35" s="187"/>
      <c r="AN35" s="187"/>
    </row>
    <row r="36" spans="1:40" s="188" customFormat="1">
      <c r="A36" s="182"/>
      <c r="B36" s="181" t="s">
        <v>31</v>
      </c>
      <c r="C36" s="184" t="s">
        <v>299</v>
      </c>
      <c r="D36" s="177">
        <v>0</v>
      </c>
      <c r="E36" s="177">
        <v>0</v>
      </c>
      <c r="F36" s="177">
        <v>0</v>
      </c>
      <c r="G36" s="177">
        <v>0</v>
      </c>
      <c r="H36" s="177">
        <v>0</v>
      </c>
      <c r="I36" s="177">
        <v>0</v>
      </c>
      <c r="J36" s="177">
        <v>0</v>
      </c>
      <c r="K36" s="177">
        <v>0</v>
      </c>
      <c r="L36" s="177">
        <v>0</v>
      </c>
      <c r="M36" s="177">
        <v>0</v>
      </c>
      <c r="N36" s="177">
        <v>0</v>
      </c>
      <c r="O36" s="177">
        <v>0</v>
      </c>
      <c r="P36" s="177">
        <v>0</v>
      </c>
      <c r="Q36" s="177">
        <v>0</v>
      </c>
      <c r="R36" s="177">
        <v>0</v>
      </c>
      <c r="S36" s="177">
        <v>0</v>
      </c>
      <c r="T36" s="177">
        <v>0</v>
      </c>
      <c r="U36" s="177">
        <v>0</v>
      </c>
      <c r="V36" s="177">
        <v>0</v>
      </c>
      <c r="W36" s="177">
        <v>0</v>
      </c>
      <c r="X36" s="177">
        <v>0</v>
      </c>
      <c r="Y36" s="184"/>
      <c r="Z36" s="185"/>
      <c r="AA36" s="186"/>
      <c r="AB36" s="184"/>
      <c r="AC36" s="184"/>
      <c r="AD36" s="184"/>
      <c r="AE36" s="184"/>
      <c r="AF36" s="189"/>
      <c r="AG36" s="187"/>
      <c r="AH36" s="187"/>
      <c r="AI36" s="187"/>
      <c r="AJ36" s="187"/>
      <c r="AK36" s="187"/>
      <c r="AL36" s="187"/>
      <c r="AM36" s="187"/>
      <c r="AN36" s="187"/>
    </row>
    <row r="37" spans="1:40" s="188" customFormat="1">
      <c r="A37" s="182"/>
      <c r="B37" s="181" t="s">
        <v>32</v>
      </c>
      <c r="C37" s="184" t="s">
        <v>353</v>
      </c>
      <c r="D37" s="177">
        <v>0</v>
      </c>
      <c r="E37" s="177">
        <v>0</v>
      </c>
      <c r="F37" s="177">
        <v>0</v>
      </c>
      <c r="G37" s="177">
        <v>0</v>
      </c>
      <c r="H37" s="177">
        <v>0</v>
      </c>
      <c r="I37" s="177">
        <v>0</v>
      </c>
      <c r="J37" s="177">
        <v>0</v>
      </c>
      <c r="K37" s="177">
        <v>0</v>
      </c>
      <c r="L37" s="177">
        <v>0</v>
      </c>
      <c r="M37" s="177">
        <v>0</v>
      </c>
      <c r="N37" s="177">
        <v>0</v>
      </c>
      <c r="O37" s="177">
        <v>0</v>
      </c>
      <c r="P37" s="177">
        <v>0</v>
      </c>
      <c r="Q37" s="177">
        <v>0</v>
      </c>
      <c r="R37" s="177">
        <v>0</v>
      </c>
      <c r="S37" s="177">
        <v>0</v>
      </c>
      <c r="T37" s="177">
        <v>0</v>
      </c>
      <c r="U37" s="177">
        <v>0</v>
      </c>
      <c r="V37" s="177">
        <v>0</v>
      </c>
      <c r="W37" s="177">
        <v>0</v>
      </c>
      <c r="X37" s="177">
        <v>0</v>
      </c>
      <c r="Y37" s="184"/>
      <c r="Z37" s="185"/>
      <c r="AA37" s="186"/>
      <c r="AB37" s="184"/>
      <c r="AC37" s="184"/>
      <c r="AD37" s="184"/>
      <c r="AE37" s="184"/>
      <c r="AF37" s="189"/>
      <c r="AG37" s="187"/>
      <c r="AH37" s="187"/>
      <c r="AI37" s="187"/>
      <c r="AJ37" s="187"/>
      <c r="AK37" s="187"/>
      <c r="AL37" s="187"/>
      <c r="AM37" s="187"/>
      <c r="AN37" s="187"/>
    </row>
    <row r="38" spans="1:40" s="188" customFormat="1">
      <c r="A38" s="182"/>
      <c r="B38" s="181" t="s">
        <v>33</v>
      </c>
      <c r="C38" s="184" t="s">
        <v>353</v>
      </c>
      <c r="D38" s="177">
        <v>0</v>
      </c>
      <c r="E38" s="177">
        <v>0</v>
      </c>
      <c r="F38" s="177">
        <v>0</v>
      </c>
      <c r="G38" s="177">
        <v>0</v>
      </c>
      <c r="H38" s="177">
        <v>0</v>
      </c>
      <c r="I38" s="177">
        <v>0</v>
      </c>
      <c r="J38" s="177">
        <v>0</v>
      </c>
      <c r="K38" s="177">
        <v>0</v>
      </c>
      <c r="L38" s="177">
        <v>0</v>
      </c>
      <c r="M38" s="177">
        <v>0</v>
      </c>
      <c r="N38" s="177">
        <v>0</v>
      </c>
      <c r="O38" s="177">
        <v>0</v>
      </c>
      <c r="P38" s="177">
        <v>0</v>
      </c>
      <c r="Q38" s="177">
        <v>0</v>
      </c>
      <c r="R38" s="177">
        <v>0</v>
      </c>
      <c r="S38" s="177">
        <v>0</v>
      </c>
      <c r="T38" s="177">
        <v>0</v>
      </c>
      <c r="U38" s="177">
        <v>0</v>
      </c>
      <c r="V38" s="177">
        <v>0</v>
      </c>
      <c r="W38" s="177">
        <v>0</v>
      </c>
      <c r="X38" s="177">
        <v>0</v>
      </c>
      <c r="Y38" s="184"/>
      <c r="Z38" s="185"/>
      <c r="AA38" s="186"/>
      <c r="AB38" s="184"/>
      <c r="AC38" s="184"/>
      <c r="AD38" s="184"/>
      <c r="AE38" s="184"/>
      <c r="AF38" s="189"/>
      <c r="AG38" s="187"/>
      <c r="AH38" s="187"/>
      <c r="AI38" s="187"/>
      <c r="AJ38" s="187"/>
      <c r="AK38" s="187"/>
      <c r="AL38" s="187"/>
      <c r="AM38" s="187"/>
      <c r="AN38" s="187"/>
    </row>
    <row r="39" spans="1:40" s="188" customFormat="1">
      <c r="A39" s="182" t="s">
        <v>352</v>
      </c>
      <c r="B39" s="181" t="s">
        <v>34</v>
      </c>
      <c r="C39" s="184" t="s">
        <v>353</v>
      </c>
      <c r="D39" s="184">
        <f>'Total Fuel per Operation(Sugar)'!D10</f>
        <v>16133.333333333334</v>
      </c>
      <c r="E39" s="184">
        <f>'Total Fuel per Operation(Sugar)'!E10</f>
        <v>41868.096000000005</v>
      </c>
      <c r="F39" s="184">
        <f>'Total Fuel per Operation(Sugar)'!F10</f>
        <v>16133.333333333334</v>
      </c>
      <c r="G39" s="184">
        <f>'Total Fuel per Operation(Sugar)'!G10</f>
        <v>41868.096000000005</v>
      </c>
      <c r="H39" s="184">
        <f>'Total Fuel per Operation(Sugar)'!H10</f>
        <v>16133.333333333334</v>
      </c>
      <c r="I39" s="184">
        <f>'Total Fuel per Operation(Sugar)'!I10</f>
        <v>41868.096000000005</v>
      </c>
      <c r="J39" s="184">
        <f>'Total Fuel per Operation(Sugar)'!J10</f>
        <v>0</v>
      </c>
      <c r="K39" s="184">
        <f>'Total Fuel per Operation(Sugar)'!K10</f>
        <v>41868.096000000005</v>
      </c>
      <c r="L39" s="184">
        <f>'Total Fuel per Operation(Sugar)'!L10</f>
        <v>0</v>
      </c>
      <c r="M39" s="184">
        <f>'Total Fuel per Operation(Sugar)'!M10</f>
        <v>41868.096000000005</v>
      </c>
      <c r="N39" s="184">
        <f>'Total Fuel per Operation(Sugar)'!N10</f>
        <v>0</v>
      </c>
      <c r="O39" s="184">
        <f>'Total Fuel per Operation(Sugar)'!O10</f>
        <v>0</v>
      </c>
      <c r="P39" s="184">
        <f>'Total Fuel per Operation(Sugar)'!P10</f>
        <v>0</v>
      </c>
      <c r="Q39" s="184">
        <f>'Total Fuel per Operation(Sugar)'!Q10</f>
        <v>0</v>
      </c>
      <c r="R39" s="184">
        <f>'Total Fuel per Operation(Sugar)'!R10</f>
        <v>0</v>
      </c>
      <c r="S39" s="184">
        <f>'Total Fuel per Operation(Sugar)'!S10</f>
        <v>0</v>
      </c>
      <c r="T39" s="184">
        <f>'Total Fuel per Operation(Sugar)'!T10</f>
        <v>0</v>
      </c>
      <c r="U39" s="184">
        <f>'Total Fuel per Operation(Sugar)'!U10</f>
        <v>0</v>
      </c>
      <c r="V39" s="184">
        <f>'Total Fuel per Operation(Sugar)'!V10</f>
        <v>0</v>
      </c>
      <c r="W39" s="184">
        <f>'Total Fuel per Operation(Sugar)'!W10</f>
        <v>0</v>
      </c>
      <c r="X39" s="184">
        <f>'Total Fuel per Operation(Sugar)'!X10</f>
        <v>0</v>
      </c>
      <c r="Y39" s="184">
        <f>SUM(D39:X39)</f>
        <v>257740.48000000004</v>
      </c>
      <c r="Z39" s="185">
        <v>104670.24</v>
      </c>
      <c r="AA39" s="186">
        <v>5</v>
      </c>
      <c r="AB39" s="184">
        <v>41868.096000000005</v>
      </c>
      <c r="AC39" s="184">
        <v>41868.096000000005</v>
      </c>
      <c r="AD39" s="184">
        <v>41868.096000000005</v>
      </c>
      <c r="AE39" s="184">
        <v>41868.096000000005</v>
      </c>
      <c r="AF39" s="184">
        <v>41868.096000000005</v>
      </c>
      <c r="AG39" s="187"/>
      <c r="AH39" s="187"/>
      <c r="AI39" s="187"/>
      <c r="AJ39" s="187"/>
      <c r="AK39" s="187"/>
      <c r="AL39" s="187"/>
      <c r="AM39" s="187"/>
      <c r="AN39" s="187">
        <v>209340.48000000004</v>
      </c>
    </row>
    <row r="40" spans="1:40" s="188" customFormat="1">
      <c r="A40" s="182"/>
      <c r="B40" s="181" t="s">
        <v>35</v>
      </c>
      <c r="C40" s="184" t="s">
        <v>353</v>
      </c>
      <c r="D40" s="177">
        <v>0</v>
      </c>
      <c r="E40" s="177">
        <v>0</v>
      </c>
      <c r="F40" s="177">
        <v>0</v>
      </c>
      <c r="G40" s="177">
        <v>0</v>
      </c>
      <c r="H40" s="177">
        <v>0</v>
      </c>
      <c r="I40" s="177">
        <v>0</v>
      </c>
      <c r="J40" s="177">
        <v>0</v>
      </c>
      <c r="K40" s="177">
        <v>0</v>
      </c>
      <c r="L40" s="177">
        <v>0</v>
      </c>
      <c r="M40" s="177">
        <v>0</v>
      </c>
      <c r="N40" s="177">
        <v>0</v>
      </c>
      <c r="O40" s="177">
        <v>0</v>
      </c>
      <c r="P40" s="177">
        <v>0</v>
      </c>
      <c r="Q40" s="177">
        <v>0</v>
      </c>
      <c r="R40" s="177">
        <v>0</v>
      </c>
      <c r="S40" s="177">
        <v>0</v>
      </c>
      <c r="T40" s="177">
        <v>0</v>
      </c>
      <c r="U40" s="177">
        <v>0</v>
      </c>
      <c r="V40" s="177">
        <v>0</v>
      </c>
      <c r="W40" s="177">
        <v>0</v>
      </c>
      <c r="X40" s="177">
        <v>0</v>
      </c>
      <c r="Y40" s="184"/>
      <c r="Z40" s="185"/>
      <c r="AA40" s="186"/>
      <c r="AB40" s="184"/>
      <c r="AC40" s="184"/>
      <c r="AD40" s="184"/>
      <c r="AE40" s="184"/>
      <c r="AF40" s="184"/>
      <c r="AG40" s="187"/>
      <c r="AH40" s="187"/>
      <c r="AI40" s="187"/>
      <c r="AJ40" s="187"/>
      <c r="AK40" s="187"/>
      <c r="AL40" s="187"/>
      <c r="AM40" s="187"/>
      <c r="AN40" s="187"/>
    </row>
    <row r="41" spans="1:40" s="188" customFormat="1">
      <c r="A41" s="182"/>
      <c r="B41" s="181" t="s">
        <v>36</v>
      </c>
      <c r="C41" s="184" t="s">
        <v>353</v>
      </c>
      <c r="D41" s="177">
        <v>0</v>
      </c>
      <c r="E41" s="177">
        <v>0</v>
      </c>
      <c r="F41" s="177">
        <v>0</v>
      </c>
      <c r="G41" s="177">
        <v>0</v>
      </c>
      <c r="H41" s="177">
        <v>0</v>
      </c>
      <c r="I41" s="177">
        <v>0</v>
      </c>
      <c r="J41" s="177">
        <v>0</v>
      </c>
      <c r="K41" s="177">
        <v>0</v>
      </c>
      <c r="L41" s="177">
        <v>0</v>
      </c>
      <c r="M41" s="177">
        <v>0</v>
      </c>
      <c r="N41" s="177">
        <v>0</v>
      </c>
      <c r="O41" s="177">
        <v>0</v>
      </c>
      <c r="P41" s="177">
        <v>0</v>
      </c>
      <c r="Q41" s="177">
        <v>0</v>
      </c>
      <c r="R41" s="177">
        <v>0</v>
      </c>
      <c r="S41" s="177">
        <v>0</v>
      </c>
      <c r="T41" s="177">
        <v>0</v>
      </c>
      <c r="U41" s="177">
        <v>0</v>
      </c>
      <c r="V41" s="177">
        <v>0</v>
      </c>
      <c r="W41" s="177">
        <v>0</v>
      </c>
      <c r="X41" s="177">
        <v>0</v>
      </c>
      <c r="Y41" s="184"/>
      <c r="Z41" s="185"/>
      <c r="AA41" s="186"/>
      <c r="AB41" s="184"/>
      <c r="AC41" s="184"/>
      <c r="AD41" s="184"/>
      <c r="AE41" s="184"/>
      <c r="AF41" s="184"/>
      <c r="AG41" s="187"/>
      <c r="AH41" s="187"/>
      <c r="AI41" s="187"/>
      <c r="AJ41" s="187"/>
      <c r="AK41" s="187"/>
      <c r="AL41" s="187"/>
      <c r="AM41" s="187"/>
      <c r="AN41" s="187"/>
    </row>
    <row r="42" spans="1:40" s="188" customFormat="1">
      <c r="A42" s="182"/>
      <c r="B42" s="181" t="s">
        <v>37</v>
      </c>
      <c r="C42" s="184" t="s">
        <v>353</v>
      </c>
      <c r="D42" s="177">
        <v>0</v>
      </c>
      <c r="E42" s="177">
        <v>0</v>
      </c>
      <c r="F42" s="177">
        <v>0</v>
      </c>
      <c r="G42" s="177">
        <v>0</v>
      </c>
      <c r="H42" s="177">
        <v>0</v>
      </c>
      <c r="I42" s="177">
        <v>0</v>
      </c>
      <c r="J42" s="177">
        <v>0</v>
      </c>
      <c r="K42" s="177">
        <v>0</v>
      </c>
      <c r="L42" s="177">
        <v>0</v>
      </c>
      <c r="M42" s="177">
        <v>0</v>
      </c>
      <c r="N42" s="177">
        <v>0</v>
      </c>
      <c r="O42" s="177">
        <v>0</v>
      </c>
      <c r="P42" s="177">
        <v>0</v>
      </c>
      <c r="Q42" s="177">
        <v>0</v>
      </c>
      <c r="R42" s="177">
        <v>0</v>
      </c>
      <c r="S42" s="177">
        <v>0</v>
      </c>
      <c r="T42" s="177">
        <v>0</v>
      </c>
      <c r="U42" s="177">
        <v>0</v>
      </c>
      <c r="V42" s="177">
        <v>0</v>
      </c>
      <c r="W42" s="177">
        <v>0</v>
      </c>
      <c r="X42" s="177">
        <v>0</v>
      </c>
      <c r="Y42" s="184"/>
      <c r="Z42" s="185"/>
      <c r="AA42" s="186"/>
      <c r="AB42" s="184"/>
      <c r="AC42" s="184"/>
      <c r="AD42" s="184"/>
      <c r="AE42" s="184"/>
      <c r="AF42" s="184"/>
      <c r="AG42" s="187"/>
      <c r="AH42" s="187"/>
      <c r="AI42" s="187"/>
      <c r="AJ42" s="187"/>
      <c r="AK42" s="187"/>
      <c r="AL42" s="187"/>
      <c r="AM42" s="187"/>
      <c r="AN42" s="187"/>
    </row>
    <row r="43" spans="1:40" s="188" customFormat="1">
      <c r="A43" s="182"/>
      <c r="B43" s="181" t="s">
        <v>38</v>
      </c>
      <c r="C43" s="184" t="s">
        <v>355</v>
      </c>
      <c r="D43" s="177">
        <v>0</v>
      </c>
      <c r="E43" s="177">
        <v>0</v>
      </c>
      <c r="F43" s="177">
        <v>0</v>
      </c>
      <c r="G43" s="177">
        <v>0</v>
      </c>
      <c r="H43" s="177">
        <v>0</v>
      </c>
      <c r="I43" s="177">
        <v>0</v>
      </c>
      <c r="J43" s="177">
        <v>0</v>
      </c>
      <c r="K43" s="177">
        <v>0</v>
      </c>
      <c r="L43" s="177">
        <v>0</v>
      </c>
      <c r="M43" s="177">
        <v>0</v>
      </c>
      <c r="N43" s="177">
        <v>0</v>
      </c>
      <c r="O43" s="177">
        <v>0</v>
      </c>
      <c r="P43" s="177">
        <v>0</v>
      </c>
      <c r="Q43" s="177">
        <v>0</v>
      </c>
      <c r="R43" s="177">
        <v>0</v>
      </c>
      <c r="S43" s="177">
        <v>0</v>
      </c>
      <c r="T43" s="177">
        <v>0</v>
      </c>
      <c r="U43" s="177">
        <v>0</v>
      </c>
      <c r="V43" s="177">
        <v>0</v>
      </c>
      <c r="W43" s="177">
        <v>0</v>
      </c>
      <c r="X43" s="177">
        <v>0</v>
      </c>
      <c r="Y43" s="184"/>
      <c r="Z43" s="185"/>
      <c r="AA43" s="186"/>
      <c r="AB43" s="184"/>
      <c r="AC43" s="184"/>
      <c r="AD43" s="184"/>
      <c r="AE43" s="184"/>
      <c r="AF43" s="184"/>
      <c r="AG43" s="187"/>
      <c r="AH43" s="187"/>
      <c r="AI43" s="187"/>
      <c r="AJ43" s="187"/>
      <c r="AK43" s="187"/>
      <c r="AL43" s="187"/>
      <c r="AM43" s="187"/>
      <c r="AN43" s="187"/>
    </row>
    <row r="44" spans="1:40" s="188" customFormat="1">
      <c r="A44" s="182"/>
      <c r="B44" s="181" t="s">
        <v>39</v>
      </c>
      <c r="C44" s="184" t="s">
        <v>355</v>
      </c>
      <c r="D44" s="177">
        <v>0</v>
      </c>
      <c r="E44" s="177">
        <v>0</v>
      </c>
      <c r="F44" s="177">
        <v>0</v>
      </c>
      <c r="G44" s="177">
        <v>0</v>
      </c>
      <c r="H44" s="177">
        <v>0</v>
      </c>
      <c r="I44" s="177">
        <v>0</v>
      </c>
      <c r="J44" s="177">
        <v>0</v>
      </c>
      <c r="K44" s="177">
        <v>0</v>
      </c>
      <c r="L44" s="177">
        <v>0</v>
      </c>
      <c r="M44" s="177">
        <v>0</v>
      </c>
      <c r="N44" s="177">
        <v>0</v>
      </c>
      <c r="O44" s="177">
        <v>0</v>
      </c>
      <c r="P44" s="177">
        <v>0</v>
      </c>
      <c r="Q44" s="177">
        <v>0</v>
      </c>
      <c r="R44" s="177">
        <v>0</v>
      </c>
      <c r="S44" s="177">
        <v>0</v>
      </c>
      <c r="T44" s="177">
        <v>0</v>
      </c>
      <c r="U44" s="177">
        <v>0</v>
      </c>
      <c r="V44" s="177">
        <v>0</v>
      </c>
      <c r="W44" s="177">
        <v>0</v>
      </c>
      <c r="X44" s="177">
        <v>0</v>
      </c>
      <c r="Y44" s="184"/>
      <c r="Z44" s="185"/>
      <c r="AA44" s="186"/>
      <c r="AB44" s="184"/>
      <c r="AC44" s="184"/>
      <c r="AD44" s="184"/>
      <c r="AE44" s="184"/>
      <c r="AF44" s="184"/>
      <c r="AG44" s="187"/>
      <c r="AH44" s="187"/>
      <c r="AI44" s="187"/>
      <c r="AJ44" s="187"/>
      <c r="AK44" s="187"/>
      <c r="AL44" s="187"/>
      <c r="AM44" s="187"/>
      <c r="AN44" s="187"/>
    </row>
    <row r="45" spans="1:40" s="188" customFormat="1">
      <c r="A45" s="182" t="s">
        <v>40</v>
      </c>
      <c r="B45" s="181" t="s">
        <v>40</v>
      </c>
      <c r="C45" s="184" t="s">
        <v>355</v>
      </c>
      <c r="D45" s="184">
        <f>'Total Fuel per Operation(Sugar)'!D24</f>
        <v>38032</v>
      </c>
      <c r="E45" s="184">
        <f>'Total Fuel per Operation(Sugar)'!E24</f>
        <v>136677.5</v>
      </c>
      <c r="F45" s="184">
        <f>'Total Fuel per Operation(Sugar)'!F24</f>
        <v>38032</v>
      </c>
      <c r="G45" s="184">
        <f>'Total Fuel per Operation(Sugar)'!G24</f>
        <v>136677.5</v>
      </c>
      <c r="H45" s="184">
        <f>'Total Fuel per Operation(Sugar)'!H24</f>
        <v>38032</v>
      </c>
      <c r="I45" s="184">
        <f>'Total Fuel per Operation(Sugar)'!I24</f>
        <v>136677.5</v>
      </c>
      <c r="J45" s="184">
        <f>'Total Fuel per Operation(Sugar)'!J24</f>
        <v>0</v>
      </c>
      <c r="K45" s="184">
        <f>'Total Fuel per Operation(Sugar)'!K24</f>
        <v>136677.5</v>
      </c>
      <c r="L45" s="184">
        <f>'Total Fuel per Operation(Sugar)'!L24</f>
        <v>0</v>
      </c>
      <c r="M45" s="184">
        <f>'Total Fuel per Operation(Sugar)'!M24</f>
        <v>136677.5</v>
      </c>
      <c r="N45" s="184">
        <f>'Total Fuel per Operation(Sugar)'!N24</f>
        <v>0</v>
      </c>
      <c r="O45" s="184">
        <f>'Total Fuel per Operation(Sugar)'!O24</f>
        <v>0</v>
      </c>
      <c r="P45" s="184">
        <f>'Total Fuel per Operation(Sugar)'!P24</f>
        <v>0</v>
      </c>
      <c r="Q45" s="184">
        <f>'Total Fuel per Operation(Sugar)'!Q24</f>
        <v>0</v>
      </c>
      <c r="R45" s="184">
        <f>'Total Fuel per Operation(Sugar)'!R24</f>
        <v>0</v>
      </c>
      <c r="S45" s="184">
        <f>'Total Fuel per Operation(Sugar)'!S24</f>
        <v>0</v>
      </c>
      <c r="T45" s="184">
        <f>'Total Fuel per Operation(Sugar)'!T24</f>
        <v>136677.5</v>
      </c>
      <c r="U45" s="184">
        <f>'Total Fuel per Operation(Sugar)'!U24</f>
        <v>38032</v>
      </c>
      <c r="V45" s="184">
        <f>'Total Fuel per Operation(Sugar)'!V24</f>
        <v>136677.5</v>
      </c>
      <c r="W45" s="184">
        <f>'Total Fuel per Operation(Sugar)'!W24</f>
        <v>38032</v>
      </c>
      <c r="X45" s="184">
        <f>'Total Fuel per Operation(Sugar)'!X24</f>
        <v>136677.5</v>
      </c>
      <c r="Y45" s="184">
        <f>SUM(D45:X45)</f>
        <v>1283580</v>
      </c>
      <c r="Z45" s="185">
        <v>546710</v>
      </c>
      <c r="AA45" s="186">
        <v>8</v>
      </c>
      <c r="AB45" s="184">
        <v>136677.5</v>
      </c>
      <c r="AC45" s="184">
        <v>136677.5</v>
      </c>
      <c r="AD45" s="184">
        <v>136677.5</v>
      </c>
      <c r="AE45" s="184">
        <v>136677.5</v>
      </c>
      <c r="AF45" s="184">
        <v>136677.5</v>
      </c>
      <c r="AG45" s="187"/>
      <c r="AH45" s="187"/>
      <c r="AI45" s="187"/>
      <c r="AJ45" s="187"/>
      <c r="AK45" s="184">
        <v>136677.5</v>
      </c>
      <c r="AL45" s="184">
        <v>136677.5</v>
      </c>
      <c r="AM45" s="184">
        <v>136677.5</v>
      </c>
      <c r="AN45" s="187">
        <v>1093420</v>
      </c>
    </row>
    <row r="46" spans="1:40" s="188" customFormat="1">
      <c r="A46" s="182"/>
      <c r="B46" s="181" t="s">
        <v>41</v>
      </c>
      <c r="C46" s="184" t="s">
        <v>355</v>
      </c>
      <c r="D46" s="177">
        <v>0</v>
      </c>
      <c r="E46" s="177">
        <v>0</v>
      </c>
      <c r="F46" s="177">
        <v>0</v>
      </c>
      <c r="G46" s="177">
        <v>0</v>
      </c>
      <c r="H46" s="177">
        <v>0</v>
      </c>
      <c r="I46" s="177">
        <v>0</v>
      </c>
      <c r="J46" s="177">
        <v>0</v>
      </c>
      <c r="K46" s="177">
        <v>0</v>
      </c>
      <c r="L46" s="177">
        <v>0</v>
      </c>
      <c r="M46" s="177">
        <v>0</v>
      </c>
      <c r="N46" s="177">
        <v>0</v>
      </c>
      <c r="O46" s="177">
        <v>0</v>
      </c>
      <c r="P46" s="177">
        <v>0</v>
      </c>
      <c r="Q46" s="177">
        <v>0</v>
      </c>
      <c r="R46" s="177">
        <v>0</v>
      </c>
      <c r="S46" s="177">
        <v>0</v>
      </c>
      <c r="T46" s="177">
        <v>0</v>
      </c>
      <c r="U46" s="177">
        <v>0</v>
      </c>
      <c r="V46" s="177">
        <v>0</v>
      </c>
      <c r="W46" s="177">
        <v>0</v>
      </c>
      <c r="X46" s="177">
        <v>0</v>
      </c>
      <c r="Y46" s="184"/>
      <c r="Z46" s="185"/>
      <c r="AA46" s="186"/>
      <c r="AB46" s="184"/>
      <c r="AC46" s="184"/>
      <c r="AD46" s="184"/>
      <c r="AE46" s="184"/>
      <c r="AF46" s="184"/>
      <c r="AG46" s="187"/>
      <c r="AH46" s="187"/>
      <c r="AI46" s="187"/>
      <c r="AJ46" s="187"/>
      <c r="AK46" s="187"/>
      <c r="AL46" s="187"/>
      <c r="AM46" s="187"/>
      <c r="AN46" s="187"/>
    </row>
    <row r="47" spans="1:40" s="188" customFormat="1">
      <c r="A47" s="187" t="s">
        <v>42</v>
      </c>
      <c r="B47" s="181" t="s">
        <v>42</v>
      </c>
      <c r="C47" s="184" t="s">
        <v>355</v>
      </c>
      <c r="D47" s="184">
        <f>'Total Fuel per Operation(Sugar)'!D23</f>
        <v>65408</v>
      </c>
      <c r="E47" s="184">
        <f>'Total Fuel per Operation(Sugar)'!E23</f>
        <v>246813</v>
      </c>
      <c r="F47" s="184">
        <f>'Total Fuel per Operation(Sugar)'!F23</f>
        <v>65408</v>
      </c>
      <c r="G47" s="184">
        <f>'Total Fuel per Operation(Sugar)'!G23</f>
        <v>246813</v>
      </c>
      <c r="H47" s="184">
        <f>'Total Fuel per Operation(Sugar)'!H23</f>
        <v>65408</v>
      </c>
      <c r="I47" s="184">
        <f>'Total Fuel per Operation(Sugar)'!I23</f>
        <v>246813</v>
      </c>
      <c r="J47" s="184">
        <f>'Total Fuel per Operation(Sugar)'!J23</f>
        <v>0</v>
      </c>
      <c r="K47" s="184">
        <f>'Total Fuel per Operation(Sugar)'!K23</f>
        <v>246813</v>
      </c>
      <c r="L47" s="184">
        <f>'Total Fuel per Operation(Sugar)'!L23</f>
        <v>0</v>
      </c>
      <c r="M47" s="184">
        <f>'Total Fuel per Operation(Sugar)'!M23</f>
        <v>246813</v>
      </c>
      <c r="N47" s="184">
        <f>'Total Fuel per Operation(Sugar)'!N23</f>
        <v>0</v>
      </c>
      <c r="O47" s="184">
        <f>'Total Fuel per Operation(Sugar)'!O23</f>
        <v>0</v>
      </c>
      <c r="P47" s="184">
        <f>'Total Fuel per Operation(Sugar)'!P23</f>
        <v>0</v>
      </c>
      <c r="Q47" s="184">
        <f>'Total Fuel per Operation(Sugar)'!Q23</f>
        <v>0</v>
      </c>
      <c r="R47" s="184">
        <f>'Total Fuel per Operation(Sugar)'!R23</f>
        <v>0</v>
      </c>
      <c r="S47" s="184">
        <f>'Total Fuel per Operation(Sugar)'!S23</f>
        <v>0</v>
      </c>
      <c r="T47" s="184">
        <f>'Total Fuel per Operation(Sugar)'!T23</f>
        <v>246813</v>
      </c>
      <c r="U47" s="184">
        <f>'Total Fuel per Operation(Sugar)'!U23</f>
        <v>65408</v>
      </c>
      <c r="V47" s="184">
        <f>'Total Fuel per Operation(Sugar)'!V23</f>
        <v>246813</v>
      </c>
      <c r="W47" s="184">
        <f>'Total Fuel per Operation(Sugar)'!W23</f>
        <v>65408</v>
      </c>
      <c r="X47" s="184">
        <f>'Total Fuel per Operation(Sugar)'!X23</f>
        <v>246813</v>
      </c>
      <c r="Y47" s="184">
        <f>SUM(D47:X47)</f>
        <v>2301544</v>
      </c>
      <c r="Z47" s="185">
        <v>987252</v>
      </c>
      <c r="AA47" s="186">
        <v>8</v>
      </c>
      <c r="AB47" s="184">
        <v>246813</v>
      </c>
      <c r="AC47" s="184">
        <v>246813</v>
      </c>
      <c r="AD47" s="184">
        <v>246813</v>
      </c>
      <c r="AE47" s="184">
        <v>246813</v>
      </c>
      <c r="AF47" s="184">
        <v>246813</v>
      </c>
      <c r="AG47" s="187"/>
      <c r="AH47" s="187"/>
      <c r="AI47" s="187"/>
      <c r="AJ47" s="187"/>
      <c r="AK47" s="184">
        <v>246813</v>
      </c>
      <c r="AL47" s="184">
        <v>246813</v>
      </c>
      <c r="AM47" s="184">
        <v>246813</v>
      </c>
      <c r="AN47" s="187">
        <v>1974504</v>
      </c>
    </row>
    <row r="48" spans="1:40" s="188" customFormat="1">
      <c r="A48" s="187" t="s">
        <v>393</v>
      </c>
      <c r="B48" s="181" t="s">
        <v>43</v>
      </c>
      <c r="C48" s="184" t="s">
        <v>782</v>
      </c>
      <c r="D48" s="184">
        <f>'Total Fuel per Operation(Sugar)'!D11+'Total Fuel per Operation(Sugar)'!D12+'Total Fuel per Operation(Sugar)'!D13+'Total Fuel per Operation(Sugar)'!D14+'Total Fuel per Operation(Sugar)'!D15+'Total Fuel per Operation(Sugar)'!D16+'Total Fuel per Operation(Sugar)'!D17+'Total Fuel per Operation(Sugar)'!D18+'Total Fuel per Operation(Sugar)'!D19+'Total Fuel per Operation(Sugar)'!D20</f>
        <v>377646.52</v>
      </c>
      <c r="E48" s="184">
        <f>'Total Fuel per Operation(Sugar)'!E11+'Total Fuel per Operation(Sugar)'!E12+'Total Fuel per Operation(Sugar)'!E13+'Total Fuel per Operation(Sugar)'!E14+'Total Fuel per Operation(Sugar)'!E15+'Total Fuel per Operation(Sugar)'!E16+'Total Fuel per Operation(Sugar)'!E17+'Total Fuel per Operation(Sugar)'!E18+'Total Fuel per Operation(Sugar)'!E19+'Total Fuel per Operation(Sugar)'!E20</f>
        <v>3293977.56</v>
      </c>
      <c r="F48" s="184">
        <f>'Total Fuel per Operation(Sugar)'!F11+'Total Fuel per Operation(Sugar)'!F12+'Total Fuel per Operation(Sugar)'!F13+'Total Fuel per Operation(Sugar)'!F14+'Total Fuel per Operation(Sugar)'!F15+'Total Fuel per Operation(Sugar)'!F16+'Total Fuel per Operation(Sugar)'!F17+'Total Fuel per Operation(Sugar)'!F18+'Total Fuel per Operation(Sugar)'!F19+'Total Fuel per Operation(Sugar)'!F20</f>
        <v>377646.52</v>
      </c>
      <c r="G48" s="184">
        <f>'Total Fuel per Operation(Sugar)'!G11+'Total Fuel per Operation(Sugar)'!G12+'Total Fuel per Operation(Sugar)'!G13+'Total Fuel per Operation(Sugar)'!G14+'Total Fuel per Operation(Sugar)'!G15+'Total Fuel per Operation(Sugar)'!G16+'Total Fuel per Operation(Sugar)'!G17+'Total Fuel per Operation(Sugar)'!G18+'Total Fuel per Operation(Sugar)'!G19+'Total Fuel per Operation(Sugar)'!G20</f>
        <v>3293977.56</v>
      </c>
      <c r="H48" s="184">
        <f>'Total Fuel per Operation(Sugar)'!H11+'Total Fuel per Operation(Sugar)'!H12+'Total Fuel per Operation(Sugar)'!H13+'Total Fuel per Operation(Sugar)'!H14+'Total Fuel per Operation(Sugar)'!H15+'Total Fuel per Operation(Sugar)'!H16+'Total Fuel per Operation(Sugar)'!H17+'Total Fuel per Operation(Sugar)'!H18+'Total Fuel per Operation(Sugar)'!H19+'Total Fuel per Operation(Sugar)'!H20</f>
        <v>377646.52</v>
      </c>
      <c r="I48" s="184">
        <f>'Total Fuel per Operation(Sugar)'!I11+'Total Fuel per Operation(Sugar)'!I12+'Total Fuel per Operation(Sugar)'!I13+'Total Fuel per Operation(Sugar)'!I14+'Total Fuel per Operation(Sugar)'!I15+'Total Fuel per Operation(Sugar)'!I16+'Total Fuel per Operation(Sugar)'!I17+'Total Fuel per Operation(Sugar)'!I18+'Total Fuel per Operation(Sugar)'!I19+'Total Fuel per Operation(Sugar)'!I20</f>
        <v>3293977.56</v>
      </c>
      <c r="J48" s="184">
        <f>'Total Fuel per Operation(Sugar)'!J11+'Total Fuel per Operation(Sugar)'!J12+'Total Fuel per Operation(Sugar)'!J13+'Total Fuel per Operation(Sugar)'!J14+'Total Fuel per Operation(Sugar)'!J15+'Total Fuel per Operation(Sugar)'!J16+'Total Fuel per Operation(Sugar)'!J17+'Total Fuel per Operation(Sugar)'!J18+'Total Fuel per Operation(Sugar)'!J19+'Total Fuel per Operation(Sugar)'!J20</f>
        <v>377646.52</v>
      </c>
      <c r="K48" s="184">
        <f>'Total Fuel per Operation(Sugar)'!K11+'Total Fuel per Operation(Sugar)'!K12+'Total Fuel per Operation(Sugar)'!K13+'Total Fuel per Operation(Sugar)'!K14+'Total Fuel per Operation(Sugar)'!K15+'Total Fuel per Operation(Sugar)'!K16+'Total Fuel per Operation(Sugar)'!K17+'Total Fuel per Operation(Sugar)'!K18+'Total Fuel per Operation(Sugar)'!K19+'Total Fuel per Operation(Sugar)'!K20</f>
        <v>3293977.56</v>
      </c>
      <c r="L48" s="184">
        <f>'Total Fuel per Operation(Sugar)'!L11+'Total Fuel per Operation(Sugar)'!L12+'Total Fuel per Operation(Sugar)'!L13+'Total Fuel per Operation(Sugar)'!L14+'Total Fuel per Operation(Sugar)'!L15+'Total Fuel per Operation(Sugar)'!L16+'Total Fuel per Operation(Sugar)'!L17+'Total Fuel per Operation(Sugar)'!L18+'Total Fuel per Operation(Sugar)'!L19+'Total Fuel per Operation(Sugar)'!L20</f>
        <v>377646.52</v>
      </c>
      <c r="M48" s="184">
        <f>'Total Fuel per Operation(Sugar)'!M11+'Total Fuel per Operation(Sugar)'!M12+'Total Fuel per Operation(Sugar)'!M13+'Total Fuel per Operation(Sugar)'!M14+'Total Fuel per Operation(Sugar)'!M15+'Total Fuel per Operation(Sugar)'!M16+'Total Fuel per Operation(Sugar)'!M17+'Total Fuel per Operation(Sugar)'!M18+'Total Fuel per Operation(Sugar)'!M19+'Total Fuel per Operation(Sugar)'!M20</f>
        <v>0</v>
      </c>
      <c r="N48" s="184">
        <f>'Total Fuel per Operation(Sugar)'!N11+'Total Fuel per Operation(Sugar)'!N12+'Total Fuel per Operation(Sugar)'!N13+'Total Fuel per Operation(Sugar)'!N14+'Total Fuel per Operation(Sugar)'!N15+'Total Fuel per Operation(Sugar)'!N16+'Total Fuel per Operation(Sugar)'!N17+'Total Fuel per Operation(Sugar)'!N18+'Total Fuel per Operation(Sugar)'!N19+'Total Fuel per Operation(Sugar)'!N20</f>
        <v>0</v>
      </c>
      <c r="O48" s="184">
        <f>'Total Fuel per Operation(Sugar)'!O11+'Total Fuel per Operation(Sugar)'!O12+'Total Fuel per Operation(Sugar)'!O13+'Total Fuel per Operation(Sugar)'!O14+'Total Fuel per Operation(Sugar)'!O15+'Total Fuel per Operation(Sugar)'!O16+'Total Fuel per Operation(Sugar)'!O17+'Total Fuel per Operation(Sugar)'!O18+'Total Fuel per Operation(Sugar)'!O19+'Total Fuel per Operation(Sugar)'!O20</f>
        <v>0</v>
      </c>
      <c r="P48" s="184">
        <f>'Total Fuel per Operation(Sugar)'!P11+'Total Fuel per Operation(Sugar)'!P12+'Total Fuel per Operation(Sugar)'!P13+'Total Fuel per Operation(Sugar)'!P14+'Total Fuel per Operation(Sugar)'!P15+'Total Fuel per Operation(Sugar)'!P16+'Total Fuel per Operation(Sugar)'!P17+'Total Fuel per Operation(Sugar)'!P18+'Total Fuel per Operation(Sugar)'!P19+'Total Fuel per Operation(Sugar)'!P20</f>
        <v>0</v>
      </c>
      <c r="Q48" s="184">
        <f>'Total Fuel per Operation(Sugar)'!Q11+'Total Fuel per Operation(Sugar)'!Q12+'Total Fuel per Operation(Sugar)'!Q13+'Total Fuel per Operation(Sugar)'!Q14+'Total Fuel per Operation(Sugar)'!Q15+'Total Fuel per Operation(Sugar)'!Q16+'Total Fuel per Operation(Sugar)'!Q17+'Total Fuel per Operation(Sugar)'!Q18+'Total Fuel per Operation(Sugar)'!Q19+'Total Fuel per Operation(Sugar)'!Q20</f>
        <v>0</v>
      </c>
      <c r="R48" s="184">
        <f>'Total Fuel per Operation(Sugar)'!R11+'Total Fuel per Operation(Sugar)'!R12+'Total Fuel per Operation(Sugar)'!R13+'Total Fuel per Operation(Sugar)'!R14+'Total Fuel per Operation(Sugar)'!R15+'Total Fuel per Operation(Sugar)'!R16+'Total Fuel per Operation(Sugar)'!R17+'Total Fuel per Operation(Sugar)'!R18+'Total Fuel per Operation(Sugar)'!R19+'Total Fuel per Operation(Sugar)'!R20</f>
        <v>0</v>
      </c>
      <c r="S48" s="184">
        <f>'Total Fuel per Operation(Sugar)'!S11+'Total Fuel per Operation(Sugar)'!S12+'Total Fuel per Operation(Sugar)'!S13+'Total Fuel per Operation(Sugar)'!S14+'Total Fuel per Operation(Sugar)'!S15+'Total Fuel per Operation(Sugar)'!S16+'Total Fuel per Operation(Sugar)'!S17+'Total Fuel per Operation(Sugar)'!S18+'Total Fuel per Operation(Sugar)'!S19+'Total Fuel per Operation(Sugar)'!S20</f>
        <v>377646.52</v>
      </c>
      <c r="T48" s="184">
        <f>'Total Fuel per Operation(Sugar)'!T11+'Total Fuel per Operation(Sugar)'!T12+'Total Fuel per Operation(Sugar)'!T13+'Total Fuel per Operation(Sugar)'!T14+'Total Fuel per Operation(Sugar)'!T15+'Total Fuel per Operation(Sugar)'!T16+'Total Fuel per Operation(Sugar)'!T17+'Total Fuel per Operation(Sugar)'!T18+'Total Fuel per Operation(Sugar)'!T19+'Total Fuel per Operation(Sugar)'!T20</f>
        <v>3293977.56</v>
      </c>
      <c r="U48" s="184">
        <f>'Total Fuel per Operation(Sugar)'!U11+'Total Fuel per Operation(Sugar)'!U12+'Total Fuel per Operation(Sugar)'!U13+'Total Fuel per Operation(Sugar)'!U14+'Total Fuel per Operation(Sugar)'!U15+'Total Fuel per Operation(Sugar)'!U16+'Total Fuel per Operation(Sugar)'!U17+'Total Fuel per Operation(Sugar)'!U18+'Total Fuel per Operation(Sugar)'!U19+'Total Fuel per Operation(Sugar)'!U20</f>
        <v>377646.52</v>
      </c>
      <c r="V48" s="184">
        <f>'Total Fuel per Operation(Sugar)'!V11+'Total Fuel per Operation(Sugar)'!V12+'Total Fuel per Operation(Sugar)'!V13+'Total Fuel per Operation(Sugar)'!V14+'Total Fuel per Operation(Sugar)'!V15+'Total Fuel per Operation(Sugar)'!V16+'Total Fuel per Operation(Sugar)'!V17+'Total Fuel per Operation(Sugar)'!V18+'Total Fuel per Operation(Sugar)'!V19+'Total Fuel per Operation(Sugar)'!V20</f>
        <v>3293977.56</v>
      </c>
      <c r="W48" s="184">
        <f>'Total Fuel per Operation(Sugar)'!W11+'Total Fuel per Operation(Sugar)'!W12+'Total Fuel per Operation(Sugar)'!W13+'Total Fuel per Operation(Sugar)'!W14+'Total Fuel per Operation(Sugar)'!W15+'Total Fuel per Operation(Sugar)'!W16+'Total Fuel per Operation(Sugar)'!W17+'Total Fuel per Operation(Sugar)'!W18+'Total Fuel per Operation(Sugar)'!W19+'Total Fuel per Operation(Sugar)'!W20</f>
        <v>377646.52</v>
      </c>
      <c r="X48" s="184">
        <f>'Total Fuel per Operation(Sugar)'!X11+'Total Fuel per Operation(Sugar)'!X12+'Total Fuel per Operation(Sugar)'!X13+'Total Fuel per Operation(Sugar)'!X14+'Total Fuel per Operation(Sugar)'!X15+'Total Fuel per Operation(Sugar)'!X16+'Total Fuel per Operation(Sugar)'!X17+'Total Fuel per Operation(Sugar)'!X18+'Total Fuel per Operation(Sugar)'!X19+'Total Fuel per Operation(Sugar)'!X20</f>
        <v>3293977.56</v>
      </c>
      <c r="Y48" s="184">
        <f>SUM(D48:X48)</f>
        <v>26079015.079999994</v>
      </c>
      <c r="Z48" s="185">
        <v>1169802.27</v>
      </c>
      <c r="AA48" s="186">
        <v>7</v>
      </c>
      <c r="AB48" s="184">
        <v>334229.22000000003</v>
      </c>
      <c r="AC48" s="184">
        <v>334229.22000000003</v>
      </c>
      <c r="AD48" s="184">
        <v>334229.22000000003</v>
      </c>
      <c r="AE48" s="184">
        <v>334229.22000000003</v>
      </c>
      <c r="AF48" s="189"/>
      <c r="AG48" s="187"/>
      <c r="AH48" s="187"/>
      <c r="AI48" s="187"/>
      <c r="AJ48" s="187"/>
      <c r="AK48" s="184">
        <v>334229.22000000003</v>
      </c>
      <c r="AL48" s="184">
        <v>334229.22000000003</v>
      </c>
      <c r="AM48" s="184">
        <v>334229.22000000003</v>
      </c>
      <c r="AN48" s="187">
        <v>2339604.54</v>
      </c>
    </row>
    <row r="49" spans="1:40" s="188" customFormat="1">
      <c r="A49" s="187"/>
      <c r="B49" s="181" t="s">
        <v>77</v>
      </c>
      <c r="C49" s="184" t="s">
        <v>367</v>
      </c>
      <c r="D49" s="177">
        <v>0</v>
      </c>
      <c r="E49" s="177">
        <v>0</v>
      </c>
      <c r="F49" s="177">
        <v>0</v>
      </c>
      <c r="G49" s="177">
        <v>0</v>
      </c>
      <c r="H49" s="177">
        <v>0</v>
      </c>
      <c r="I49" s="177">
        <v>0</v>
      </c>
      <c r="J49" s="177">
        <v>0</v>
      </c>
      <c r="K49" s="177">
        <v>0</v>
      </c>
      <c r="L49" s="177">
        <v>0</v>
      </c>
      <c r="M49" s="177">
        <v>0</v>
      </c>
      <c r="N49" s="177">
        <v>0</v>
      </c>
      <c r="O49" s="177">
        <v>0</v>
      </c>
      <c r="P49" s="177">
        <v>0</v>
      </c>
      <c r="Q49" s="177">
        <v>0</v>
      </c>
      <c r="R49" s="177">
        <v>0</v>
      </c>
      <c r="S49" s="177">
        <v>0</v>
      </c>
      <c r="T49" s="177">
        <v>0</v>
      </c>
      <c r="U49" s="177">
        <v>0</v>
      </c>
      <c r="V49" s="177">
        <v>0</v>
      </c>
      <c r="W49" s="177">
        <v>0</v>
      </c>
      <c r="X49" s="177">
        <v>0</v>
      </c>
      <c r="Y49" s="184"/>
      <c r="Z49" s="185"/>
      <c r="AA49" s="186"/>
      <c r="AB49" s="184"/>
      <c r="AC49" s="184"/>
      <c r="AD49" s="184"/>
      <c r="AE49" s="184"/>
      <c r="AF49" s="189"/>
      <c r="AG49" s="187"/>
      <c r="AH49" s="187"/>
      <c r="AI49" s="187"/>
      <c r="AJ49" s="187"/>
      <c r="AK49" s="184"/>
      <c r="AL49" s="184"/>
      <c r="AM49" s="184"/>
      <c r="AN49" s="187"/>
    </row>
    <row r="50" spans="1:40">
      <c r="A50" s="182" t="s">
        <v>369</v>
      </c>
      <c r="B50" s="181" t="s">
        <v>78</v>
      </c>
      <c r="C50" s="184" t="s">
        <v>367</v>
      </c>
      <c r="D50" s="184">
        <f>'Total Fuel per Operation(Sugar)'!D25</f>
        <v>20360</v>
      </c>
      <c r="E50" s="184">
        <f>'Total Fuel per Operation(Sugar)'!E25</f>
        <v>61469.02</v>
      </c>
      <c r="F50" s="184">
        <f>'Total Fuel per Operation(Sugar)'!F25</f>
        <v>20360</v>
      </c>
      <c r="G50" s="184">
        <f>'Total Fuel per Operation(Sugar)'!G25</f>
        <v>61469.02</v>
      </c>
      <c r="H50" s="184">
        <f>'Total Fuel per Operation(Sugar)'!H25</f>
        <v>20360</v>
      </c>
      <c r="I50" s="184">
        <f>'Total Fuel per Operation(Sugar)'!I25</f>
        <v>61469.02</v>
      </c>
      <c r="J50" s="184">
        <f>'Total Fuel per Operation(Sugar)'!J25</f>
        <v>20360</v>
      </c>
      <c r="K50" s="184">
        <f>'Total Fuel per Operation(Sugar)'!K25</f>
        <v>61469.02</v>
      </c>
      <c r="L50" s="184">
        <f>'Total Fuel per Operation(Sugar)'!L25</f>
        <v>0</v>
      </c>
      <c r="M50" s="184">
        <f>'Total Fuel per Operation(Sugar)'!M25</f>
        <v>0</v>
      </c>
      <c r="N50" s="184">
        <f>'Total Fuel per Operation(Sugar)'!N25</f>
        <v>0</v>
      </c>
      <c r="O50" s="184">
        <f>'Total Fuel per Operation(Sugar)'!O25</f>
        <v>0</v>
      </c>
      <c r="P50" s="184">
        <f>'Total Fuel per Operation(Sugar)'!P25</f>
        <v>0</v>
      </c>
      <c r="Q50" s="184">
        <f>'Total Fuel per Operation(Sugar)'!Q25</f>
        <v>0</v>
      </c>
      <c r="R50" s="184">
        <f>'Total Fuel per Operation(Sugar)'!R25</f>
        <v>0</v>
      </c>
      <c r="S50" s="184">
        <f>'Total Fuel per Operation(Sugar)'!S25</f>
        <v>0</v>
      </c>
      <c r="T50" s="184">
        <f>'Total Fuel per Operation(Sugar)'!T25</f>
        <v>0</v>
      </c>
      <c r="U50" s="184">
        <f>'Total Fuel per Operation(Sugar)'!U25</f>
        <v>0</v>
      </c>
      <c r="V50" s="184">
        <f>'Total Fuel per Operation(Sugar)'!V25</f>
        <v>0</v>
      </c>
      <c r="W50" s="184">
        <f>'Total Fuel per Operation(Sugar)'!W25</f>
        <v>0</v>
      </c>
      <c r="X50" s="184">
        <f>'Total Fuel per Operation(Sugar)'!X25</f>
        <v>61469.02</v>
      </c>
      <c r="Y50" s="184">
        <f>SUM(D50:X50)</f>
        <v>388785.1</v>
      </c>
      <c r="Z50" s="185">
        <v>153672.54999999999</v>
      </c>
      <c r="AA50" s="186">
        <v>5</v>
      </c>
      <c r="AB50" s="184">
        <v>61469.02</v>
      </c>
      <c r="AC50" s="184">
        <v>61469.02</v>
      </c>
      <c r="AD50" s="184">
        <v>61469.02</v>
      </c>
      <c r="AE50" s="184">
        <v>61469.02</v>
      </c>
      <c r="AF50" s="195"/>
      <c r="AG50" s="172"/>
      <c r="AH50" s="172"/>
      <c r="AI50" s="172"/>
      <c r="AJ50" s="172"/>
      <c r="AK50" s="172"/>
      <c r="AL50" s="172"/>
      <c r="AM50" s="184">
        <v>61469.02</v>
      </c>
      <c r="AN50" s="187">
        <v>307345.09999999998</v>
      </c>
    </row>
    <row r="51" spans="1:40" s="188" customFormat="1">
      <c r="A51" s="182" t="s">
        <v>394</v>
      </c>
      <c r="B51" s="181" t="s">
        <v>79</v>
      </c>
      <c r="C51" s="184" t="s">
        <v>782</v>
      </c>
      <c r="D51" s="184">
        <f>'Total Fuel per Operation(Sugar)'!D21+'Total Fuel per Operation(Sugar)'!D22</f>
        <v>79736</v>
      </c>
      <c r="E51" s="184">
        <f>'Total Fuel per Operation(Sugar)'!E21+'Total Fuel per Operation(Sugar)'!E22</f>
        <v>599691.74571428564</v>
      </c>
      <c r="F51" s="184">
        <f>'Total Fuel per Operation(Sugar)'!F21+'Total Fuel per Operation(Sugar)'!F22</f>
        <v>79736</v>
      </c>
      <c r="G51" s="184">
        <f>'Total Fuel per Operation(Sugar)'!G21+'Total Fuel per Operation(Sugar)'!G22</f>
        <v>599691.74571428564</v>
      </c>
      <c r="H51" s="184">
        <f>'Total Fuel per Operation(Sugar)'!H21+'Total Fuel per Operation(Sugar)'!H22</f>
        <v>79736</v>
      </c>
      <c r="I51" s="184">
        <f>'Total Fuel per Operation(Sugar)'!I21+'Total Fuel per Operation(Sugar)'!I22</f>
        <v>599691.74571428564</v>
      </c>
      <c r="J51" s="184">
        <f>'Total Fuel per Operation(Sugar)'!J21+'Total Fuel per Operation(Sugar)'!J22</f>
        <v>79736</v>
      </c>
      <c r="K51" s="184">
        <f>'Total Fuel per Operation(Sugar)'!K21+'Total Fuel per Operation(Sugar)'!K22</f>
        <v>599691.74571428564</v>
      </c>
      <c r="L51" s="184">
        <f>'Total Fuel per Operation(Sugar)'!L21+'Total Fuel per Operation(Sugar)'!L22</f>
        <v>79736</v>
      </c>
      <c r="M51" s="184">
        <f>'Total Fuel per Operation(Sugar)'!M21+'Total Fuel per Operation(Sugar)'!M22</f>
        <v>0</v>
      </c>
      <c r="N51" s="184">
        <f>'Total Fuel per Operation(Sugar)'!N21+'Total Fuel per Operation(Sugar)'!N22</f>
        <v>0</v>
      </c>
      <c r="O51" s="184">
        <f>'Total Fuel per Operation(Sugar)'!O21+'Total Fuel per Operation(Sugar)'!O22</f>
        <v>0</v>
      </c>
      <c r="P51" s="184">
        <f>'Total Fuel per Operation(Sugar)'!P21+'Total Fuel per Operation(Sugar)'!P22</f>
        <v>0</v>
      </c>
      <c r="Q51" s="184">
        <f>'Total Fuel per Operation(Sugar)'!Q21+'Total Fuel per Operation(Sugar)'!Q22</f>
        <v>0</v>
      </c>
      <c r="R51" s="184">
        <f>'Total Fuel per Operation(Sugar)'!R21+'Total Fuel per Operation(Sugar)'!R22</f>
        <v>0</v>
      </c>
      <c r="S51" s="184">
        <f>'Total Fuel per Operation(Sugar)'!S21+'Total Fuel per Operation(Sugar)'!S22</f>
        <v>79736</v>
      </c>
      <c r="T51" s="184">
        <f>'Total Fuel per Operation(Sugar)'!T21+'Total Fuel per Operation(Sugar)'!T22</f>
        <v>599691.74571428564</v>
      </c>
      <c r="U51" s="184">
        <f>'Total Fuel per Operation(Sugar)'!U21+'Total Fuel per Operation(Sugar)'!U22</f>
        <v>79736</v>
      </c>
      <c r="V51" s="184">
        <f>'Total Fuel per Operation(Sugar)'!V21+'Total Fuel per Operation(Sugar)'!V22</f>
        <v>599691.74571428564</v>
      </c>
      <c r="W51" s="184">
        <f>'Total Fuel per Operation(Sugar)'!W21+'Total Fuel per Operation(Sugar)'!W22</f>
        <v>79736</v>
      </c>
      <c r="X51" s="184">
        <f>'Total Fuel per Operation(Sugar)'!X21+'Total Fuel per Operation(Sugar)'!X22</f>
        <v>599691.74571428564</v>
      </c>
      <c r="Y51" s="184">
        <f>SUM(D51:X51)</f>
        <v>4835730.2199999988</v>
      </c>
      <c r="Z51" s="185">
        <v>666480.68999999994</v>
      </c>
      <c r="AA51" s="186">
        <v>7</v>
      </c>
      <c r="AB51" s="184">
        <v>190423.05428571426</v>
      </c>
      <c r="AC51" s="184">
        <v>190423.05428571426</v>
      </c>
      <c r="AD51" s="184">
        <v>190423.05428571426</v>
      </c>
      <c r="AE51" s="184">
        <v>190423.05428571426</v>
      </c>
      <c r="AF51" s="189"/>
      <c r="AG51" s="187"/>
      <c r="AH51" s="187"/>
      <c r="AI51" s="187"/>
      <c r="AJ51" s="187"/>
      <c r="AK51" s="184">
        <v>190423.05428571426</v>
      </c>
      <c r="AL51" s="184">
        <v>190423.05428571426</v>
      </c>
      <c r="AM51" s="184">
        <v>190423.05428571426</v>
      </c>
      <c r="AN51" s="187">
        <v>1332961.3799999997</v>
      </c>
    </row>
    <row r="52" spans="1:40">
      <c r="A52" s="190"/>
      <c r="B52" s="181" t="s">
        <v>80</v>
      </c>
      <c r="C52" s="184" t="s">
        <v>782</v>
      </c>
      <c r="D52" s="177">
        <v>0</v>
      </c>
      <c r="E52" s="177">
        <v>0</v>
      </c>
      <c r="F52" s="177">
        <v>0</v>
      </c>
      <c r="G52" s="177">
        <v>0</v>
      </c>
      <c r="H52" s="177">
        <v>0</v>
      </c>
      <c r="I52" s="177">
        <v>0</v>
      </c>
      <c r="J52" s="177">
        <v>0</v>
      </c>
      <c r="K52" s="177">
        <v>0</v>
      </c>
      <c r="L52" s="177">
        <v>0</v>
      </c>
      <c r="M52" s="177">
        <v>0</v>
      </c>
      <c r="N52" s="177">
        <v>0</v>
      </c>
      <c r="O52" s="177">
        <v>0</v>
      </c>
      <c r="P52" s="177">
        <v>0</v>
      </c>
      <c r="Q52" s="177">
        <v>0</v>
      </c>
      <c r="R52" s="177">
        <v>0</v>
      </c>
      <c r="S52" s="177">
        <v>0</v>
      </c>
      <c r="T52" s="177">
        <v>0</v>
      </c>
      <c r="U52" s="177">
        <v>0</v>
      </c>
      <c r="V52" s="177">
        <v>0</v>
      </c>
      <c r="W52" s="177">
        <v>0</v>
      </c>
      <c r="X52" s="177">
        <v>0</v>
      </c>
      <c r="Y52" s="191"/>
      <c r="Z52" s="191"/>
      <c r="AA52" s="192"/>
      <c r="AB52" s="193"/>
      <c r="AC52" s="193"/>
      <c r="AD52" s="194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</row>
    <row r="53" spans="1:40">
      <c r="A53" s="190"/>
      <c r="B53" s="181" t="s">
        <v>44</v>
      </c>
      <c r="C53" s="184" t="s">
        <v>371</v>
      </c>
      <c r="D53" s="177">
        <v>0</v>
      </c>
      <c r="E53" s="177">
        <v>0</v>
      </c>
      <c r="F53" s="177">
        <v>0</v>
      </c>
      <c r="G53" s="177">
        <v>0</v>
      </c>
      <c r="H53" s="177">
        <v>0</v>
      </c>
      <c r="I53" s="177">
        <v>0</v>
      </c>
      <c r="J53" s="177">
        <v>0</v>
      </c>
      <c r="K53" s="177">
        <v>0</v>
      </c>
      <c r="L53" s="177">
        <v>0</v>
      </c>
      <c r="M53" s="177">
        <v>0</v>
      </c>
      <c r="N53" s="177">
        <v>0</v>
      </c>
      <c r="O53" s="177">
        <v>0</v>
      </c>
      <c r="P53" s="177">
        <v>0</v>
      </c>
      <c r="Q53" s="177">
        <v>0</v>
      </c>
      <c r="R53" s="177">
        <v>0</v>
      </c>
      <c r="S53" s="177">
        <v>0</v>
      </c>
      <c r="T53" s="177">
        <v>0</v>
      </c>
      <c r="U53" s="177">
        <v>0</v>
      </c>
      <c r="V53" s="177">
        <v>0</v>
      </c>
      <c r="W53" s="177">
        <v>0</v>
      </c>
      <c r="X53" s="177">
        <v>0</v>
      </c>
      <c r="Y53" s="191"/>
      <c r="Z53" s="191"/>
      <c r="AA53" s="192"/>
      <c r="AB53" s="193"/>
      <c r="AC53" s="193"/>
      <c r="AD53" s="194"/>
      <c r="AE53" s="193"/>
      <c r="AF53" s="193"/>
      <c r="AG53" s="193"/>
      <c r="AH53" s="193"/>
      <c r="AI53" s="193"/>
      <c r="AJ53" s="193"/>
      <c r="AK53" s="193"/>
      <c r="AL53" s="193"/>
      <c r="AM53" s="193"/>
      <c r="AN53" s="193"/>
    </row>
    <row r="54" spans="1:40">
      <c r="A54" s="190"/>
      <c r="B54" s="181" t="s">
        <v>92</v>
      </c>
      <c r="C54" s="184" t="s">
        <v>371</v>
      </c>
      <c r="D54" s="177">
        <v>0</v>
      </c>
      <c r="E54" s="177">
        <v>0</v>
      </c>
      <c r="F54" s="177">
        <v>0</v>
      </c>
      <c r="G54" s="177">
        <v>0</v>
      </c>
      <c r="H54" s="177">
        <v>0</v>
      </c>
      <c r="I54" s="177">
        <v>0</v>
      </c>
      <c r="J54" s="177">
        <v>0</v>
      </c>
      <c r="K54" s="177">
        <v>0</v>
      </c>
      <c r="L54" s="177">
        <v>0</v>
      </c>
      <c r="M54" s="177">
        <v>0</v>
      </c>
      <c r="N54" s="177">
        <v>0</v>
      </c>
      <c r="O54" s="177">
        <v>0</v>
      </c>
      <c r="P54" s="177">
        <v>0</v>
      </c>
      <c r="Q54" s="177">
        <v>0</v>
      </c>
      <c r="R54" s="177">
        <v>0</v>
      </c>
      <c r="S54" s="177">
        <v>0</v>
      </c>
      <c r="T54" s="177">
        <v>0</v>
      </c>
      <c r="U54" s="177">
        <v>0</v>
      </c>
      <c r="V54" s="177">
        <v>0</v>
      </c>
      <c r="W54" s="177">
        <v>0</v>
      </c>
      <c r="X54" s="177">
        <v>0</v>
      </c>
      <c r="Y54" s="191"/>
      <c r="Z54" s="191"/>
      <c r="AA54" s="192"/>
      <c r="AB54" s="193"/>
      <c r="AC54" s="193"/>
      <c r="AD54" s="194"/>
      <c r="AE54" s="193"/>
      <c r="AF54" s="193"/>
      <c r="AG54" s="193"/>
      <c r="AH54" s="193"/>
      <c r="AI54" s="193"/>
      <c r="AJ54" s="193"/>
      <c r="AK54" s="193"/>
      <c r="AL54" s="193"/>
      <c r="AM54" s="193"/>
      <c r="AN54" s="193"/>
    </row>
    <row r="55" spans="1:40" s="188" customFormat="1">
      <c r="A55" s="182" t="s">
        <v>370</v>
      </c>
      <c r="B55" s="181" t="s">
        <v>91</v>
      </c>
      <c r="C55" s="184" t="s">
        <v>371</v>
      </c>
      <c r="D55" s="184">
        <f>'Total Fuel per Operation(Sugar)'!D26</f>
        <v>16000</v>
      </c>
      <c r="E55" s="184">
        <f>'Total Fuel per Operation(Sugar)'!E26</f>
        <v>106230.776</v>
      </c>
      <c r="F55" s="184">
        <f>'Total Fuel per Operation(Sugar)'!F26</f>
        <v>16000</v>
      </c>
      <c r="G55" s="184">
        <f>'Total Fuel per Operation(Sugar)'!G26</f>
        <v>106230.776</v>
      </c>
      <c r="H55" s="184">
        <f>'Total Fuel per Operation(Sugar)'!H26</f>
        <v>16000</v>
      </c>
      <c r="I55" s="184">
        <f>'Total Fuel per Operation(Sugar)'!I26</f>
        <v>106230.776</v>
      </c>
      <c r="J55" s="184">
        <f>'Total Fuel per Operation(Sugar)'!J26</f>
        <v>16000</v>
      </c>
      <c r="K55" s="184">
        <f>'Total Fuel per Operation(Sugar)'!K26</f>
        <v>106230.776</v>
      </c>
      <c r="L55" s="184">
        <f>'Total Fuel per Operation(Sugar)'!L26</f>
        <v>0</v>
      </c>
      <c r="M55" s="184">
        <f>'Total Fuel per Operation(Sugar)'!M26</f>
        <v>106230.776</v>
      </c>
      <c r="N55" s="184">
        <f>'Total Fuel per Operation(Sugar)'!N26</f>
        <v>0</v>
      </c>
      <c r="O55" s="184">
        <f>'Total Fuel per Operation(Sugar)'!O26</f>
        <v>0</v>
      </c>
      <c r="P55" s="184">
        <f>'Total Fuel per Operation(Sugar)'!P26</f>
        <v>0</v>
      </c>
      <c r="Q55" s="184">
        <f>'Total Fuel per Operation(Sugar)'!Q26</f>
        <v>0</v>
      </c>
      <c r="R55" s="184">
        <f>'Total Fuel per Operation(Sugar)'!R26</f>
        <v>0</v>
      </c>
      <c r="S55" s="184">
        <f>'Total Fuel per Operation(Sugar)'!S26</f>
        <v>0</v>
      </c>
      <c r="T55" s="184">
        <f>'Total Fuel per Operation(Sugar)'!T26</f>
        <v>0</v>
      </c>
      <c r="U55" s="184">
        <f>'Total Fuel per Operation(Sugar)'!U26</f>
        <v>16000</v>
      </c>
      <c r="V55" s="184">
        <f>'Total Fuel per Operation(Sugar)'!V26</f>
        <v>0</v>
      </c>
      <c r="W55" s="184">
        <f>'Total Fuel per Operation(Sugar)'!W26</f>
        <v>16000</v>
      </c>
      <c r="X55" s="184">
        <f>'Total Fuel per Operation(Sugar)'!X26</f>
        <v>0</v>
      </c>
      <c r="Y55" s="184">
        <f>SUM(D55:X55)</f>
        <v>627153.88</v>
      </c>
      <c r="Z55" s="185">
        <v>265576.94</v>
      </c>
      <c r="AA55" s="186">
        <v>5</v>
      </c>
      <c r="AB55" s="184">
        <v>106230.776</v>
      </c>
      <c r="AC55" s="184">
        <v>106230.776</v>
      </c>
      <c r="AD55" s="184">
        <v>106230.776</v>
      </c>
      <c r="AE55" s="184">
        <v>106230.776</v>
      </c>
      <c r="AF55" s="184">
        <v>106230.776</v>
      </c>
      <c r="AG55" s="187"/>
      <c r="AH55" s="187"/>
      <c r="AI55" s="187"/>
      <c r="AJ55" s="187"/>
      <c r="AK55" s="187"/>
      <c r="AL55" s="187"/>
      <c r="AM55" s="187"/>
      <c r="AN55" s="187">
        <v>531153.88</v>
      </c>
    </row>
    <row r="56" spans="1:40" s="188" customFormat="1">
      <c r="A56" s="182"/>
      <c r="B56" s="181" t="s">
        <v>94</v>
      </c>
      <c r="C56" s="184" t="s">
        <v>371</v>
      </c>
      <c r="D56" s="177">
        <v>0</v>
      </c>
      <c r="E56" s="177">
        <v>0</v>
      </c>
      <c r="F56" s="177">
        <v>0</v>
      </c>
      <c r="G56" s="177">
        <v>0</v>
      </c>
      <c r="H56" s="177">
        <v>0</v>
      </c>
      <c r="I56" s="177">
        <v>0</v>
      </c>
      <c r="J56" s="177">
        <v>0</v>
      </c>
      <c r="K56" s="177">
        <v>0</v>
      </c>
      <c r="L56" s="177">
        <v>0</v>
      </c>
      <c r="M56" s="177">
        <v>0</v>
      </c>
      <c r="N56" s="177">
        <v>0</v>
      </c>
      <c r="O56" s="177">
        <v>0</v>
      </c>
      <c r="P56" s="177">
        <v>0</v>
      </c>
      <c r="Q56" s="177">
        <v>0</v>
      </c>
      <c r="R56" s="177">
        <v>0</v>
      </c>
      <c r="S56" s="177">
        <v>0</v>
      </c>
      <c r="T56" s="177">
        <v>0</v>
      </c>
      <c r="U56" s="177">
        <v>0</v>
      </c>
      <c r="V56" s="177">
        <v>0</v>
      </c>
      <c r="W56" s="177">
        <v>0</v>
      </c>
      <c r="X56" s="177">
        <v>0</v>
      </c>
      <c r="Y56" s="184"/>
      <c r="Z56" s="185"/>
      <c r="AA56" s="186"/>
      <c r="AB56" s="184"/>
      <c r="AC56" s="184"/>
      <c r="AD56" s="184"/>
      <c r="AE56" s="184"/>
      <c r="AF56" s="184"/>
      <c r="AG56" s="187"/>
      <c r="AH56" s="187"/>
      <c r="AI56" s="187"/>
      <c r="AJ56" s="187"/>
      <c r="AK56" s="187"/>
      <c r="AL56" s="187"/>
      <c r="AM56" s="187"/>
      <c r="AN56" s="187"/>
    </row>
    <row r="57" spans="1:40" s="188" customFormat="1">
      <c r="A57" s="182"/>
      <c r="B57" s="181" t="s">
        <v>45</v>
      </c>
      <c r="C57" s="184" t="s">
        <v>371</v>
      </c>
      <c r="D57" s="177">
        <v>0</v>
      </c>
      <c r="E57" s="177">
        <v>0</v>
      </c>
      <c r="F57" s="177">
        <v>0</v>
      </c>
      <c r="G57" s="177">
        <v>0</v>
      </c>
      <c r="H57" s="177">
        <v>0</v>
      </c>
      <c r="I57" s="177">
        <v>0</v>
      </c>
      <c r="J57" s="177">
        <v>0</v>
      </c>
      <c r="K57" s="177">
        <v>0</v>
      </c>
      <c r="L57" s="177">
        <v>0</v>
      </c>
      <c r="M57" s="177">
        <v>0</v>
      </c>
      <c r="N57" s="177">
        <v>0</v>
      </c>
      <c r="O57" s="177">
        <v>0</v>
      </c>
      <c r="P57" s="177">
        <v>0</v>
      </c>
      <c r="Q57" s="177">
        <v>0</v>
      </c>
      <c r="R57" s="177">
        <v>0</v>
      </c>
      <c r="S57" s="177">
        <v>0</v>
      </c>
      <c r="T57" s="177">
        <v>0</v>
      </c>
      <c r="U57" s="177">
        <v>0</v>
      </c>
      <c r="V57" s="177">
        <v>0</v>
      </c>
      <c r="W57" s="177">
        <v>0</v>
      </c>
      <c r="X57" s="177">
        <v>0</v>
      </c>
      <c r="Y57" s="184"/>
      <c r="Z57" s="185"/>
      <c r="AA57" s="186"/>
      <c r="AB57" s="184"/>
      <c r="AC57" s="184"/>
      <c r="AD57" s="184"/>
      <c r="AE57" s="184"/>
      <c r="AF57" s="184"/>
      <c r="AG57" s="187"/>
      <c r="AH57" s="187"/>
      <c r="AI57" s="187"/>
      <c r="AJ57" s="187"/>
      <c r="AK57" s="187"/>
      <c r="AL57" s="187"/>
      <c r="AM57" s="187"/>
      <c r="AN57" s="187"/>
    </row>
    <row r="58" spans="1:40" s="188" customFormat="1">
      <c r="A58" s="182"/>
      <c r="B58" s="181" t="s">
        <v>46</v>
      </c>
      <c r="C58" s="184" t="s">
        <v>371</v>
      </c>
      <c r="D58" s="177">
        <v>0</v>
      </c>
      <c r="E58" s="177">
        <v>0</v>
      </c>
      <c r="F58" s="177">
        <v>0</v>
      </c>
      <c r="G58" s="177">
        <v>0</v>
      </c>
      <c r="H58" s="177">
        <v>0</v>
      </c>
      <c r="I58" s="177">
        <v>0</v>
      </c>
      <c r="J58" s="177">
        <v>0</v>
      </c>
      <c r="K58" s="177">
        <v>0</v>
      </c>
      <c r="L58" s="177">
        <v>0</v>
      </c>
      <c r="M58" s="177">
        <v>0</v>
      </c>
      <c r="N58" s="177">
        <v>0</v>
      </c>
      <c r="O58" s="177">
        <v>0</v>
      </c>
      <c r="P58" s="177">
        <v>0</v>
      </c>
      <c r="Q58" s="177">
        <v>0</v>
      </c>
      <c r="R58" s="177">
        <v>0</v>
      </c>
      <c r="S58" s="177">
        <v>0</v>
      </c>
      <c r="T58" s="177">
        <v>0</v>
      </c>
      <c r="U58" s="177">
        <v>0</v>
      </c>
      <c r="V58" s="177">
        <v>0</v>
      </c>
      <c r="W58" s="177">
        <v>0</v>
      </c>
      <c r="X58" s="177">
        <v>0</v>
      </c>
      <c r="Y58" s="184"/>
      <c r="Z58" s="185"/>
      <c r="AA58" s="186"/>
      <c r="AB58" s="184"/>
      <c r="AC58" s="184"/>
      <c r="AD58" s="184"/>
      <c r="AE58" s="184"/>
      <c r="AF58" s="184"/>
      <c r="AG58" s="187"/>
      <c r="AH58" s="187"/>
      <c r="AI58" s="187"/>
      <c r="AJ58" s="187"/>
      <c r="AK58" s="187"/>
      <c r="AL58" s="187"/>
      <c r="AM58" s="187"/>
      <c r="AN58" s="187"/>
    </row>
    <row r="59" spans="1:40" s="188" customFormat="1">
      <c r="A59" s="182"/>
      <c r="B59" s="181" t="s">
        <v>210</v>
      </c>
      <c r="C59" s="184" t="s">
        <v>396</v>
      </c>
      <c r="D59" s="177">
        <v>0</v>
      </c>
      <c r="E59" s="177">
        <v>0</v>
      </c>
      <c r="F59" s="177">
        <v>0</v>
      </c>
      <c r="G59" s="177">
        <v>0</v>
      </c>
      <c r="H59" s="177">
        <v>0</v>
      </c>
      <c r="I59" s="177">
        <v>0</v>
      </c>
      <c r="J59" s="177">
        <v>0</v>
      </c>
      <c r="K59" s="177">
        <v>0</v>
      </c>
      <c r="L59" s="177">
        <v>0</v>
      </c>
      <c r="M59" s="177">
        <v>0</v>
      </c>
      <c r="N59" s="177">
        <v>0</v>
      </c>
      <c r="O59" s="177">
        <v>0</v>
      </c>
      <c r="P59" s="177">
        <v>0</v>
      </c>
      <c r="Q59" s="177">
        <v>0</v>
      </c>
      <c r="R59" s="177">
        <v>0</v>
      </c>
      <c r="S59" s="177">
        <v>0</v>
      </c>
      <c r="T59" s="177">
        <v>0</v>
      </c>
      <c r="U59" s="177">
        <v>0</v>
      </c>
      <c r="V59" s="177">
        <v>0</v>
      </c>
      <c r="W59" s="177">
        <v>0</v>
      </c>
      <c r="X59" s="177">
        <v>0</v>
      </c>
      <c r="Y59" s="184"/>
      <c r="Z59" s="185"/>
      <c r="AA59" s="186"/>
      <c r="AB59" s="184"/>
      <c r="AC59" s="184"/>
      <c r="AD59" s="184"/>
      <c r="AE59" s="184"/>
      <c r="AF59" s="184"/>
      <c r="AG59" s="187"/>
      <c r="AH59" s="187"/>
      <c r="AI59" s="187"/>
      <c r="AJ59" s="187"/>
      <c r="AK59" s="187"/>
      <c r="AL59" s="187"/>
      <c r="AM59" s="187"/>
      <c r="AN59" s="187"/>
    </row>
    <row r="60" spans="1:40" s="188" customFormat="1">
      <c r="A60" s="182"/>
      <c r="B60" s="181" t="s">
        <v>211</v>
      </c>
      <c r="C60" s="184" t="s">
        <v>396</v>
      </c>
      <c r="D60" s="177">
        <v>0</v>
      </c>
      <c r="E60" s="177">
        <v>0</v>
      </c>
      <c r="F60" s="177">
        <v>0</v>
      </c>
      <c r="G60" s="177">
        <v>0</v>
      </c>
      <c r="H60" s="177">
        <v>0</v>
      </c>
      <c r="I60" s="177">
        <v>0</v>
      </c>
      <c r="J60" s="177">
        <v>0</v>
      </c>
      <c r="K60" s="177">
        <v>0</v>
      </c>
      <c r="L60" s="177">
        <v>0</v>
      </c>
      <c r="M60" s="177">
        <v>0</v>
      </c>
      <c r="N60" s="177">
        <v>0</v>
      </c>
      <c r="O60" s="177">
        <v>0</v>
      </c>
      <c r="P60" s="177">
        <v>0</v>
      </c>
      <c r="Q60" s="177">
        <v>0</v>
      </c>
      <c r="R60" s="177">
        <v>0</v>
      </c>
      <c r="S60" s="177">
        <v>0</v>
      </c>
      <c r="T60" s="177">
        <v>0</v>
      </c>
      <c r="U60" s="177">
        <v>0</v>
      </c>
      <c r="V60" s="177">
        <v>0</v>
      </c>
      <c r="W60" s="177">
        <v>0</v>
      </c>
      <c r="X60" s="177">
        <v>0</v>
      </c>
      <c r="Y60" s="184"/>
      <c r="Z60" s="185"/>
      <c r="AA60" s="186"/>
      <c r="AB60" s="184"/>
      <c r="AC60" s="184"/>
      <c r="AD60" s="184"/>
      <c r="AE60" s="184"/>
      <c r="AF60" s="184"/>
      <c r="AG60" s="187"/>
      <c r="AH60" s="187"/>
      <c r="AI60" s="187"/>
      <c r="AJ60" s="187"/>
      <c r="AK60" s="187"/>
      <c r="AL60" s="187"/>
      <c r="AM60" s="187"/>
      <c r="AN60" s="187"/>
    </row>
    <row r="61" spans="1:40" s="188" customFormat="1">
      <c r="A61" s="182"/>
      <c r="B61" s="181" t="s">
        <v>47</v>
      </c>
      <c r="C61" s="184" t="s">
        <v>396</v>
      </c>
      <c r="D61" s="177">
        <v>0</v>
      </c>
      <c r="E61" s="177">
        <v>0</v>
      </c>
      <c r="F61" s="177">
        <v>0</v>
      </c>
      <c r="G61" s="177">
        <v>0</v>
      </c>
      <c r="H61" s="177">
        <v>0</v>
      </c>
      <c r="I61" s="177">
        <v>0</v>
      </c>
      <c r="J61" s="177">
        <v>0</v>
      </c>
      <c r="K61" s="177">
        <v>0</v>
      </c>
      <c r="L61" s="177">
        <v>0</v>
      </c>
      <c r="M61" s="177">
        <v>0</v>
      </c>
      <c r="N61" s="177">
        <v>0</v>
      </c>
      <c r="O61" s="177">
        <v>0</v>
      </c>
      <c r="P61" s="177">
        <v>0</v>
      </c>
      <c r="Q61" s="177">
        <v>0</v>
      </c>
      <c r="R61" s="177">
        <v>0</v>
      </c>
      <c r="S61" s="177">
        <v>0</v>
      </c>
      <c r="T61" s="177">
        <v>0</v>
      </c>
      <c r="U61" s="177">
        <v>0</v>
      </c>
      <c r="V61" s="177">
        <v>0</v>
      </c>
      <c r="W61" s="177">
        <v>0</v>
      </c>
      <c r="X61" s="177">
        <v>0</v>
      </c>
      <c r="Y61" s="184"/>
      <c r="Z61" s="185"/>
      <c r="AA61" s="186"/>
      <c r="AB61" s="184"/>
      <c r="AC61" s="184"/>
      <c r="AD61" s="184"/>
      <c r="AE61" s="184"/>
      <c r="AF61" s="184"/>
      <c r="AG61" s="187"/>
      <c r="AH61" s="187"/>
      <c r="AI61" s="187"/>
      <c r="AJ61" s="187"/>
      <c r="AK61" s="187"/>
      <c r="AL61" s="187"/>
      <c r="AM61" s="187"/>
      <c r="AN61" s="187"/>
    </row>
    <row r="62" spans="1:40" s="188" customFormat="1">
      <c r="A62" s="187" t="s">
        <v>55</v>
      </c>
      <c r="B62" s="181" t="s">
        <v>55</v>
      </c>
      <c r="C62" s="184" t="s">
        <v>372</v>
      </c>
      <c r="D62" s="184">
        <f>'Total Fuel per Operation(Sugar)'!D27</f>
        <v>123854.00000000001</v>
      </c>
      <c r="E62" s="184">
        <f>'Total Fuel per Operation(Sugar)'!E27</f>
        <v>839763.17249999999</v>
      </c>
      <c r="F62" s="184">
        <f>'Total Fuel per Operation(Sugar)'!F27</f>
        <v>123854.00000000001</v>
      </c>
      <c r="G62" s="184">
        <f>'Total Fuel per Operation(Sugar)'!G27</f>
        <v>839763.17249999999</v>
      </c>
      <c r="H62" s="184">
        <f>'Total Fuel per Operation(Sugar)'!H27</f>
        <v>123854.00000000001</v>
      </c>
      <c r="I62" s="184">
        <f>'Total Fuel per Operation(Sugar)'!I27</f>
        <v>839763.17249999999</v>
      </c>
      <c r="J62" s="184">
        <f>'Total Fuel per Operation(Sugar)'!J27</f>
        <v>123854.00000000001</v>
      </c>
      <c r="K62" s="184">
        <f>'Total Fuel per Operation(Sugar)'!K27</f>
        <v>839763.17249999999</v>
      </c>
      <c r="L62" s="184">
        <f>'Total Fuel per Operation(Sugar)'!L27</f>
        <v>123854.00000000001</v>
      </c>
      <c r="M62" s="184">
        <f>'Total Fuel per Operation(Sugar)'!M27</f>
        <v>839763.17249999999</v>
      </c>
      <c r="N62" s="184">
        <f>'Total Fuel per Operation(Sugar)'!N27</f>
        <v>0</v>
      </c>
      <c r="O62" s="184">
        <f>'Total Fuel per Operation(Sugar)'!O27</f>
        <v>839763.17249999999</v>
      </c>
      <c r="P62" s="184">
        <f>'Total Fuel per Operation(Sugar)'!P27</f>
        <v>0</v>
      </c>
      <c r="Q62" s="184">
        <f>'Total Fuel per Operation(Sugar)'!Q27</f>
        <v>0</v>
      </c>
      <c r="R62" s="184">
        <f>'Total Fuel per Operation(Sugar)'!R27</f>
        <v>0</v>
      </c>
      <c r="S62" s="184">
        <f>'Total Fuel per Operation(Sugar)'!S27</f>
        <v>123854.00000000001</v>
      </c>
      <c r="T62" s="184">
        <f>'Total Fuel per Operation(Sugar)'!T27</f>
        <v>0</v>
      </c>
      <c r="U62" s="184">
        <f>'Total Fuel per Operation(Sugar)'!U27</f>
        <v>123854.00000000001</v>
      </c>
      <c r="V62" s="184">
        <f>'Total Fuel per Operation(Sugar)'!V27</f>
        <v>839763.17249999999</v>
      </c>
      <c r="W62" s="184">
        <f>'Total Fuel per Operation(Sugar)'!W27</f>
        <v>123854.00000000001</v>
      </c>
      <c r="X62" s="184">
        <f>'Total Fuel per Operation(Sugar)'!X27</f>
        <v>839763.17249999999</v>
      </c>
      <c r="Y62" s="184">
        <f>SUM(D62:X62)</f>
        <v>7708937.3800000008</v>
      </c>
      <c r="Z62" s="185">
        <v>3359052.69</v>
      </c>
      <c r="AA62" s="186">
        <v>8</v>
      </c>
      <c r="AB62" s="184">
        <v>839763.17249999999</v>
      </c>
      <c r="AC62" s="184">
        <v>839763.17249999999</v>
      </c>
      <c r="AD62" s="184">
        <v>839763.17249999999</v>
      </c>
      <c r="AE62" s="184">
        <v>839763.17249999999</v>
      </c>
      <c r="AF62" s="184">
        <v>839763.17249999999</v>
      </c>
      <c r="AG62" s="184">
        <v>839763.17249999999</v>
      </c>
      <c r="AH62" s="187"/>
      <c r="AI62" s="187"/>
      <c r="AJ62" s="187"/>
      <c r="AK62" s="187"/>
      <c r="AL62" s="184">
        <v>839763.17249999999</v>
      </c>
      <c r="AM62" s="184">
        <v>839763.17249999999</v>
      </c>
      <c r="AN62" s="187">
        <v>6718105.3800000008</v>
      </c>
    </row>
    <row r="63" spans="1:40" s="188" customFormat="1">
      <c r="A63" s="187"/>
      <c r="B63" s="181" t="s">
        <v>48</v>
      </c>
      <c r="C63" s="184" t="s">
        <v>372</v>
      </c>
      <c r="D63" s="177">
        <v>0</v>
      </c>
      <c r="E63" s="177">
        <v>0</v>
      </c>
      <c r="F63" s="177">
        <v>0</v>
      </c>
      <c r="G63" s="177">
        <v>0</v>
      </c>
      <c r="H63" s="177">
        <v>0</v>
      </c>
      <c r="I63" s="177">
        <v>0</v>
      </c>
      <c r="J63" s="177">
        <v>0</v>
      </c>
      <c r="K63" s="177">
        <v>0</v>
      </c>
      <c r="L63" s="177">
        <v>0</v>
      </c>
      <c r="M63" s="177">
        <v>0</v>
      </c>
      <c r="N63" s="177">
        <v>0</v>
      </c>
      <c r="O63" s="177">
        <v>0</v>
      </c>
      <c r="P63" s="177">
        <v>0</v>
      </c>
      <c r="Q63" s="177">
        <v>0</v>
      </c>
      <c r="R63" s="177">
        <v>0</v>
      </c>
      <c r="S63" s="177">
        <v>0</v>
      </c>
      <c r="T63" s="177">
        <v>0</v>
      </c>
      <c r="U63" s="177">
        <v>0</v>
      </c>
      <c r="V63" s="177">
        <v>0</v>
      </c>
      <c r="W63" s="177">
        <v>0</v>
      </c>
      <c r="X63" s="177">
        <v>0</v>
      </c>
      <c r="Y63" s="184"/>
      <c r="Z63" s="185"/>
      <c r="AA63" s="186"/>
      <c r="AB63" s="184"/>
      <c r="AC63" s="184"/>
      <c r="AD63" s="184"/>
      <c r="AE63" s="184"/>
      <c r="AF63" s="184"/>
      <c r="AG63" s="184"/>
      <c r="AH63" s="187"/>
      <c r="AI63" s="187"/>
      <c r="AJ63" s="187"/>
      <c r="AK63" s="187"/>
      <c r="AL63" s="184"/>
      <c r="AM63" s="184"/>
      <c r="AN63" s="187"/>
    </row>
    <row r="64" spans="1:40" s="188" customFormat="1">
      <c r="A64" s="187"/>
      <c r="B64" s="181" t="s">
        <v>209</v>
      </c>
      <c r="C64" s="184" t="s">
        <v>372</v>
      </c>
      <c r="D64" s="177">
        <v>0</v>
      </c>
      <c r="E64" s="177">
        <v>0</v>
      </c>
      <c r="F64" s="177">
        <v>0</v>
      </c>
      <c r="G64" s="177">
        <v>0</v>
      </c>
      <c r="H64" s="177">
        <v>0</v>
      </c>
      <c r="I64" s="177">
        <v>0</v>
      </c>
      <c r="J64" s="177">
        <v>0</v>
      </c>
      <c r="K64" s="177">
        <v>0</v>
      </c>
      <c r="L64" s="177">
        <v>0</v>
      </c>
      <c r="M64" s="177">
        <v>0</v>
      </c>
      <c r="N64" s="177">
        <v>0</v>
      </c>
      <c r="O64" s="177">
        <v>0</v>
      </c>
      <c r="P64" s="177">
        <v>0</v>
      </c>
      <c r="Q64" s="177">
        <v>0</v>
      </c>
      <c r="R64" s="177">
        <v>0</v>
      </c>
      <c r="S64" s="177">
        <v>0</v>
      </c>
      <c r="T64" s="177">
        <v>0</v>
      </c>
      <c r="U64" s="177">
        <v>0</v>
      </c>
      <c r="V64" s="177">
        <v>0</v>
      </c>
      <c r="W64" s="177">
        <v>0</v>
      </c>
      <c r="X64" s="177">
        <v>0</v>
      </c>
      <c r="Y64" s="184"/>
      <c r="Z64" s="185"/>
      <c r="AA64" s="186"/>
      <c r="AB64" s="184"/>
      <c r="AC64" s="184"/>
      <c r="AD64" s="184"/>
      <c r="AE64" s="184"/>
      <c r="AF64" s="184"/>
      <c r="AG64" s="184"/>
      <c r="AH64" s="187"/>
      <c r="AI64" s="187"/>
      <c r="AJ64" s="187"/>
      <c r="AK64" s="187"/>
      <c r="AL64" s="184"/>
      <c r="AM64" s="184"/>
      <c r="AN64" s="187"/>
    </row>
    <row r="65" spans="1:40" s="188" customFormat="1">
      <c r="A65" s="187"/>
      <c r="B65" s="181" t="s">
        <v>59</v>
      </c>
      <c r="C65" s="184" t="s">
        <v>372</v>
      </c>
      <c r="D65" s="177">
        <v>0</v>
      </c>
      <c r="E65" s="177">
        <v>0</v>
      </c>
      <c r="F65" s="177">
        <v>0</v>
      </c>
      <c r="G65" s="177">
        <v>0</v>
      </c>
      <c r="H65" s="177">
        <v>0</v>
      </c>
      <c r="I65" s="177">
        <v>0</v>
      </c>
      <c r="J65" s="177">
        <v>0</v>
      </c>
      <c r="K65" s="177">
        <v>0</v>
      </c>
      <c r="L65" s="177">
        <v>0</v>
      </c>
      <c r="M65" s="177">
        <v>0</v>
      </c>
      <c r="N65" s="177">
        <v>0</v>
      </c>
      <c r="O65" s="177">
        <v>0</v>
      </c>
      <c r="P65" s="177">
        <v>0</v>
      </c>
      <c r="Q65" s="177">
        <v>0</v>
      </c>
      <c r="R65" s="177">
        <v>0</v>
      </c>
      <c r="S65" s="177">
        <v>0</v>
      </c>
      <c r="T65" s="177">
        <v>0</v>
      </c>
      <c r="U65" s="177">
        <v>0</v>
      </c>
      <c r="V65" s="177">
        <v>0</v>
      </c>
      <c r="W65" s="177">
        <v>0</v>
      </c>
      <c r="X65" s="177">
        <v>0</v>
      </c>
      <c r="Y65" s="184"/>
      <c r="Z65" s="185"/>
      <c r="AA65" s="186"/>
      <c r="AB65" s="184"/>
      <c r="AC65" s="184"/>
      <c r="AD65" s="184"/>
      <c r="AE65" s="184"/>
      <c r="AF65" s="184"/>
      <c r="AG65" s="184"/>
      <c r="AH65" s="187"/>
      <c r="AI65" s="187"/>
      <c r="AJ65" s="187"/>
      <c r="AK65" s="187"/>
      <c r="AL65" s="184"/>
      <c r="AM65" s="184"/>
      <c r="AN65" s="187"/>
    </row>
    <row r="66" spans="1:40" s="188" customFormat="1">
      <c r="A66" s="187"/>
      <c r="B66" s="181" t="s">
        <v>81</v>
      </c>
      <c r="C66" s="184" t="s">
        <v>372</v>
      </c>
      <c r="D66" s="177">
        <v>0</v>
      </c>
      <c r="E66" s="177">
        <v>0</v>
      </c>
      <c r="F66" s="177">
        <v>0</v>
      </c>
      <c r="G66" s="177">
        <v>0</v>
      </c>
      <c r="H66" s="177">
        <v>0</v>
      </c>
      <c r="I66" s="177">
        <v>0</v>
      </c>
      <c r="J66" s="177">
        <v>0</v>
      </c>
      <c r="K66" s="177">
        <v>0</v>
      </c>
      <c r="L66" s="177">
        <v>0</v>
      </c>
      <c r="M66" s="177">
        <v>0</v>
      </c>
      <c r="N66" s="177">
        <v>0</v>
      </c>
      <c r="O66" s="177">
        <v>0</v>
      </c>
      <c r="P66" s="177">
        <v>0</v>
      </c>
      <c r="Q66" s="177">
        <v>0</v>
      </c>
      <c r="R66" s="177">
        <v>0</v>
      </c>
      <c r="S66" s="177">
        <v>0</v>
      </c>
      <c r="T66" s="177">
        <v>0</v>
      </c>
      <c r="U66" s="177">
        <v>0</v>
      </c>
      <c r="V66" s="177">
        <v>0</v>
      </c>
      <c r="W66" s="177">
        <v>0</v>
      </c>
      <c r="X66" s="177">
        <v>0</v>
      </c>
      <c r="Y66" s="184"/>
      <c r="Z66" s="185"/>
      <c r="AA66" s="186"/>
      <c r="AB66" s="184"/>
      <c r="AC66" s="184"/>
      <c r="AD66" s="184"/>
      <c r="AE66" s="184"/>
      <c r="AF66" s="184"/>
      <c r="AG66" s="184"/>
      <c r="AH66" s="187"/>
      <c r="AI66" s="187"/>
      <c r="AJ66" s="187"/>
      <c r="AK66" s="187"/>
      <c r="AL66" s="184"/>
      <c r="AM66" s="184"/>
      <c r="AN66" s="187"/>
    </row>
    <row r="67" spans="1:40" s="188" customFormat="1">
      <c r="A67" s="187"/>
      <c r="B67" s="181" t="s">
        <v>207</v>
      </c>
      <c r="C67" s="184" t="s">
        <v>375</v>
      </c>
      <c r="D67" s="177">
        <v>0</v>
      </c>
      <c r="E67" s="177">
        <v>0</v>
      </c>
      <c r="F67" s="177">
        <v>0</v>
      </c>
      <c r="G67" s="177">
        <v>0</v>
      </c>
      <c r="H67" s="177">
        <v>0</v>
      </c>
      <c r="I67" s="177">
        <v>0</v>
      </c>
      <c r="J67" s="177">
        <v>0</v>
      </c>
      <c r="K67" s="177">
        <v>0</v>
      </c>
      <c r="L67" s="177">
        <v>0</v>
      </c>
      <c r="M67" s="177">
        <v>0</v>
      </c>
      <c r="N67" s="177">
        <v>0</v>
      </c>
      <c r="O67" s="177">
        <v>0</v>
      </c>
      <c r="P67" s="177">
        <v>0</v>
      </c>
      <c r="Q67" s="177">
        <v>0</v>
      </c>
      <c r="R67" s="177">
        <v>0</v>
      </c>
      <c r="S67" s="177">
        <v>0</v>
      </c>
      <c r="T67" s="177">
        <v>0</v>
      </c>
      <c r="U67" s="177">
        <v>0</v>
      </c>
      <c r="V67" s="177">
        <v>0</v>
      </c>
      <c r="W67" s="177">
        <v>0</v>
      </c>
      <c r="X67" s="177">
        <v>0</v>
      </c>
      <c r="Y67" s="184"/>
      <c r="Z67" s="185"/>
      <c r="AA67" s="186"/>
      <c r="AB67" s="184"/>
      <c r="AC67" s="184"/>
      <c r="AD67" s="184"/>
      <c r="AE67" s="184"/>
      <c r="AF67" s="184"/>
      <c r="AG67" s="184"/>
      <c r="AH67" s="187"/>
      <c r="AI67" s="187"/>
      <c r="AJ67" s="187"/>
      <c r="AK67" s="187"/>
      <c r="AL67" s="184"/>
      <c r="AM67" s="184"/>
      <c r="AN67" s="187"/>
    </row>
    <row r="68" spans="1:40" s="188" customFormat="1">
      <c r="A68" s="182" t="s">
        <v>373</v>
      </c>
      <c r="B68" s="181" t="s">
        <v>208</v>
      </c>
      <c r="C68" s="184" t="s">
        <v>375</v>
      </c>
      <c r="D68" s="184">
        <f>'Total Fuel per Operation(Sugar)'!D28</f>
        <v>34120</v>
      </c>
      <c r="E68" s="184">
        <f>'Total Fuel per Operation(Sugar)'!E28</f>
        <v>106352.36799999999</v>
      </c>
      <c r="F68" s="184">
        <f>'Total Fuel per Operation(Sugar)'!F28</f>
        <v>34120</v>
      </c>
      <c r="G68" s="184">
        <f>'Total Fuel per Operation(Sugar)'!G28</f>
        <v>106352.36799999999</v>
      </c>
      <c r="H68" s="184">
        <f>'Total Fuel per Operation(Sugar)'!H28</f>
        <v>34120</v>
      </c>
      <c r="I68" s="184">
        <f>'Total Fuel per Operation(Sugar)'!I28</f>
        <v>106352.36799999999</v>
      </c>
      <c r="J68" s="184">
        <f>'Total Fuel per Operation(Sugar)'!J28</f>
        <v>0</v>
      </c>
      <c r="K68" s="184">
        <f>'Total Fuel per Operation(Sugar)'!K28</f>
        <v>106352.36799999999</v>
      </c>
      <c r="L68" s="184">
        <f>'Total Fuel per Operation(Sugar)'!L28</f>
        <v>0</v>
      </c>
      <c r="M68" s="184">
        <f>'Total Fuel per Operation(Sugar)'!M28</f>
        <v>106352.36799999999</v>
      </c>
      <c r="N68" s="184">
        <f>'Total Fuel per Operation(Sugar)'!N28</f>
        <v>0</v>
      </c>
      <c r="O68" s="184">
        <f>'Total Fuel per Operation(Sugar)'!O28</f>
        <v>0</v>
      </c>
      <c r="P68" s="184">
        <f>'Total Fuel per Operation(Sugar)'!P28</f>
        <v>0</v>
      </c>
      <c r="Q68" s="184">
        <f>'Total Fuel per Operation(Sugar)'!Q28</f>
        <v>0</v>
      </c>
      <c r="R68" s="184">
        <f>'Total Fuel per Operation(Sugar)'!R28</f>
        <v>0</v>
      </c>
      <c r="S68" s="184">
        <f>'Total Fuel per Operation(Sugar)'!S28</f>
        <v>0</v>
      </c>
      <c r="T68" s="184">
        <f>'Total Fuel per Operation(Sugar)'!T28</f>
        <v>0</v>
      </c>
      <c r="U68" s="184">
        <f>'Total Fuel per Operation(Sugar)'!U28</f>
        <v>0</v>
      </c>
      <c r="V68" s="184">
        <f>'Total Fuel per Operation(Sugar)'!V28</f>
        <v>0</v>
      </c>
      <c r="W68" s="184">
        <f>'Total Fuel per Operation(Sugar)'!W28</f>
        <v>34120</v>
      </c>
      <c r="X68" s="184">
        <f>'Total Fuel per Operation(Sugar)'!X28</f>
        <v>0</v>
      </c>
      <c r="Y68" s="184">
        <f>SUM(D68:X68)</f>
        <v>668241.84</v>
      </c>
      <c r="Z68" s="185">
        <v>265880.92</v>
      </c>
      <c r="AA68" s="186">
        <v>5</v>
      </c>
      <c r="AB68" s="184">
        <v>106352.36799999999</v>
      </c>
      <c r="AC68" s="184">
        <v>106352.36799999999</v>
      </c>
      <c r="AD68" s="184">
        <v>106352.36799999999</v>
      </c>
      <c r="AE68" s="184">
        <v>106352.36799999999</v>
      </c>
      <c r="AF68" s="184">
        <v>106352.36799999999</v>
      </c>
      <c r="AG68" s="187"/>
      <c r="AH68" s="187"/>
      <c r="AI68" s="187"/>
      <c r="AJ68" s="187"/>
      <c r="AK68" s="187"/>
      <c r="AL68" s="187"/>
      <c r="AM68" s="187"/>
      <c r="AN68" s="187">
        <v>531761.84</v>
      </c>
    </row>
    <row r="69" spans="1:40" s="188" customFormat="1">
      <c r="A69" s="182"/>
      <c r="B69" s="181" t="s">
        <v>83</v>
      </c>
      <c r="C69" s="184" t="s">
        <v>375</v>
      </c>
      <c r="D69" s="177">
        <v>0</v>
      </c>
      <c r="E69" s="177">
        <v>0</v>
      </c>
      <c r="F69" s="177">
        <v>0</v>
      </c>
      <c r="G69" s="177">
        <v>0</v>
      </c>
      <c r="H69" s="177">
        <v>0</v>
      </c>
      <c r="I69" s="177">
        <v>0</v>
      </c>
      <c r="J69" s="177">
        <v>0</v>
      </c>
      <c r="K69" s="177">
        <v>0</v>
      </c>
      <c r="L69" s="177">
        <v>0</v>
      </c>
      <c r="M69" s="177">
        <v>0</v>
      </c>
      <c r="N69" s="177">
        <v>0</v>
      </c>
      <c r="O69" s="177">
        <v>0</v>
      </c>
      <c r="P69" s="177">
        <v>0</v>
      </c>
      <c r="Q69" s="177">
        <v>0</v>
      </c>
      <c r="R69" s="177">
        <v>0</v>
      </c>
      <c r="S69" s="177">
        <v>0</v>
      </c>
      <c r="T69" s="177">
        <v>0</v>
      </c>
      <c r="U69" s="177">
        <v>0</v>
      </c>
      <c r="V69" s="177">
        <v>0</v>
      </c>
      <c r="W69" s="177">
        <v>0</v>
      </c>
      <c r="X69" s="177">
        <v>0</v>
      </c>
      <c r="Y69" s="184"/>
      <c r="Z69" s="185"/>
      <c r="AA69" s="186"/>
      <c r="AB69" s="184"/>
      <c r="AC69" s="184"/>
      <c r="AD69" s="184"/>
      <c r="AE69" s="184"/>
      <c r="AF69" s="184"/>
      <c r="AG69" s="187"/>
      <c r="AH69" s="187"/>
      <c r="AI69" s="187"/>
      <c r="AJ69" s="187"/>
      <c r="AK69" s="187"/>
      <c r="AL69" s="187"/>
      <c r="AM69" s="187"/>
      <c r="AN69" s="187"/>
    </row>
    <row r="70" spans="1:40" s="188" customFormat="1">
      <c r="A70" s="182"/>
      <c r="B70" s="181" t="s">
        <v>96</v>
      </c>
      <c r="C70" s="184" t="s">
        <v>375</v>
      </c>
      <c r="D70" s="177">
        <v>0</v>
      </c>
      <c r="E70" s="177">
        <v>0</v>
      </c>
      <c r="F70" s="177">
        <v>0</v>
      </c>
      <c r="G70" s="177">
        <v>0</v>
      </c>
      <c r="H70" s="177">
        <v>0</v>
      </c>
      <c r="I70" s="177">
        <v>0</v>
      </c>
      <c r="J70" s="177">
        <v>0</v>
      </c>
      <c r="K70" s="177">
        <v>0</v>
      </c>
      <c r="L70" s="177">
        <v>0</v>
      </c>
      <c r="M70" s="177">
        <v>0</v>
      </c>
      <c r="N70" s="177">
        <v>0</v>
      </c>
      <c r="O70" s="177">
        <v>0</v>
      </c>
      <c r="P70" s="177">
        <v>0</v>
      </c>
      <c r="Q70" s="177">
        <v>0</v>
      </c>
      <c r="R70" s="177">
        <v>0</v>
      </c>
      <c r="S70" s="177">
        <v>0</v>
      </c>
      <c r="T70" s="177">
        <v>0</v>
      </c>
      <c r="U70" s="177">
        <v>0</v>
      </c>
      <c r="V70" s="177">
        <v>0</v>
      </c>
      <c r="W70" s="177">
        <v>0</v>
      </c>
      <c r="X70" s="177">
        <v>0</v>
      </c>
      <c r="Y70" s="184"/>
      <c r="Z70" s="185"/>
      <c r="AA70" s="186"/>
      <c r="AB70" s="184"/>
      <c r="AC70" s="184"/>
      <c r="AD70" s="184"/>
      <c r="AE70" s="184"/>
      <c r="AF70" s="184"/>
      <c r="AG70" s="187"/>
      <c r="AH70" s="187"/>
      <c r="AI70" s="187"/>
      <c r="AJ70" s="187"/>
      <c r="AK70" s="187"/>
      <c r="AL70" s="187"/>
      <c r="AM70" s="187"/>
      <c r="AN70" s="187"/>
    </row>
    <row r="71" spans="1:40" s="188" customFormat="1">
      <c r="A71" s="182"/>
      <c r="B71" s="181" t="s">
        <v>212</v>
      </c>
      <c r="C71" s="184" t="s">
        <v>375</v>
      </c>
      <c r="D71" s="177">
        <v>0</v>
      </c>
      <c r="E71" s="177">
        <v>0</v>
      </c>
      <c r="F71" s="177">
        <v>0</v>
      </c>
      <c r="G71" s="177">
        <v>0</v>
      </c>
      <c r="H71" s="177">
        <v>0</v>
      </c>
      <c r="I71" s="177">
        <v>0</v>
      </c>
      <c r="J71" s="177">
        <v>0</v>
      </c>
      <c r="K71" s="177">
        <v>0</v>
      </c>
      <c r="L71" s="177">
        <v>0</v>
      </c>
      <c r="M71" s="177">
        <v>0</v>
      </c>
      <c r="N71" s="177">
        <v>0</v>
      </c>
      <c r="O71" s="177">
        <v>0</v>
      </c>
      <c r="P71" s="177">
        <v>0</v>
      </c>
      <c r="Q71" s="177">
        <v>0</v>
      </c>
      <c r="R71" s="177">
        <v>0</v>
      </c>
      <c r="S71" s="177">
        <v>0</v>
      </c>
      <c r="T71" s="177">
        <v>0</v>
      </c>
      <c r="U71" s="177">
        <v>0</v>
      </c>
      <c r="V71" s="177">
        <v>0</v>
      </c>
      <c r="W71" s="177">
        <v>0</v>
      </c>
      <c r="X71" s="177">
        <v>0</v>
      </c>
      <c r="Y71" s="184"/>
      <c r="Z71" s="185"/>
      <c r="AA71" s="186"/>
      <c r="AB71" s="184"/>
      <c r="AC71" s="184"/>
      <c r="AD71" s="184"/>
      <c r="AE71" s="184"/>
      <c r="AF71" s="184"/>
      <c r="AG71" s="187"/>
      <c r="AH71" s="187"/>
      <c r="AI71" s="187"/>
      <c r="AJ71" s="187"/>
      <c r="AK71" s="187"/>
      <c r="AL71" s="187"/>
      <c r="AM71" s="187"/>
      <c r="AN71" s="187"/>
    </row>
    <row r="72" spans="1:40" s="188" customFormat="1">
      <c r="A72" s="182"/>
      <c r="B72" s="181" t="s">
        <v>49</v>
      </c>
      <c r="C72" s="184" t="s">
        <v>377</v>
      </c>
      <c r="D72" s="177">
        <v>0</v>
      </c>
      <c r="E72" s="177">
        <v>0</v>
      </c>
      <c r="F72" s="177">
        <v>0</v>
      </c>
      <c r="G72" s="177">
        <v>0</v>
      </c>
      <c r="H72" s="177">
        <v>0</v>
      </c>
      <c r="I72" s="177">
        <v>0</v>
      </c>
      <c r="J72" s="177">
        <v>0</v>
      </c>
      <c r="K72" s="177">
        <v>0</v>
      </c>
      <c r="L72" s="177">
        <v>0</v>
      </c>
      <c r="M72" s="177">
        <v>0</v>
      </c>
      <c r="N72" s="177">
        <v>0</v>
      </c>
      <c r="O72" s="177">
        <v>0</v>
      </c>
      <c r="P72" s="177">
        <v>0</v>
      </c>
      <c r="Q72" s="177">
        <v>0</v>
      </c>
      <c r="R72" s="177">
        <v>0</v>
      </c>
      <c r="S72" s="177">
        <v>0</v>
      </c>
      <c r="T72" s="177">
        <v>0</v>
      </c>
      <c r="U72" s="177">
        <v>0</v>
      </c>
      <c r="V72" s="177">
        <v>0</v>
      </c>
      <c r="W72" s="177">
        <v>0</v>
      </c>
      <c r="X72" s="177">
        <v>0</v>
      </c>
      <c r="Y72" s="184"/>
      <c r="Z72" s="185"/>
      <c r="AA72" s="186"/>
      <c r="AB72" s="184"/>
      <c r="AC72" s="184"/>
      <c r="AD72" s="184"/>
      <c r="AE72" s="184"/>
      <c r="AF72" s="184"/>
      <c r="AG72" s="187"/>
      <c r="AH72" s="187"/>
      <c r="AI72" s="187"/>
      <c r="AJ72" s="187"/>
      <c r="AK72" s="187"/>
      <c r="AL72" s="187"/>
      <c r="AM72" s="187"/>
      <c r="AN72" s="187"/>
    </row>
    <row r="73" spans="1:40" s="188" customFormat="1">
      <c r="A73" s="182"/>
      <c r="B73" s="181" t="s">
        <v>50</v>
      </c>
      <c r="C73" s="184" t="s">
        <v>377</v>
      </c>
      <c r="D73" s="177">
        <v>0</v>
      </c>
      <c r="E73" s="177">
        <v>0</v>
      </c>
      <c r="F73" s="177">
        <v>0</v>
      </c>
      <c r="G73" s="177">
        <v>0</v>
      </c>
      <c r="H73" s="177">
        <v>0</v>
      </c>
      <c r="I73" s="177">
        <v>0</v>
      </c>
      <c r="J73" s="177">
        <v>0</v>
      </c>
      <c r="K73" s="177">
        <v>0</v>
      </c>
      <c r="L73" s="177">
        <v>0</v>
      </c>
      <c r="M73" s="177">
        <v>0</v>
      </c>
      <c r="N73" s="177">
        <v>0</v>
      </c>
      <c r="O73" s="177">
        <v>0</v>
      </c>
      <c r="P73" s="177">
        <v>0</v>
      </c>
      <c r="Q73" s="177">
        <v>0</v>
      </c>
      <c r="R73" s="177">
        <v>0</v>
      </c>
      <c r="S73" s="177">
        <v>0</v>
      </c>
      <c r="T73" s="177">
        <v>0</v>
      </c>
      <c r="U73" s="177">
        <v>0</v>
      </c>
      <c r="V73" s="177">
        <v>0</v>
      </c>
      <c r="W73" s="177">
        <v>0</v>
      </c>
      <c r="X73" s="177">
        <v>0</v>
      </c>
      <c r="Y73" s="184"/>
      <c r="Z73" s="185"/>
      <c r="AA73" s="186"/>
      <c r="AB73" s="184"/>
      <c r="AC73" s="184"/>
      <c r="AD73" s="184"/>
      <c r="AE73" s="184"/>
      <c r="AF73" s="184"/>
      <c r="AG73" s="187"/>
      <c r="AH73" s="187"/>
      <c r="AI73" s="187"/>
      <c r="AJ73" s="187"/>
      <c r="AK73" s="187"/>
      <c r="AL73" s="187"/>
      <c r="AM73" s="187"/>
      <c r="AN73" s="187"/>
    </row>
    <row r="74" spans="1:40" s="188" customFormat="1">
      <c r="A74" s="182"/>
      <c r="B74" s="181" t="s">
        <v>51</v>
      </c>
      <c r="C74" s="184" t="s">
        <v>377</v>
      </c>
      <c r="D74" s="177">
        <v>0</v>
      </c>
      <c r="E74" s="177">
        <v>0</v>
      </c>
      <c r="F74" s="177">
        <v>0</v>
      </c>
      <c r="G74" s="177">
        <v>0</v>
      </c>
      <c r="H74" s="177">
        <v>0</v>
      </c>
      <c r="I74" s="177">
        <v>0</v>
      </c>
      <c r="J74" s="177">
        <v>0</v>
      </c>
      <c r="K74" s="177">
        <v>0</v>
      </c>
      <c r="L74" s="177">
        <v>0</v>
      </c>
      <c r="M74" s="177">
        <v>0</v>
      </c>
      <c r="N74" s="177">
        <v>0</v>
      </c>
      <c r="O74" s="177">
        <v>0</v>
      </c>
      <c r="P74" s="177">
        <v>0</v>
      </c>
      <c r="Q74" s="177">
        <v>0</v>
      </c>
      <c r="R74" s="177">
        <v>0</v>
      </c>
      <c r="S74" s="177">
        <v>0</v>
      </c>
      <c r="T74" s="177">
        <v>0</v>
      </c>
      <c r="U74" s="177">
        <v>0</v>
      </c>
      <c r="V74" s="177">
        <v>0</v>
      </c>
      <c r="W74" s="177">
        <v>0</v>
      </c>
      <c r="X74" s="177">
        <v>0</v>
      </c>
      <c r="Y74" s="184"/>
      <c r="Z74" s="185"/>
      <c r="AA74" s="186"/>
      <c r="AB74" s="184"/>
      <c r="AC74" s="184"/>
      <c r="AD74" s="184"/>
      <c r="AE74" s="184"/>
      <c r="AF74" s="184"/>
      <c r="AG74" s="187"/>
      <c r="AH74" s="187"/>
      <c r="AI74" s="187"/>
      <c r="AJ74" s="187"/>
      <c r="AK74" s="187"/>
      <c r="AL74" s="187"/>
      <c r="AM74" s="187"/>
      <c r="AN74" s="187"/>
    </row>
    <row r="75" spans="1:40" s="197" customFormat="1">
      <c r="A75" s="182" t="s">
        <v>213</v>
      </c>
      <c r="B75" s="181" t="s">
        <v>213</v>
      </c>
      <c r="C75" s="184" t="s">
        <v>377</v>
      </c>
      <c r="D75" s="184">
        <f>'Total Fuel per Operation(Sugar)'!D29</f>
        <v>53600</v>
      </c>
      <c r="E75" s="184">
        <f>'Total Fuel per Operation(Sugar)'!E29</f>
        <v>164536.85714285713</v>
      </c>
      <c r="F75" s="184">
        <f>'Total Fuel per Operation(Sugar)'!F29</f>
        <v>53600</v>
      </c>
      <c r="G75" s="184">
        <f>'Total Fuel per Operation(Sugar)'!G29</f>
        <v>164536.85714285713</v>
      </c>
      <c r="H75" s="184">
        <f>'Total Fuel per Operation(Sugar)'!H29</f>
        <v>53600</v>
      </c>
      <c r="I75" s="184">
        <f>'Total Fuel per Operation(Sugar)'!I29</f>
        <v>164536.85714285713</v>
      </c>
      <c r="J75" s="184">
        <f>'Total Fuel per Operation(Sugar)'!J29</f>
        <v>0</v>
      </c>
      <c r="K75" s="184">
        <f>'Total Fuel per Operation(Sugar)'!K29</f>
        <v>164536.85714285713</v>
      </c>
      <c r="L75" s="184">
        <f>'Total Fuel per Operation(Sugar)'!L29</f>
        <v>0</v>
      </c>
      <c r="M75" s="184">
        <f>'Total Fuel per Operation(Sugar)'!M29</f>
        <v>164536.85714285713</v>
      </c>
      <c r="N75" s="184">
        <f>'Total Fuel per Operation(Sugar)'!N29</f>
        <v>0</v>
      </c>
      <c r="O75" s="184">
        <f>'Total Fuel per Operation(Sugar)'!O29</f>
        <v>0</v>
      </c>
      <c r="P75" s="184">
        <f>'Total Fuel per Operation(Sugar)'!P29</f>
        <v>0</v>
      </c>
      <c r="Q75" s="184">
        <f>'Total Fuel per Operation(Sugar)'!Q29</f>
        <v>0</v>
      </c>
      <c r="R75" s="184">
        <f>'Total Fuel per Operation(Sugar)'!R29</f>
        <v>0</v>
      </c>
      <c r="S75" s="184">
        <f>'Total Fuel per Operation(Sugar)'!S29</f>
        <v>0</v>
      </c>
      <c r="T75" s="184">
        <f>'Total Fuel per Operation(Sugar)'!T29</f>
        <v>0</v>
      </c>
      <c r="U75" s="184">
        <f>'Total Fuel per Operation(Sugar)'!U29</f>
        <v>0</v>
      </c>
      <c r="V75" s="184">
        <f>'Total Fuel per Operation(Sugar)'!V29</f>
        <v>164536.85714285713</v>
      </c>
      <c r="W75" s="184">
        <f>'Total Fuel per Operation(Sugar)'!W29</f>
        <v>53600</v>
      </c>
      <c r="X75" s="184">
        <f>'Total Fuel per Operation(Sugar)'!X29</f>
        <v>164536.85714285713</v>
      </c>
      <c r="Y75" s="184">
        <f>SUM(D75:X75)</f>
        <v>1366158</v>
      </c>
      <c r="Z75" s="185">
        <v>575879</v>
      </c>
      <c r="AA75" s="186">
        <v>7</v>
      </c>
      <c r="AB75" s="184">
        <v>164536.85714285713</v>
      </c>
      <c r="AC75" s="184">
        <v>164536.85714285713</v>
      </c>
      <c r="AD75" s="184">
        <v>164536.85714285713</v>
      </c>
      <c r="AE75" s="184">
        <v>164536.85714285713</v>
      </c>
      <c r="AF75" s="184">
        <v>164536.85714285713</v>
      </c>
      <c r="AG75" s="196"/>
      <c r="AH75" s="196"/>
      <c r="AI75" s="196"/>
      <c r="AJ75" s="196"/>
      <c r="AK75" s="196"/>
      <c r="AL75" s="184">
        <v>164536.85714285713</v>
      </c>
      <c r="AM75" s="184">
        <v>164536.85714285713</v>
      </c>
      <c r="AN75" s="187">
        <v>1151758</v>
      </c>
    </row>
    <row r="76" spans="1:40" s="197" customFormat="1">
      <c r="A76" s="182"/>
      <c r="B76" s="181" t="s">
        <v>145</v>
      </c>
      <c r="C76" s="198" t="s">
        <v>397</v>
      </c>
      <c r="D76" s="177">
        <v>0</v>
      </c>
      <c r="E76" s="177">
        <v>0</v>
      </c>
      <c r="F76" s="177">
        <v>0</v>
      </c>
      <c r="G76" s="177">
        <v>0</v>
      </c>
      <c r="H76" s="177">
        <v>0</v>
      </c>
      <c r="I76" s="177">
        <v>0</v>
      </c>
      <c r="J76" s="177">
        <v>0</v>
      </c>
      <c r="K76" s="177">
        <v>0</v>
      </c>
      <c r="L76" s="177">
        <v>0</v>
      </c>
      <c r="M76" s="177">
        <v>0</v>
      </c>
      <c r="N76" s="177">
        <v>0</v>
      </c>
      <c r="O76" s="177">
        <v>0</v>
      </c>
      <c r="P76" s="177">
        <v>0</v>
      </c>
      <c r="Q76" s="177">
        <v>0</v>
      </c>
      <c r="R76" s="177">
        <v>0</v>
      </c>
      <c r="S76" s="177">
        <v>0</v>
      </c>
      <c r="T76" s="177">
        <v>0</v>
      </c>
      <c r="U76" s="177">
        <v>0</v>
      </c>
      <c r="V76" s="177">
        <v>0</v>
      </c>
      <c r="W76" s="177">
        <v>0</v>
      </c>
      <c r="X76" s="177">
        <v>0</v>
      </c>
      <c r="Y76" s="198"/>
      <c r="Z76" s="185"/>
      <c r="AA76" s="199"/>
      <c r="AB76" s="200"/>
      <c r="AC76" s="200"/>
      <c r="AD76" s="200"/>
      <c r="AE76" s="200"/>
      <c r="AF76" s="200"/>
      <c r="AG76" s="196"/>
      <c r="AH76" s="201"/>
      <c r="AI76" s="201"/>
      <c r="AJ76" s="201"/>
      <c r="AK76" s="201"/>
      <c r="AL76" s="200"/>
      <c r="AM76" s="200"/>
      <c r="AN76" s="202"/>
    </row>
    <row r="77" spans="1:40" s="197" customFormat="1">
      <c r="A77" s="182"/>
      <c r="B77" s="181" t="s">
        <v>204</v>
      </c>
      <c r="C77" s="198" t="s">
        <v>397</v>
      </c>
      <c r="D77" s="177">
        <v>0</v>
      </c>
      <c r="E77" s="177">
        <v>0</v>
      </c>
      <c r="F77" s="177">
        <v>0</v>
      </c>
      <c r="G77" s="177">
        <v>0</v>
      </c>
      <c r="H77" s="177">
        <v>0</v>
      </c>
      <c r="I77" s="177">
        <v>0</v>
      </c>
      <c r="J77" s="177">
        <v>0</v>
      </c>
      <c r="K77" s="177">
        <v>0</v>
      </c>
      <c r="L77" s="177">
        <v>0</v>
      </c>
      <c r="M77" s="177">
        <v>0</v>
      </c>
      <c r="N77" s="177">
        <v>0</v>
      </c>
      <c r="O77" s="177">
        <v>0</v>
      </c>
      <c r="P77" s="177">
        <v>0</v>
      </c>
      <c r="Q77" s="177">
        <v>0</v>
      </c>
      <c r="R77" s="177">
        <v>0</v>
      </c>
      <c r="S77" s="177">
        <v>0</v>
      </c>
      <c r="T77" s="177">
        <v>0</v>
      </c>
      <c r="U77" s="177">
        <v>0</v>
      </c>
      <c r="V77" s="177">
        <v>0</v>
      </c>
      <c r="W77" s="177">
        <v>0</v>
      </c>
      <c r="X77" s="177">
        <v>0</v>
      </c>
      <c r="Y77" s="198"/>
      <c r="Z77" s="185"/>
      <c r="AA77" s="199"/>
      <c r="AB77" s="200"/>
      <c r="AC77" s="200"/>
      <c r="AD77" s="200"/>
      <c r="AE77" s="200"/>
      <c r="AF77" s="200"/>
      <c r="AG77" s="196"/>
      <c r="AH77" s="201"/>
      <c r="AI77" s="201"/>
      <c r="AJ77" s="201"/>
      <c r="AK77" s="201"/>
      <c r="AL77" s="200"/>
      <c r="AM77" s="200"/>
      <c r="AN77" s="202"/>
    </row>
    <row r="78" spans="1:40" s="197" customFormat="1">
      <c r="A78" s="182"/>
      <c r="B78" s="181" t="s">
        <v>52</v>
      </c>
      <c r="C78" s="198" t="s">
        <v>397</v>
      </c>
      <c r="D78" s="177">
        <v>0</v>
      </c>
      <c r="E78" s="177">
        <v>0</v>
      </c>
      <c r="F78" s="177">
        <v>0</v>
      </c>
      <c r="G78" s="177">
        <v>0</v>
      </c>
      <c r="H78" s="177">
        <v>0</v>
      </c>
      <c r="I78" s="177">
        <v>0</v>
      </c>
      <c r="J78" s="177">
        <v>0</v>
      </c>
      <c r="K78" s="177">
        <v>0</v>
      </c>
      <c r="L78" s="177">
        <v>0</v>
      </c>
      <c r="M78" s="177">
        <v>0</v>
      </c>
      <c r="N78" s="177">
        <v>0</v>
      </c>
      <c r="O78" s="177">
        <v>0</v>
      </c>
      <c r="P78" s="177">
        <v>0</v>
      </c>
      <c r="Q78" s="177">
        <v>0</v>
      </c>
      <c r="R78" s="177">
        <v>0</v>
      </c>
      <c r="S78" s="177">
        <v>0</v>
      </c>
      <c r="T78" s="177">
        <v>0</v>
      </c>
      <c r="U78" s="177">
        <v>0</v>
      </c>
      <c r="V78" s="177">
        <v>0</v>
      </c>
      <c r="W78" s="177">
        <v>0</v>
      </c>
      <c r="X78" s="177">
        <v>0</v>
      </c>
      <c r="Y78" s="198"/>
      <c r="Z78" s="185"/>
      <c r="AA78" s="199"/>
      <c r="AB78" s="200"/>
      <c r="AC78" s="200"/>
      <c r="AD78" s="200"/>
      <c r="AE78" s="200"/>
      <c r="AF78" s="200"/>
      <c r="AG78" s="196"/>
      <c r="AH78" s="201"/>
      <c r="AI78" s="201"/>
      <c r="AJ78" s="201"/>
      <c r="AK78" s="201"/>
      <c r="AL78" s="200"/>
      <c r="AM78" s="200"/>
      <c r="AN78" s="202"/>
    </row>
    <row r="79" spans="1:40" s="197" customFormat="1">
      <c r="A79" s="182"/>
      <c r="B79" s="181" t="s">
        <v>205</v>
      </c>
      <c r="C79" s="198" t="s">
        <v>397</v>
      </c>
      <c r="D79" s="177">
        <v>0</v>
      </c>
      <c r="E79" s="177">
        <v>0</v>
      </c>
      <c r="F79" s="177">
        <v>0</v>
      </c>
      <c r="G79" s="177">
        <v>0</v>
      </c>
      <c r="H79" s="177">
        <v>0</v>
      </c>
      <c r="I79" s="177">
        <v>0</v>
      </c>
      <c r="J79" s="177">
        <v>0</v>
      </c>
      <c r="K79" s="177">
        <v>0</v>
      </c>
      <c r="L79" s="177">
        <v>0</v>
      </c>
      <c r="M79" s="177">
        <v>0</v>
      </c>
      <c r="N79" s="177">
        <v>0</v>
      </c>
      <c r="O79" s="177">
        <v>0</v>
      </c>
      <c r="P79" s="177">
        <v>0</v>
      </c>
      <c r="Q79" s="177">
        <v>0</v>
      </c>
      <c r="R79" s="177">
        <v>0</v>
      </c>
      <c r="S79" s="177">
        <v>0</v>
      </c>
      <c r="T79" s="177">
        <v>0</v>
      </c>
      <c r="U79" s="177">
        <v>0</v>
      </c>
      <c r="V79" s="177">
        <v>0</v>
      </c>
      <c r="W79" s="177">
        <v>0</v>
      </c>
      <c r="X79" s="177">
        <v>0</v>
      </c>
      <c r="Y79" s="198"/>
      <c r="Z79" s="185"/>
      <c r="AA79" s="199"/>
      <c r="AB79" s="200"/>
      <c r="AC79" s="200"/>
      <c r="AD79" s="200"/>
      <c r="AE79" s="200"/>
      <c r="AF79" s="200"/>
      <c r="AG79" s="196"/>
      <c r="AH79" s="201"/>
      <c r="AI79" s="201"/>
      <c r="AJ79" s="201"/>
      <c r="AK79" s="201"/>
      <c r="AL79" s="200"/>
      <c r="AM79" s="200"/>
      <c r="AN79" s="202"/>
    </row>
    <row r="80" spans="1:40" s="197" customFormat="1">
      <c r="A80" s="182"/>
      <c r="B80" s="181" t="s">
        <v>206</v>
      </c>
      <c r="C80" s="198" t="s">
        <v>397</v>
      </c>
      <c r="D80" s="177">
        <v>0</v>
      </c>
      <c r="E80" s="177">
        <v>0</v>
      </c>
      <c r="F80" s="177">
        <v>0</v>
      </c>
      <c r="G80" s="177">
        <v>0</v>
      </c>
      <c r="H80" s="177">
        <v>0</v>
      </c>
      <c r="I80" s="177">
        <v>0</v>
      </c>
      <c r="J80" s="177">
        <v>0</v>
      </c>
      <c r="K80" s="177">
        <v>0</v>
      </c>
      <c r="L80" s="177">
        <v>0</v>
      </c>
      <c r="M80" s="177">
        <v>0</v>
      </c>
      <c r="N80" s="177">
        <v>0</v>
      </c>
      <c r="O80" s="177">
        <v>0</v>
      </c>
      <c r="P80" s="177">
        <v>0</v>
      </c>
      <c r="Q80" s="177">
        <v>0</v>
      </c>
      <c r="R80" s="177">
        <v>0</v>
      </c>
      <c r="S80" s="177">
        <v>0</v>
      </c>
      <c r="T80" s="177">
        <v>0</v>
      </c>
      <c r="U80" s="177">
        <v>0</v>
      </c>
      <c r="V80" s="177">
        <v>0</v>
      </c>
      <c r="W80" s="177">
        <v>0</v>
      </c>
      <c r="X80" s="177">
        <v>0</v>
      </c>
      <c r="Y80" s="198"/>
      <c r="Z80" s="185"/>
      <c r="AA80" s="199"/>
      <c r="AB80" s="200"/>
      <c r="AC80" s="200"/>
      <c r="AD80" s="200"/>
      <c r="AE80" s="200"/>
      <c r="AF80" s="200"/>
      <c r="AG80" s="196"/>
      <c r="AH80" s="201"/>
      <c r="AI80" s="201"/>
      <c r="AJ80" s="201"/>
      <c r="AK80" s="201"/>
      <c r="AL80" s="200"/>
      <c r="AM80" s="200"/>
      <c r="AN80" s="202"/>
    </row>
    <row r="81" spans="1:40" s="197" customFormat="1">
      <c r="A81" s="182"/>
      <c r="B81" s="181" t="s">
        <v>160</v>
      </c>
      <c r="C81" s="198" t="s">
        <v>309</v>
      </c>
      <c r="D81" s="177">
        <v>0</v>
      </c>
      <c r="E81" s="177">
        <v>0</v>
      </c>
      <c r="F81" s="177">
        <v>0</v>
      </c>
      <c r="G81" s="177">
        <v>0</v>
      </c>
      <c r="H81" s="177">
        <v>0</v>
      </c>
      <c r="I81" s="177">
        <v>0</v>
      </c>
      <c r="J81" s="177">
        <v>0</v>
      </c>
      <c r="K81" s="177">
        <v>0</v>
      </c>
      <c r="L81" s="177">
        <v>0</v>
      </c>
      <c r="M81" s="177">
        <v>0</v>
      </c>
      <c r="N81" s="177">
        <v>0</v>
      </c>
      <c r="O81" s="177">
        <v>0</v>
      </c>
      <c r="P81" s="177">
        <v>0</v>
      </c>
      <c r="Q81" s="177">
        <v>0</v>
      </c>
      <c r="R81" s="177">
        <v>0</v>
      </c>
      <c r="S81" s="177">
        <v>0</v>
      </c>
      <c r="T81" s="177">
        <v>0</v>
      </c>
      <c r="U81" s="177">
        <v>0</v>
      </c>
      <c r="V81" s="177">
        <v>0</v>
      </c>
      <c r="W81" s="177">
        <v>0</v>
      </c>
      <c r="X81" s="177">
        <v>0</v>
      </c>
      <c r="Y81" s="198"/>
      <c r="Z81" s="185"/>
      <c r="AA81" s="199"/>
      <c r="AB81" s="200"/>
      <c r="AC81" s="200"/>
      <c r="AD81" s="200"/>
      <c r="AE81" s="200"/>
      <c r="AF81" s="200"/>
      <c r="AG81" s="196"/>
      <c r="AH81" s="201"/>
      <c r="AI81" s="201"/>
      <c r="AJ81" s="201"/>
      <c r="AK81" s="201"/>
      <c r="AL81" s="200"/>
      <c r="AM81" s="200"/>
      <c r="AN81" s="202"/>
    </row>
    <row r="82" spans="1:40" s="197" customFormat="1">
      <c r="A82" s="182"/>
      <c r="B82" s="181" t="s">
        <v>203</v>
      </c>
      <c r="C82" s="198" t="s">
        <v>309</v>
      </c>
      <c r="D82" s="177">
        <v>0</v>
      </c>
      <c r="E82" s="177">
        <v>0</v>
      </c>
      <c r="F82" s="177">
        <v>0</v>
      </c>
      <c r="G82" s="177">
        <v>0</v>
      </c>
      <c r="H82" s="177">
        <v>0</v>
      </c>
      <c r="I82" s="177">
        <v>0</v>
      </c>
      <c r="J82" s="177">
        <v>0</v>
      </c>
      <c r="K82" s="177">
        <v>0</v>
      </c>
      <c r="L82" s="177">
        <v>0</v>
      </c>
      <c r="M82" s="177">
        <v>0</v>
      </c>
      <c r="N82" s="177">
        <v>0</v>
      </c>
      <c r="O82" s="177">
        <v>0</v>
      </c>
      <c r="P82" s="177">
        <v>0</v>
      </c>
      <c r="Q82" s="177">
        <v>0</v>
      </c>
      <c r="R82" s="177">
        <v>0</v>
      </c>
      <c r="S82" s="177">
        <v>0</v>
      </c>
      <c r="T82" s="177">
        <v>0</v>
      </c>
      <c r="U82" s="177">
        <v>0</v>
      </c>
      <c r="V82" s="177">
        <v>0</v>
      </c>
      <c r="W82" s="177">
        <v>0</v>
      </c>
      <c r="X82" s="177">
        <v>0</v>
      </c>
      <c r="Y82" s="198"/>
      <c r="Z82" s="185"/>
      <c r="AA82" s="199"/>
      <c r="AB82" s="200"/>
      <c r="AC82" s="200"/>
      <c r="AD82" s="200"/>
      <c r="AE82" s="200"/>
      <c r="AF82" s="200"/>
      <c r="AG82" s="196"/>
      <c r="AH82" s="201"/>
      <c r="AI82" s="201"/>
      <c r="AJ82" s="201"/>
      <c r="AK82" s="201"/>
      <c r="AL82" s="200"/>
      <c r="AM82" s="200"/>
      <c r="AN82" s="202"/>
    </row>
    <row r="83" spans="1:40" s="197" customFormat="1">
      <c r="A83" s="182"/>
      <c r="B83" s="181" t="s">
        <v>53</v>
      </c>
      <c r="C83" s="198" t="s">
        <v>309</v>
      </c>
      <c r="D83" s="177">
        <v>0</v>
      </c>
      <c r="E83" s="177">
        <v>0</v>
      </c>
      <c r="F83" s="177">
        <v>0</v>
      </c>
      <c r="G83" s="177">
        <v>0</v>
      </c>
      <c r="H83" s="177">
        <v>0</v>
      </c>
      <c r="I83" s="177">
        <v>0</v>
      </c>
      <c r="J83" s="177">
        <v>0</v>
      </c>
      <c r="K83" s="177">
        <v>0</v>
      </c>
      <c r="L83" s="177">
        <v>0</v>
      </c>
      <c r="M83" s="177">
        <v>0</v>
      </c>
      <c r="N83" s="177">
        <v>0</v>
      </c>
      <c r="O83" s="177">
        <v>0</v>
      </c>
      <c r="P83" s="177">
        <v>0</v>
      </c>
      <c r="Q83" s="177">
        <v>0</v>
      </c>
      <c r="R83" s="177">
        <v>0</v>
      </c>
      <c r="S83" s="177">
        <v>0</v>
      </c>
      <c r="T83" s="177">
        <v>0</v>
      </c>
      <c r="U83" s="177">
        <v>0</v>
      </c>
      <c r="V83" s="177">
        <v>0</v>
      </c>
      <c r="W83" s="177">
        <v>0</v>
      </c>
      <c r="X83" s="177">
        <v>0</v>
      </c>
      <c r="Y83" s="198"/>
      <c r="Z83" s="185"/>
      <c r="AA83" s="199"/>
      <c r="AB83" s="200"/>
      <c r="AC83" s="200"/>
      <c r="AD83" s="200"/>
      <c r="AE83" s="200"/>
      <c r="AF83" s="200"/>
      <c r="AG83" s="196"/>
      <c r="AH83" s="201"/>
      <c r="AI83" s="201"/>
      <c r="AJ83" s="201"/>
      <c r="AK83" s="201"/>
      <c r="AL83" s="200"/>
      <c r="AM83" s="200"/>
      <c r="AN83" s="202"/>
    </row>
    <row r="84" spans="1:40">
      <c r="A84" s="678" t="s">
        <v>378</v>
      </c>
      <c r="B84" s="681" t="s">
        <v>257</v>
      </c>
      <c r="C84" s="681"/>
      <c r="D84" s="204">
        <f>SUM(D5:D83)</f>
        <v>935092.15428571426</v>
      </c>
      <c r="E84" s="204">
        <f t="shared" ref="E84:X84" si="0">SUM(E5:E83)</f>
        <v>6272546.7340238085</v>
      </c>
      <c r="F84" s="204">
        <f t="shared" si="0"/>
        <v>935092.15428571426</v>
      </c>
      <c r="G84" s="204">
        <f t="shared" si="0"/>
        <v>6318587.510023809</v>
      </c>
      <c r="H84" s="204">
        <f t="shared" si="0"/>
        <v>935092.15428571426</v>
      </c>
      <c r="I84" s="204">
        <f t="shared" si="0"/>
        <v>6083669.5366904754</v>
      </c>
      <c r="J84" s="204">
        <f t="shared" si="0"/>
        <v>673842.55428571429</v>
      </c>
      <c r="K84" s="204">
        <f t="shared" si="0"/>
        <v>6083669.5366904754</v>
      </c>
      <c r="L84" s="204">
        <f t="shared" si="0"/>
        <v>637482.55428571429</v>
      </c>
      <c r="M84" s="204">
        <f t="shared" si="0"/>
        <v>1701605.1776428572</v>
      </c>
      <c r="N84" s="204">
        <f t="shared" si="0"/>
        <v>0</v>
      </c>
      <c r="O84" s="204">
        <f t="shared" si="0"/>
        <v>899126.58049999992</v>
      </c>
      <c r="P84" s="204">
        <f t="shared" si="0"/>
        <v>0</v>
      </c>
      <c r="Q84" s="204">
        <f t="shared" si="0"/>
        <v>0</v>
      </c>
      <c r="R84" s="204">
        <f t="shared" si="0"/>
        <v>0</v>
      </c>
      <c r="S84" s="204">
        <f t="shared" si="0"/>
        <v>581236.52</v>
      </c>
      <c r="T84" s="204">
        <f t="shared" si="0"/>
        <v>4277159.8057142859</v>
      </c>
      <c r="U84" s="204">
        <f t="shared" si="0"/>
        <v>787412.15428571426</v>
      </c>
      <c r="V84" s="204">
        <f t="shared" si="0"/>
        <v>5479910.5586904762</v>
      </c>
      <c r="W84" s="204">
        <f t="shared" si="0"/>
        <v>875132.15428571426</v>
      </c>
      <c r="X84" s="204">
        <f t="shared" si="0"/>
        <v>5776297.5520238103</v>
      </c>
      <c r="Y84" s="678">
        <f>SUM(D85:X85)</f>
        <v>49252955.391999997</v>
      </c>
      <c r="Z84" s="170">
        <v>21439625.180000003</v>
      </c>
      <c r="AA84" s="171"/>
      <c r="AB84" s="204">
        <v>6259224.1020238092</v>
      </c>
      <c r="AC84" s="204">
        <v>6318587.5100238081</v>
      </c>
      <c r="AD84" s="204">
        <v>6083669.5366904754</v>
      </c>
      <c r="AE84" s="204">
        <v>6083669.5366904754</v>
      </c>
      <c r="AF84" s="204">
        <v>1701605.1776428572</v>
      </c>
      <c r="AG84" s="204">
        <v>899126.58049999992</v>
      </c>
      <c r="AH84" s="204">
        <v>0</v>
      </c>
      <c r="AI84" s="204">
        <v>0</v>
      </c>
      <c r="AJ84" s="204">
        <v>0</v>
      </c>
      <c r="AK84" s="204">
        <v>4277159.8057142859</v>
      </c>
      <c r="AL84" s="204">
        <v>5479910.5586904762</v>
      </c>
      <c r="AM84" s="204">
        <v>5776297.5520238094</v>
      </c>
      <c r="AN84" s="203">
        <v>42879250.360000007</v>
      </c>
    </row>
    <row r="85" spans="1:40">
      <c r="A85" s="678"/>
      <c r="B85" s="680" t="s">
        <v>9</v>
      </c>
      <c r="C85" s="680"/>
      <c r="D85" s="677">
        <f>SUM(D84:E84)</f>
        <v>7207638.8883095225</v>
      </c>
      <c r="E85" s="677"/>
      <c r="F85" s="677">
        <f>SUM(F84:G84)</f>
        <v>7253679.6643095231</v>
      </c>
      <c r="G85" s="677"/>
      <c r="H85" s="677">
        <f>SUM(H84:I84)</f>
        <v>7018761.6909761894</v>
      </c>
      <c r="I85" s="677"/>
      <c r="J85" s="677">
        <f>SUM(J84:K84)</f>
        <v>6757512.0909761898</v>
      </c>
      <c r="K85" s="677"/>
      <c r="L85" s="677">
        <f>SUM(L84:M84)</f>
        <v>2339087.7319285716</v>
      </c>
      <c r="M85" s="677"/>
      <c r="N85" s="677">
        <f>SUM(N84:O84)</f>
        <v>899126.58049999992</v>
      </c>
      <c r="O85" s="677"/>
      <c r="P85" s="206">
        <f>SUM(P84)</f>
        <v>0</v>
      </c>
      <c r="Q85" s="206">
        <f>SUM(Q84)</f>
        <v>0</v>
      </c>
      <c r="R85" s="206">
        <f>SUM(R84)</f>
        <v>0</v>
      </c>
      <c r="S85" s="677">
        <f>SUM(S84:T84)</f>
        <v>4858396.3257142864</v>
      </c>
      <c r="T85" s="677"/>
      <c r="U85" s="677">
        <f>SUM(U84:V84)</f>
        <v>6267322.7129761903</v>
      </c>
      <c r="V85" s="677"/>
      <c r="W85" s="677">
        <f>SUM(W84:X84)</f>
        <v>6651429.7063095244</v>
      </c>
      <c r="X85" s="677"/>
      <c r="Y85" s="678"/>
      <c r="Z85" s="191"/>
      <c r="AA85" s="207"/>
      <c r="AB85" s="191"/>
      <c r="AC85" s="191"/>
      <c r="AD85" s="193"/>
      <c r="AE85" s="193"/>
      <c r="AF85" s="194"/>
      <c r="AG85" s="193"/>
      <c r="AH85" s="193"/>
      <c r="AI85" s="193"/>
      <c r="AJ85" s="193"/>
      <c r="AK85" s="193"/>
      <c r="AL85" s="193"/>
      <c r="AM85" s="193"/>
      <c r="AN85" s="193"/>
    </row>
    <row r="86" spans="1:40" s="220" customFormat="1">
      <c r="A86" s="678"/>
      <c r="B86" s="680" t="s">
        <v>398</v>
      </c>
      <c r="C86" s="680"/>
      <c r="D86" s="264">
        <f>D84/22</f>
        <v>42504.188831168831</v>
      </c>
      <c r="E86" s="264">
        <f t="shared" ref="E86:X86" si="1">E84/22</f>
        <v>285115.76063744584</v>
      </c>
      <c r="F86" s="264">
        <f t="shared" si="1"/>
        <v>42504.188831168831</v>
      </c>
      <c r="G86" s="264">
        <f t="shared" si="1"/>
        <v>287208.52318290039</v>
      </c>
      <c r="H86" s="264">
        <f t="shared" si="1"/>
        <v>42504.188831168831</v>
      </c>
      <c r="I86" s="264">
        <f t="shared" si="1"/>
        <v>276530.43348593073</v>
      </c>
      <c r="J86" s="264">
        <f t="shared" si="1"/>
        <v>30629.207012987012</v>
      </c>
      <c r="K86" s="264">
        <f t="shared" si="1"/>
        <v>276530.43348593073</v>
      </c>
      <c r="L86" s="264">
        <f t="shared" si="1"/>
        <v>28976.47974025974</v>
      </c>
      <c r="M86" s="264">
        <f t="shared" si="1"/>
        <v>77345.689892857146</v>
      </c>
      <c r="N86" s="264">
        <f t="shared" si="1"/>
        <v>0</v>
      </c>
      <c r="O86" s="264">
        <f t="shared" si="1"/>
        <v>40869.390022727268</v>
      </c>
      <c r="P86" s="264">
        <f t="shared" si="1"/>
        <v>0</v>
      </c>
      <c r="Q86" s="264">
        <f t="shared" si="1"/>
        <v>0</v>
      </c>
      <c r="R86" s="264">
        <f t="shared" si="1"/>
        <v>0</v>
      </c>
      <c r="S86" s="264">
        <f t="shared" si="1"/>
        <v>26419.84181818182</v>
      </c>
      <c r="T86" s="264">
        <f t="shared" si="1"/>
        <v>194416.3548051948</v>
      </c>
      <c r="U86" s="264">
        <f t="shared" si="1"/>
        <v>35791.461558441559</v>
      </c>
      <c r="V86" s="264">
        <f t="shared" si="1"/>
        <v>249086.84357683983</v>
      </c>
      <c r="W86" s="264">
        <f t="shared" si="1"/>
        <v>39778.734285714287</v>
      </c>
      <c r="X86" s="264">
        <f t="shared" si="1"/>
        <v>262558.97963744594</v>
      </c>
      <c r="Y86" s="263"/>
      <c r="Z86" s="263"/>
      <c r="AA86" s="265"/>
      <c r="AB86" s="205"/>
      <c r="AC86" s="205"/>
      <c r="AD86" s="266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</row>
    <row r="88" spans="1:40">
      <c r="D88" s="213">
        <f>D84+F84+H84+J84+L84+N84+P84+Q84+R84+S84+U84+W84</f>
        <v>6360382.4000000004</v>
      </c>
      <c r="E88" s="213">
        <f>E84+G84+I84+K84+M84+O84+T84+V84+X84</f>
        <v>42892572.991999999</v>
      </c>
    </row>
    <row r="89" spans="1:40">
      <c r="B89" s="175"/>
      <c r="C89" s="175"/>
      <c r="D89" s="213">
        <f>D88/'Assumptions&amp;Calculations'!G40</f>
        <v>174687.78906893713</v>
      </c>
      <c r="E89" s="257">
        <f>E88/'Assumptions&amp;Calculations'!G41</f>
        <v>2821879.8021052633</v>
      </c>
    </row>
    <row r="90" spans="1:40">
      <c r="A90" s="220"/>
      <c r="D90" s="213">
        <f>D89/'Assumptions&amp;Calculations'!F40</f>
        <v>2911.463151148952</v>
      </c>
      <c r="E90" s="257">
        <f>E89/'Assumptions&amp;Calculations'!F41</f>
        <v>70546.995052631581</v>
      </c>
      <c r="H90" s="217"/>
    </row>
    <row r="91" spans="1:40">
      <c r="A91" s="175"/>
      <c r="D91" s="219"/>
    </row>
    <row r="92" spans="1:40">
      <c r="A92" s="208"/>
    </row>
  </sheetData>
  <mergeCells count="31">
    <mergeCell ref="B86:C86"/>
    <mergeCell ref="A84:A86"/>
    <mergeCell ref="D85:E85"/>
    <mergeCell ref="F85:G85"/>
    <mergeCell ref="H85:I85"/>
    <mergeCell ref="B85:C85"/>
    <mergeCell ref="B84:C84"/>
    <mergeCell ref="Z2:AM2"/>
    <mergeCell ref="AN2:AN3"/>
    <mergeCell ref="D3:E3"/>
    <mergeCell ref="F3:G3"/>
    <mergeCell ref="H3:I3"/>
    <mergeCell ref="J3:K3"/>
    <mergeCell ref="L3:M3"/>
    <mergeCell ref="N3:O3"/>
    <mergeCell ref="S3:T3"/>
    <mergeCell ref="U3:V3"/>
    <mergeCell ref="A1:Y1"/>
    <mergeCell ref="D2:X2"/>
    <mergeCell ref="Y2:Y3"/>
    <mergeCell ref="W3:X3"/>
    <mergeCell ref="W85:X85"/>
    <mergeCell ref="Y84:Y85"/>
    <mergeCell ref="J85:K85"/>
    <mergeCell ref="L85:M85"/>
    <mergeCell ref="N85:O85"/>
    <mergeCell ref="S85:T85"/>
    <mergeCell ref="U85:V85"/>
    <mergeCell ref="C2:C4"/>
    <mergeCell ref="A2:A4"/>
    <mergeCell ref="B2:B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91"/>
  <sheetViews>
    <sheetView topLeftCell="A36" workbookViewId="0">
      <selection activeCell="D52" sqref="D52"/>
    </sheetView>
  </sheetViews>
  <sheetFormatPr defaultColWidth="9.109375" defaultRowHeight="14.4"/>
  <cols>
    <col min="1" max="1" width="23.77734375" style="209" customWidth="1"/>
    <col min="2" max="2" width="20.33203125" style="209" bestFit="1" customWidth="1"/>
    <col min="3" max="3" width="10.77734375" style="210" bestFit="1" customWidth="1"/>
    <col min="4" max="4" width="15.77734375" style="213" customWidth="1"/>
    <col min="5" max="5" width="15.77734375" style="212" customWidth="1"/>
    <col min="6" max="6" width="15.77734375" style="210" customWidth="1"/>
    <col min="7" max="7" width="15.77734375" style="214" customWidth="1"/>
    <col min="8" max="8" width="15.77734375" style="218" customWidth="1"/>
    <col min="9" max="9" width="15.77734375" style="215" customWidth="1"/>
    <col min="10" max="10" width="15.77734375" style="175" customWidth="1"/>
    <col min="11" max="16" width="15.77734375" style="210" customWidth="1"/>
    <col min="17" max="17" width="25.6640625" style="210" hidden="1" customWidth="1"/>
    <col min="18" max="18" width="11.109375" style="216" hidden="1" customWidth="1"/>
    <col min="19" max="20" width="12.44140625" style="175" hidden="1" customWidth="1"/>
    <col min="21" max="21" width="24.44140625" style="176" hidden="1" customWidth="1"/>
    <col min="22" max="22" width="18.109375" style="175" hidden="1" customWidth="1"/>
    <col min="23" max="23" width="12.44140625" style="175" hidden="1" customWidth="1"/>
    <col min="24" max="24" width="11" style="175" hidden="1" customWidth="1"/>
    <col min="25" max="27" width="9.44140625" style="175" hidden="1" customWidth="1"/>
    <col min="28" max="30" width="14.77734375" style="175" hidden="1" customWidth="1"/>
    <col min="31" max="31" width="13.44140625" style="175" hidden="1" customWidth="1"/>
    <col min="32" max="16384" width="9.109375" style="175"/>
  </cols>
  <sheetData>
    <row r="1" spans="1:31">
      <c r="A1" s="675" t="s">
        <v>388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170"/>
      <c r="R1" s="171"/>
      <c r="S1" s="170"/>
      <c r="T1" s="170"/>
      <c r="U1" s="172"/>
      <c r="V1" s="173"/>
      <c r="W1" s="174"/>
      <c r="X1" s="173"/>
      <c r="Y1" s="173"/>
      <c r="Z1" s="173"/>
      <c r="AA1" s="173"/>
      <c r="AB1" s="173"/>
      <c r="AC1" s="173"/>
      <c r="AD1" s="173"/>
      <c r="AE1" s="173"/>
    </row>
    <row r="2" spans="1:31" s="176" customFormat="1">
      <c r="A2" s="644" t="s">
        <v>338</v>
      </c>
      <c r="B2" s="644" t="s">
        <v>202</v>
      </c>
      <c r="C2" s="644" t="s">
        <v>339</v>
      </c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 t="s">
        <v>341</v>
      </c>
      <c r="Q2" s="679" t="s">
        <v>342</v>
      </c>
      <c r="R2" s="679"/>
      <c r="S2" s="679"/>
      <c r="T2" s="679"/>
      <c r="U2" s="679"/>
      <c r="V2" s="679"/>
      <c r="W2" s="679"/>
      <c r="X2" s="679"/>
      <c r="Y2" s="679"/>
      <c r="Z2" s="679"/>
      <c r="AA2" s="679"/>
      <c r="AB2" s="679"/>
      <c r="AC2" s="679"/>
      <c r="AD2" s="679"/>
      <c r="AE2" s="676" t="s">
        <v>341</v>
      </c>
    </row>
    <row r="3" spans="1:31" s="176" customFormat="1" ht="57.6">
      <c r="A3" s="644"/>
      <c r="B3" s="644"/>
      <c r="C3" s="644"/>
      <c r="D3" s="177" t="s">
        <v>323</v>
      </c>
      <c r="E3" s="177" t="s">
        <v>324</v>
      </c>
      <c r="F3" s="177" t="s">
        <v>325</v>
      </c>
      <c r="G3" s="177" t="s">
        <v>326</v>
      </c>
      <c r="H3" s="177" t="s">
        <v>236</v>
      </c>
      <c r="I3" s="177" t="s">
        <v>327</v>
      </c>
      <c r="J3" s="177" t="s">
        <v>328</v>
      </c>
      <c r="K3" s="177" t="s">
        <v>329</v>
      </c>
      <c r="L3" s="177" t="s">
        <v>330</v>
      </c>
      <c r="M3" s="177" t="s">
        <v>331</v>
      </c>
      <c r="N3" s="177" t="s">
        <v>332</v>
      </c>
      <c r="O3" s="177" t="s">
        <v>333</v>
      </c>
      <c r="P3" s="676"/>
      <c r="Q3" s="178" t="s">
        <v>345</v>
      </c>
      <c r="R3" s="179" t="s">
        <v>344</v>
      </c>
      <c r="S3" s="177" t="s">
        <v>323</v>
      </c>
      <c r="T3" s="177" t="s">
        <v>324</v>
      </c>
      <c r="U3" s="177" t="s">
        <v>325</v>
      </c>
      <c r="V3" s="177" t="s">
        <v>326</v>
      </c>
      <c r="W3" s="177" t="s">
        <v>236</v>
      </c>
      <c r="X3" s="177" t="s">
        <v>327</v>
      </c>
      <c r="Y3" s="177" t="s">
        <v>328</v>
      </c>
      <c r="Z3" s="177" t="s">
        <v>329</v>
      </c>
      <c r="AA3" s="177" t="s">
        <v>330</v>
      </c>
      <c r="AB3" s="177" t="s">
        <v>331</v>
      </c>
      <c r="AC3" s="177" t="s">
        <v>332</v>
      </c>
      <c r="AD3" s="177" t="s">
        <v>333</v>
      </c>
      <c r="AE3" s="676"/>
    </row>
    <row r="4" spans="1:31" s="176" customFormat="1">
      <c r="A4" s="180"/>
      <c r="B4" s="181" t="s">
        <v>88</v>
      </c>
      <c r="C4" s="180" t="s">
        <v>294</v>
      </c>
      <c r="D4" s="177">
        <f>SUM('Fuel per Province (Sugar)'!D5:E5)</f>
        <v>0</v>
      </c>
      <c r="E4" s="177">
        <f>SUM('Fuel per Province (Sugar)'!F5:G5)</f>
        <v>0</v>
      </c>
      <c r="F4" s="177">
        <f>SUM('Fuel per Province (Sugar)'!H5:I5)</f>
        <v>0</v>
      </c>
      <c r="G4" s="177">
        <f>SUM('Fuel per Province (Sugar)'!J5:K5)</f>
        <v>0</v>
      </c>
      <c r="H4" s="177">
        <f>SUM('Fuel per Province (Sugar)'!L5:M5)</f>
        <v>0</v>
      </c>
      <c r="I4" s="177">
        <f>SUM('Fuel per Province (Sugar)'!N5:O5)</f>
        <v>0</v>
      </c>
      <c r="J4" s="177">
        <f>SUM('Fuel per Province (Sugar)'!P5)</f>
        <v>0</v>
      </c>
      <c r="K4" s="177">
        <f>SUM('Fuel per Province (Sugar)'!Q5)</f>
        <v>0</v>
      </c>
      <c r="L4" s="177">
        <f>SUM('Fuel per Province (Sugar)'!R5)</f>
        <v>0</v>
      </c>
      <c r="M4" s="177">
        <f>SUM('Fuel per Province (Sugar)'!S5:T5)</f>
        <v>0</v>
      </c>
      <c r="N4" s="177">
        <f>SUM('Fuel per Province (Sugar)'!U5:V5)</f>
        <v>0</v>
      </c>
      <c r="O4" s="177">
        <f>SUM('Fuel per Province (Sugar)'!W5:X5)</f>
        <v>0</v>
      </c>
      <c r="P4" s="177"/>
      <c r="Q4" s="178"/>
      <c r="R4" s="179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</row>
    <row r="5" spans="1:31" s="176" customFormat="1">
      <c r="A5" s="180"/>
      <c r="B5" s="181" t="s">
        <v>85</v>
      </c>
      <c r="C5" s="180" t="s">
        <v>294</v>
      </c>
      <c r="D5" s="177">
        <f>SUM('Fuel per Province (Sugar)'!D6:E6)</f>
        <v>0</v>
      </c>
      <c r="E5" s="177">
        <f>SUM('Fuel per Province (Sugar)'!F6:G6)</f>
        <v>0</v>
      </c>
      <c r="F5" s="177">
        <f>SUM('Fuel per Province (Sugar)'!H6:I6)</f>
        <v>0</v>
      </c>
      <c r="G5" s="177">
        <f>SUM('Fuel per Province (Sugar)'!J6:K6)</f>
        <v>0</v>
      </c>
      <c r="H5" s="177">
        <f>SUM('Fuel per Province (Sugar)'!L6:M6)</f>
        <v>0</v>
      </c>
      <c r="I5" s="177">
        <f>SUM('Fuel per Province (Sugar)'!N6:O6)</f>
        <v>0</v>
      </c>
      <c r="J5" s="177">
        <v>0</v>
      </c>
      <c r="K5" s="177">
        <v>0</v>
      </c>
      <c r="L5" s="177">
        <v>0</v>
      </c>
      <c r="M5" s="177">
        <f>SUM('Fuel per Province (Sugar)'!S6:T6)</f>
        <v>0</v>
      </c>
      <c r="N5" s="177">
        <f>SUM('Fuel per Province (Sugar)'!U6:V6)</f>
        <v>0</v>
      </c>
      <c r="O5" s="177">
        <f>SUM('Fuel per Province (Sugar)'!W6:X6)</f>
        <v>0</v>
      </c>
      <c r="P5" s="177"/>
      <c r="Q5" s="178"/>
      <c r="R5" s="179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</row>
    <row r="6" spans="1:31" s="176" customFormat="1">
      <c r="A6" s="180"/>
      <c r="B6" s="181" t="s">
        <v>146</v>
      </c>
      <c r="C6" s="180" t="s">
        <v>294</v>
      </c>
      <c r="D6" s="177">
        <f>SUM('Fuel per Province (Sugar)'!D7:E7)</f>
        <v>0</v>
      </c>
      <c r="E6" s="177">
        <f>SUM('Fuel per Province (Sugar)'!F7:G7)</f>
        <v>0</v>
      </c>
      <c r="F6" s="177">
        <f>SUM('Fuel per Province (Sugar)'!H7:I7)</f>
        <v>0</v>
      </c>
      <c r="G6" s="177">
        <f>SUM('Fuel per Province (Sugar)'!J7:K7)</f>
        <v>0</v>
      </c>
      <c r="H6" s="177">
        <f>SUM('Fuel per Province (Sugar)'!L7:M7)</f>
        <v>0</v>
      </c>
      <c r="I6" s="177">
        <f>SUM('Fuel per Province (Sugar)'!N7:O7)</f>
        <v>0</v>
      </c>
      <c r="J6" s="177">
        <v>0</v>
      </c>
      <c r="K6" s="177">
        <v>0</v>
      </c>
      <c r="L6" s="177">
        <v>0</v>
      </c>
      <c r="M6" s="177">
        <f>SUM('Fuel per Province (Sugar)'!S7:T7)</f>
        <v>0</v>
      </c>
      <c r="N6" s="177">
        <f>SUM('Fuel per Province (Sugar)'!U7:V7)</f>
        <v>0</v>
      </c>
      <c r="O6" s="177">
        <f>SUM('Fuel per Province (Sugar)'!W7:X7)</f>
        <v>0</v>
      </c>
      <c r="P6" s="177"/>
      <c r="Q6" s="178"/>
      <c r="R6" s="179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</row>
    <row r="7" spans="1:31" s="176" customFormat="1">
      <c r="A7" s="180"/>
      <c r="B7" s="181" t="s">
        <v>84</v>
      </c>
      <c r="C7" s="180" t="s">
        <v>294</v>
      </c>
      <c r="D7" s="177">
        <f>SUM('Fuel per Province (Sugar)'!D8:E8)</f>
        <v>0</v>
      </c>
      <c r="E7" s="177">
        <f>SUM('Fuel per Province (Sugar)'!F8:G8)</f>
        <v>0</v>
      </c>
      <c r="F7" s="177">
        <f>SUM('Fuel per Province (Sugar)'!H8:I8)</f>
        <v>0</v>
      </c>
      <c r="G7" s="177">
        <f>SUM('Fuel per Province (Sugar)'!J8:K8)</f>
        <v>0</v>
      </c>
      <c r="H7" s="177">
        <f>SUM('Fuel per Province (Sugar)'!L8:M8)</f>
        <v>0</v>
      </c>
      <c r="I7" s="177">
        <f>SUM('Fuel per Province (Sugar)'!N8:O8)</f>
        <v>0</v>
      </c>
      <c r="J7" s="177">
        <v>0</v>
      </c>
      <c r="K7" s="177">
        <v>0</v>
      </c>
      <c r="L7" s="177">
        <v>0</v>
      </c>
      <c r="M7" s="177">
        <f>SUM('Fuel per Province (Sugar)'!S8:T8)</f>
        <v>0</v>
      </c>
      <c r="N7" s="177">
        <f>SUM('Fuel per Province (Sugar)'!U8:V8)</f>
        <v>0</v>
      </c>
      <c r="O7" s="177">
        <f>SUM('Fuel per Province (Sugar)'!W8:X8)</f>
        <v>0</v>
      </c>
      <c r="P7" s="177"/>
      <c r="Q7" s="178"/>
      <c r="R7" s="179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</row>
    <row r="8" spans="1:31" s="176" customFormat="1">
      <c r="A8" s="180"/>
      <c r="B8" s="181" t="s">
        <v>86</v>
      </c>
      <c r="C8" s="180" t="s">
        <v>294</v>
      </c>
      <c r="D8" s="177">
        <f>SUM('Fuel per Province (Sugar)'!D9:E9)</f>
        <v>0</v>
      </c>
      <c r="E8" s="177">
        <f>SUM('Fuel per Province (Sugar)'!F9:G9)</f>
        <v>0</v>
      </c>
      <c r="F8" s="177">
        <f>SUM('Fuel per Province (Sugar)'!H9:I9)</f>
        <v>0</v>
      </c>
      <c r="G8" s="177">
        <f>SUM('Fuel per Province (Sugar)'!J9:K9)</f>
        <v>0</v>
      </c>
      <c r="H8" s="177">
        <f>SUM('Fuel per Province (Sugar)'!L9:M9)</f>
        <v>0</v>
      </c>
      <c r="I8" s="177">
        <f>SUM('Fuel per Province (Sugar)'!N9:O9)</f>
        <v>0</v>
      </c>
      <c r="J8" s="177">
        <v>0</v>
      </c>
      <c r="K8" s="177">
        <v>0</v>
      </c>
      <c r="L8" s="177">
        <v>0</v>
      </c>
      <c r="M8" s="177">
        <f>SUM('Fuel per Province (Sugar)'!S9:T9)</f>
        <v>0</v>
      </c>
      <c r="N8" s="177">
        <f>SUM('Fuel per Province (Sugar)'!U9:V9)</f>
        <v>0</v>
      </c>
      <c r="O8" s="177">
        <f>SUM('Fuel per Province (Sugar)'!W9:X9)</f>
        <v>0</v>
      </c>
      <c r="P8" s="177"/>
      <c r="Q8" s="178"/>
      <c r="R8" s="179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</row>
    <row r="9" spans="1:31" s="176" customFormat="1">
      <c r="A9" s="180"/>
      <c r="B9" s="181" t="s">
        <v>87</v>
      </c>
      <c r="C9" s="180" t="s">
        <v>294</v>
      </c>
      <c r="D9" s="177">
        <f>SUM('Fuel per Province (Sugar)'!D10:E10)</f>
        <v>0</v>
      </c>
      <c r="E9" s="177">
        <f>SUM('Fuel per Province (Sugar)'!F10:G10)</f>
        <v>0</v>
      </c>
      <c r="F9" s="177">
        <f>SUM('Fuel per Province (Sugar)'!H10:I10)</f>
        <v>0</v>
      </c>
      <c r="G9" s="177">
        <f>SUM('Fuel per Province (Sugar)'!J10:K10)</f>
        <v>0</v>
      </c>
      <c r="H9" s="177">
        <f>SUM('Fuel per Province (Sugar)'!L10:M10)</f>
        <v>0</v>
      </c>
      <c r="I9" s="177">
        <f>SUM('Fuel per Province (Sugar)'!N10:O10)</f>
        <v>0</v>
      </c>
      <c r="J9" s="177">
        <v>0</v>
      </c>
      <c r="K9" s="177">
        <v>0</v>
      </c>
      <c r="L9" s="177">
        <v>0</v>
      </c>
      <c r="M9" s="177">
        <f>SUM('Fuel per Province (Sugar)'!S10:T10)</f>
        <v>0</v>
      </c>
      <c r="N9" s="177">
        <f>SUM('Fuel per Province (Sugar)'!U10:V10)</f>
        <v>0</v>
      </c>
      <c r="O9" s="177">
        <f>SUM('Fuel per Province (Sugar)'!W10:X10)</f>
        <v>0</v>
      </c>
      <c r="P9" s="177"/>
      <c r="Q9" s="178"/>
      <c r="R9" s="179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</row>
    <row r="10" spans="1:31" s="176" customFormat="1">
      <c r="A10" s="180"/>
      <c r="B10" s="181" t="s">
        <v>11</v>
      </c>
      <c r="C10" s="180" t="s">
        <v>395</v>
      </c>
      <c r="D10" s="177">
        <f>SUM('Fuel per Province (Sugar)'!D11:E11)</f>
        <v>0</v>
      </c>
      <c r="E10" s="177">
        <f>SUM('Fuel per Province (Sugar)'!F11:G11)</f>
        <v>0</v>
      </c>
      <c r="F10" s="177">
        <f>SUM('Fuel per Province (Sugar)'!H11:I11)</f>
        <v>0</v>
      </c>
      <c r="G10" s="177">
        <f>SUM('Fuel per Province (Sugar)'!J11:K11)</f>
        <v>0</v>
      </c>
      <c r="H10" s="177">
        <f>SUM('Fuel per Province (Sugar)'!L11:M11)</f>
        <v>0</v>
      </c>
      <c r="I10" s="177">
        <f>SUM('Fuel per Province (Sugar)'!N11:O11)</f>
        <v>0</v>
      </c>
      <c r="J10" s="177">
        <v>0</v>
      </c>
      <c r="K10" s="177">
        <v>0</v>
      </c>
      <c r="L10" s="177">
        <v>0</v>
      </c>
      <c r="M10" s="177">
        <f>SUM('Fuel per Province (Sugar)'!S11:T11)</f>
        <v>0</v>
      </c>
      <c r="N10" s="177">
        <f>SUM('Fuel per Province (Sugar)'!U11:V11)</f>
        <v>0</v>
      </c>
      <c r="O10" s="177">
        <f>SUM('Fuel per Province (Sugar)'!W11:X11)</f>
        <v>0</v>
      </c>
      <c r="P10" s="177"/>
      <c r="Q10" s="178"/>
      <c r="R10" s="179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</row>
    <row r="11" spans="1:31" s="176" customFormat="1">
      <c r="A11" s="180"/>
      <c r="B11" s="181" t="s">
        <v>12</v>
      </c>
      <c r="C11" s="180" t="s">
        <v>395</v>
      </c>
      <c r="D11" s="177">
        <f>SUM('Fuel per Province (Sugar)'!D12:E12)</f>
        <v>0</v>
      </c>
      <c r="E11" s="177">
        <f>SUM('Fuel per Province (Sugar)'!F12:G12)</f>
        <v>0</v>
      </c>
      <c r="F11" s="177">
        <f>SUM('Fuel per Province (Sugar)'!H12:I12)</f>
        <v>0</v>
      </c>
      <c r="G11" s="177">
        <f>SUM('Fuel per Province (Sugar)'!J12:K12)</f>
        <v>0</v>
      </c>
      <c r="H11" s="177">
        <f>SUM('Fuel per Province (Sugar)'!L12:M12)</f>
        <v>0</v>
      </c>
      <c r="I11" s="177">
        <f>SUM('Fuel per Province (Sugar)'!N12:O12)</f>
        <v>0</v>
      </c>
      <c r="J11" s="177">
        <v>0</v>
      </c>
      <c r="K11" s="177">
        <v>0</v>
      </c>
      <c r="L11" s="177">
        <v>0</v>
      </c>
      <c r="M11" s="177">
        <f>SUM('Fuel per Province (Sugar)'!S12:T12)</f>
        <v>0</v>
      </c>
      <c r="N11" s="177">
        <f>SUM('Fuel per Province (Sugar)'!U12:V12)</f>
        <v>0</v>
      </c>
      <c r="O11" s="177">
        <f>SUM('Fuel per Province (Sugar)'!W12:X12)</f>
        <v>0</v>
      </c>
      <c r="P11" s="177"/>
      <c r="Q11" s="178"/>
      <c r="R11" s="179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</row>
    <row r="12" spans="1:31" s="176" customFormat="1">
      <c r="A12" s="180"/>
      <c r="B12" s="181" t="s">
        <v>13</v>
      </c>
      <c r="C12" s="180" t="s">
        <v>395</v>
      </c>
      <c r="D12" s="177">
        <f>SUM('Fuel per Province (Sugar)'!D13:E13)</f>
        <v>0</v>
      </c>
      <c r="E12" s="177">
        <f>SUM('Fuel per Province (Sugar)'!F13:G13)</f>
        <v>0</v>
      </c>
      <c r="F12" s="177">
        <f>SUM('Fuel per Province (Sugar)'!H13:I13)</f>
        <v>0</v>
      </c>
      <c r="G12" s="177">
        <f>SUM('Fuel per Province (Sugar)'!J13:K13)</f>
        <v>0</v>
      </c>
      <c r="H12" s="177">
        <f>SUM('Fuel per Province (Sugar)'!L13:M13)</f>
        <v>0</v>
      </c>
      <c r="I12" s="177">
        <f>SUM('Fuel per Province (Sugar)'!N13:O13)</f>
        <v>0</v>
      </c>
      <c r="J12" s="177">
        <v>0</v>
      </c>
      <c r="K12" s="177">
        <v>0</v>
      </c>
      <c r="L12" s="177">
        <v>0</v>
      </c>
      <c r="M12" s="177">
        <f>SUM('Fuel per Province (Sugar)'!S13:T13)</f>
        <v>0</v>
      </c>
      <c r="N12" s="177">
        <f>SUM('Fuel per Province (Sugar)'!U13:V13)</f>
        <v>0</v>
      </c>
      <c r="O12" s="177">
        <f>SUM('Fuel per Province (Sugar)'!W13:X13)</f>
        <v>0</v>
      </c>
      <c r="P12" s="177"/>
      <c r="Q12" s="178"/>
      <c r="R12" s="179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</row>
    <row r="13" spans="1:31" s="176" customFormat="1">
      <c r="A13" s="180"/>
      <c r="B13" s="181" t="s">
        <v>14</v>
      </c>
      <c r="C13" s="180" t="s">
        <v>395</v>
      </c>
      <c r="D13" s="177">
        <f>SUM('Fuel per Province (Sugar)'!D14:E14)</f>
        <v>0</v>
      </c>
      <c r="E13" s="177">
        <f>SUM('Fuel per Province (Sugar)'!F14:G14)</f>
        <v>0</v>
      </c>
      <c r="F13" s="177">
        <f>SUM('Fuel per Province (Sugar)'!H14:I14)</f>
        <v>0</v>
      </c>
      <c r="G13" s="177">
        <f>SUM('Fuel per Province (Sugar)'!J14:K14)</f>
        <v>0</v>
      </c>
      <c r="H13" s="177">
        <f>SUM('Fuel per Province (Sugar)'!L14:M14)</f>
        <v>0</v>
      </c>
      <c r="I13" s="177">
        <f>SUM('Fuel per Province (Sugar)'!N14:O14)</f>
        <v>0</v>
      </c>
      <c r="J13" s="177">
        <v>0</v>
      </c>
      <c r="K13" s="177">
        <v>0</v>
      </c>
      <c r="L13" s="177">
        <v>0</v>
      </c>
      <c r="M13" s="177">
        <f>SUM('Fuel per Province (Sugar)'!S14:T14)</f>
        <v>0</v>
      </c>
      <c r="N13" s="177">
        <f>SUM('Fuel per Province (Sugar)'!U14:V14)</f>
        <v>0</v>
      </c>
      <c r="O13" s="177">
        <f>SUM('Fuel per Province (Sugar)'!W14:X14)</f>
        <v>0</v>
      </c>
      <c r="P13" s="177"/>
      <c r="Q13" s="178"/>
      <c r="R13" s="179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</row>
    <row r="14" spans="1:31" s="176" customFormat="1">
      <c r="A14" s="180"/>
      <c r="B14" s="181" t="s">
        <v>10</v>
      </c>
      <c r="C14" s="180" t="s">
        <v>347</v>
      </c>
      <c r="D14" s="177">
        <f>SUM('Fuel per Province (Sugar)'!D15:E15)</f>
        <v>0</v>
      </c>
      <c r="E14" s="177">
        <f>SUM('Fuel per Province (Sugar)'!F15:G15)</f>
        <v>0</v>
      </c>
      <c r="F14" s="177">
        <f>SUM('Fuel per Province (Sugar)'!H15:I15)</f>
        <v>0</v>
      </c>
      <c r="G14" s="177">
        <f>SUM('Fuel per Province (Sugar)'!J15:K15)</f>
        <v>0</v>
      </c>
      <c r="H14" s="177">
        <f>SUM('Fuel per Province (Sugar)'!L15:M15)</f>
        <v>0</v>
      </c>
      <c r="I14" s="177">
        <f>SUM('Fuel per Province (Sugar)'!N15:O15)</f>
        <v>0</v>
      </c>
      <c r="J14" s="177">
        <v>0</v>
      </c>
      <c r="K14" s="177">
        <v>0</v>
      </c>
      <c r="L14" s="177">
        <v>0</v>
      </c>
      <c r="M14" s="177">
        <f>SUM('Fuel per Province (Sugar)'!S15:T15)</f>
        <v>0</v>
      </c>
      <c r="N14" s="177">
        <f>SUM('Fuel per Province (Sugar)'!U15:V15)</f>
        <v>0</v>
      </c>
      <c r="O14" s="177">
        <f>SUM('Fuel per Province (Sugar)'!W15:X15)</f>
        <v>0</v>
      </c>
      <c r="P14" s="177"/>
      <c r="Q14" s="178"/>
      <c r="R14" s="179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</row>
    <row r="15" spans="1:31" s="188" customFormat="1">
      <c r="A15" s="182" t="s">
        <v>346</v>
      </c>
      <c r="B15" s="181" t="s">
        <v>15</v>
      </c>
      <c r="C15" s="183" t="s">
        <v>347</v>
      </c>
      <c r="D15" s="177">
        <f>SUM('Fuel per Province (Sugar)'!D16:E16)</f>
        <v>18666.666666666668</v>
      </c>
      <c r="E15" s="177">
        <f>SUM('Fuel per Province (Sugar)'!F16:G16)</f>
        <v>64707.44266666667</v>
      </c>
      <c r="F15" s="177">
        <f>SUM('Fuel per Province (Sugar)'!H16:I16)</f>
        <v>64707.44266666667</v>
      </c>
      <c r="G15" s="177">
        <f>SUM('Fuel per Province (Sugar)'!J16:K16)</f>
        <v>46040.775999999998</v>
      </c>
      <c r="H15" s="177">
        <f>SUM('Fuel per Province (Sugar)'!L16:M16)</f>
        <v>46040.775999999998</v>
      </c>
      <c r="I15" s="177">
        <f>SUM('Fuel per Province (Sugar)'!N16:O16)</f>
        <v>46040.775999999998</v>
      </c>
      <c r="J15" s="184">
        <f>'Total Fuel per Operation(Sugar)'!P4</f>
        <v>0</v>
      </c>
      <c r="K15" s="184">
        <f>'Total Fuel per Operation(Sugar)'!Q4</f>
        <v>0</v>
      </c>
      <c r="L15" s="184">
        <f>'Total Fuel per Operation(Sugar)'!R4</f>
        <v>0</v>
      </c>
      <c r="M15" s="177">
        <f>SUM('Fuel per Province (Sugar)'!S16:T16)</f>
        <v>0</v>
      </c>
      <c r="N15" s="177">
        <f>SUM('Fuel per Province (Sugar)'!U16:V16)</f>
        <v>0</v>
      </c>
      <c r="O15" s="177">
        <f>SUM('Fuel per Province (Sugar)'!W16:X16)</f>
        <v>0</v>
      </c>
      <c r="P15" s="184">
        <f>SUM(D15:O15)</f>
        <v>286203.88000000006</v>
      </c>
      <c r="Q15" s="185">
        <v>115101.94</v>
      </c>
      <c r="R15" s="186">
        <v>5</v>
      </c>
      <c r="S15" s="187"/>
      <c r="T15" s="184">
        <v>46040.775999999998</v>
      </c>
      <c r="U15" s="184">
        <v>46040.775999999998</v>
      </c>
      <c r="V15" s="184">
        <v>46040.775999999998</v>
      </c>
      <c r="W15" s="184">
        <v>46040.775999999998</v>
      </c>
      <c r="X15" s="184">
        <v>46040.775999999998</v>
      </c>
      <c r="Y15" s="187"/>
      <c r="Z15" s="187"/>
      <c r="AA15" s="187"/>
      <c r="AB15" s="187"/>
      <c r="AC15" s="187"/>
      <c r="AD15" s="187"/>
      <c r="AE15" s="187">
        <v>230203.88</v>
      </c>
    </row>
    <row r="16" spans="1:31" s="188" customFormat="1">
      <c r="A16" s="182" t="s">
        <v>16</v>
      </c>
      <c r="B16" s="181" t="s">
        <v>16</v>
      </c>
      <c r="C16" s="183" t="s">
        <v>347</v>
      </c>
      <c r="D16" s="177">
        <f>SUM('Fuel per Province (Sugar)'!D17:E17)</f>
        <v>18122.632000000001</v>
      </c>
      <c r="E16" s="177">
        <f>SUM('Fuel per Province (Sugar)'!F17:G17)</f>
        <v>18122.632000000001</v>
      </c>
      <c r="F16" s="177">
        <f>SUM('Fuel per Province (Sugar)'!H17:I17)</f>
        <v>18122.632000000001</v>
      </c>
      <c r="G16" s="177">
        <f>SUM('Fuel per Province (Sugar)'!J17:K17)</f>
        <v>13322.632000000001</v>
      </c>
      <c r="H16" s="177">
        <f>SUM('Fuel per Province (Sugar)'!L17:M17)</f>
        <v>13322.632000000001</v>
      </c>
      <c r="I16" s="177">
        <f>SUM('Fuel per Province (Sugar)'!N17:O17)</f>
        <v>13322.632000000001</v>
      </c>
      <c r="J16" s="184">
        <f>'Total Fuel per Operation(Sugar)'!P5</f>
        <v>0</v>
      </c>
      <c r="K16" s="184">
        <f>'Total Fuel per Operation(Sugar)'!Q5</f>
        <v>0</v>
      </c>
      <c r="L16" s="184">
        <f>'Total Fuel per Operation(Sugar)'!R5</f>
        <v>0</v>
      </c>
      <c r="M16" s="177">
        <f>SUM('Fuel per Province (Sugar)'!S17:T17)</f>
        <v>0</v>
      </c>
      <c r="N16" s="177">
        <f>SUM('Fuel per Province (Sugar)'!U17:V17)</f>
        <v>0</v>
      </c>
      <c r="O16" s="177">
        <f>SUM('Fuel per Province (Sugar)'!W17:X17)</f>
        <v>0</v>
      </c>
      <c r="P16" s="184">
        <f>SUM(D16:O16)</f>
        <v>94335.792000000001</v>
      </c>
      <c r="Q16" s="185">
        <v>33306.58</v>
      </c>
      <c r="R16" s="186">
        <v>5</v>
      </c>
      <c r="S16" s="184"/>
      <c r="T16" s="184">
        <v>13322.632000000001</v>
      </c>
      <c r="U16" s="184">
        <v>13322.632000000001</v>
      </c>
      <c r="V16" s="184">
        <v>13322.632000000001</v>
      </c>
      <c r="W16" s="184">
        <v>13322.632000000001</v>
      </c>
      <c r="X16" s="184">
        <v>13322.632000000001</v>
      </c>
      <c r="Y16" s="187"/>
      <c r="Z16" s="187"/>
      <c r="AA16" s="187"/>
      <c r="AB16" s="187"/>
      <c r="AC16" s="187"/>
      <c r="AD16" s="187"/>
      <c r="AE16" s="187">
        <v>66613.16</v>
      </c>
    </row>
    <row r="17" spans="1:31" s="188" customFormat="1">
      <c r="A17" s="182"/>
      <c r="B17" s="181" t="s">
        <v>17</v>
      </c>
      <c r="C17" s="183" t="s">
        <v>347</v>
      </c>
      <c r="D17" s="177">
        <f>SUM('Fuel per Province (Sugar)'!D18:E18)</f>
        <v>0</v>
      </c>
      <c r="E17" s="177">
        <f>SUM('Fuel per Province (Sugar)'!F18:G18)</f>
        <v>0</v>
      </c>
      <c r="F17" s="177">
        <f>SUM('Fuel per Province (Sugar)'!H18:I18)</f>
        <v>0</v>
      </c>
      <c r="G17" s="177">
        <f>SUM('Fuel per Province (Sugar)'!J18:K18)</f>
        <v>0</v>
      </c>
      <c r="H17" s="177">
        <f>SUM('Fuel per Province (Sugar)'!L18:M18)</f>
        <v>0</v>
      </c>
      <c r="I17" s="177">
        <f>SUM('Fuel per Province (Sugar)'!N18:O18)</f>
        <v>0</v>
      </c>
      <c r="J17" s="177">
        <v>0</v>
      </c>
      <c r="K17" s="177">
        <v>0</v>
      </c>
      <c r="L17" s="177">
        <v>0</v>
      </c>
      <c r="M17" s="177">
        <f>SUM('Fuel per Province (Sugar)'!S18:T18)</f>
        <v>0</v>
      </c>
      <c r="N17" s="177">
        <f>SUM('Fuel per Province (Sugar)'!U18:V18)</f>
        <v>0</v>
      </c>
      <c r="O17" s="177">
        <f>SUM('Fuel per Province (Sugar)'!W18:X18)</f>
        <v>0</v>
      </c>
      <c r="P17" s="184"/>
      <c r="Q17" s="185"/>
      <c r="R17" s="186"/>
      <c r="S17" s="184"/>
      <c r="T17" s="184"/>
      <c r="U17" s="184"/>
      <c r="V17" s="184"/>
      <c r="W17" s="184"/>
      <c r="X17" s="184"/>
      <c r="Y17" s="187"/>
      <c r="Z17" s="187"/>
      <c r="AA17" s="187"/>
      <c r="AB17" s="187"/>
      <c r="AC17" s="187"/>
      <c r="AD17" s="187"/>
      <c r="AE17" s="187"/>
    </row>
    <row r="18" spans="1:31" s="188" customFormat="1">
      <c r="A18" s="182"/>
      <c r="B18" s="181" t="s">
        <v>18</v>
      </c>
      <c r="C18" s="183" t="s">
        <v>347</v>
      </c>
      <c r="D18" s="177">
        <f>SUM('Fuel per Province (Sugar)'!D19:E19)</f>
        <v>0</v>
      </c>
      <c r="E18" s="177">
        <f>SUM('Fuel per Province (Sugar)'!F19:G19)</f>
        <v>0</v>
      </c>
      <c r="F18" s="177">
        <f>SUM('Fuel per Province (Sugar)'!H19:I19)</f>
        <v>0</v>
      </c>
      <c r="G18" s="177">
        <f>SUM('Fuel per Province (Sugar)'!J19:K19)</f>
        <v>0</v>
      </c>
      <c r="H18" s="177">
        <f>SUM('Fuel per Province (Sugar)'!L19:M19)</f>
        <v>0</v>
      </c>
      <c r="I18" s="177">
        <f>SUM('Fuel per Province (Sugar)'!N19:O19)</f>
        <v>0</v>
      </c>
      <c r="J18" s="177">
        <v>0</v>
      </c>
      <c r="K18" s="177">
        <v>0</v>
      </c>
      <c r="L18" s="177">
        <v>0</v>
      </c>
      <c r="M18" s="177">
        <f>SUM('Fuel per Province (Sugar)'!S19:T19)</f>
        <v>0</v>
      </c>
      <c r="N18" s="177">
        <f>SUM('Fuel per Province (Sugar)'!U19:V19)</f>
        <v>0</v>
      </c>
      <c r="O18" s="177">
        <f>SUM('Fuel per Province (Sugar)'!W19:X19)</f>
        <v>0</v>
      </c>
      <c r="P18" s="184"/>
      <c r="Q18" s="185"/>
      <c r="R18" s="186"/>
      <c r="S18" s="184"/>
      <c r="T18" s="184"/>
      <c r="U18" s="184"/>
      <c r="V18" s="184"/>
      <c r="W18" s="184"/>
      <c r="X18" s="184"/>
      <c r="Y18" s="187"/>
      <c r="Z18" s="187"/>
      <c r="AA18" s="187"/>
      <c r="AB18" s="187"/>
      <c r="AC18" s="187"/>
      <c r="AD18" s="187"/>
      <c r="AE18" s="187"/>
    </row>
    <row r="19" spans="1:31" s="188" customFormat="1">
      <c r="A19" s="182"/>
      <c r="B19" s="181" t="s">
        <v>19</v>
      </c>
      <c r="C19" s="184" t="s">
        <v>348</v>
      </c>
      <c r="D19" s="177">
        <f>SUM('Fuel per Province (Sugar)'!D20:E20)</f>
        <v>0</v>
      </c>
      <c r="E19" s="177">
        <f>SUM('Fuel per Province (Sugar)'!F20:G20)</f>
        <v>0</v>
      </c>
      <c r="F19" s="177">
        <f>SUM('Fuel per Province (Sugar)'!H20:I20)</f>
        <v>0</v>
      </c>
      <c r="G19" s="177">
        <f>SUM('Fuel per Province (Sugar)'!J20:K20)</f>
        <v>0</v>
      </c>
      <c r="H19" s="177">
        <f>SUM('Fuel per Province (Sugar)'!L20:M20)</f>
        <v>0</v>
      </c>
      <c r="I19" s="177">
        <f>SUM('Fuel per Province (Sugar)'!N20:O20)</f>
        <v>0</v>
      </c>
      <c r="J19" s="177">
        <v>0</v>
      </c>
      <c r="K19" s="177">
        <v>0</v>
      </c>
      <c r="L19" s="177">
        <v>0</v>
      </c>
      <c r="M19" s="177">
        <f>SUM('Fuel per Province (Sugar)'!S20:T20)</f>
        <v>0</v>
      </c>
      <c r="N19" s="177">
        <f>SUM('Fuel per Province (Sugar)'!U20:V20)</f>
        <v>0</v>
      </c>
      <c r="O19" s="177">
        <f>SUM('Fuel per Province (Sugar)'!W20:X20)</f>
        <v>0</v>
      </c>
      <c r="P19" s="184"/>
      <c r="Q19" s="185"/>
      <c r="R19" s="186"/>
      <c r="S19" s="184"/>
      <c r="T19" s="184"/>
      <c r="U19" s="184"/>
      <c r="V19" s="184"/>
      <c r="W19" s="184"/>
      <c r="X19" s="184"/>
      <c r="Y19" s="187"/>
      <c r="Z19" s="187"/>
      <c r="AA19" s="187"/>
      <c r="AB19" s="187"/>
      <c r="AC19" s="187"/>
      <c r="AD19" s="187"/>
      <c r="AE19" s="187"/>
    </row>
    <row r="20" spans="1:31" s="188" customFormat="1">
      <c r="A20" s="182"/>
      <c r="B20" s="181" t="s">
        <v>20</v>
      </c>
      <c r="C20" s="184" t="s">
        <v>348</v>
      </c>
      <c r="D20" s="177">
        <f>SUM('Fuel per Province (Sugar)'!D21:E21)</f>
        <v>0</v>
      </c>
      <c r="E20" s="177">
        <f>SUM('Fuel per Province (Sugar)'!F21:G21)</f>
        <v>0</v>
      </c>
      <c r="F20" s="177">
        <f>SUM('Fuel per Province (Sugar)'!H21:I21)</f>
        <v>0</v>
      </c>
      <c r="G20" s="177">
        <f>SUM('Fuel per Province (Sugar)'!J21:K21)</f>
        <v>0</v>
      </c>
      <c r="H20" s="177">
        <f>SUM('Fuel per Province (Sugar)'!L21:M21)</f>
        <v>0</v>
      </c>
      <c r="I20" s="177">
        <f>SUM('Fuel per Province (Sugar)'!N21:O21)</f>
        <v>0</v>
      </c>
      <c r="J20" s="177">
        <v>0</v>
      </c>
      <c r="K20" s="177">
        <v>0</v>
      </c>
      <c r="L20" s="177">
        <v>0</v>
      </c>
      <c r="M20" s="177">
        <f>SUM('Fuel per Province (Sugar)'!S21:T21)</f>
        <v>0</v>
      </c>
      <c r="N20" s="177">
        <f>SUM('Fuel per Province (Sugar)'!U21:V21)</f>
        <v>0</v>
      </c>
      <c r="O20" s="177">
        <f>SUM('Fuel per Province (Sugar)'!W21:X21)</f>
        <v>0</v>
      </c>
      <c r="P20" s="184"/>
      <c r="Q20" s="185"/>
      <c r="R20" s="186"/>
      <c r="S20" s="184"/>
      <c r="T20" s="184"/>
      <c r="U20" s="184"/>
      <c r="V20" s="184"/>
      <c r="W20" s="184"/>
      <c r="X20" s="184"/>
      <c r="Y20" s="187"/>
      <c r="Z20" s="187"/>
      <c r="AA20" s="187"/>
      <c r="AB20" s="187"/>
      <c r="AC20" s="187"/>
      <c r="AD20" s="187"/>
      <c r="AE20" s="187"/>
    </row>
    <row r="21" spans="1:31" s="188" customFormat="1">
      <c r="A21" s="182"/>
      <c r="B21" s="181" t="s">
        <v>21</v>
      </c>
      <c r="C21" s="184" t="s">
        <v>348</v>
      </c>
      <c r="D21" s="177">
        <f>SUM('Fuel per Province (Sugar)'!D22:E22)</f>
        <v>0</v>
      </c>
      <c r="E21" s="177">
        <f>SUM('Fuel per Province (Sugar)'!F22:G22)</f>
        <v>0</v>
      </c>
      <c r="F21" s="177">
        <f>SUM('Fuel per Province (Sugar)'!H22:I22)</f>
        <v>0</v>
      </c>
      <c r="G21" s="177">
        <f>SUM('Fuel per Province (Sugar)'!J22:K22)</f>
        <v>0</v>
      </c>
      <c r="H21" s="177">
        <f>SUM('Fuel per Province (Sugar)'!L22:M22)</f>
        <v>0</v>
      </c>
      <c r="I21" s="177">
        <f>SUM('Fuel per Province (Sugar)'!N22:O22)</f>
        <v>0</v>
      </c>
      <c r="J21" s="177">
        <v>0</v>
      </c>
      <c r="K21" s="177">
        <v>0</v>
      </c>
      <c r="L21" s="177">
        <v>0</v>
      </c>
      <c r="M21" s="177">
        <f>SUM('Fuel per Province (Sugar)'!S22:T22)</f>
        <v>0</v>
      </c>
      <c r="N21" s="177">
        <f>SUM('Fuel per Province (Sugar)'!U22:V22)</f>
        <v>0</v>
      </c>
      <c r="O21" s="177">
        <f>SUM('Fuel per Province (Sugar)'!W22:X22)</f>
        <v>0</v>
      </c>
      <c r="P21" s="184"/>
      <c r="Q21" s="185"/>
      <c r="R21" s="186"/>
      <c r="S21" s="184"/>
      <c r="T21" s="184"/>
      <c r="U21" s="184"/>
      <c r="V21" s="184"/>
      <c r="W21" s="184"/>
      <c r="X21" s="184"/>
      <c r="Y21" s="187"/>
      <c r="Z21" s="187"/>
      <c r="AA21" s="187"/>
      <c r="AB21" s="187"/>
      <c r="AC21" s="187"/>
      <c r="AD21" s="187"/>
      <c r="AE21" s="187"/>
    </row>
    <row r="22" spans="1:31" s="188" customFormat="1">
      <c r="A22" s="182"/>
      <c r="B22" s="181" t="s">
        <v>22</v>
      </c>
      <c r="C22" s="184" t="s">
        <v>348</v>
      </c>
      <c r="D22" s="177">
        <f>SUM('Fuel per Province (Sugar)'!D23:E23)</f>
        <v>0</v>
      </c>
      <c r="E22" s="177">
        <f>SUM('Fuel per Province (Sugar)'!F23:G23)</f>
        <v>0</v>
      </c>
      <c r="F22" s="177">
        <f>SUM('Fuel per Province (Sugar)'!H23:I23)</f>
        <v>0</v>
      </c>
      <c r="G22" s="177">
        <f>SUM('Fuel per Province (Sugar)'!J23:K23)</f>
        <v>0</v>
      </c>
      <c r="H22" s="177">
        <f>SUM('Fuel per Province (Sugar)'!L23:M23)</f>
        <v>0</v>
      </c>
      <c r="I22" s="177">
        <f>SUM('Fuel per Province (Sugar)'!N23:O23)</f>
        <v>0</v>
      </c>
      <c r="J22" s="177">
        <v>0</v>
      </c>
      <c r="K22" s="177">
        <v>0</v>
      </c>
      <c r="L22" s="177">
        <v>0</v>
      </c>
      <c r="M22" s="177">
        <f>SUM('Fuel per Province (Sugar)'!S23:T23)</f>
        <v>0</v>
      </c>
      <c r="N22" s="177">
        <f>SUM('Fuel per Province (Sugar)'!U23:V23)</f>
        <v>0</v>
      </c>
      <c r="O22" s="177">
        <f>SUM('Fuel per Province (Sugar)'!W23:X23)</f>
        <v>0</v>
      </c>
      <c r="P22" s="184"/>
      <c r="Q22" s="185"/>
      <c r="R22" s="186"/>
      <c r="S22" s="184"/>
      <c r="T22" s="184"/>
      <c r="U22" s="184"/>
      <c r="V22" s="184"/>
      <c r="W22" s="184"/>
      <c r="X22" s="184"/>
      <c r="Y22" s="187"/>
      <c r="Z22" s="187"/>
      <c r="AA22" s="187"/>
      <c r="AB22" s="187"/>
      <c r="AC22" s="187"/>
      <c r="AD22" s="187"/>
      <c r="AE22" s="187"/>
    </row>
    <row r="23" spans="1:31" s="188" customFormat="1">
      <c r="A23" s="182" t="s">
        <v>23</v>
      </c>
      <c r="B23" s="181" t="s">
        <v>23</v>
      </c>
      <c r="C23" s="184" t="s">
        <v>348</v>
      </c>
      <c r="D23" s="177">
        <f>SUM('Fuel per Province (Sugar)'!D24:E24)</f>
        <v>49571.106666666667</v>
      </c>
      <c r="E23" s="177">
        <f>SUM('Fuel per Province (Sugar)'!F24:G24)</f>
        <v>49571.106666666667</v>
      </c>
      <c r="F23" s="177">
        <f>SUM('Fuel per Province (Sugar)'!H24:I24)</f>
        <v>9184</v>
      </c>
      <c r="G23" s="177">
        <f>SUM('Fuel per Province (Sugar)'!J24:K24)</f>
        <v>0</v>
      </c>
      <c r="H23" s="177">
        <f>SUM('Fuel per Province (Sugar)'!L24:M24)</f>
        <v>0</v>
      </c>
      <c r="I23" s="177">
        <f>SUM('Fuel per Province (Sugar)'!N24:O24)</f>
        <v>0</v>
      </c>
      <c r="J23" s="184">
        <f>'Total Fuel per Operation(Sugar)'!P7</f>
        <v>0</v>
      </c>
      <c r="K23" s="184">
        <f>'Total Fuel per Operation(Sugar)'!Q7</f>
        <v>0</v>
      </c>
      <c r="L23" s="184">
        <f>'Total Fuel per Operation(Sugar)'!R7</f>
        <v>0</v>
      </c>
      <c r="M23" s="177">
        <f>SUM('Fuel per Province (Sugar)'!S24:T24)</f>
        <v>0</v>
      </c>
      <c r="N23" s="177">
        <f>SUM('Fuel per Province (Sugar)'!U24:V24)</f>
        <v>9184</v>
      </c>
      <c r="O23" s="177">
        <f>SUM('Fuel per Province (Sugar)'!W24:X24)</f>
        <v>49571.106666666667</v>
      </c>
      <c r="P23" s="184">
        <f>SUM(D23:O23)</f>
        <v>167081.32</v>
      </c>
      <c r="Q23" s="185">
        <v>60580.66</v>
      </c>
      <c r="R23" s="186">
        <v>3</v>
      </c>
      <c r="S23" s="184">
        <v>40387.106666666667</v>
      </c>
      <c r="T23" s="184">
        <v>40387.106666666667</v>
      </c>
      <c r="U23" s="187"/>
      <c r="V23" s="187"/>
      <c r="W23" s="189"/>
      <c r="X23" s="187"/>
      <c r="Y23" s="187"/>
      <c r="Z23" s="187"/>
      <c r="AA23" s="187"/>
      <c r="AB23" s="187"/>
      <c r="AC23" s="187"/>
      <c r="AD23" s="184">
        <v>40387.106666666667</v>
      </c>
      <c r="AE23" s="187">
        <v>121161.32</v>
      </c>
    </row>
    <row r="24" spans="1:31" s="188" customFormat="1">
      <c r="A24" s="182" t="s">
        <v>24</v>
      </c>
      <c r="B24" s="181" t="s">
        <v>24</v>
      </c>
      <c r="C24" s="184" t="s">
        <v>348</v>
      </c>
      <c r="D24" s="177">
        <f>SUM('Fuel per Province (Sugar)'!D25:E25)</f>
        <v>215836.46666666667</v>
      </c>
      <c r="E24" s="177">
        <f>SUM('Fuel per Province (Sugar)'!F25:G25)</f>
        <v>215836.46666666667</v>
      </c>
      <c r="F24" s="177">
        <f>SUM('Fuel per Province (Sugar)'!H25:I25)</f>
        <v>21305.600000000002</v>
      </c>
      <c r="G24" s="177">
        <f>SUM('Fuel per Province (Sugar)'!J25:K25)</f>
        <v>0</v>
      </c>
      <c r="H24" s="177">
        <f>SUM('Fuel per Province (Sugar)'!L25:M25)</f>
        <v>0</v>
      </c>
      <c r="I24" s="177">
        <f>SUM('Fuel per Province (Sugar)'!N25:O25)</f>
        <v>0</v>
      </c>
      <c r="J24" s="184">
        <f>'Total Fuel per Operation(Sugar)'!P6</f>
        <v>0</v>
      </c>
      <c r="K24" s="184">
        <f>'Total Fuel per Operation(Sugar)'!Q6</f>
        <v>0</v>
      </c>
      <c r="L24" s="184">
        <f>'Total Fuel per Operation(Sugar)'!R6</f>
        <v>0</v>
      </c>
      <c r="M24" s="177">
        <f>SUM('Fuel per Province (Sugar)'!S25:T25)</f>
        <v>0</v>
      </c>
      <c r="N24" s="177">
        <f>SUM('Fuel per Province (Sugar)'!U25:V25)</f>
        <v>21305.600000000002</v>
      </c>
      <c r="O24" s="177">
        <f>SUM('Fuel per Province (Sugar)'!W25:X25)</f>
        <v>215836.46666666667</v>
      </c>
      <c r="P24" s="184">
        <f>SUM(D24:O24)</f>
        <v>690120.6</v>
      </c>
      <c r="Q24" s="185">
        <v>291796.3</v>
      </c>
      <c r="R24" s="186">
        <v>3</v>
      </c>
      <c r="S24" s="184">
        <v>194530.86666666667</v>
      </c>
      <c r="T24" s="184">
        <v>194530.86666666667</v>
      </c>
      <c r="U24" s="187"/>
      <c r="V24" s="187"/>
      <c r="W24" s="189"/>
      <c r="X24" s="187"/>
      <c r="Y24" s="187"/>
      <c r="Z24" s="187"/>
      <c r="AA24" s="187"/>
      <c r="AB24" s="187"/>
      <c r="AC24" s="187"/>
      <c r="AD24" s="184">
        <v>194530.86666666667</v>
      </c>
      <c r="AE24" s="187">
        <v>583592.6</v>
      </c>
    </row>
    <row r="25" spans="1:31">
      <c r="A25" s="190"/>
      <c r="B25" s="181" t="s">
        <v>25</v>
      </c>
      <c r="C25" s="184" t="s">
        <v>348</v>
      </c>
      <c r="D25" s="177">
        <f>SUM('Fuel per Province (Sugar)'!D26:E26)</f>
        <v>0</v>
      </c>
      <c r="E25" s="177">
        <f>SUM('Fuel per Province (Sugar)'!F26:G26)</f>
        <v>0</v>
      </c>
      <c r="F25" s="177">
        <f>SUM('Fuel per Province (Sugar)'!H26:I26)</f>
        <v>0</v>
      </c>
      <c r="G25" s="177">
        <f>SUM('Fuel per Province (Sugar)'!J26:K26)</f>
        <v>0</v>
      </c>
      <c r="H25" s="177">
        <f>SUM('Fuel per Province (Sugar)'!L26:M26)</f>
        <v>0</v>
      </c>
      <c r="I25" s="177">
        <f>SUM('Fuel per Province (Sugar)'!N26:O26)</f>
        <v>0</v>
      </c>
      <c r="J25" s="177">
        <v>0</v>
      </c>
      <c r="K25" s="177">
        <v>0</v>
      </c>
      <c r="L25" s="177">
        <v>0</v>
      </c>
      <c r="M25" s="177">
        <f>SUM('Fuel per Province (Sugar)'!S26:T26)</f>
        <v>0</v>
      </c>
      <c r="N25" s="177">
        <f>SUM('Fuel per Province (Sugar)'!U26:V26)</f>
        <v>0</v>
      </c>
      <c r="O25" s="177">
        <f>SUM('Fuel per Province (Sugar)'!W26:X26)</f>
        <v>0</v>
      </c>
      <c r="P25" s="191"/>
      <c r="Q25" s="191"/>
      <c r="R25" s="192"/>
      <c r="S25" s="193"/>
      <c r="T25" s="193"/>
      <c r="U25" s="194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</row>
    <row r="26" spans="1:31" s="188" customFormat="1">
      <c r="A26" s="182" t="s">
        <v>392</v>
      </c>
      <c r="B26" s="181" t="s">
        <v>64</v>
      </c>
      <c r="C26" s="184" t="s">
        <v>350</v>
      </c>
      <c r="D26" s="177">
        <f>SUM('Fuel per Province (Sugar)'!D27:E27)</f>
        <v>483172.06761904759</v>
      </c>
      <c r="E26" s="177">
        <f>SUM('Fuel per Province (Sugar)'!F27:G27)</f>
        <v>483172.06761904759</v>
      </c>
      <c r="F26" s="177">
        <f>SUM('Fuel per Province (Sugar)'!H27:I27)</f>
        <v>483172.06761904759</v>
      </c>
      <c r="G26" s="177">
        <f>SUM('Fuel per Province (Sugar)'!J27:K27)</f>
        <v>483172.06761904759</v>
      </c>
      <c r="H26" s="177">
        <f>SUM('Fuel per Province (Sugar)'!L27:M27)</f>
        <v>56246.03428571429</v>
      </c>
      <c r="I26" s="177">
        <f>SUM('Fuel per Province (Sugar)'!N27:O27)</f>
        <v>0</v>
      </c>
      <c r="J26" s="184">
        <f>'Total Fuel per Operation(Sugar)'!P8+'Total Fuel per Operation(Sugar)'!P9</f>
        <v>0</v>
      </c>
      <c r="K26" s="184">
        <f>'Total Fuel per Operation(Sugar)'!Q8+'Total Fuel per Operation(Sugar)'!Q9</f>
        <v>0</v>
      </c>
      <c r="L26" s="184">
        <f>'Total Fuel per Operation(Sugar)'!R8+'Total Fuel per Operation(Sugar)'!R9</f>
        <v>0</v>
      </c>
      <c r="M26" s="177">
        <f>SUM('Fuel per Province (Sugar)'!S27:T27)</f>
        <v>0</v>
      </c>
      <c r="N26" s="177">
        <f>SUM('Fuel per Province (Sugar)'!U27:V27)</f>
        <v>254696.75761904765</v>
      </c>
      <c r="O26" s="177">
        <f>SUM('Fuel per Province (Sugar)'!W27:X27)</f>
        <v>254696.75761904765</v>
      </c>
      <c r="P26" s="184">
        <f>SUM(D26:O26)</f>
        <v>2498327.8199999998</v>
      </c>
      <c r="Q26" s="185">
        <v>456950.62</v>
      </c>
      <c r="R26" s="186">
        <v>4</v>
      </c>
      <c r="S26" s="184">
        <v>228475.31</v>
      </c>
      <c r="T26" s="184">
        <v>228475.31</v>
      </c>
      <c r="U26" s="184">
        <v>228475.31</v>
      </c>
      <c r="V26" s="184">
        <v>228475.31</v>
      </c>
      <c r="W26" s="189"/>
      <c r="X26" s="187"/>
      <c r="Y26" s="187"/>
      <c r="Z26" s="187"/>
      <c r="AA26" s="187"/>
      <c r="AB26" s="187"/>
      <c r="AC26" s="187"/>
      <c r="AD26" s="187"/>
      <c r="AE26" s="187">
        <v>913901.24</v>
      </c>
    </row>
    <row r="27" spans="1:31" s="188" customFormat="1">
      <c r="A27" s="182"/>
      <c r="B27" s="181" t="s">
        <v>72</v>
      </c>
      <c r="C27" s="184" t="s">
        <v>350</v>
      </c>
      <c r="D27" s="177">
        <f>SUM('Fuel per Province (Sugar)'!D28:E28)</f>
        <v>0</v>
      </c>
      <c r="E27" s="177">
        <f>SUM('Fuel per Province (Sugar)'!F28:G28)</f>
        <v>0</v>
      </c>
      <c r="F27" s="177">
        <f>SUM('Fuel per Province (Sugar)'!H28:I28)</f>
        <v>0</v>
      </c>
      <c r="G27" s="177">
        <f>SUM('Fuel per Province (Sugar)'!J28:K28)</f>
        <v>0</v>
      </c>
      <c r="H27" s="177">
        <f>SUM('Fuel per Province (Sugar)'!L28:M28)</f>
        <v>0</v>
      </c>
      <c r="I27" s="177">
        <f>SUM('Fuel per Province (Sugar)'!N28:O28)</f>
        <v>0</v>
      </c>
      <c r="J27" s="177">
        <v>0</v>
      </c>
      <c r="K27" s="177">
        <v>0</v>
      </c>
      <c r="L27" s="177">
        <v>0</v>
      </c>
      <c r="M27" s="177">
        <f>SUM('Fuel per Province (Sugar)'!S28:T28)</f>
        <v>0</v>
      </c>
      <c r="N27" s="177">
        <f>SUM('Fuel per Province (Sugar)'!U28:V28)</f>
        <v>0</v>
      </c>
      <c r="O27" s="177">
        <f>SUM('Fuel per Province (Sugar)'!W28:X28)</f>
        <v>0</v>
      </c>
      <c r="P27" s="184"/>
      <c r="Q27" s="185"/>
      <c r="R27" s="186"/>
      <c r="S27" s="184"/>
      <c r="T27" s="184"/>
      <c r="U27" s="184"/>
      <c r="V27" s="184"/>
      <c r="W27" s="189"/>
      <c r="X27" s="187"/>
      <c r="Y27" s="187"/>
      <c r="Z27" s="187"/>
      <c r="AA27" s="187"/>
      <c r="AB27" s="187"/>
      <c r="AC27" s="187"/>
      <c r="AD27" s="187"/>
      <c r="AE27" s="187"/>
    </row>
    <row r="28" spans="1:31" s="188" customFormat="1">
      <c r="A28" s="182"/>
      <c r="B28" s="181" t="s">
        <v>26</v>
      </c>
      <c r="C28" s="184" t="s">
        <v>350</v>
      </c>
      <c r="D28" s="177">
        <f>SUM('Fuel per Province (Sugar)'!D29:E29)</f>
        <v>0</v>
      </c>
      <c r="E28" s="177">
        <f>SUM('Fuel per Province (Sugar)'!F29:G29)</f>
        <v>0</v>
      </c>
      <c r="F28" s="177">
        <f>SUM('Fuel per Province (Sugar)'!H29:I29)</f>
        <v>0</v>
      </c>
      <c r="G28" s="177">
        <f>SUM('Fuel per Province (Sugar)'!J29:K29)</f>
        <v>0</v>
      </c>
      <c r="H28" s="177">
        <f>SUM('Fuel per Province (Sugar)'!L29:M29)</f>
        <v>0</v>
      </c>
      <c r="I28" s="177">
        <f>SUM('Fuel per Province (Sugar)'!N29:O29)</f>
        <v>0</v>
      </c>
      <c r="J28" s="177">
        <v>0</v>
      </c>
      <c r="K28" s="177">
        <v>0</v>
      </c>
      <c r="L28" s="177">
        <v>0</v>
      </c>
      <c r="M28" s="177">
        <f>SUM('Fuel per Province (Sugar)'!S29:T29)</f>
        <v>0</v>
      </c>
      <c r="N28" s="177">
        <f>SUM('Fuel per Province (Sugar)'!U29:V29)</f>
        <v>0</v>
      </c>
      <c r="O28" s="177">
        <f>SUM('Fuel per Province (Sugar)'!W29:X29)</f>
        <v>0</v>
      </c>
      <c r="P28" s="184"/>
      <c r="Q28" s="185"/>
      <c r="R28" s="186"/>
      <c r="S28" s="184"/>
      <c r="T28" s="184"/>
      <c r="U28" s="184"/>
      <c r="V28" s="184"/>
      <c r="W28" s="189"/>
      <c r="X28" s="187"/>
      <c r="Y28" s="187"/>
      <c r="Z28" s="187"/>
      <c r="AA28" s="187"/>
      <c r="AB28" s="187"/>
      <c r="AC28" s="187"/>
      <c r="AD28" s="187"/>
      <c r="AE28" s="187"/>
    </row>
    <row r="29" spans="1:31" s="188" customFormat="1">
      <c r="A29" s="182"/>
      <c r="B29" s="181" t="s">
        <v>57</v>
      </c>
      <c r="C29" s="184" t="s">
        <v>350</v>
      </c>
      <c r="D29" s="177">
        <f>SUM('Fuel per Province (Sugar)'!D30:E30)</f>
        <v>0</v>
      </c>
      <c r="E29" s="177">
        <f>SUM('Fuel per Province (Sugar)'!F30:G30)</f>
        <v>0</v>
      </c>
      <c r="F29" s="177">
        <f>SUM('Fuel per Province (Sugar)'!H30:I30)</f>
        <v>0</v>
      </c>
      <c r="G29" s="177">
        <f>SUM('Fuel per Province (Sugar)'!J30:K30)</f>
        <v>0</v>
      </c>
      <c r="H29" s="177">
        <f>SUM('Fuel per Province (Sugar)'!L30:M30)</f>
        <v>0</v>
      </c>
      <c r="I29" s="177">
        <f>SUM('Fuel per Province (Sugar)'!N30:O30)</f>
        <v>0</v>
      </c>
      <c r="J29" s="177">
        <v>0</v>
      </c>
      <c r="K29" s="177">
        <v>0</v>
      </c>
      <c r="L29" s="177">
        <v>0</v>
      </c>
      <c r="M29" s="177">
        <f>SUM('Fuel per Province (Sugar)'!S30:T30)</f>
        <v>0</v>
      </c>
      <c r="N29" s="177">
        <f>SUM('Fuel per Province (Sugar)'!U30:V30)</f>
        <v>0</v>
      </c>
      <c r="O29" s="177">
        <f>SUM('Fuel per Province (Sugar)'!W30:X30)</f>
        <v>0</v>
      </c>
      <c r="P29" s="184"/>
      <c r="Q29" s="185"/>
      <c r="R29" s="186"/>
      <c r="S29" s="184"/>
      <c r="T29" s="184"/>
      <c r="U29" s="184"/>
      <c r="V29" s="184"/>
      <c r="W29" s="189"/>
      <c r="X29" s="187"/>
      <c r="Y29" s="187"/>
      <c r="Z29" s="187"/>
      <c r="AA29" s="187"/>
      <c r="AB29" s="187"/>
      <c r="AC29" s="187"/>
      <c r="AD29" s="187"/>
      <c r="AE29" s="187"/>
    </row>
    <row r="30" spans="1:31" s="188" customFormat="1">
      <c r="A30" s="182"/>
      <c r="B30" s="181" t="s">
        <v>74</v>
      </c>
      <c r="C30" s="184" t="s">
        <v>350</v>
      </c>
      <c r="D30" s="177">
        <f>SUM('Fuel per Province (Sugar)'!D31:E31)</f>
        <v>0</v>
      </c>
      <c r="E30" s="177">
        <f>SUM('Fuel per Province (Sugar)'!F31:G31)</f>
        <v>0</v>
      </c>
      <c r="F30" s="177">
        <f>SUM('Fuel per Province (Sugar)'!H31:I31)</f>
        <v>0</v>
      </c>
      <c r="G30" s="177">
        <f>SUM('Fuel per Province (Sugar)'!J31:K31)</f>
        <v>0</v>
      </c>
      <c r="H30" s="177">
        <f>SUM('Fuel per Province (Sugar)'!L31:M31)</f>
        <v>0</v>
      </c>
      <c r="I30" s="177">
        <f>SUM('Fuel per Province (Sugar)'!N31:O31)</f>
        <v>0</v>
      </c>
      <c r="J30" s="177">
        <v>0</v>
      </c>
      <c r="K30" s="177">
        <v>0</v>
      </c>
      <c r="L30" s="177">
        <v>0</v>
      </c>
      <c r="M30" s="177">
        <f>SUM('Fuel per Province (Sugar)'!S31:T31)</f>
        <v>0</v>
      </c>
      <c r="N30" s="177">
        <f>SUM('Fuel per Province (Sugar)'!U31:V31)</f>
        <v>0</v>
      </c>
      <c r="O30" s="177">
        <f>SUM('Fuel per Province (Sugar)'!W31:X31)</f>
        <v>0</v>
      </c>
      <c r="P30" s="184"/>
      <c r="Q30" s="185"/>
      <c r="R30" s="186"/>
      <c r="S30" s="184"/>
      <c r="T30" s="184"/>
      <c r="U30" s="184"/>
      <c r="V30" s="184"/>
      <c r="W30" s="189"/>
      <c r="X30" s="187"/>
      <c r="Y30" s="187"/>
      <c r="Z30" s="187"/>
      <c r="AA30" s="187"/>
      <c r="AB30" s="187"/>
      <c r="AC30" s="187"/>
      <c r="AD30" s="187"/>
      <c r="AE30" s="187"/>
    </row>
    <row r="31" spans="1:31" s="188" customFormat="1">
      <c r="A31" s="182"/>
      <c r="B31" s="181" t="s">
        <v>27</v>
      </c>
      <c r="C31" s="184" t="s">
        <v>299</v>
      </c>
      <c r="D31" s="177">
        <f>SUM('Fuel per Province (Sugar)'!D32:E32)</f>
        <v>0</v>
      </c>
      <c r="E31" s="177">
        <f>SUM('Fuel per Province (Sugar)'!F32:G32)</f>
        <v>0</v>
      </c>
      <c r="F31" s="177">
        <f>SUM('Fuel per Province (Sugar)'!H32:I32)</f>
        <v>0</v>
      </c>
      <c r="G31" s="177">
        <f>SUM('Fuel per Province (Sugar)'!J32:K32)</f>
        <v>0</v>
      </c>
      <c r="H31" s="177">
        <f>SUM('Fuel per Province (Sugar)'!L32:M32)</f>
        <v>0</v>
      </c>
      <c r="I31" s="177">
        <f>SUM('Fuel per Province (Sugar)'!N32:O32)</f>
        <v>0</v>
      </c>
      <c r="J31" s="177">
        <v>0</v>
      </c>
      <c r="K31" s="177">
        <v>0</v>
      </c>
      <c r="L31" s="177">
        <v>0</v>
      </c>
      <c r="M31" s="177">
        <f>SUM('Fuel per Province (Sugar)'!S32:T32)</f>
        <v>0</v>
      </c>
      <c r="N31" s="177">
        <f>SUM('Fuel per Province (Sugar)'!U32:V32)</f>
        <v>0</v>
      </c>
      <c r="O31" s="177">
        <f>SUM('Fuel per Province (Sugar)'!W32:X32)</f>
        <v>0</v>
      </c>
      <c r="P31" s="184"/>
      <c r="Q31" s="185"/>
      <c r="R31" s="186"/>
      <c r="S31" s="184"/>
      <c r="T31" s="184"/>
      <c r="U31" s="184"/>
      <c r="V31" s="184"/>
      <c r="W31" s="189"/>
      <c r="X31" s="187"/>
      <c r="Y31" s="187"/>
      <c r="Z31" s="187"/>
      <c r="AA31" s="187"/>
      <c r="AB31" s="187"/>
      <c r="AC31" s="187"/>
      <c r="AD31" s="187"/>
      <c r="AE31" s="187"/>
    </row>
    <row r="32" spans="1:31" s="188" customFormat="1">
      <c r="A32" s="182"/>
      <c r="B32" s="181" t="s">
        <v>28</v>
      </c>
      <c r="C32" s="184" t="s">
        <v>299</v>
      </c>
      <c r="D32" s="177">
        <f>SUM('Fuel per Province (Sugar)'!D33:E33)</f>
        <v>0</v>
      </c>
      <c r="E32" s="177">
        <f>SUM('Fuel per Province (Sugar)'!F33:G33)</f>
        <v>0</v>
      </c>
      <c r="F32" s="177">
        <f>SUM('Fuel per Province (Sugar)'!H33:I33)</f>
        <v>0</v>
      </c>
      <c r="G32" s="177">
        <f>SUM('Fuel per Province (Sugar)'!J33:K33)</f>
        <v>0</v>
      </c>
      <c r="H32" s="177">
        <f>SUM('Fuel per Province (Sugar)'!L33:M33)</f>
        <v>0</v>
      </c>
      <c r="I32" s="177">
        <f>SUM('Fuel per Province (Sugar)'!N33:O33)</f>
        <v>0</v>
      </c>
      <c r="J32" s="177">
        <v>0</v>
      </c>
      <c r="K32" s="177">
        <v>0</v>
      </c>
      <c r="L32" s="177">
        <v>0</v>
      </c>
      <c r="M32" s="177">
        <f>SUM('Fuel per Province (Sugar)'!S33:T33)</f>
        <v>0</v>
      </c>
      <c r="N32" s="177">
        <f>SUM('Fuel per Province (Sugar)'!U33:V33)</f>
        <v>0</v>
      </c>
      <c r="O32" s="177">
        <f>SUM('Fuel per Province (Sugar)'!W33:X33)</f>
        <v>0</v>
      </c>
      <c r="P32" s="184"/>
      <c r="Q32" s="185"/>
      <c r="R32" s="186"/>
      <c r="S32" s="184"/>
      <c r="T32" s="184"/>
      <c r="U32" s="184"/>
      <c r="V32" s="184"/>
      <c r="W32" s="189"/>
      <c r="X32" s="187"/>
      <c r="Y32" s="187"/>
      <c r="Z32" s="187"/>
      <c r="AA32" s="187"/>
      <c r="AB32" s="187"/>
      <c r="AC32" s="187"/>
      <c r="AD32" s="187"/>
      <c r="AE32" s="187"/>
    </row>
    <row r="33" spans="1:31" s="188" customFormat="1">
      <c r="A33" s="182"/>
      <c r="B33" s="181" t="s">
        <v>29</v>
      </c>
      <c r="C33" s="184" t="s">
        <v>299</v>
      </c>
      <c r="D33" s="177">
        <f>SUM('Fuel per Province (Sugar)'!D34:E34)</f>
        <v>0</v>
      </c>
      <c r="E33" s="177">
        <f>SUM('Fuel per Province (Sugar)'!F34:G34)</f>
        <v>0</v>
      </c>
      <c r="F33" s="177">
        <f>SUM('Fuel per Province (Sugar)'!H34:I34)</f>
        <v>0</v>
      </c>
      <c r="G33" s="177">
        <f>SUM('Fuel per Province (Sugar)'!J34:K34)</f>
        <v>0</v>
      </c>
      <c r="H33" s="177">
        <f>SUM('Fuel per Province (Sugar)'!L34:M34)</f>
        <v>0</v>
      </c>
      <c r="I33" s="177">
        <f>SUM('Fuel per Province (Sugar)'!N34:O34)</f>
        <v>0</v>
      </c>
      <c r="J33" s="177">
        <v>0</v>
      </c>
      <c r="K33" s="177">
        <v>0</v>
      </c>
      <c r="L33" s="177">
        <v>0</v>
      </c>
      <c r="M33" s="177">
        <f>SUM('Fuel per Province (Sugar)'!S34:T34)</f>
        <v>0</v>
      </c>
      <c r="N33" s="177">
        <f>SUM('Fuel per Province (Sugar)'!U34:V34)</f>
        <v>0</v>
      </c>
      <c r="O33" s="177">
        <f>SUM('Fuel per Province (Sugar)'!W34:X34)</f>
        <v>0</v>
      </c>
      <c r="P33" s="184"/>
      <c r="Q33" s="185"/>
      <c r="R33" s="186"/>
      <c r="S33" s="184"/>
      <c r="T33" s="184"/>
      <c r="U33" s="184"/>
      <c r="V33" s="184"/>
      <c r="W33" s="189"/>
      <c r="X33" s="187"/>
      <c r="Y33" s="187"/>
      <c r="Z33" s="187"/>
      <c r="AA33" s="187"/>
      <c r="AB33" s="187"/>
      <c r="AC33" s="187"/>
      <c r="AD33" s="187"/>
      <c r="AE33" s="187"/>
    </row>
    <row r="34" spans="1:31" s="188" customFormat="1">
      <c r="A34" s="182"/>
      <c r="B34" s="181" t="s">
        <v>30</v>
      </c>
      <c r="C34" s="184" t="s">
        <v>299</v>
      </c>
      <c r="D34" s="177">
        <f>SUM('Fuel per Province (Sugar)'!D35:E35)</f>
        <v>0</v>
      </c>
      <c r="E34" s="177">
        <f>SUM('Fuel per Province (Sugar)'!F35:G35)</f>
        <v>0</v>
      </c>
      <c r="F34" s="177">
        <f>SUM('Fuel per Province (Sugar)'!H35:I35)</f>
        <v>0</v>
      </c>
      <c r="G34" s="177">
        <f>SUM('Fuel per Province (Sugar)'!J35:K35)</f>
        <v>0</v>
      </c>
      <c r="H34" s="177">
        <f>SUM('Fuel per Province (Sugar)'!L35:M35)</f>
        <v>0</v>
      </c>
      <c r="I34" s="177">
        <f>SUM('Fuel per Province (Sugar)'!N35:O35)</f>
        <v>0</v>
      </c>
      <c r="J34" s="177">
        <v>0</v>
      </c>
      <c r="K34" s="177">
        <v>0</v>
      </c>
      <c r="L34" s="177">
        <v>0</v>
      </c>
      <c r="M34" s="177">
        <f>SUM('Fuel per Province (Sugar)'!S35:T35)</f>
        <v>0</v>
      </c>
      <c r="N34" s="177">
        <f>SUM('Fuel per Province (Sugar)'!U35:V35)</f>
        <v>0</v>
      </c>
      <c r="O34" s="177">
        <f>SUM('Fuel per Province (Sugar)'!W35:X35)</f>
        <v>0</v>
      </c>
      <c r="P34" s="184"/>
      <c r="Q34" s="185"/>
      <c r="R34" s="186"/>
      <c r="S34" s="184"/>
      <c r="T34" s="184"/>
      <c r="U34" s="184"/>
      <c r="V34" s="184"/>
      <c r="W34" s="189"/>
      <c r="X34" s="187"/>
      <c r="Y34" s="187"/>
      <c r="Z34" s="187"/>
      <c r="AA34" s="187"/>
      <c r="AB34" s="187"/>
      <c r="AC34" s="187"/>
      <c r="AD34" s="187"/>
      <c r="AE34" s="187"/>
    </row>
    <row r="35" spans="1:31" s="188" customFormat="1">
      <c r="A35" s="182"/>
      <c r="B35" s="181" t="s">
        <v>31</v>
      </c>
      <c r="C35" s="184" t="s">
        <v>299</v>
      </c>
      <c r="D35" s="177">
        <f>SUM('Fuel per Province (Sugar)'!D36:E36)</f>
        <v>0</v>
      </c>
      <c r="E35" s="177">
        <f>SUM('Fuel per Province (Sugar)'!F36:G36)</f>
        <v>0</v>
      </c>
      <c r="F35" s="177">
        <f>SUM('Fuel per Province (Sugar)'!H36:I36)</f>
        <v>0</v>
      </c>
      <c r="G35" s="177">
        <f>SUM('Fuel per Province (Sugar)'!J36:K36)</f>
        <v>0</v>
      </c>
      <c r="H35" s="177">
        <f>SUM('Fuel per Province (Sugar)'!L36:M36)</f>
        <v>0</v>
      </c>
      <c r="I35" s="177">
        <f>SUM('Fuel per Province (Sugar)'!N36:O36)</f>
        <v>0</v>
      </c>
      <c r="J35" s="177">
        <v>0</v>
      </c>
      <c r="K35" s="177">
        <v>0</v>
      </c>
      <c r="L35" s="177">
        <v>0</v>
      </c>
      <c r="M35" s="177">
        <f>SUM('Fuel per Province (Sugar)'!S36:T36)</f>
        <v>0</v>
      </c>
      <c r="N35" s="177">
        <f>SUM('Fuel per Province (Sugar)'!U36:V36)</f>
        <v>0</v>
      </c>
      <c r="O35" s="177">
        <f>SUM('Fuel per Province (Sugar)'!W36:X36)</f>
        <v>0</v>
      </c>
      <c r="P35" s="184"/>
      <c r="Q35" s="185"/>
      <c r="R35" s="186"/>
      <c r="S35" s="184"/>
      <c r="T35" s="184"/>
      <c r="U35" s="184"/>
      <c r="V35" s="184"/>
      <c r="W35" s="189"/>
      <c r="X35" s="187"/>
      <c r="Y35" s="187"/>
      <c r="Z35" s="187"/>
      <c r="AA35" s="187"/>
      <c r="AB35" s="187"/>
      <c r="AC35" s="187"/>
      <c r="AD35" s="187"/>
      <c r="AE35" s="187"/>
    </row>
    <row r="36" spans="1:31" s="188" customFormat="1">
      <c r="A36" s="182"/>
      <c r="B36" s="181" t="s">
        <v>32</v>
      </c>
      <c r="C36" s="184" t="s">
        <v>353</v>
      </c>
      <c r="D36" s="177">
        <f>SUM('Fuel per Province (Sugar)'!D37:E37)</f>
        <v>0</v>
      </c>
      <c r="E36" s="177">
        <f>SUM('Fuel per Province (Sugar)'!F37:G37)</f>
        <v>0</v>
      </c>
      <c r="F36" s="177">
        <f>SUM('Fuel per Province (Sugar)'!H37:I37)</f>
        <v>0</v>
      </c>
      <c r="G36" s="177">
        <f>SUM('Fuel per Province (Sugar)'!J37:K37)</f>
        <v>0</v>
      </c>
      <c r="H36" s="177">
        <f>SUM('Fuel per Province (Sugar)'!L37:M37)</f>
        <v>0</v>
      </c>
      <c r="I36" s="177">
        <f>SUM('Fuel per Province (Sugar)'!N37:O37)</f>
        <v>0</v>
      </c>
      <c r="J36" s="177">
        <v>0</v>
      </c>
      <c r="K36" s="177">
        <v>0</v>
      </c>
      <c r="L36" s="177">
        <v>0</v>
      </c>
      <c r="M36" s="177">
        <f>SUM('Fuel per Province (Sugar)'!S37:T37)</f>
        <v>0</v>
      </c>
      <c r="N36" s="177">
        <f>SUM('Fuel per Province (Sugar)'!U37:V37)</f>
        <v>0</v>
      </c>
      <c r="O36" s="177">
        <f>SUM('Fuel per Province (Sugar)'!W37:X37)</f>
        <v>0</v>
      </c>
      <c r="P36" s="184"/>
      <c r="Q36" s="185"/>
      <c r="R36" s="186"/>
      <c r="S36" s="184"/>
      <c r="T36" s="184"/>
      <c r="U36" s="184"/>
      <c r="V36" s="184"/>
      <c r="W36" s="189"/>
      <c r="X36" s="187"/>
      <c r="Y36" s="187"/>
      <c r="Z36" s="187"/>
      <c r="AA36" s="187"/>
      <c r="AB36" s="187"/>
      <c r="AC36" s="187"/>
      <c r="AD36" s="187"/>
      <c r="AE36" s="187"/>
    </row>
    <row r="37" spans="1:31" s="188" customFormat="1">
      <c r="A37" s="182"/>
      <c r="B37" s="181" t="s">
        <v>33</v>
      </c>
      <c r="C37" s="184" t="s">
        <v>353</v>
      </c>
      <c r="D37" s="177">
        <f>SUM('Fuel per Province (Sugar)'!D38:E38)</f>
        <v>0</v>
      </c>
      <c r="E37" s="177">
        <f>SUM('Fuel per Province (Sugar)'!F38:G38)</f>
        <v>0</v>
      </c>
      <c r="F37" s="177">
        <f>SUM('Fuel per Province (Sugar)'!H38:I38)</f>
        <v>0</v>
      </c>
      <c r="G37" s="177">
        <f>SUM('Fuel per Province (Sugar)'!J38:K38)</f>
        <v>0</v>
      </c>
      <c r="H37" s="177">
        <f>SUM('Fuel per Province (Sugar)'!L38:M38)</f>
        <v>0</v>
      </c>
      <c r="I37" s="177">
        <f>SUM('Fuel per Province (Sugar)'!N38:O38)</f>
        <v>0</v>
      </c>
      <c r="J37" s="177">
        <v>0</v>
      </c>
      <c r="K37" s="177">
        <v>0</v>
      </c>
      <c r="L37" s="177">
        <v>0</v>
      </c>
      <c r="M37" s="177">
        <f>SUM('Fuel per Province (Sugar)'!S38:T38)</f>
        <v>0</v>
      </c>
      <c r="N37" s="177">
        <f>SUM('Fuel per Province (Sugar)'!U38:V38)</f>
        <v>0</v>
      </c>
      <c r="O37" s="177">
        <f>SUM('Fuel per Province (Sugar)'!W38:X38)</f>
        <v>0</v>
      </c>
      <c r="P37" s="184"/>
      <c r="Q37" s="185"/>
      <c r="R37" s="186"/>
      <c r="S37" s="184"/>
      <c r="T37" s="184"/>
      <c r="U37" s="184"/>
      <c r="V37" s="184"/>
      <c r="W37" s="189"/>
      <c r="X37" s="187"/>
      <c r="Y37" s="187"/>
      <c r="Z37" s="187"/>
      <c r="AA37" s="187"/>
      <c r="AB37" s="187"/>
      <c r="AC37" s="187"/>
      <c r="AD37" s="187"/>
      <c r="AE37" s="187"/>
    </row>
    <row r="38" spans="1:31" s="188" customFormat="1">
      <c r="A38" s="182" t="s">
        <v>352</v>
      </c>
      <c r="B38" s="181" t="s">
        <v>34</v>
      </c>
      <c r="C38" s="184" t="s">
        <v>353</v>
      </c>
      <c r="D38" s="177">
        <f>SUM('Fuel per Province (Sugar)'!D39:E39)</f>
        <v>58001.429333333341</v>
      </c>
      <c r="E38" s="177">
        <f>SUM('Fuel per Province (Sugar)'!F39:G39)</f>
        <v>58001.429333333341</v>
      </c>
      <c r="F38" s="177">
        <f>SUM('Fuel per Province (Sugar)'!H39:I39)</f>
        <v>58001.429333333341</v>
      </c>
      <c r="G38" s="177">
        <f>SUM('Fuel per Province (Sugar)'!J39:K39)</f>
        <v>41868.096000000005</v>
      </c>
      <c r="H38" s="177">
        <f>SUM('Fuel per Province (Sugar)'!L39:M39)</f>
        <v>41868.096000000005</v>
      </c>
      <c r="I38" s="177">
        <f>SUM('Fuel per Province (Sugar)'!N39:O39)</f>
        <v>0</v>
      </c>
      <c r="J38" s="184">
        <f>'Total Fuel per Operation(Sugar)'!P10</f>
        <v>0</v>
      </c>
      <c r="K38" s="184">
        <f>'Total Fuel per Operation(Sugar)'!Q10</f>
        <v>0</v>
      </c>
      <c r="L38" s="184">
        <f>'Total Fuel per Operation(Sugar)'!R10</f>
        <v>0</v>
      </c>
      <c r="M38" s="177">
        <f>SUM('Fuel per Province (Sugar)'!S39:T39)</f>
        <v>0</v>
      </c>
      <c r="N38" s="177">
        <f>SUM('Fuel per Province (Sugar)'!U39:V39)</f>
        <v>0</v>
      </c>
      <c r="O38" s="177">
        <f>SUM('Fuel per Province (Sugar)'!W39:X39)</f>
        <v>0</v>
      </c>
      <c r="P38" s="184">
        <f>SUM(D38:O38)</f>
        <v>257740.48000000004</v>
      </c>
      <c r="Q38" s="185">
        <v>104670.24</v>
      </c>
      <c r="R38" s="186">
        <v>5</v>
      </c>
      <c r="S38" s="184">
        <v>41868.096000000005</v>
      </c>
      <c r="T38" s="184">
        <v>41868.096000000005</v>
      </c>
      <c r="U38" s="184">
        <v>41868.096000000005</v>
      </c>
      <c r="V38" s="184">
        <v>41868.096000000005</v>
      </c>
      <c r="W38" s="184">
        <v>41868.096000000005</v>
      </c>
      <c r="X38" s="187"/>
      <c r="Y38" s="187"/>
      <c r="Z38" s="187"/>
      <c r="AA38" s="187"/>
      <c r="AB38" s="187"/>
      <c r="AC38" s="187"/>
      <c r="AD38" s="187"/>
      <c r="AE38" s="187">
        <v>209340.48000000004</v>
      </c>
    </row>
    <row r="39" spans="1:31" s="188" customFormat="1">
      <c r="A39" s="182"/>
      <c r="B39" s="181" t="s">
        <v>35</v>
      </c>
      <c r="C39" s="184" t="s">
        <v>353</v>
      </c>
      <c r="D39" s="177">
        <f>SUM('Fuel per Province (Sugar)'!D40:E40)</f>
        <v>0</v>
      </c>
      <c r="E39" s="177">
        <f>SUM('Fuel per Province (Sugar)'!F40:G40)</f>
        <v>0</v>
      </c>
      <c r="F39" s="177">
        <f>SUM('Fuel per Province (Sugar)'!H40:I40)</f>
        <v>0</v>
      </c>
      <c r="G39" s="177">
        <f>SUM('Fuel per Province (Sugar)'!J40:K40)</f>
        <v>0</v>
      </c>
      <c r="H39" s="177">
        <f>SUM('Fuel per Province (Sugar)'!L40:M40)</f>
        <v>0</v>
      </c>
      <c r="I39" s="177">
        <f>SUM('Fuel per Province (Sugar)'!N40:O40)</f>
        <v>0</v>
      </c>
      <c r="J39" s="177">
        <v>0</v>
      </c>
      <c r="K39" s="177">
        <v>0</v>
      </c>
      <c r="L39" s="177">
        <v>0</v>
      </c>
      <c r="M39" s="177">
        <f>SUM('Fuel per Province (Sugar)'!S40:T40)</f>
        <v>0</v>
      </c>
      <c r="N39" s="177">
        <f>SUM('Fuel per Province (Sugar)'!U40:V40)</f>
        <v>0</v>
      </c>
      <c r="O39" s="177">
        <f>SUM('Fuel per Province (Sugar)'!W40:X40)</f>
        <v>0</v>
      </c>
      <c r="P39" s="184"/>
      <c r="Q39" s="185"/>
      <c r="R39" s="186"/>
      <c r="S39" s="184"/>
      <c r="T39" s="184"/>
      <c r="U39" s="184"/>
      <c r="V39" s="184"/>
      <c r="W39" s="184"/>
      <c r="X39" s="187"/>
      <c r="Y39" s="187"/>
      <c r="Z39" s="187"/>
      <c r="AA39" s="187"/>
      <c r="AB39" s="187"/>
      <c r="AC39" s="187"/>
      <c r="AD39" s="187"/>
      <c r="AE39" s="187"/>
    </row>
    <row r="40" spans="1:31" s="188" customFormat="1">
      <c r="A40" s="182"/>
      <c r="B40" s="181" t="s">
        <v>36</v>
      </c>
      <c r="C40" s="184" t="s">
        <v>353</v>
      </c>
      <c r="D40" s="177">
        <f>SUM('Fuel per Province (Sugar)'!D41:E41)</f>
        <v>0</v>
      </c>
      <c r="E40" s="177">
        <f>SUM('Fuel per Province (Sugar)'!F41:G41)</f>
        <v>0</v>
      </c>
      <c r="F40" s="177">
        <f>SUM('Fuel per Province (Sugar)'!H41:I41)</f>
        <v>0</v>
      </c>
      <c r="G40" s="177">
        <f>SUM('Fuel per Province (Sugar)'!J41:K41)</f>
        <v>0</v>
      </c>
      <c r="H40" s="177">
        <f>SUM('Fuel per Province (Sugar)'!L41:M41)</f>
        <v>0</v>
      </c>
      <c r="I40" s="177">
        <f>SUM('Fuel per Province (Sugar)'!N41:O41)</f>
        <v>0</v>
      </c>
      <c r="J40" s="177">
        <v>0</v>
      </c>
      <c r="K40" s="177">
        <v>0</v>
      </c>
      <c r="L40" s="177">
        <v>0</v>
      </c>
      <c r="M40" s="177">
        <f>SUM('Fuel per Province (Sugar)'!S41:T41)</f>
        <v>0</v>
      </c>
      <c r="N40" s="177">
        <f>SUM('Fuel per Province (Sugar)'!U41:V41)</f>
        <v>0</v>
      </c>
      <c r="O40" s="177">
        <f>SUM('Fuel per Province (Sugar)'!W41:X41)</f>
        <v>0</v>
      </c>
      <c r="P40" s="184"/>
      <c r="Q40" s="185"/>
      <c r="R40" s="186"/>
      <c r="S40" s="184"/>
      <c r="T40" s="184"/>
      <c r="U40" s="184"/>
      <c r="V40" s="184"/>
      <c r="W40" s="184"/>
      <c r="X40" s="187"/>
      <c r="Y40" s="187"/>
      <c r="Z40" s="187"/>
      <c r="AA40" s="187"/>
      <c r="AB40" s="187"/>
      <c r="AC40" s="187"/>
      <c r="AD40" s="187"/>
      <c r="AE40" s="187"/>
    </row>
    <row r="41" spans="1:31" s="188" customFormat="1">
      <c r="A41" s="182"/>
      <c r="B41" s="181" t="s">
        <v>37</v>
      </c>
      <c r="C41" s="184" t="s">
        <v>353</v>
      </c>
      <c r="D41" s="177">
        <f>SUM('Fuel per Province (Sugar)'!D42:E42)</f>
        <v>0</v>
      </c>
      <c r="E41" s="177">
        <f>SUM('Fuel per Province (Sugar)'!F42:G42)</f>
        <v>0</v>
      </c>
      <c r="F41" s="177">
        <f>SUM('Fuel per Province (Sugar)'!H42:I42)</f>
        <v>0</v>
      </c>
      <c r="G41" s="177">
        <f>SUM('Fuel per Province (Sugar)'!J42:K42)</f>
        <v>0</v>
      </c>
      <c r="H41" s="177">
        <f>SUM('Fuel per Province (Sugar)'!L42:M42)</f>
        <v>0</v>
      </c>
      <c r="I41" s="177">
        <f>SUM('Fuel per Province (Sugar)'!N42:O42)</f>
        <v>0</v>
      </c>
      <c r="J41" s="177">
        <v>0</v>
      </c>
      <c r="K41" s="177">
        <v>0</v>
      </c>
      <c r="L41" s="177">
        <v>0</v>
      </c>
      <c r="M41" s="177">
        <f>SUM('Fuel per Province (Sugar)'!S42:T42)</f>
        <v>0</v>
      </c>
      <c r="N41" s="177">
        <f>SUM('Fuel per Province (Sugar)'!U42:V42)</f>
        <v>0</v>
      </c>
      <c r="O41" s="177">
        <f>SUM('Fuel per Province (Sugar)'!W42:X42)</f>
        <v>0</v>
      </c>
      <c r="P41" s="184"/>
      <c r="Q41" s="185"/>
      <c r="R41" s="186"/>
      <c r="S41" s="184"/>
      <c r="T41" s="184"/>
      <c r="U41" s="184"/>
      <c r="V41" s="184"/>
      <c r="W41" s="184"/>
      <c r="X41" s="187"/>
      <c r="Y41" s="187"/>
      <c r="Z41" s="187"/>
      <c r="AA41" s="187"/>
      <c r="AB41" s="187"/>
      <c r="AC41" s="187"/>
      <c r="AD41" s="187"/>
      <c r="AE41" s="187"/>
    </row>
    <row r="42" spans="1:31" s="188" customFormat="1">
      <c r="A42" s="182"/>
      <c r="B42" s="181" t="s">
        <v>38</v>
      </c>
      <c r="C42" s="184" t="s">
        <v>355</v>
      </c>
      <c r="D42" s="177">
        <f>SUM('Fuel per Province (Sugar)'!D43:E43)</f>
        <v>0</v>
      </c>
      <c r="E42" s="177">
        <f>SUM('Fuel per Province (Sugar)'!F43:G43)</f>
        <v>0</v>
      </c>
      <c r="F42" s="177">
        <f>SUM('Fuel per Province (Sugar)'!H43:I43)</f>
        <v>0</v>
      </c>
      <c r="G42" s="177">
        <f>SUM('Fuel per Province (Sugar)'!J43:K43)</f>
        <v>0</v>
      </c>
      <c r="H42" s="177">
        <f>SUM('Fuel per Province (Sugar)'!L43:M43)</f>
        <v>0</v>
      </c>
      <c r="I42" s="177">
        <f>SUM('Fuel per Province (Sugar)'!N43:O43)</f>
        <v>0</v>
      </c>
      <c r="J42" s="177">
        <v>0</v>
      </c>
      <c r="K42" s="177">
        <v>0</v>
      </c>
      <c r="L42" s="177">
        <v>0</v>
      </c>
      <c r="M42" s="177">
        <f>SUM('Fuel per Province (Sugar)'!S43:T43)</f>
        <v>0</v>
      </c>
      <c r="N42" s="177">
        <f>SUM('Fuel per Province (Sugar)'!U43:V43)</f>
        <v>0</v>
      </c>
      <c r="O42" s="177">
        <f>SUM('Fuel per Province (Sugar)'!W43:X43)</f>
        <v>0</v>
      </c>
      <c r="P42" s="184"/>
      <c r="Q42" s="185"/>
      <c r="R42" s="186"/>
      <c r="S42" s="184"/>
      <c r="T42" s="184"/>
      <c r="U42" s="184"/>
      <c r="V42" s="184"/>
      <c r="W42" s="184"/>
      <c r="X42" s="187"/>
      <c r="Y42" s="187"/>
      <c r="Z42" s="187"/>
      <c r="AA42" s="187"/>
      <c r="AB42" s="187"/>
      <c r="AC42" s="187"/>
      <c r="AD42" s="187"/>
      <c r="AE42" s="187"/>
    </row>
    <row r="43" spans="1:31" s="188" customFormat="1">
      <c r="A43" s="182"/>
      <c r="B43" s="181" t="s">
        <v>39</v>
      </c>
      <c r="C43" s="184" t="s">
        <v>355</v>
      </c>
      <c r="D43" s="177">
        <f>SUM('Fuel per Province (Sugar)'!D44:E44)</f>
        <v>0</v>
      </c>
      <c r="E43" s="177">
        <f>SUM('Fuel per Province (Sugar)'!F44:G44)</f>
        <v>0</v>
      </c>
      <c r="F43" s="177">
        <f>SUM('Fuel per Province (Sugar)'!H44:I44)</f>
        <v>0</v>
      </c>
      <c r="G43" s="177">
        <f>SUM('Fuel per Province (Sugar)'!J44:K44)</f>
        <v>0</v>
      </c>
      <c r="H43" s="177">
        <f>SUM('Fuel per Province (Sugar)'!L44:M44)</f>
        <v>0</v>
      </c>
      <c r="I43" s="177">
        <f>SUM('Fuel per Province (Sugar)'!N44:O44)</f>
        <v>0</v>
      </c>
      <c r="J43" s="177">
        <v>0</v>
      </c>
      <c r="K43" s="177">
        <v>0</v>
      </c>
      <c r="L43" s="177">
        <v>0</v>
      </c>
      <c r="M43" s="177">
        <f>SUM('Fuel per Province (Sugar)'!S44:T44)</f>
        <v>0</v>
      </c>
      <c r="N43" s="177">
        <f>SUM('Fuel per Province (Sugar)'!U44:V44)</f>
        <v>0</v>
      </c>
      <c r="O43" s="177">
        <f>SUM('Fuel per Province (Sugar)'!W44:X44)</f>
        <v>0</v>
      </c>
      <c r="P43" s="184"/>
      <c r="Q43" s="185"/>
      <c r="R43" s="186"/>
      <c r="S43" s="184"/>
      <c r="T43" s="184"/>
      <c r="U43" s="184"/>
      <c r="V43" s="184"/>
      <c r="W43" s="184"/>
      <c r="X43" s="187"/>
      <c r="Y43" s="187"/>
      <c r="Z43" s="187"/>
      <c r="AA43" s="187"/>
      <c r="AB43" s="187"/>
      <c r="AC43" s="187"/>
      <c r="AD43" s="187"/>
      <c r="AE43" s="187"/>
    </row>
    <row r="44" spans="1:31" s="188" customFormat="1">
      <c r="A44" s="182" t="s">
        <v>40</v>
      </c>
      <c r="B44" s="181" t="s">
        <v>40</v>
      </c>
      <c r="C44" s="184" t="s">
        <v>355</v>
      </c>
      <c r="D44" s="177">
        <f>SUM('Fuel per Province (Sugar)'!D45:E45)</f>
        <v>174709.5</v>
      </c>
      <c r="E44" s="177">
        <f>SUM('Fuel per Province (Sugar)'!F45:G45)</f>
        <v>174709.5</v>
      </c>
      <c r="F44" s="177">
        <f>SUM('Fuel per Province (Sugar)'!H45:I45)</f>
        <v>174709.5</v>
      </c>
      <c r="G44" s="177">
        <f>SUM('Fuel per Province (Sugar)'!J45:K45)</f>
        <v>136677.5</v>
      </c>
      <c r="H44" s="177">
        <f>SUM('Fuel per Province (Sugar)'!L45:M45)</f>
        <v>136677.5</v>
      </c>
      <c r="I44" s="177">
        <f>SUM('Fuel per Province (Sugar)'!N45:O45)</f>
        <v>0</v>
      </c>
      <c r="J44" s="184">
        <f>'Total Fuel per Operation(Sugar)'!P24</f>
        <v>0</v>
      </c>
      <c r="K44" s="184">
        <f>'Total Fuel per Operation(Sugar)'!Q24</f>
        <v>0</v>
      </c>
      <c r="L44" s="184">
        <f>'Total Fuel per Operation(Sugar)'!R24</f>
        <v>0</v>
      </c>
      <c r="M44" s="177">
        <f>SUM('Fuel per Province (Sugar)'!S45:T45)</f>
        <v>136677.5</v>
      </c>
      <c r="N44" s="177">
        <f>SUM('Fuel per Province (Sugar)'!U45:V45)</f>
        <v>174709.5</v>
      </c>
      <c r="O44" s="177">
        <f>SUM('Fuel per Province (Sugar)'!W45:X45)</f>
        <v>174709.5</v>
      </c>
      <c r="P44" s="184">
        <f>SUM(D44:O44)</f>
        <v>1283580</v>
      </c>
      <c r="Q44" s="185">
        <v>546710</v>
      </c>
      <c r="R44" s="186">
        <v>8</v>
      </c>
      <c r="S44" s="184">
        <v>136677.5</v>
      </c>
      <c r="T44" s="184">
        <v>136677.5</v>
      </c>
      <c r="U44" s="184">
        <v>136677.5</v>
      </c>
      <c r="V44" s="184">
        <v>136677.5</v>
      </c>
      <c r="W44" s="184">
        <v>136677.5</v>
      </c>
      <c r="X44" s="187"/>
      <c r="Y44" s="187"/>
      <c r="Z44" s="187"/>
      <c r="AA44" s="187"/>
      <c r="AB44" s="184">
        <v>136677.5</v>
      </c>
      <c r="AC44" s="184">
        <v>136677.5</v>
      </c>
      <c r="AD44" s="184">
        <v>136677.5</v>
      </c>
      <c r="AE44" s="187">
        <v>1093420</v>
      </c>
    </row>
    <row r="45" spans="1:31" s="188" customFormat="1">
      <c r="A45" s="182"/>
      <c r="B45" s="181" t="s">
        <v>41</v>
      </c>
      <c r="C45" s="184" t="s">
        <v>355</v>
      </c>
      <c r="D45" s="177">
        <f>SUM('Fuel per Province (Sugar)'!D46:E46)</f>
        <v>0</v>
      </c>
      <c r="E45" s="177">
        <f>SUM('Fuel per Province (Sugar)'!F46:G46)</f>
        <v>0</v>
      </c>
      <c r="F45" s="177">
        <f>SUM('Fuel per Province (Sugar)'!H46:I46)</f>
        <v>0</v>
      </c>
      <c r="G45" s="177">
        <f>SUM('Fuel per Province (Sugar)'!J46:K46)</f>
        <v>0</v>
      </c>
      <c r="H45" s="177">
        <f>SUM('Fuel per Province (Sugar)'!L46:M46)</f>
        <v>0</v>
      </c>
      <c r="I45" s="177">
        <f>SUM('Fuel per Province (Sugar)'!N46:O46)</f>
        <v>0</v>
      </c>
      <c r="J45" s="177">
        <v>0</v>
      </c>
      <c r="K45" s="177">
        <v>0</v>
      </c>
      <c r="L45" s="177">
        <v>0</v>
      </c>
      <c r="M45" s="177">
        <f>SUM('Fuel per Province (Sugar)'!S46:T46)</f>
        <v>0</v>
      </c>
      <c r="N45" s="177">
        <f>SUM('Fuel per Province (Sugar)'!U46:V46)</f>
        <v>0</v>
      </c>
      <c r="O45" s="177">
        <f>SUM('Fuel per Province (Sugar)'!W46:X46)</f>
        <v>0</v>
      </c>
      <c r="P45" s="184"/>
      <c r="Q45" s="185"/>
      <c r="R45" s="186"/>
      <c r="S45" s="184"/>
      <c r="T45" s="184"/>
      <c r="U45" s="184"/>
      <c r="V45" s="184"/>
      <c r="W45" s="184"/>
      <c r="X45" s="187"/>
      <c r="Y45" s="187"/>
      <c r="Z45" s="187"/>
      <c r="AA45" s="187"/>
      <c r="AB45" s="187"/>
      <c r="AC45" s="187"/>
      <c r="AD45" s="187"/>
      <c r="AE45" s="187"/>
    </row>
    <row r="46" spans="1:31" s="188" customFormat="1">
      <c r="A46" s="187" t="s">
        <v>42</v>
      </c>
      <c r="B46" s="181" t="s">
        <v>42</v>
      </c>
      <c r="C46" s="184" t="s">
        <v>355</v>
      </c>
      <c r="D46" s="177">
        <f>SUM('Fuel per Province (Sugar)'!D47:E47)</f>
        <v>312221</v>
      </c>
      <c r="E46" s="177">
        <f>SUM('Fuel per Province (Sugar)'!F47:G47)</f>
        <v>312221</v>
      </c>
      <c r="F46" s="177">
        <f>SUM('Fuel per Province (Sugar)'!H47:I47)</f>
        <v>312221</v>
      </c>
      <c r="G46" s="177">
        <f>SUM('Fuel per Province (Sugar)'!J47:K47)</f>
        <v>246813</v>
      </c>
      <c r="H46" s="177">
        <f>SUM('Fuel per Province (Sugar)'!L47:M47)</f>
        <v>246813</v>
      </c>
      <c r="I46" s="177">
        <f>SUM('Fuel per Province (Sugar)'!N47:O47)</f>
        <v>0</v>
      </c>
      <c r="J46" s="184">
        <f>'Total Fuel per Operation(Sugar)'!P23</f>
        <v>0</v>
      </c>
      <c r="K46" s="184">
        <f>'Total Fuel per Operation(Sugar)'!Q23</f>
        <v>0</v>
      </c>
      <c r="L46" s="184">
        <f>'Total Fuel per Operation(Sugar)'!R23</f>
        <v>0</v>
      </c>
      <c r="M46" s="177">
        <f>SUM('Fuel per Province (Sugar)'!S47:T47)</f>
        <v>246813</v>
      </c>
      <c r="N46" s="177">
        <f>SUM('Fuel per Province (Sugar)'!U47:V47)</f>
        <v>312221</v>
      </c>
      <c r="O46" s="177">
        <f>SUM('Fuel per Province (Sugar)'!W47:X47)</f>
        <v>312221</v>
      </c>
      <c r="P46" s="184">
        <f>SUM(D46:O46)</f>
        <v>2301544</v>
      </c>
      <c r="Q46" s="185">
        <v>987252</v>
      </c>
      <c r="R46" s="186">
        <v>8</v>
      </c>
      <c r="S46" s="184">
        <v>246813</v>
      </c>
      <c r="T46" s="184">
        <v>246813</v>
      </c>
      <c r="U46" s="184">
        <v>246813</v>
      </c>
      <c r="V46" s="184">
        <v>246813</v>
      </c>
      <c r="W46" s="184">
        <v>246813</v>
      </c>
      <c r="X46" s="187"/>
      <c r="Y46" s="187"/>
      <c r="Z46" s="187"/>
      <c r="AA46" s="187"/>
      <c r="AB46" s="184">
        <v>246813</v>
      </c>
      <c r="AC46" s="184">
        <v>246813</v>
      </c>
      <c r="AD46" s="184">
        <v>246813</v>
      </c>
      <c r="AE46" s="187">
        <v>1974504</v>
      </c>
    </row>
    <row r="47" spans="1:31" s="188" customFormat="1">
      <c r="A47" s="187" t="s">
        <v>393</v>
      </c>
      <c r="B47" s="181" t="s">
        <v>43</v>
      </c>
      <c r="C47" s="184" t="s">
        <v>782</v>
      </c>
      <c r="D47" s="177">
        <f>SUM('Fuel per Province (Sugar)'!D48:E48)</f>
        <v>3671624.08</v>
      </c>
      <c r="E47" s="177">
        <f>SUM('Fuel per Province (Sugar)'!F48:G48)</f>
        <v>3671624.08</v>
      </c>
      <c r="F47" s="177">
        <f>SUM('Fuel per Province (Sugar)'!H48:I48)</f>
        <v>3671624.08</v>
      </c>
      <c r="G47" s="177">
        <f>SUM('Fuel per Province (Sugar)'!J48:K48)</f>
        <v>3671624.08</v>
      </c>
      <c r="H47" s="177">
        <f>SUM('Fuel per Province (Sugar)'!L48:M48)</f>
        <v>377646.52</v>
      </c>
      <c r="I47" s="177">
        <f>SUM('Fuel per Province (Sugar)'!N48:O48)</f>
        <v>0</v>
      </c>
      <c r="J47" s="184">
        <f>'Total Fuel per Operation(Sugar)'!P11+'Total Fuel per Operation(Sugar)'!P12+'Total Fuel per Operation(Sugar)'!P13+'Total Fuel per Operation(Sugar)'!P14+'Total Fuel per Operation(Sugar)'!P15+'Total Fuel per Operation(Sugar)'!P16+'Total Fuel per Operation(Sugar)'!P17+'Total Fuel per Operation(Sugar)'!P18+'Total Fuel per Operation(Sugar)'!P19+'Total Fuel per Operation(Sugar)'!P20</f>
        <v>0</v>
      </c>
      <c r="K47" s="184">
        <f>'Total Fuel per Operation(Sugar)'!Q11+'Total Fuel per Operation(Sugar)'!Q12+'Total Fuel per Operation(Sugar)'!Q13+'Total Fuel per Operation(Sugar)'!Q14+'Total Fuel per Operation(Sugar)'!Q15+'Total Fuel per Operation(Sugar)'!Q16+'Total Fuel per Operation(Sugar)'!Q17+'Total Fuel per Operation(Sugar)'!Q18+'Total Fuel per Operation(Sugar)'!Q19+'Total Fuel per Operation(Sugar)'!Q20</f>
        <v>0</v>
      </c>
      <c r="L47" s="184">
        <f>'Total Fuel per Operation(Sugar)'!R11+'Total Fuel per Operation(Sugar)'!R12+'Total Fuel per Operation(Sugar)'!R13+'Total Fuel per Operation(Sugar)'!R14+'Total Fuel per Operation(Sugar)'!R15+'Total Fuel per Operation(Sugar)'!R16+'Total Fuel per Operation(Sugar)'!R17+'Total Fuel per Operation(Sugar)'!R18+'Total Fuel per Operation(Sugar)'!R19+'Total Fuel per Operation(Sugar)'!R20</f>
        <v>0</v>
      </c>
      <c r="M47" s="177">
        <f>SUM('Fuel per Province (Sugar)'!S48:T48)</f>
        <v>3671624.08</v>
      </c>
      <c r="N47" s="177">
        <f>SUM('Fuel per Province (Sugar)'!U48:V48)</f>
        <v>3671624.08</v>
      </c>
      <c r="O47" s="177">
        <f>SUM('Fuel per Province (Sugar)'!W48:X48)</f>
        <v>3671624.08</v>
      </c>
      <c r="P47" s="184">
        <f>SUM(D47:O47)</f>
        <v>26079015.079999998</v>
      </c>
      <c r="Q47" s="185">
        <v>1169802.27</v>
      </c>
      <c r="R47" s="186">
        <v>7</v>
      </c>
      <c r="S47" s="184">
        <v>334229.22000000003</v>
      </c>
      <c r="T47" s="184">
        <v>334229.22000000003</v>
      </c>
      <c r="U47" s="184">
        <v>334229.22000000003</v>
      </c>
      <c r="V47" s="184">
        <v>334229.22000000003</v>
      </c>
      <c r="W47" s="189"/>
      <c r="X47" s="187"/>
      <c r="Y47" s="187"/>
      <c r="Z47" s="187"/>
      <c r="AA47" s="187"/>
      <c r="AB47" s="184">
        <v>334229.22000000003</v>
      </c>
      <c r="AC47" s="184">
        <v>334229.22000000003</v>
      </c>
      <c r="AD47" s="184">
        <v>334229.22000000003</v>
      </c>
      <c r="AE47" s="187">
        <v>2339604.54</v>
      </c>
    </row>
    <row r="48" spans="1:31" s="188" customFormat="1">
      <c r="A48" s="182" t="s">
        <v>394</v>
      </c>
      <c r="B48" s="181" t="s">
        <v>79</v>
      </c>
      <c r="C48" s="184" t="s">
        <v>782</v>
      </c>
      <c r="D48" s="177">
        <f>SUM('Fuel per Province (Sugar)'!D51:E51)</f>
        <v>679427.74571428564</v>
      </c>
      <c r="E48" s="177">
        <f>SUM('Fuel per Province (Sugar)'!F51:G51)</f>
        <v>679427.74571428564</v>
      </c>
      <c r="F48" s="177">
        <f>SUM('Fuel per Province (Sugar)'!H51:I51)</f>
        <v>679427.74571428564</v>
      </c>
      <c r="G48" s="177">
        <f>SUM('Fuel per Province (Sugar)'!J51:K51)</f>
        <v>679427.74571428564</v>
      </c>
      <c r="H48" s="177">
        <f>SUM('Fuel per Province (Sugar)'!L51:M51)</f>
        <v>79736</v>
      </c>
      <c r="I48" s="177">
        <f>SUM('Fuel per Province (Sugar)'!N51:O51)</f>
        <v>0</v>
      </c>
      <c r="J48" s="184">
        <f>'Total Fuel per Operation(Sugar)'!P21+'Total Fuel per Operation(Sugar)'!P22</f>
        <v>0</v>
      </c>
      <c r="K48" s="184">
        <f>'Total Fuel per Operation(Sugar)'!Q21+'Total Fuel per Operation(Sugar)'!Q22</f>
        <v>0</v>
      </c>
      <c r="L48" s="184">
        <f>'Total Fuel per Operation(Sugar)'!R21+'Total Fuel per Operation(Sugar)'!R22</f>
        <v>0</v>
      </c>
      <c r="M48" s="177">
        <f>SUM('Fuel per Province (Sugar)'!S51:T51)</f>
        <v>679427.74571428564</v>
      </c>
      <c r="N48" s="177">
        <f>SUM('Fuel per Province (Sugar)'!U51:V51)</f>
        <v>679427.74571428564</v>
      </c>
      <c r="O48" s="177">
        <f>SUM('Fuel per Province (Sugar)'!W51:X51)</f>
        <v>679427.74571428564</v>
      </c>
      <c r="P48" s="184">
        <f>SUM(D48:O48)</f>
        <v>4835730.2199999988</v>
      </c>
      <c r="Q48" s="185">
        <v>666480.68999999994</v>
      </c>
      <c r="R48" s="186">
        <v>7</v>
      </c>
      <c r="S48" s="184">
        <v>190423.05428571426</v>
      </c>
      <c r="T48" s="184">
        <v>190423.05428571426</v>
      </c>
      <c r="U48" s="184">
        <v>190423.05428571426</v>
      </c>
      <c r="V48" s="184">
        <v>190423.05428571426</v>
      </c>
      <c r="W48" s="189"/>
      <c r="X48" s="187"/>
      <c r="Y48" s="187"/>
      <c r="Z48" s="187"/>
      <c r="AA48" s="187"/>
      <c r="AB48" s="184">
        <v>190423.05428571426</v>
      </c>
      <c r="AC48" s="184">
        <v>190423.05428571426</v>
      </c>
      <c r="AD48" s="184">
        <v>190423.05428571426</v>
      </c>
      <c r="AE48" s="187">
        <v>1332961.3799999997</v>
      </c>
    </row>
    <row r="49" spans="1:31">
      <c r="A49" s="190"/>
      <c r="B49" s="181" t="s">
        <v>80</v>
      </c>
      <c r="C49" s="184" t="s">
        <v>782</v>
      </c>
      <c r="D49" s="177">
        <f>SUM('Fuel per Province (Sugar)'!D52:E52)</f>
        <v>0</v>
      </c>
      <c r="E49" s="177">
        <f>SUM('Fuel per Province (Sugar)'!F52:G52)</f>
        <v>0</v>
      </c>
      <c r="F49" s="177">
        <f>SUM('Fuel per Province (Sugar)'!H52:I52)</f>
        <v>0</v>
      </c>
      <c r="G49" s="177">
        <f>SUM('Fuel per Province (Sugar)'!J52:K52)</f>
        <v>0</v>
      </c>
      <c r="H49" s="177">
        <f>SUM('Fuel per Province (Sugar)'!L52:M52)</f>
        <v>0</v>
      </c>
      <c r="I49" s="177">
        <f>SUM('Fuel per Province (Sugar)'!N52:O52)</f>
        <v>0</v>
      </c>
      <c r="J49" s="177">
        <v>0</v>
      </c>
      <c r="K49" s="177">
        <v>0</v>
      </c>
      <c r="L49" s="177">
        <v>0</v>
      </c>
      <c r="M49" s="177">
        <f>SUM('Fuel per Province (Sugar)'!S52:T52)</f>
        <v>0</v>
      </c>
      <c r="N49" s="177">
        <f>SUM('Fuel per Province (Sugar)'!U52:V52)</f>
        <v>0</v>
      </c>
      <c r="O49" s="177">
        <f>SUM('Fuel per Province (Sugar)'!W52:X52)</f>
        <v>0</v>
      </c>
      <c r="P49" s="191"/>
      <c r="Q49" s="191"/>
      <c r="R49" s="192"/>
      <c r="S49" s="193"/>
      <c r="T49" s="193"/>
      <c r="U49" s="194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</row>
    <row r="50" spans="1:31" s="188" customFormat="1">
      <c r="A50" s="187"/>
      <c r="B50" s="181" t="s">
        <v>77</v>
      </c>
      <c r="C50" s="184" t="s">
        <v>367</v>
      </c>
      <c r="D50" s="177">
        <f>SUM('Fuel per Province (Sugar)'!D49:E49)</f>
        <v>0</v>
      </c>
      <c r="E50" s="177">
        <f>SUM('Fuel per Province (Sugar)'!F49:G49)</f>
        <v>0</v>
      </c>
      <c r="F50" s="177">
        <f>SUM('Fuel per Province (Sugar)'!H49:I49)</f>
        <v>0</v>
      </c>
      <c r="G50" s="177">
        <f>SUM('Fuel per Province (Sugar)'!J49:K49)</f>
        <v>0</v>
      </c>
      <c r="H50" s="177">
        <f>SUM('Fuel per Province (Sugar)'!L49:M49)</f>
        <v>0</v>
      </c>
      <c r="I50" s="177">
        <f>SUM('Fuel per Province (Sugar)'!N49:O49)</f>
        <v>0</v>
      </c>
      <c r="J50" s="177">
        <v>0</v>
      </c>
      <c r="K50" s="177">
        <v>0</v>
      </c>
      <c r="L50" s="177">
        <v>0</v>
      </c>
      <c r="M50" s="177">
        <f>SUM('Fuel per Province (Sugar)'!S49:T49)</f>
        <v>0</v>
      </c>
      <c r="N50" s="177">
        <f>SUM('Fuel per Province (Sugar)'!U49:V49)</f>
        <v>0</v>
      </c>
      <c r="O50" s="177">
        <f>SUM('Fuel per Province (Sugar)'!W49:X49)</f>
        <v>0</v>
      </c>
      <c r="P50" s="184"/>
      <c r="Q50" s="185"/>
      <c r="R50" s="186"/>
      <c r="S50" s="184"/>
      <c r="T50" s="184"/>
      <c r="U50" s="184"/>
      <c r="V50" s="184"/>
      <c r="W50" s="189"/>
      <c r="X50" s="187"/>
      <c r="Y50" s="187"/>
      <c r="Z50" s="187"/>
      <c r="AA50" s="187"/>
      <c r="AB50" s="184"/>
      <c r="AC50" s="184"/>
      <c r="AD50" s="184"/>
      <c r="AE50" s="187"/>
    </row>
    <row r="51" spans="1:31">
      <c r="A51" s="182" t="s">
        <v>369</v>
      </c>
      <c r="B51" s="181" t="s">
        <v>78</v>
      </c>
      <c r="C51" s="184" t="s">
        <v>367</v>
      </c>
      <c r="D51" s="177">
        <f>SUM('Fuel per Province (Sugar)'!D50:E50)</f>
        <v>81829.01999999999</v>
      </c>
      <c r="E51" s="177">
        <f>SUM('Fuel per Province (Sugar)'!F50:G50)</f>
        <v>81829.01999999999</v>
      </c>
      <c r="F51" s="177">
        <f>SUM('Fuel per Province (Sugar)'!H50:I50)</f>
        <v>81829.01999999999</v>
      </c>
      <c r="G51" s="177">
        <f>SUM('Fuel per Province (Sugar)'!J50:K50)</f>
        <v>81829.01999999999</v>
      </c>
      <c r="H51" s="177">
        <f>SUM('Fuel per Province (Sugar)'!L50:M50)</f>
        <v>0</v>
      </c>
      <c r="I51" s="177">
        <f>SUM('Fuel per Province (Sugar)'!N50:O50)</f>
        <v>0</v>
      </c>
      <c r="J51" s="184">
        <f>'Total Fuel per Operation(Sugar)'!P25</f>
        <v>0</v>
      </c>
      <c r="K51" s="184">
        <f>'Total Fuel per Operation(Sugar)'!Q25</f>
        <v>0</v>
      </c>
      <c r="L51" s="184">
        <f>'Total Fuel per Operation(Sugar)'!R25</f>
        <v>0</v>
      </c>
      <c r="M51" s="177">
        <f>SUM('Fuel per Province (Sugar)'!S50:T50)</f>
        <v>0</v>
      </c>
      <c r="N51" s="177">
        <f>SUM('Fuel per Province (Sugar)'!U50:V50)</f>
        <v>0</v>
      </c>
      <c r="O51" s="177">
        <f>SUM('Fuel per Province (Sugar)'!W50:X50)</f>
        <v>61469.02</v>
      </c>
      <c r="P51" s="184">
        <f>SUM(D51:O51)</f>
        <v>388785.1</v>
      </c>
      <c r="Q51" s="185">
        <v>153672.54999999999</v>
      </c>
      <c r="R51" s="186">
        <v>5</v>
      </c>
      <c r="S51" s="184">
        <v>61469.02</v>
      </c>
      <c r="T51" s="184">
        <v>61469.02</v>
      </c>
      <c r="U51" s="184">
        <v>61469.02</v>
      </c>
      <c r="V51" s="184">
        <v>61469.02</v>
      </c>
      <c r="W51" s="195"/>
      <c r="X51" s="172"/>
      <c r="Y51" s="172"/>
      <c r="Z51" s="172"/>
      <c r="AA51" s="172"/>
      <c r="AB51" s="172"/>
      <c r="AC51" s="172"/>
      <c r="AD51" s="184">
        <v>61469.02</v>
      </c>
      <c r="AE51" s="187">
        <v>307345.09999999998</v>
      </c>
    </row>
    <row r="52" spans="1:31">
      <c r="A52" s="190"/>
      <c r="B52" s="181" t="s">
        <v>44</v>
      </c>
      <c r="C52" s="184" t="s">
        <v>371</v>
      </c>
      <c r="D52" s="177">
        <f>SUM('Fuel per Province (Sugar)'!D53:E53)</f>
        <v>0</v>
      </c>
      <c r="E52" s="177">
        <f>SUM('Fuel per Province (Sugar)'!F53:G53)</f>
        <v>0</v>
      </c>
      <c r="F52" s="177">
        <f>SUM('Fuel per Province (Sugar)'!H53:I53)</f>
        <v>0</v>
      </c>
      <c r="G52" s="177">
        <f>SUM('Fuel per Province (Sugar)'!J53:K53)</f>
        <v>0</v>
      </c>
      <c r="H52" s="177">
        <f>SUM('Fuel per Province (Sugar)'!L53:M53)</f>
        <v>0</v>
      </c>
      <c r="I52" s="177">
        <f>SUM('Fuel per Province (Sugar)'!N53:O53)</f>
        <v>0</v>
      </c>
      <c r="J52" s="177">
        <v>0</v>
      </c>
      <c r="K52" s="177">
        <v>0</v>
      </c>
      <c r="L52" s="177">
        <v>0</v>
      </c>
      <c r="M52" s="177">
        <f>SUM('Fuel per Province (Sugar)'!S53:T53)</f>
        <v>0</v>
      </c>
      <c r="N52" s="177">
        <f>SUM('Fuel per Province (Sugar)'!U53:V53)</f>
        <v>0</v>
      </c>
      <c r="O52" s="177">
        <f>SUM('Fuel per Province (Sugar)'!W53:X53)</f>
        <v>0</v>
      </c>
      <c r="P52" s="191"/>
      <c r="Q52" s="191"/>
      <c r="R52" s="192"/>
      <c r="S52" s="193"/>
      <c r="T52" s="193"/>
      <c r="U52" s="194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</row>
    <row r="53" spans="1:31">
      <c r="A53" s="190"/>
      <c r="B53" s="181" t="s">
        <v>92</v>
      </c>
      <c r="C53" s="184" t="s">
        <v>371</v>
      </c>
      <c r="D53" s="177">
        <f>SUM('Fuel per Province (Sugar)'!D54:E54)</f>
        <v>0</v>
      </c>
      <c r="E53" s="177">
        <f>SUM('Fuel per Province (Sugar)'!F54:G54)</f>
        <v>0</v>
      </c>
      <c r="F53" s="177">
        <f>SUM('Fuel per Province (Sugar)'!H54:I54)</f>
        <v>0</v>
      </c>
      <c r="G53" s="177">
        <f>SUM('Fuel per Province (Sugar)'!J54:K54)</f>
        <v>0</v>
      </c>
      <c r="H53" s="177">
        <f>SUM('Fuel per Province (Sugar)'!L54:M54)</f>
        <v>0</v>
      </c>
      <c r="I53" s="177">
        <f>SUM('Fuel per Province (Sugar)'!N54:O54)</f>
        <v>0</v>
      </c>
      <c r="J53" s="177">
        <v>0</v>
      </c>
      <c r="K53" s="177">
        <v>0</v>
      </c>
      <c r="L53" s="177">
        <v>0</v>
      </c>
      <c r="M53" s="177">
        <f>SUM('Fuel per Province (Sugar)'!S54:T54)</f>
        <v>0</v>
      </c>
      <c r="N53" s="177">
        <f>SUM('Fuel per Province (Sugar)'!U54:V54)</f>
        <v>0</v>
      </c>
      <c r="O53" s="177">
        <f>SUM('Fuel per Province (Sugar)'!W54:X54)</f>
        <v>0</v>
      </c>
      <c r="P53" s="191"/>
      <c r="Q53" s="191"/>
      <c r="R53" s="192"/>
      <c r="S53" s="193"/>
      <c r="T53" s="193"/>
      <c r="U53" s="194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</row>
    <row r="54" spans="1:31" s="188" customFormat="1">
      <c r="A54" s="182" t="s">
        <v>370</v>
      </c>
      <c r="B54" s="181" t="s">
        <v>91</v>
      </c>
      <c r="C54" s="184" t="s">
        <v>371</v>
      </c>
      <c r="D54" s="177">
        <f>SUM('Fuel per Province (Sugar)'!D55:E55)</f>
        <v>122230.776</v>
      </c>
      <c r="E54" s="177">
        <f>SUM('Fuel per Province (Sugar)'!F55:G55)</f>
        <v>122230.776</v>
      </c>
      <c r="F54" s="177">
        <f>SUM('Fuel per Province (Sugar)'!H55:I55)</f>
        <v>122230.776</v>
      </c>
      <c r="G54" s="177">
        <f>SUM('Fuel per Province (Sugar)'!J55:K55)</f>
        <v>122230.776</v>
      </c>
      <c r="H54" s="177">
        <f>SUM('Fuel per Province (Sugar)'!L55:M55)</f>
        <v>106230.776</v>
      </c>
      <c r="I54" s="177">
        <f>SUM('Fuel per Province (Sugar)'!N55:O55)</f>
        <v>0</v>
      </c>
      <c r="J54" s="184">
        <f>'Total Fuel per Operation(Sugar)'!P26</f>
        <v>0</v>
      </c>
      <c r="K54" s="184">
        <f>'Total Fuel per Operation(Sugar)'!Q26</f>
        <v>0</v>
      </c>
      <c r="L54" s="184">
        <f>'Total Fuel per Operation(Sugar)'!R26</f>
        <v>0</v>
      </c>
      <c r="M54" s="177">
        <f>SUM('Fuel per Province (Sugar)'!S55:T55)</f>
        <v>0</v>
      </c>
      <c r="N54" s="177">
        <f>SUM('Fuel per Province (Sugar)'!U55:V55)</f>
        <v>16000</v>
      </c>
      <c r="O54" s="177">
        <f>SUM('Fuel per Province (Sugar)'!W55:X55)</f>
        <v>16000</v>
      </c>
      <c r="P54" s="184">
        <f>SUM(D54:O54)</f>
        <v>627153.88</v>
      </c>
      <c r="Q54" s="185">
        <v>265576.94</v>
      </c>
      <c r="R54" s="186">
        <v>5</v>
      </c>
      <c r="S54" s="184">
        <v>106230.776</v>
      </c>
      <c r="T54" s="184">
        <v>106230.776</v>
      </c>
      <c r="U54" s="184">
        <v>106230.776</v>
      </c>
      <c r="V54" s="184">
        <v>106230.776</v>
      </c>
      <c r="W54" s="184">
        <v>106230.776</v>
      </c>
      <c r="X54" s="187"/>
      <c r="Y54" s="187"/>
      <c r="Z54" s="187"/>
      <c r="AA54" s="187"/>
      <c r="AB54" s="187"/>
      <c r="AC54" s="187"/>
      <c r="AD54" s="187"/>
      <c r="AE54" s="187">
        <v>531153.88</v>
      </c>
    </row>
    <row r="55" spans="1:31" s="188" customFormat="1">
      <c r="A55" s="182"/>
      <c r="B55" s="181" t="s">
        <v>94</v>
      </c>
      <c r="C55" s="184" t="s">
        <v>371</v>
      </c>
      <c r="D55" s="177">
        <f>SUM('Fuel per Province (Sugar)'!D56:E56)</f>
        <v>0</v>
      </c>
      <c r="E55" s="177">
        <f>SUM('Fuel per Province (Sugar)'!F56:G56)</f>
        <v>0</v>
      </c>
      <c r="F55" s="177">
        <f>SUM('Fuel per Province (Sugar)'!H56:I56)</f>
        <v>0</v>
      </c>
      <c r="G55" s="177">
        <f>SUM('Fuel per Province (Sugar)'!J56:K56)</f>
        <v>0</v>
      </c>
      <c r="H55" s="177">
        <f>SUM('Fuel per Province (Sugar)'!L56:M56)</f>
        <v>0</v>
      </c>
      <c r="I55" s="177">
        <f>SUM('Fuel per Province (Sugar)'!N56:O56)</f>
        <v>0</v>
      </c>
      <c r="J55" s="177">
        <v>0</v>
      </c>
      <c r="K55" s="177">
        <v>0</v>
      </c>
      <c r="L55" s="177">
        <v>0</v>
      </c>
      <c r="M55" s="177">
        <f>SUM('Fuel per Province (Sugar)'!S56:T56)</f>
        <v>0</v>
      </c>
      <c r="N55" s="177">
        <f>SUM('Fuel per Province (Sugar)'!U56:V56)</f>
        <v>0</v>
      </c>
      <c r="O55" s="177">
        <f>SUM('Fuel per Province (Sugar)'!W56:X56)</f>
        <v>0</v>
      </c>
      <c r="P55" s="184"/>
      <c r="Q55" s="185"/>
      <c r="R55" s="186"/>
      <c r="S55" s="184"/>
      <c r="T55" s="184"/>
      <c r="U55" s="184"/>
      <c r="V55" s="184"/>
      <c r="W55" s="184"/>
      <c r="X55" s="187"/>
      <c r="Y55" s="187"/>
      <c r="Z55" s="187"/>
      <c r="AA55" s="187"/>
      <c r="AB55" s="187"/>
      <c r="AC55" s="187"/>
      <c r="AD55" s="187"/>
      <c r="AE55" s="187"/>
    </row>
    <row r="56" spans="1:31" s="188" customFormat="1">
      <c r="A56" s="182"/>
      <c r="B56" s="181" t="s">
        <v>45</v>
      </c>
      <c r="C56" s="184" t="s">
        <v>371</v>
      </c>
      <c r="D56" s="177">
        <f>SUM('Fuel per Province (Sugar)'!D57:E57)</f>
        <v>0</v>
      </c>
      <c r="E56" s="177">
        <f>SUM('Fuel per Province (Sugar)'!F57:G57)</f>
        <v>0</v>
      </c>
      <c r="F56" s="177">
        <f>SUM('Fuel per Province (Sugar)'!H57:I57)</f>
        <v>0</v>
      </c>
      <c r="G56" s="177">
        <f>SUM('Fuel per Province (Sugar)'!J57:K57)</f>
        <v>0</v>
      </c>
      <c r="H56" s="177">
        <f>SUM('Fuel per Province (Sugar)'!L57:M57)</f>
        <v>0</v>
      </c>
      <c r="I56" s="177">
        <f>SUM('Fuel per Province (Sugar)'!N57:O57)</f>
        <v>0</v>
      </c>
      <c r="J56" s="177">
        <v>0</v>
      </c>
      <c r="K56" s="177">
        <v>0</v>
      </c>
      <c r="L56" s="177">
        <v>0</v>
      </c>
      <c r="M56" s="177">
        <f>SUM('Fuel per Province (Sugar)'!S57:T57)</f>
        <v>0</v>
      </c>
      <c r="N56" s="177">
        <f>SUM('Fuel per Province (Sugar)'!U57:V57)</f>
        <v>0</v>
      </c>
      <c r="O56" s="177">
        <f>SUM('Fuel per Province (Sugar)'!W57:X57)</f>
        <v>0</v>
      </c>
      <c r="P56" s="184"/>
      <c r="Q56" s="185"/>
      <c r="R56" s="186"/>
      <c r="S56" s="184"/>
      <c r="T56" s="184"/>
      <c r="U56" s="184"/>
      <c r="V56" s="184"/>
      <c r="W56" s="184"/>
      <c r="X56" s="187"/>
      <c r="Y56" s="187"/>
      <c r="Z56" s="187"/>
      <c r="AA56" s="187"/>
      <c r="AB56" s="187"/>
      <c r="AC56" s="187"/>
      <c r="AD56" s="187"/>
      <c r="AE56" s="187"/>
    </row>
    <row r="57" spans="1:31" s="188" customFormat="1">
      <c r="A57" s="182"/>
      <c r="B57" s="181" t="s">
        <v>46</v>
      </c>
      <c r="C57" s="184" t="s">
        <v>371</v>
      </c>
      <c r="D57" s="177">
        <f>SUM('Fuel per Province (Sugar)'!D58:E58)</f>
        <v>0</v>
      </c>
      <c r="E57" s="177">
        <f>SUM('Fuel per Province (Sugar)'!F58:G58)</f>
        <v>0</v>
      </c>
      <c r="F57" s="177">
        <f>SUM('Fuel per Province (Sugar)'!H58:I58)</f>
        <v>0</v>
      </c>
      <c r="G57" s="177">
        <f>SUM('Fuel per Province (Sugar)'!J58:K58)</f>
        <v>0</v>
      </c>
      <c r="H57" s="177">
        <f>SUM('Fuel per Province (Sugar)'!L58:M58)</f>
        <v>0</v>
      </c>
      <c r="I57" s="177">
        <f>SUM('Fuel per Province (Sugar)'!N58:O58)</f>
        <v>0</v>
      </c>
      <c r="J57" s="177">
        <v>0</v>
      </c>
      <c r="K57" s="177">
        <v>0</v>
      </c>
      <c r="L57" s="177">
        <v>0</v>
      </c>
      <c r="M57" s="177">
        <f>SUM('Fuel per Province (Sugar)'!S58:T58)</f>
        <v>0</v>
      </c>
      <c r="N57" s="177">
        <f>SUM('Fuel per Province (Sugar)'!U58:V58)</f>
        <v>0</v>
      </c>
      <c r="O57" s="177">
        <f>SUM('Fuel per Province (Sugar)'!W58:X58)</f>
        <v>0</v>
      </c>
      <c r="P57" s="184"/>
      <c r="Q57" s="185"/>
      <c r="R57" s="186"/>
      <c r="S57" s="184"/>
      <c r="T57" s="184"/>
      <c r="U57" s="184"/>
      <c r="V57" s="184"/>
      <c r="W57" s="184"/>
      <c r="X57" s="187"/>
      <c r="Y57" s="187"/>
      <c r="Z57" s="187"/>
      <c r="AA57" s="187"/>
      <c r="AB57" s="187"/>
      <c r="AC57" s="187"/>
      <c r="AD57" s="187"/>
      <c r="AE57" s="187"/>
    </row>
    <row r="58" spans="1:31" s="188" customFormat="1">
      <c r="A58" s="182"/>
      <c r="B58" s="181" t="s">
        <v>210</v>
      </c>
      <c r="C58" s="184" t="s">
        <v>396</v>
      </c>
      <c r="D58" s="177">
        <f>SUM('Fuel per Province (Sugar)'!D59:E59)</f>
        <v>0</v>
      </c>
      <c r="E58" s="177">
        <f>SUM('Fuel per Province (Sugar)'!F59:G59)</f>
        <v>0</v>
      </c>
      <c r="F58" s="177">
        <f>SUM('Fuel per Province (Sugar)'!H59:I59)</f>
        <v>0</v>
      </c>
      <c r="G58" s="177">
        <f>SUM('Fuel per Province (Sugar)'!J59:K59)</f>
        <v>0</v>
      </c>
      <c r="H58" s="177">
        <f>SUM('Fuel per Province (Sugar)'!L59:M59)</f>
        <v>0</v>
      </c>
      <c r="I58" s="177">
        <f>SUM('Fuel per Province (Sugar)'!N59:O59)</f>
        <v>0</v>
      </c>
      <c r="J58" s="177">
        <v>0</v>
      </c>
      <c r="K58" s="177">
        <v>0</v>
      </c>
      <c r="L58" s="177">
        <v>0</v>
      </c>
      <c r="M58" s="177">
        <f>SUM('Fuel per Province (Sugar)'!S59:T59)</f>
        <v>0</v>
      </c>
      <c r="N58" s="177">
        <f>SUM('Fuel per Province (Sugar)'!U59:V59)</f>
        <v>0</v>
      </c>
      <c r="O58" s="177">
        <f>SUM('Fuel per Province (Sugar)'!W59:X59)</f>
        <v>0</v>
      </c>
      <c r="P58" s="184"/>
      <c r="Q58" s="185"/>
      <c r="R58" s="186"/>
      <c r="S58" s="184"/>
      <c r="T58" s="184"/>
      <c r="U58" s="184"/>
      <c r="V58" s="184"/>
      <c r="W58" s="184"/>
      <c r="X58" s="187"/>
      <c r="Y58" s="187"/>
      <c r="Z58" s="187"/>
      <c r="AA58" s="187"/>
      <c r="AB58" s="187"/>
      <c r="AC58" s="187"/>
      <c r="AD58" s="187"/>
      <c r="AE58" s="187"/>
    </row>
    <row r="59" spans="1:31" s="188" customFormat="1">
      <c r="A59" s="182"/>
      <c r="B59" s="181" t="s">
        <v>211</v>
      </c>
      <c r="C59" s="184" t="s">
        <v>396</v>
      </c>
      <c r="D59" s="177">
        <f>SUM('Fuel per Province (Sugar)'!D60:E60)</f>
        <v>0</v>
      </c>
      <c r="E59" s="177">
        <f>SUM('Fuel per Province (Sugar)'!F60:G60)</f>
        <v>0</v>
      </c>
      <c r="F59" s="177">
        <f>SUM('Fuel per Province (Sugar)'!H60:I60)</f>
        <v>0</v>
      </c>
      <c r="G59" s="177">
        <f>SUM('Fuel per Province (Sugar)'!J60:K60)</f>
        <v>0</v>
      </c>
      <c r="H59" s="177">
        <f>SUM('Fuel per Province (Sugar)'!L60:M60)</f>
        <v>0</v>
      </c>
      <c r="I59" s="177">
        <f>SUM('Fuel per Province (Sugar)'!N60:O60)</f>
        <v>0</v>
      </c>
      <c r="J59" s="177">
        <v>0</v>
      </c>
      <c r="K59" s="177">
        <v>0</v>
      </c>
      <c r="L59" s="177">
        <v>0</v>
      </c>
      <c r="M59" s="177">
        <f>SUM('Fuel per Province (Sugar)'!S60:T60)</f>
        <v>0</v>
      </c>
      <c r="N59" s="177">
        <f>SUM('Fuel per Province (Sugar)'!U60:V60)</f>
        <v>0</v>
      </c>
      <c r="O59" s="177">
        <f>SUM('Fuel per Province (Sugar)'!W60:X60)</f>
        <v>0</v>
      </c>
      <c r="P59" s="184"/>
      <c r="Q59" s="185"/>
      <c r="R59" s="186"/>
      <c r="S59" s="184"/>
      <c r="T59" s="184"/>
      <c r="U59" s="184"/>
      <c r="V59" s="184"/>
      <c r="W59" s="184"/>
      <c r="X59" s="187"/>
      <c r="Y59" s="187"/>
      <c r="Z59" s="187"/>
      <c r="AA59" s="187"/>
      <c r="AB59" s="187"/>
      <c r="AC59" s="187"/>
      <c r="AD59" s="187"/>
      <c r="AE59" s="187"/>
    </row>
    <row r="60" spans="1:31" s="188" customFormat="1">
      <c r="A60" s="182"/>
      <c r="B60" s="181" t="s">
        <v>47</v>
      </c>
      <c r="C60" s="184" t="s">
        <v>396</v>
      </c>
      <c r="D60" s="177">
        <f>SUM('Fuel per Province (Sugar)'!D61:E61)</f>
        <v>0</v>
      </c>
      <c r="E60" s="177">
        <f>SUM('Fuel per Province (Sugar)'!F61:G61)</f>
        <v>0</v>
      </c>
      <c r="F60" s="177">
        <f>SUM('Fuel per Province (Sugar)'!H61:I61)</f>
        <v>0</v>
      </c>
      <c r="G60" s="177">
        <f>SUM('Fuel per Province (Sugar)'!J61:K61)</f>
        <v>0</v>
      </c>
      <c r="H60" s="177">
        <f>SUM('Fuel per Province (Sugar)'!L61:M61)</f>
        <v>0</v>
      </c>
      <c r="I60" s="177">
        <f>SUM('Fuel per Province (Sugar)'!N61:O61)</f>
        <v>0</v>
      </c>
      <c r="J60" s="177">
        <v>0</v>
      </c>
      <c r="K60" s="177">
        <v>0</v>
      </c>
      <c r="L60" s="177">
        <v>0</v>
      </c>
      <c r="M60" s="177">
        <f>SUM('Fuel per Province (Sugar)'!S61:T61)</f>
        <v>0</v>
      </c>
      <c r="N60" s="177">
        <f>SUM('Fuel per Province (Sugar)'!U61:V61)</f>
        <v>0</v>
      </c>
      <c r="O60" s="177">
        <f>SUM('Fuel per Province (Sugar)'!W61:X61)</f>
        <v>0</v>
      </c>
      <c r="P60" s="184"/>
      <c r="Q60" s="185"/>
      <c r="R60" s="186"/>
      <c r="S60" s="184"/>
      <c r="T60" s="184"/>
      <c r="U60" s="184"/>
      <c r="V60" s="184"/>
      <c r="W60" s="184"/>
      <c r="X60" s="187"/>
      <c r="Y60" s="187"/>
      <c r="Z60" s="187"/>
      <c r="AA60" s="187"/>
      <c r="AB60" s="187"/>
      <c r="AC60" s="187"/>
      <c r="AD60" s="187"/>
      <c r="AE60" s="187"/>
    </row>
    <row r="61" spans="1:31" s="188" customFormat="1">
      <c r="A61" s="187" t="s">
        <v>55</v>
      </c>
      <c r="B61" s="181" t="s">
        <v>55</v>
      </c>
      <c r="C61" s="184" t="s">
        <v>372</v>
      </c>
      <c r="D61" s="177">
        <f>SUM('Fuel per Province (Sugar)'!D62:E62)</f>
        <v>963617.17249999999</v>
      </c>
      <c r="E61" s="177">
        <f>SUM('Fuel per Province (Sugar)'!F62:G62)</f>
        <v>963617.17249999999</v>
      </c>
      <c r="F61" s="177">
        <f>SUM('Fuel per Province (Sugar)'!H62:I62)</f>
        <v>963617.17249999999</v>
      </c>
      <c r="G61" s="177">
        <f>SUM('Fuel per Province (Sugar)'!J62:K62)</f>
        <v>963617.17249999999</v>
      </c>
      <c r="H61" s="177">
        <f>SUM('Fuel per Province (Sugar)'!L62:M62)</f>
        <v>963617.17249999999</v>
      </c>
      <c r="I61" s="177">
        <f>SUM('Fuel per Province (Sugar)'!N62:O62)</f>
        <v>839763.17249999999</v>
      </c>
      <c r="J61" s="184">
        <f>'Total Fuel per Operation(Sugar)'!P27</f>
        <v>0</v>
      </c>
      <c r="K61" s="184">
        <f>'Total Fuel per Operation(Sugar)'!Q27</f>
        <v>0</v>
      </c>
      <c r="L61" s="184">
        <f>'Total Fuel per Operation(Sugar)'!R27</f>
        <v>0</v>
      </c>
      <c r="M61" s="177">
        <f>SUM('Fuel per Province (Sugar)'!S62:T62)</f>
        <v>123854.00000000001</v>
      </c>
      <c r="N61" s="177">
        <f>SUM('Fuel per Province (Sugar)'!U62:V62)</f>
        <v>963617.17249999999</v>
      </c>
      <c r="O61" s="177">
        <f>SUM('Fuel per Province (Sugar)'!W62:X62)</f>
        <v>963617.17249999999</v>
      </c>
      <c r="P61" s="184">
        <f>SUM(D61:O61)</f>
        <v>7708937.3800000008</v>
      </c>
      <c r="Q61" s="185">
        <v>3359052.69</v>
      </c>
      <c r="R61" s="186">
        <v>8</v>
      </c>
      <c r="S61" s="184">
        <v>839763.17249999999</v>
      </c>
      <c r="T61" s="184">
        <v>839763.17249999999</v>
      </c>
      <c r="U61" s="184">
        <v>839763.17249999999</v>
      </c>
      <c r="V61" s="184">
        <v>839763.17249999999</v>
      </c>
      <c r="W61" s="184">
        <v>839763.17249999999</v>
      </c>
      <c r="X61" s="184">
        <v>839763.17249999999</v>
      </c>
      <c r="Y61" s="187"/>
      <c r="Z61" s="187"/>
      <c r="AA61" s="187"/>
      <c r="AB61" s="187"/>
      <c r="AC61" s="184">
        <v>839763.17249999999</v>
      </c>
      <c r="AD61" s="184">
        <v>839763.17249999999</v>
      </c>
      <c r="AE61" s="187">
        <v>6718105.3800000008</v>
      </c>
    </row>
    <row r="62" spans="1:31" s="188" customFormat="1">
      <c r="A62" s="187"/>
      <c r="B62" s="181" t="s">
        <v>48</v>
      </c>
      <c r="C62" s="184" t="s">
        <v>372</v>
      </c>
      <c r="D62" s="177">
        <f>SUM('Fuel per Province (Sugar)'!D63:E63)</f>
        <v>0</v>
      </c>
      <c r="E62" s="177">
        <f>SUM('Fuel per Province (Sugar)'!F63:G63)</f>
        <v>0</v>
      </c>
      <c r="F62" s="177">
        <f>SUM('Fuel per Province (Sugar)'!H63:I63)</f>
        <v>0</v>
      </c>
      <c r="G62" s="177">
        <f>SUM('Fuel per Province (Sugar)'!J63:K63)</f>
        <v>0</v>
      </c>
      <c r="H62" s="177">
        <f>SUM('Fuel per Province (Sugar)'!L63:M63)</f>
        <v>0</v>
      </c>
      <c r="I62" s="177">
        <f>SUM('Fuel per Province (Sugar)'!N63:O63)</f>
        <v>0</v>
      </c>
      <c r="J62" s="177">
        <v>0</v>
      </c>
      <c r="K62" s="177">
        <v>0</v>
      </c>
      <c r="L62" s="177">
        <v>0</v>
      </c>
      <c r="M62" s="177">
        <f>SUM('Fuel per Province (Sugar)'!S63:T63)</f>
        <v>0</v>
      </c>
      <c r="N62" s="177">
        <f>SUM('Fuel per Province (Sugar)'!U63:V63)</f>
        <v>0</v>
      </c>
      <c r="O62" s="177">
        <f>SUM('Fuel per Province (Sugar)'!W63:X63)</f>
        <v>0</v>
      </c>
      <c r="P62" s="184"/>
      <c r="Q62" s="185"/>
      <c r="R62" s="186"/>
      <c r="S62" s="184"/>
      <c r="T62" s="184"/>
      <c r="U62" s="184"/>
      <c r="V62" s="184"/>
      <c r="W62" s="184"/>
      <c r="X62" s="184"/>
      <c r="Y62" s="187"/>
      <c r="Z62" s="187"/>
      <c r="AA62" s="187"/>
      <c r="AB62" s="187"/>
      <c r="AC62" s="184"/>
      <c r="AD62" s="184"/>
      <c r="AE62" s="187"/>
    </row>
    <row r="63" spans="1:31" s="188" customFormat="1">
      <c r="A63" s="187"/>
      <c r="B63" s="181" t="s">
        <v>209</v>
      </c>
      <c r="C63" s="184" t="s">
        <v>372</v>
      </c>
      <c r="D63" s="177">
        <f>SUM('Fuel per Province (Sugar)'!D64:E64)</f>
        <v>0</v>
      </c>
      <c r="E63" s="177">
        <f>SUM('Fuel per Province (Sugar)'!F64:G64)</f>
        <v>0</v>
      </c>
      <c r="F63" s="177">
        <f>SUM('Fuel per Province (Sugar)'!H64:I64)</f>
        <v>0</v>
      </c>
      <c r="G63" s="177">
        <f>SUM('Fuel per Province (Sugar)'!J64:K64)</f>
        <v>0</v>
      </c>
      <c r="H63" s="177">
        <f>SUM('Fuel per Province (Sugar)'!L64:M64)</f>
        <v>0</v>
      </c>
      <c r="I63" s="177">
        <f>SUM('Fuel per Province (Sugar)'!N64:O64)</f>
        <v>0</v>
      </c>
      <c r="J63" s="177">
        <v>0</v>
      </c>
      <c r="K63" s="177">
        <v>0</v>
      </c>
      <c r="L63" s="177">
        <v>0</v>
      </c>
      <c r="M63" s="177">
        <f>SUM('Fuel per Province (Sugar)'!S64:T64)</f>
        <v>0</v>
      </c>
      <c r="N63" s="177">
        <f>SUM('Fuel per Province (Sugar)'!U64:V64)</f>
        <v>0</v>
      </c>
      <c r="O63" s="177">
        <f>SUM('Fuel per Province (Sugar)'!W64:X64)</f>
        <v>0</v>
      </c>
      <c r="P63" s="184"/>
      <c r="Q63" s="185"/>
      <c r="R63" s="186"/>
      <c r="S63" s="184"/>
      <c r="T63" s="184"/>
      <c r="U63" s="184"/>
      <c r="V63" s="184"/>
      <c r="W63" s="184"/>
      <c r="X63" s="184"/>
      <c r="Y63" s="187"/>
      <c r="Z63" s="187"/>
      <c r="AA63" s="187"/>
      <c r="AB63" s="187"/>
      <c r="AC63" s="184"/>
      <c r="AD63" s="184"/>
      <c r="AE63" s="187"/>
    </row>
    <row r="64" spans="1:31" s="188" customFormat="1">
      <c r="A64" s="187"/>
      <c r="B64" s="181" t="s">
        <v>59</v>
      </c>
      <c r="C64" s="184" t="s">
        <v>372</v>
      </c>
      <c r="D64" s="177">
        <f>SUM('Fuel per Province (Sugar)'!D65:E65)</f>
        <v>0</v>
      </c>
      <c r="E64" s="177">
        <f>SUM('Fuel per Province (Sugar)'!F65:G65)</f>
        <v>0</v>
      </c>
      <c r="F64" s="177">
        <f>SUM('Fuel per Province (Sugar)'!H65:I65)</f>
        <v>0</v>
      </c>
      <c r="G64" s="177">
        <f>SUM('Fuel per Province (Sugar)'!J65:K65)</f>
        <v>0</v>
      </c>
      <c r="H64" s="177">
        <f>SUM('Fuel per Province (Sugar)'!L65:M65)</f>
        <v>0</v>
      </c>
      <c r="I64" s="177">
        <f>SUM('Fuel per Province (Sugar)'!N65:O65)</f>
        <v>0</v>
      </c>
      <c r="J64" s="177">
        <v>0</v>
      </c>
      <c r="K64" s="177">
        <v>0</v>
      </c>
      <c r="L64" s="177">
        <v>0</v>
      </c>
      <c r="M64" s="177">
        <f>SUM('Fuel per Province (Sugar)'!S65:T65)</f>
        <v>0</v>
      </c>
      <c r="N64" s="177">
        <f>SUM('Fuel per Province (Sugar)'!U65:V65)</f>
        <v>0</v>
      </c>
      <c r="O64" s="177">
        <f>SUM('Fuel per Province (Sugar)'!W65:X65)</f>
        <v>0</v>
      </c>
      <c r="P64" s="184"/>
      <c r="Q64" s="185"/>
      <c r="R64" s="186"/>
      <c r="S64" s="184"/>
      <c r="T64" s="184"/>
      <c r="U64" s="184"/>
      <c r="V64" s="184"/>
      <c r="W64" s="184"/>
      <c r="X64" s="184"/>
      <c r="Y64" s="187"/>
      <c r="Z64" s="187"/>
      <c r="AA64" s="187"/>
      <c r="AB64" s="187"/>
      <c r="AC64" s="184"/>
      <c r="AD64" s="184"/>
      <c r="AE64" s="187"/>
    </row>
    <row r="65" spans="1:31" s="188" customFormat="1">
      <c r="A65" s="187"/>
      <c r="B65" s="181" t="s">
        <v>81</v>
      </c>
      <c r="C65" s="184" t="s">
        <v>372</v>
      </c>
      <c r="D65" s="177">
        <f>SUM('Fuel per Province (Sugar)'!D66:E66)</f>
        <v>0</v>
      </c>
      <c r="E65" s="177">
        <f>SUM('Fuel per Province (Sugar)'!F66:G66)</f>
        <v>0</v>
      </c>
      <c r="F65" s="177">
        <f>SUM('Fuel per Province (Sugar)'!H66:I66)</f>
        <v>0</v>
      </c>
      <c r="G65" s="177">
        <f>SUM('Fuel per Province (Sugar)'!J66:K66)</f>
        <v>0</v>
      </c>
      <c r="H65" s="177">
        <f>SUM('Fuel per Province (Sugar)'!L66:M66)</f>
        <v>0</v>
      </c>
      <c r="I65" s="177">
        <f>SUM('Fuel per Province (Sugar)'!N66:O66)</f>
        <v>0</v>
      </c>
      <c r="J65" s="177">
        <v>0</v>
      </c>
      <c r="K65" s="177">
        <v>0</v>
      </c>
      <c r="L65" s="177">
        <v>0</v>
      </c>
      <c r="M65" s="177">
        <f>SUM('Fuel per Province (Sugar)'!S66:T66)</f>
        <v>0</v>
      </c>
      <c r="N65" s="177">
        <f>SUM('Fuel per Province (Sugar)'!U66:V66)</f>
        <v>0</v>
      </c>
      <c r="O65" s="177">
        <f>SUM('Fuel per Province (Sugar)'!W66:X66)</f>
        <v>0</v>
      </c>
      <c r="P65" s="184"/>
      <c r="Q65" s="185"/>
      <c r="R65" s="186"/>
      <c r="S65" s="184"/>
      <c r="T65" s="184"/>
      <c r="U65" s="184"/>
      <c r="V65" s="184"/>
      <c r="W65" s="184"/>
      <c r="X65" s="184"/>
      <c r="Y65" s="187"/>
      <c r="Z65" s="187"/>
      <c r="AA65" s="187"/>
      <c r="AB65" s="187"/>
      <c r="AC65" s="184"/>
      <c r="AD65" s="184"/>
      <c r="AE65" s="187"/>
    </row>
    <row r="66" spans="1:31" s="188" customFormat="1">
      <c r="A66" s="187"/>
      <c r="B66" s="181" t="s">
        <v>207</v>
      </c>
      <c r="C66" s="184" t="s">
        <v>375</v>
      </c>
      <c r="D66" s="177">
        <f>SUM('Fuel per Province (Sugar)'!D67:E67)</f>
        <v>0</v>
      </c>
      <c r="E66" s="177">
        <f>SUM('Fuel per Province (Sugar)'!F67:G67)</f>
        <v>0</v>
      </c>
      <c r="F66" s="177">
        <f>SUM('Fuel per Province (Sugar)'!H67:I67)</f>
        <v>0</v>
      </c>
      <c r="G66" s="177">
        <f>SUM('Fuel per Province (Sugar)'!J67:K67)</f>
        <v>0</v>
      </c>
      <c r="H66" s="177">
        <f>SUM('Fuel per Province (Sugar)'!L67:M67)</f>
        <v>0</v>
      </c>
      <c r="I66" s="177">
        <f>SUM('Fuel per Province (Sugar)'!N67:O67)</f>
        <v>0</v>
      </c>
      <c r="J66" s="177">
        <v>0</v>
      </c>
      <c r="K66" s="177">
        <v>0</v>
      </c>
      <c r="L66" s="177">
        <v>0</v>
      </c>
      <c r="M66" s="177">
        <f>SUM('Fuel per Province (Sugar)'!S67:T67)</f>
        <v>0</v>
      </c>
      <c r="N66" s="177">
        <f>SUM('Fuel per Province (Sugar)'!U67:V67)</f>
        <v>0</v>
      </c>
      <c r="O66" s="177">
        <f>SUM('Fuel per Province (Sugar)'!W67:X67)</f>
        <v>0</v>
      </c>
      <c r="P66" s="184"/>
      <c r="Q66" s="185"/>
      <c r="R66" s="186"/>
      <c r="S66" s="184"/>
      <c r="T66" s="184"/>
      <c r="U66" s="184"/>
      <c r="V66" s="184"/>
      <c r="W66" s="184"/>
      <c r="X66" s="184"/>
      <c r="Y66" s="187"/>
      <c r="Z66" s="187"/>
      <c r="AA66" s="187"/>
      <c r="AB66" s="187"/>
      <c r="AC66" s="184"/>
      <c r="AD66" s="184"/>
      <c r="AE66" s="187"/>
    </row>
    <row r="67" spans="1:31" s="188" customFormat="1">
      <c r="A67" s="182" t="s">
        <v>373</v>
      </c>
      <c r="B67" s="181" t="s">
        <v>208</v>
      </c>
      <c r="C67" s="184" t="s">
        <v>375</v>
      </c>
      <c r="D67" s="177">
        <f>SUM('Fuel per Province (Sugar)'!D68:E68)</f>
        <v>140472.36799999999</v>
      </c>
      <c r="E67" s="177">
        <f>SUM('Fuel per Province (Sugar)'!F68:G68)</f>
        <v>140472.36799999999</v>
      </c>
      <c r="F67" s="177">
        <f>SUM('Fuel per Province (Sugar)'!H68:I68)</f>
        <v>140472.36799999999</v>
      </c>
      <c r="G67" s="177">
        <f>SUM('Fuel per Province (Sugar)'!J68:K68)</f>
        <v>106352.36799999999</v>
      </c>
      <c r="H67" s="177">
        <f>SUM('Fuel per Province (Sugar)'!L68:M68)</f>
        <v>106352.36799999999</v>
      </c>
      <c r="I67" s="177">
        <f>SUM('Fuel per Province (Sugar)'!N68:O68)</f>
        <v>0</v>
      </c>
      <c r="J67" s="184">
        <f>'Total Fuel per Operation(Sugar)'!P28</f>
        <v>0</v>
      </c>
      <c r="K67" s="184">
        <f>'Total Fuel per Operation(Sugar)'!Q28</f>
        <v>0</v>
      </c>
      <c r="L67" s="184">
        <f>'Total Fuel per Operation(Sugar)'!R28</f>
        <v>0</v>
      </c>
      <c r="M67" s="177">
        <f>SUM('Fuel per Province (Sugar)'!S68:T68)</f>
        <v>0</v>
      </c>
      <c r="N67" s="177">
        <f>SUM('Fuel per Province (Sugar)'!U68:V68)</f>
        <v>0</v>
      </c>
      <c r="O67" s="177">
        <f>SUM('Fuel per Province (Sugar)'!W68:X68)</f>
        <v>34120</v>
      </c>
      <c r="P67" s="184">
        <f>SUM(D67:O67)</f>
        <v>668241.84</v>
      </c>
      <c r="Q67" s="185">
        <v>265880.92</v>
      </c>
      <c r="R67" s="186">
        <v>5</v>
      </c>
      <c r="S67" s="184">
        <v>106352.36799999999</v>
      </c>
      <c r="T67" s="184">
        <v>106352.36799999999</v>
      </c>
      <c r="U67" s="184">
        <v>106352.36799999999</v>
      </c>
      <c r="V67" s="184">
        <v>106352.36799999999</v>
      </c>
      <c r="W67" s="184">
        <v>106352.36799999999</v>
      </c>
      <c r="X67" s="187"/>
      <c r="Y67" s="187"/>
      <c r="Z67" s="187"/>
      <c r="AA67" s="187"/>
      <c r="AB67" s="187"/>
      <c r="AC67" s="187"/>
      <c r="AD67" s="187"/>
      <c r="AE67" s="187">
        <v>531761.84</v>
      </c>
    </row>
    <row r="68" spans="1:31" s="188" customFormat="1">
      <c r="A68" s="182"/>
      <c r="B68" s="181" t="s">
        <v>83</v>
      </c>
      <c r="C68" s="184" t="s">
        <v>375</v>
      </c>
      <c r="D68" s="177">
        <f>SUM('Fuel per Province (Sugar)'!D69:E69)</f>
        <v>0</v>
      </c>
      <c r="E68" s="177">
        <f>SUM('Fuel per Province (Sugar)'!F69:G69)</f>
        <v>0</v>
      </c>
      <c r="F68" s="177">
        <f>SUM('Fuel per Province (Sugar)'!H69:I69)</f>
        <v>0</v>
      </c>
      <c r="G68" s="177">
        <f>SUM('Fuel per Province (Sugar)'!J69:K69)</f>
        <v>0</v>
      </c>
      <c r="H68" s="177">
        <f>SUM('Fuel per Province (Sugar)'!L69:M69)</f>
        <v>0</v>
      </c>
      <c r="I68" s="177">
        <f>SUM('Fuel per Province (Sugar)'!N69:O69)</f>
        <v>0</v>
      </c>
      <c r="J68" s="177">
        <v>0</v>
      </c>
      <c r="K68" s="177">
        <v>0</v>
      </c>
      <c r="L68" s="177">
        <v>0</v>
      </c>
      <c r="M68" s="177">
        <f>SUM('Fuel per Province (Sugar)'!S69:T69)</f>
        <v>0</v>
      </c>
      <c r="N68" s="177">
        <f>SUM('Fuel per Province (Sugar)'!U69:V69)</f>
        <v>0</v>
      </c>
      <c r="O68" s="177">
        <f>SUM('Fuel per Province (Sugar)'!W69:X69)</f>
        <v>0</v>
      </c>
      <c r="P68" s="184"/>
      <c r="Q68" s="185"/>
      <c r="R68" s="186"/>
      <c r="S68" s="184"/>
      <c r="T68" s="184"/>
      <c r="U68" s="184"/>
      <c r="V68" s="184"/>
      <c r="W68" s="184"/>
      <c r="X68" s="187"/>
      <c r="Y68" s="187"/>
      <c r="Z68" s="187"/>
      <c r="AA68" s="187"/>
      <c r="AB68" s="187"/>
      <c r="AC68" s="187"/>
      <c r="AD68" s="187"/>
      <c r="AE68" s="187"/>
    </row>
    <row r="69" spans="1:31" s="188" customFormat="1">
      <c r="A69" s="182"/>
      <c r="B69" s="181" t="s">
        <v>96</v>
      </c>
      <c r="C69" s="184" t="s">
        <v>375</v>
      </c>
      <c r="D69" s="177">
        <f>SUM('Fuel per Province (Sugar)'!D70:E70)</f>
        <v>0</v>
      </c>
      <c r="E69" s="177">
        <f>SUM('Fuel per Province (Sugar)'!F70:G70)</f>
        <v>0</v>
      </c>
      <c r="F69" s="177">
        <f>SUM('Fuel per Province (Sugar)'!H70:I70)</f>
        <v>0</v>
      </c>
      <c r="G69" s="177">
        <f>SUM('Fuel per Province (Sugar)'!J70:K70)</f>
        <v>0</v>
      </c>
      <c r="H69" s="177">
        <f>SUM('Fuel per Province (Sugar)'!L70:M70)</f>
        <v>0</v>
      </c>
      <c r="I69" s="177">
        <f>SUM('Fuel per Province (Sugar)'!N70:O70)</f>
        <v>0</v>
      </c>
      <c r="J69" s="177">
        <v>0</v>
      </c>
      <c r="K69" s="177">
        <v>0</v>
      </c>
      <c r="L69" s="177">
        <v>0</v>
      </c>
      <c r="M69" s="177">
        <f>SUM('Fuel per Province (Sugar)'!S70:T70)</f>
        <v>0</v>
      </c>
      <c r="N69" s="177">
        <f>SUM('Fuel per Province (Sugar)'!U70:V70)</f>
        <v>0</v>
      </c>
      <c r="O69" s="177">
        <f>SUM('Fuel per Province (Sugar)'!W70:X70)</f>
        <v>0</v>
      </c>
      <c r="P69" s="184"/>
      <c r="Q69" s="185"/>
      <c r="R69" s="186"/>
      <c r="S69" s="184"/>
      <c r="T69" s="184"/>
      <c r="U69" s="184"/>
      <c r="V69" s="184"/>
      <c r="W69" s="184"/>
      <c r="X69" s="187"/>
      <c r="Y69" s="187"/>
      <c r="Z69" s="187"/>
      <c r="AA69" s="187"/>
      <c r="AB69" s="187"/>
      <c r="AC69" s="187"/>
      <c r="AD69" s="187"/>
      <c r="AE69" s="187"/>
    </row>
    <row r="70" spans="1:31" s="188" customFormat="1">
      <c r="A70" s="182"/>
      <c r="B70" s="181" t="s">
        <v>212</v>
      </c>
      <c r="C70" s="184" t="s">
        <v>375</v>
      </c>
      <c r="D70" s="177">
        <f>SUM('Fuel per Province (Sugar)'!D71:E71)</f>
        <v>0</v>
      </c>
      <c r="E70" s="177">
        <f>SUM('Fuel per Province (Sugar)'!F71:G71)</f>
        <v>0</v>
      </c>
      <c r="F70" s="177">
        <f>SUM('Fuel per Province (Sugar)'!H71:I71)</f>
        <v>0</v>
      </c>
      <c r="G70" s="177">
        <f>SUM('Fuel per Province (Sugar)'!J71:K71)</f>
        <v>0</v>
      </c>
      <c r="H70" s="177">
        <f>SUM('Fuel per Province (Sugar)'!L71:M71)</f>
        <v>0</v>
      </c>
      <c r="I70" s="177">
        <f>SUM('Fuel per Province (Sugar)'!N71:O71)</f>
        <v>0</v>
      </c>
      <c r="J70" s="177">
        <v>0</v>
      </c>
      <c r="K70" s="177">
        <v>0</v>
      </c>
      <c r="L70" s="177">
        <v>0</v>
      </c>
      <c r="M70" s="177">
        <f>SUM('Fuel per Province (Sugar)'!S71:T71)</f>
        <v>0</v>
      </c>
      <c r="N70" s="177">
        <f>SUM('Fuel per Province (Sugar)'!U71:V71)</f>
        <v>0</v>
      </c>
      <c r="O70" s="177">
        <f>SUM('Fuel per Province (Sugar)'!W71:X71)</f>
        <v>0</v>
      </c>
      <c r="P70" s="184"/>
      <c r="Q70" s="185"/>
      <c r="R70" s="186"/>
      <c r="S70" s="184"/>
      <c r="T70" s="184"/>
      <c r="U70" s="184"/>
      <c r="V70" s="184"/>
      <c r="W70" s="184"/>
      <c r="X70" s="187"/>
      <c r="Y70" s="187"/>
      <c r="Z70" s="187"/>
      <c r="AA70" s="187"/>
      <c r="AB70" s="187"/>
      <c r="AC70" s="187"/>
      <c r="AD70" s="187"/>
      <c r="AE70" s="187"/>
    </row>
    <row r="71" spans="1:31" s="188" customFormat="1">
      <c r="A71" s="182"/>
      <c r="B71" s="181" t="s">
        <v>49</v>
      </c>
      <c r="C71" s="184" t="s">
        <v>377</v>
      </c>
      <c r="D71" s="177">
        <f>SUM('Fuel per Province (Sugar)'!D72:E72)</f>
        <v>0</v>
      </c>
      <c r="E71" s="177">
        <f>SUM('Fuel per Province (Sugar)'!F72:G72)</f>
        <v>0</v>
      </c>
      <c r="F71" s="177">
        <f>SUM('Fuel per Province (Sugar)'!H72:I72)</f>
        <v>0</v>
      </c>
      <c r="G71" s="177">
        <f>SUM('Fuel per Province (Sugar)'!J72:K72)</f>
        <v>0</v>
      </c>
      <c r="H71" s="177">
        <f>SUM('Fuel per Province (Sugar)'!L72:M72)</f>
        <v>0</v>
      </c>
      <c r="I71" s="177">
        <f>SUM('Fuel per Province (Sugar)'!N72:O72)</f>
        <v>0</v>
      </c>
      <c r="J71" s="177">
        <v>0</v>
      </c>
      <c r="K71" s="177">
        <v>0</v>
      </c>
      <c r="L71" s="177">
        <v>0</v>
      </c>
      <c r="M71" s="177">
        <f>SUM('Fuel per Province (Sugar)'!S72:T72)</f>
        <v>0</v>
      </c>
      <c r="N71" s="177">
        <f>SUM('Fuel per Province (Sugar)'!U72:V72)</f>
        <v>0</v>
      </c>
      <c r="O71" s="177">
        <f>SUM('Fuel per Province (Sugar)'!W72:X72)</f>
        <v>0</v>
      </c>
      <c r="P71" s="184"/>
      <c r="Q71" s="185"/>
      <c r="R71" s="186"/>
      <c r="S71" s="184"/>
      <c r="T71" s="184"/>
      <c r="U71" s="184"/>
      <c r="V71" s="184"/>
      <c r="W71" s="184"/>
      <c r="X71" s="187"/>
      <c r="Y71" s="187"/>
      <c r="Z71" s="187"/>
      <c r="AA71" s="187"/>
      <c r="AB71" s="187"/>
      <c r="AC71" s="187"/>
      <c r="AD71" s="187"/>
      <c r="AE71" s="187"/>
    </row>
    <row r="72" spans="1:31" s="188" customFormat="1">
      <c r="A72" s="182"/>
      <c r="B72" s="181" t="s">
        <v>50</v>
      </c>
      <c r="C72" s="184" t="s">
        <v>377</v>
      </c>
      <c r="D72" s="177">
        <f>SUM('Fuel per Province (Sugar)'!D73:E73)</f>
        <v>0</v>
      </c>
      <c r="E72" s="177">
        <f>SUM('Fuel per Province (Sugar)'!F73:G73)</f>
        <v>0</v>
      </c>
      <c r="F72" s="177">
        <f>SUM('Fuel per Province (Sugar)'!H73:I73)</f>
        <v>0</v>
      </c>
      <c r="G72" s="177">
        <f>SUM('Fuel per Province (Sugar)'!J73:K73)</f>
        <v>0</v>
      </c>
      <c r="H72" s="177">
        <f>SUM('Fuel per Province (Sugar)'!L73:M73)</f>
        <v>0</v>
      </c>
      <c r="I72" s="177">
        <f>SUM('Fuel per Province (Sugar)'!N73:O73)</f>
        <v>0</v>
      </c>
      <c r="J72" s="177">
        <v>0</v>
      </c>
      <c r="K72" s="177">
        <v>0</v>
      </c>
      <c r="L72" s="177">
        <v>0</v>
      </c>
      <c r="M72" s="177">
        <f>SUM('Fuel per Province (Sugar)'!S73:T73)</f>
        <v>0</v>
      </c>
      <c r="N72" s="177">
        <f>SUM('Fuel per Province (Sugar)'!U73:V73)</f>
        <v>0</v>
      </c>
      <c r="O72" s="177">
        <f>SUM('Fuel per Province (Sugar)'!W73:X73)</f>
        <v>0</v>
      </c>
      <c r="P72" s="184"/>
      <c r="Q72" s="185"/>
      <c r="R72" s="186"/>
      <c r="S72" s="184"/>
      <c r="T72" s="184"/>
      <c r="U72" s="184"/>
      <c r="V72" s="184"/>
      <c r="W72" s="184"/>
      <c r="X72" s="187"/>
      <c r="Y72" s="187"/>
      <c r="Z72" s="187"/>
      <c r="AA72" s="187"/>
      <c r="AB72" s="187"/>
      <c r="AC72" s="187"/>
      <c r="AD72" s="187"/>
      <c r="AE72" s="187"/>
    </row>
    <row r="73" spans="1:31" s="188" customFormat="1">
      <c r="A73" s="182"/>
      <c r="B73" s="181" t="s">
        <v>51</v>
      </c>
      <c r="C73" s="184" t="s">
        <v>377</v>
      </c>
      <c r="D73" s="177">
        <f>SUM('Fuel per Province (Sugar)'!D74:E74)</f>
        <v>0</v>
      </c>
      <c r="E73" s="177">
        <f>SUM('Fuel per Province (Sugar)'!F74:G74)</f>
        <v>0</v>
      </c>
      <c r="F73" s="177">
        <f>SUM('Fuel per Province (Sugar)'!H74:I74)</f>
        <v>0</v>
      </c>
      <c r="G73" s="177">
        <f>SUM('Fuel per Province (Sugar)'!J74:K74)</f>
        <v>0</v>
      </c>
      <c r="H73" s="177">
        <f>SUM('Fuel per Province (Sugar)'!L74:M74)</f>
        <v>0</v>
      </c>
      <c r="I73" s="177">
        <f>SUM('Fuel per Province (Sugar)'!N74:O74)</f>
        <v>0</v>
      </c>
      <c r="J73" s="177">
        <v>0</v>
      </c>
      <c r="K73" s="177">
        <v>0</v>
      </c>
      <c r="L73" s="177">
        <v>0</v>
      </c>
      <c r="M73" s="177">
        <f>SUM('Fuel per Province (Sugar)'!S74:T74)</f>
        <v>0</v>
      </c>
      <c r="N73" s="177">
        <f>SUM('Fuel per Province (Sugar)'!U74:V74)</f>
        <v>0</v>
      </c>
      <c r="O73" s="177">
        <f>SUM('Fuel per Province (Sugar)'!W74:X74)</f>
        <v>0</v>
      </c>
      <c r="P73" s="184"/>
      <c r="Q73" s="185"/>
      <c r="R73" s="186"/>
      <c r="S73" s="184"/>
      <c r="T73" s="184"/>
      <c r="U73" s="184"/>
      <c r="V73" s="184"/>
      <c r="W73" s="184"/>
      <c r="X73" s="187"/>
      <c r="Y73" s="187"/>
      <c r="Z73" s="187"/>
      <c r="AA73" s="187"/>
      <c r="AB73" s="187"/>
      <c r="AC73" s="187"/>
      <c r="AD73" s="187"/>
      <c r="AE73" s="187"/>
    </row>
    <row r="74" spans="1:31" s="197" customFormat="1">
      <c r="A74" s="182" t="s">
        <v>213</v>
      </c>
      <c r="B74" s="181" t="s">
        <v>213</v>
      </c>
      <c r="C74" s="184" t="s">
        <v>377</v>
      </c>
      <c r="D74" s="177">
        <f>SUM('Fuel per Province (Sugar)'!D75:E75)</f>
        <v>218136.85714285713</v>
      </c>
      <c r="E74" s="177">
        <f>SUM('Fuel per Province (Sugar)'!F75:G75)</f>
        <v>218136.85714285713</v>
      </c>
      <c r="F74" s="177">
        <f>SUM('Fuel per Province (Sugar)'!H75:I75)</f>
        <v>218136.85714285713</v>
      </c>
      <c r="G74" s="177">
        <f>SUM('Fuel per Province (Sugar)'!J75:K75)</f>
        <v>164536.85714285713</v>
      </c>
      <c r="H74" s="177">
        <f>SUM('Fuel per Province (Sugar)'!L75:M75)</f>
        <v>164536.85714285713</v>
      </c>
      <c r="I74" s="177">
        <f>SUM('Fuel per Province (Sugar)'!N75:O75)</f>
        <v>0</v>
      </c>
      <c r="J74" s="184">
        <f>'Total Fuel per Operation(Sugar)'!P29</f>
        <v>0</v>
      </c>
      <c r="K74" s="184">
        <f>'Total Fuel per Operation(Sugar)'!Q29</f>
        <v>0</v>
      </c>
      <c r="L74" s="184">
        <f>'Total Fuel per Operation(Sugar)'!R29</f>
        <v>0</v>
      </c>
      <c r="M74" s="177">
        <f>SUM('Fuel per Province (Sugar)'!S75:T75)</f>
        <v>0</v>
      </c>
      <c r="N74" s="177">
        <f>SUM('Fuel per Province (Sugar)'!U75:V75)</f>
        <v>164536.85714285713</v>
      </c>
      <c r="O74" s="177">
        <f>SUM('Fuel per Province (Sugar)'!W75:X75)</f>
        <v>218136.85714285713</v>
      </c>
      <c r="P74" s="184">
        <f>SUM(D74:O74)</f>
        <v>1366157.9999999998</v>
      </c>
      <c r="Q74" s="185">
        <v>575879</v>
      </c>
      <c r="R74" s="186">
        <v>7</v>
      </c>
      <c r="S74" s="184">
        <v>164536.85714285713</v>
      </c>
      <c r="T74" s="184">
        <v>164536.85714285713</v>
      </c>
      <c r="U74" s="184">
        <v>164536.85714285713</v>
      </c>
      <c r="V74" s="184">
        <v>164536.85714285713</v>
      </c>
      <c r="W74" s="184">
        <v>164536.85714285713</v>
      </c>
      <c r="X74" s="196"/>
      <c r="Y74" s="196"/>
      <c r="Z74" s="196"/>
      <c r="AA74" s="196"/>
      <c r="AB74" s="196"/>
      <c r="AC74" s="184">
        <v>164536.85714285713</v>
      </c>
      <c r="AD74" s="184">
        <v>164536.85714285713</v>
      </c>
      <c r="AE74" s="187">
        <v>1151758</v>
      </c>
    </row>
    <row r="75" spans="1:31" s="197" customFormat="1">
      <c r="A75" s="182"/>
      <c r="B75" s="181" t="s">
        <v>145</v>
      </c>
      <c r="C75" s="198" t="s">
        <v>397</v>
      </c>
      <c r="D75" s="177">
        <f>SUM('Fuel per Province (Sugar)'!D76:E76)</f>
        <v>0</v>
      </c>
      <c r="E75" s="177">
        <f>SUM('Fuel per Province (Sugar)'!F76:G76)</f>
        <v>0</v>
      </c>
      <c r="F75" s="177">
        <f>SUM('Fuel per Province (Sugar)'!H76:I76)</f>
        <v>0</v>
      </c>
      <c r="G75" s="177">
        <f>SUM('Fuel per Province (Sugar)'!J76:K76)</f>
        <v>0</v>
      </c>
      <c r="H75" s="177">
        <f>SUM('Fuel per Province (Sugar)'!L76:M76)</f>
        <v>0</v>
      </c>
      <c r="I75" s="177">
        <f>SUM('Fuel per Province (Sugar)'!N76:O76)</f>
        <v>0</v>
      </c>
      <c r="J75" s="177">
        <v>0</v>
      </c>
      <c r="K75" s="177">
        <v>0</v>
      </c>
      <c r="L75" s="177">
        <v>0</v>
      </c>
      <c r="M75" s="177">
        <f>SUM('Fuel per Province (Sugar)'!S76:T76)</f>
        <v>0</v>
      </c>
      <c r="N75" s="177">
        <f>SUM('Fuel per Province (Sugar)'!U76:V76)</f>
        <v>0</v>
      </c>
      <c r="O75" s="177">
        <f>SUM('Fuel per Province (Sugar)'!W76:X76)</f>
        <v>0</v>
      </c>
      <c r="P75" s="198"/>
      <c r="Q75" s="185"/>
      <c r="R75" s="199"/>
      <c r="S75" s="200"/>
      <c r="T75" s="200"/>
      <c r="U75" s="200"/>
      <c r="V75" s="200"/>
      <c r="W75" s="200"/>
      <c r="X75" s="196"/>
      <c r="Y75" s="201"/>
      <c r="Z75" s="201"/>
      <c r="AA75" s="201"/>
      <c r="AB75" s="201"/>
      <c r="AC75" s="200"/>
      <c r="AD75" s="200"/>
      <c r="AE75" s="202"/>
    </row>
    <row r="76" spans="1:31" s="197" customFormat="1">
      <c r="A76" s="182"/>
      <c r="B76" s="181" t="s">
        <v>204</v>
      </c>
      <c r="C76" s="198" t="s">
        <v>397</v>
      </c>
      <c r="D76" s="177">
        <f>SUM('Fuel per Province (Sugar)'!D77:E77)</f>
        <v>0</v>
      </c>
      <c r="E76" s="177">
        <f>SUM('Fuel per Province (Sugar)'!F77:G77)</f>
        <v>0</v>
      </c>
      <c r="F76" s="177">
        <f>SUM('Fuel per Province (Sugar)'!H77:I77)</f>
        <v>0</v>
      </c>
      <c r="G76" s="177">
        <f>SUM('Fuel per Province (Sugar)'!J77:K77)</f>
        <v>0</v>
      </c>
      <c r="H76" s="177">
        <f>SUM('Fuel per Province (Sugar)'!L77:M77)</f>
        <v>0</v>
      </c>
      <c r="I76" s="177">
        <f>SUM('Fuel per Province (Sugar)'!N77:O77)</f>
        <v>0</v>
      </c>
      <c r="J76" s="177">
        <v>0</v>
      </c>
      <c r="K76" s="177">
        <v>0</v>
      </c>
      <c r="L76" s="177">
        <v>0</v>
      </c>
      <c r="M76" s="177">
        <f>SUM('Fuel per Province (Sugar)'!S77:T77)</f>
        <v>0</v>
      </c>
      <c r="N76" s="177">
        <f>SUM('Fuel per Province (Sugar)'!U77:V77)</f>
        <v>0</v>
      </c>
      <c r="O76" s="177">
        <f>SUM('Fuel per Province (Sugar)'!W77:X77)</f>
        <v>0</v>
      </c>
      <c r="P76" s="198"/>
      <c r="Q76" s="185"/>
      <c r="R76" s="199"/>
      <c r="S76" s="200"/>
      <c r="T76" s="200"/>
      <c r="U76" s="200"/>
      <c r="V76" s="200"/>
      <c r="W76" s="200"/>
      <c r="X76" s="196"/>
      <c r="Y76" s="201"/>
      <c r="Z76" s="201"/>
      <c r="AA76" s="201"/>
      <c r="AB76" s="201"/>
      <c r="AC76" s="200"/>
      <c r="AD76" s="200"/>
      <c r="AE76" s="202"/>
    </row>
    <row r="77" spans="1:31" s="197" customFormat="1">
      <c r="A77" s="182"/>
      <c r="B77" s="181" t="s">
        <v>52</v>
      </c>
      <c r="C77" s="198" t="s">
        <v>397</v>
      </c>
      <c r="D77" s="177">
        <f>SUM('Fuel per Province (Sugar)'!D78:E78)</f>
        <v>0</v>
      </c>
      <c r="E77" s="177">
        <f>SUM('Fuel per Province (Sugar)'!F78:G78)</f>
        <v>0</v>
      </c>
      <c r="F77" s="177">
        <f>SUM('Fuel per Province (Sugar)'!H78:I78)</f>
        <v>0</v>
      </c>
      <c r="G77" s="177">
        <f>SUM('Fuel per Province (Sugar)'!J78:K78)</f>
        <v>0</v>
      </c>
      <c r="H77" s="177">
        <f>SUM('Fuel per Province (Sugar)'!L78:M78)</f>
        <v>0</v>
      </c>
      <c r="I77" s="177">
        <f>SUM('Fuel per Province (Sugar)'!N78:O78)</f>
        <v>0</v>
      </c>
      <c r="J77" s="177">
        <v>0</v>
      </c>
      <c r="K77" s="177">
        <v>0</v>
      </c>
      <c r="L77" s="177">
        <v>0</v>
      </c>
      <c r="M77" s="177">
        <f>SUM('Fuel per Province (Sugar)'!S78:T78)</f>
        <v>0</v>
      </c>
      <c r="N77" s="177">
        <f>SUM('Fuel per Province (Sugar)'!U78:V78)</f>
        <v>0</v>
      </c>
      <c r="O77" s="177">
        <f>SUM('Fuel per Province (Sugar)'!W78:X78)</f>
        <v>0</v>
      </c>
      <c r="P77" s="198"/>
      <c r="Q77" s="185"/>
      <c r="R77" s="199"/>
      <c r="S77" s="200"/>
      <c r="T77" s="200"/>
      <c r="U77" s="200"/>
      <c r="V77" s="200"/>
      <c r="W77" s="200"/>
      <c r="X77" s="196"/>
      <c r="Y77" s="201"/>
      <c r="Z77" s="201"/>
      <c r="AA77" s="201"/>
      <c r="AB77" s="201"/>
      <c r="AC77" s="200"/>
      <c r="AD77" s="200"/>
      <c r="AE77" s="202"/>
    </row>
    <row r="78" spans="1:31" s="197" customFormat="1">
      <c r="A78" s="182"/>
      <c r="B78" s="181" t="s">
        <v>205</v>
      </c>
      <c r="C78" s="198" t="s">
        <v>397</v>
      </c>
      <c r="D78" s="177">
        <f>SUM('Fuel per Province (Sugar)'!D79:E79)</f>
        <v>0</v>
      </c>
      <c r="E78" s="177">
        <f>SUM('Fuel per Province (Sugar)'!F79:G79)</f>
        <v>0</v>
      </c>
      <c r="F78" s="177">
        <f>SUM('Fuel per Province (Sugar)'!H79:I79)</f>
        <v>0</v>
      </c>
      <c r="G78" s="177">
        <f>SUM('Fuel per Province (Sugar)'!J79:K79)</f>
        <v>0</v>
      </c>
      <c r="H78" s="177">
        <f>SUM('Fuel per Province (Sugar)'!L79:M79)</f>
        <v>0</v>
      </c>
      <c r="I78" s="177">
        <f>SUM('Fuel per Province (Sugar)'!N79:O79)</f>
        <v>0</v>
      </c>
      <c r="J78" s="177">
        <v>0</v>
      </c>
      <c r="K78" s="177">
        <v>0</v>
      </c>
      <c r="L78" s="177">
        <v>0</v>
      </c>
      <c r="M78" s="177">
        <f>SUM('Fuel per Province (Sugar)'!S79:T79)</f>
        <v>0</v>
      </c>
      <c r="N78" s="177">
        <f>SUM('Fuel per Province (Sugar)'!U79:V79)</f>
        <v>0</v>
      </c>
      <c r="O78" s="177">
        <f>SUM('Fuel per Province (Sugar)'!W79:X79)</f>
        <v>0</v>
      </c>
      <c r="P78" s="198"/>
      <c r="Q78" s="185"/>
      <c r="R78" s="199"/>
      <c r="S78" s="200"/>
      <c r="T78" s="200"/>
      <c r="U78" s="200"/>
      <c r="V78" s="200"/>
      <c r="W78" s="200"/>
      <c r="X78" s="196"/>
      <c r="Y78" s="201"/>
      <c r="Z78" s="201"/>
      <c r="AA78" s="201"/>
      <c r="AB78" s="201"/>
      <c r="AC78" s="200"/>
      <c r="AD78" s="200"/>
      <c r="AE78" s="202"/>
    </row>
    <row r="79" spans="1:31" s="197" customFormat="1">
      <c r="A79" s="182"/>
      <c r="B79" s="181" t="s">
        <v>206</v>
      </c>
      <c r="C79" s="198" t="s">
        <v>397</v>
      </c>
      <c r="D79" s="177">
        <f>SUM('Fuel per Province (Sugar)'!D80:E80)</f>
        <v>0</v>
      </c>
      <c r="E79" s="177">
        <f>SUM('Fuel per Province (Sugar)'!F80:G80)</f>
        <v>0</v>
      </c>
      <c r="F79" s="177">
        <f>SUM('Fuel per Province (Sugar)'!H80:I80)</f>
        <v>0</v>
      </c>
      <c r="G79" s="177">
        <f>SUM('Fuel per Province (Sugar)'!J80:K80)</f>
        <v>0</v>
      </c>
      <c r="H79" s="177">
        <f>SUM('Fuel per Province (Sugar)'!L80:M80)</f>
        <v>0</v>
      </c>
      <c r="I79" s="177">
        <f>SUM('Fuel per Province (Sugar)'!N80:O80)</f>
        <v>0</v>
      </c>
      <c r="J79" s="177">
        <v>0</v>
      </c>
      <c r="K79" s="177">
        <v>0</v>
      </c>
      <c r="L79" s="177">
        <v>0</v>
      </c>
      <c r="M79" s="177">
        <f>SUM('Fuel per Province (Sugar)'!S80:T80)</f>
        <v>0</v>
      </c>
      <c r="N79" s="177">
        <f>SUM('Fuel per Province (Sugar)'!U80:V80)</f>
        <v>0</v>
      </c>
      <c r="O79" s="177">
        <f>SUM('Fuel per Province (Sugar)'!W80:X80)</f>
        <v>0</v>
      </c>
      <c r="P79" s="198"/>
      <c r="Q79" s="185"/>
      <c r="R79" s="199"/>
      <c r="S79" s="200"/>
      <c r="T79" s="200"/>
      <c r="U79" s="200"/>
      <c r="V79" s="200"/>
      <c r="W79" s="200"/>
      <c r="X79" s="196"/>
      <c r="Y79" s="201"/>
      <c r="Z79" s="201"/>
      <c r="AA79" s="201"/>
      <c r="AB79" s="201"/>
      <c r="AC79" s="200"/>
      <c r="AD79" s="200"/>
      <c r="AE79" s="202"/>
    </row>
    <row r="80" spans="1:31" s="197" customFormat="1">
      <c r="A80" s="182"/>
      <c r="B80" s="181" t="s">
        <v>160</v>
      </c>
      <c r="C80" s="198" t="s">
        <v>309</v>
      </c>
      <c r="D80" s="177">
        <f>SUM('Fuel per Province (Sugar)'!D81:E81)</f>
        <v>0</v>
      </c>
      <c r="E80" s="177">
        <f>SUM('Fuel per Province (Sugar)'!F81:G81)</f>
        <v>0</v>
      </c>
      <c r="F80" s="177">
        <f>SUM('Fuel per Province (Sugar)'!H81:I81)</f>
        <v>0</v>
      </c>
      <c r="G80" s="177">
        <f>SUM('Fuel per Province (Sugar)'!J81:K81)</f>
        <v>0</v>
      </c>
      <c r="H80" s="177">
        <f>SUM('Fuel per Province (Sugar)'!L81:M81)</f>
        <v>0</v>
      </c>
      <c r="I80" s="177">
        <f>SUM('Fuel per Province (Sugar)'!N81:O81)</f>
        <v>0</v>
      </c>
      <c r="J80" s="177">
        <v>0</v>
      </c>
      <c r="K80" s="177">
        <v>0</v>
      </c>
      <c r="L80" s="177">
        <v>0</v>
      </c>
      <c r="M80" s="177">
        <f>SUM('Fuel per Province (Sugar)'!S81:T81)</f>
        <v>0</v>
      </c>
      <c r="N80" s="177">
        <f>SUM('Fuel per Province (Sugar)'!U81:V81)</f>
        <v>0</v>
      </c>
      <c r="O80" s="177">
        <f>SUM('Fuel per Province (Sugar)'!W81:X81)</f>
        <v>0</v>
      </c>
      <c r="P80" s="198"/>
      <c r="Q80" s="185"/>
      <c r="R80" s="199"/>
      <c r="S80" s="200"/>
      <c r="T80" s="200"/>
      <c r="U80" s="200"/>
      <c r="V80" s="200"/>
      <c r="W80" s="200"/>
      <c r="X80" s="196"/>
      <c r="Y80" s="201"/>
      <c r="Z80" s="201"/>
      <c r="AA80" s="201"/>
      <c r="AB80" s="201"/>
      <c r="AC80" s="200"/>
      <c r="AD80" s="200"/>
      <c r="AE80" s="202"/>
    </row>
    <row r="81" spans="1:31" s="197" customFormat="1">
      <c r="A81" s="182"/>
      <c r="B81" s="181" t="s">
        <v>203</v>
      </c>
      <c r="C81" s="198" t="s">
        <v>309</v>
      </c>
      <c r="D81" s="177">
        <f>SUM('Fuel per Province (Sugar)'!D82:E82)</f>
        <v>0</v>
      </c>
      <c r="E81" s="177">
        <f>SUM('Fuel per Province (Sugar)'!F82:G82)</f>
        <v>0</v>
      </c>
      <c r="F81" s="177">
        <f>SUM('Fuel per Province (Sugar)'!H82:I82)</f>
        <v>0</v>
      </c>
      <c r="G81" s="177">
        <f>SUM('Fuel per Province (Sugar)'!J82:K82)</f>
        <v>0</v>
      </c>
      <c r="H81" s="177">
        <f>SUM('Fuel per Province (Sugar)'!L82:M82)</f>
        <v>0</v>
      </c>
      <c r="I81" s="177">
        <f>SUM('Fuel per Province (Sugar)'!N82:O82)</f>
        <v>0</v>
      </c>
      <c r="J81" s="177">
        <v>0</v>
      </c>
      <c r="K81" s="177">
        <v>0</v>
      </c>
      <c r="L81" s="177">
        <v>0</v>
      </c>
      <c r="M81" s="177">
        <f>SUM('Fuel per Province (Sugar)'!S82:T82)</f>
        <v>0</v>
      </c>
      <c r="N81" s="177">
        <f>SUM('Fuel per Province (Sugar)'!U82:V82)</f>
        <v>0</v>
      </c>
      <c r="O81" s="177">
        <f>SUM('Fuel per Province (Sugar)'!W82:X82)</f>
        <v>0</v>
      </c>
      <c r="P81" s="198"/>
      <c r="Q81" s="185"/>
      <c r="R81" s="199"/>
      <c r="S81" s="200"/>
      <c r="T81" s="200"/>
      <c r="U81" s="200"/>
      <c r="V81" s="200"/>
      <c r="W81" s="200"/>
      <c r="X81" s="196"/>
      <c r="Y81" s="201"/>
      <c r="Z81" s="201"/>
      <c r="AA81" s="201"/>
      <c r="AB81" s="201"/>
      <c r="AC81" s="200"/>
      <c r="AD81" s="200"/>
      <c r="AE81" s="202"/>
    </row>
    <row r="82" spans="1:31" s="197" customFormat="1">
      <c r="A82" s="182"/>
      <c r="B82" s="181" t="s">
        <v>53</v>
      </c>
      <c r="C82" s="198" t="s">
        <v>309</v>
      </c>
      <c r="D82" s="177">
        <f>SUM('Fuel per Province (Sugar)'!D83:E83)</f>
        <v>0</v>
      </c>
      <c r="E82" s="177">
        <f>SUM('Fuel per Province (Sugar)'!F83:G83)</f>
        <v>0</v>
      </c>
      <c r="F82" s="177">
        <f>SUM('Fuel per Province (Sugar)'!H83:I83)</f>
        <v>0</v>
      </c>
      <c r="G82" s="177">
        <f>SUM('Fuel per Province (Sugar)'!J83:K83)</f>
        <v>0</v>
      </c>
      <c r="H82" s="177">
        <f>SUM('Fuel per Province (Sugar)'!L83:M83)</f>
        <v>0</v>
      </c>
      <c r="I82" s="177">
        <f>SUM('Fuel per Province (Sugar)'!N83:O83)</f>
        <v>0</v>
      </c>
      <c r="J82" s="177">
        <v>0</v>
      </c>
      <c r="K82" s="177">
        <v>0</v>
      </c>
      <c r="L82" s="177">
        <v>0</v>
      </c>
      <c r="M82" s="177">
        <f>SUM('Fuel per Province (Sugar)'!S83:T83)</f>
        <v>0</v>
      </c>
      <c r="N82" s="177">
        <f>SUM('Fuel per Province (Sugar)'!U83:V83)</f>
        <v>0</v>
      </c>
      <c r="O82" s="177">
        <f>SUM('Fuel per Province (Sugar)'!W83:X83)</f>
        <v>0</v>
      </c>
      <c r="P82" s="198"/>
      <c r="Q82" s="185"/>
      <c r="R82" s="199"/>
      <c r="S82" s="200"/>
      <c r="T82" s="200"/>
      <c r="U82" s="200"/>
      <c r="V82" s="200"/>
      <c r="W82" s="200"/>
      <c r="X82" s="196"/>
      <c r="Y82" s="201"/>
      <c r="Z82" s="201"/>
      <c r="AA82" s="201"/>
      <c r="AB82" s="201"/>
      <c r="AC82" s="200"/>
      <c r="AD82" s="200"/>
      <c r="AE82" s="202"/>
    </row>
    <row r="83" spans="1:31">
      <c r="A83" s="678" t="s">
        <v>378</v>
      </c>
      <c r="B83" s="681" t="s">
        <v>257</v>
      </c>
      <c r="C83" s="681"/>
      <c r="D83" s="204">
        <f t="shared" ref="D83:O83" si="0">SUM(D4:D82)</f>
        <v>7207638.8883095225</v>
      </c>
      <c r="E83" s="204">
        <f t="shared" si="0"/>
        <v>7253679.6643095231</v>
      </c>
      <c r="F83" s="204">
        <f t="shared" si="0"/>
        <v>7018761.6909761894</v>
      </c>
      <c r="G83" s="204">
        <f t="shared" si="0"/>
        <v>6757512.0909761898</v>
      </c>
      <c r="H83" s="204">
        <f t="shared" si="0"/>
        <v>2339087.7319285716</v>
      </c>
      <c r="I83" s="204">
        <f t="shared" si="0"/>
        <v>899126.58049999992</v>
      </c>
      <c r="J83" s="204">
        <f t="shared" si="0"/>
        <v>0</v>
      </c>
      <c r="K83" s="204">
        <f t="shared" si="0"/>
        <v>0</v>
      </c>
      <c r="L83" s="204">
        <f t="shared" si="0"/>
        <v>0</v>
      </c>
      <c r="M83" s="204">
        <f t="shared" si="0"/>
        <v>4858396.3257142855</v>
      </c>
      <c r="N83" s="204">
        <f t="shared" si="0"/>
        <v>6267322.7129761903</v>
      </c>
      <c r="O83" s="204">
        <f t="shared" si="0"/>
        <v>6651429.7063095234</v>
      </c>
      <c r="P83" s="678">
        <f>SUM(D84:O84)</f>
        <v>49252955.39199999</v>
      </c>
      <c r="Q83" s="170">
        <v>21439625.180000003</v>
      </c>
      <c r="R83" s="171"/>
      <c r="S83" s="204">
        <v>6259224.1020238092</v>
      </c>
      <c r="T83" s="204">
        <v>6318587.5100238081</v>
      </c>
      <c r="U83" s="204">
        <v>6083669.5366904754</v>
      </c>
      <c r="V83" s="204">
        <v>6083669.5366904754</v>
      </c>
      <c r="W83" s="204">
        <v>1701605.1776428572</v>
      </c>
      <c r="X83" s="204">
        <v>899126.58049999992</v>
      </c>
      <c r="Y83" s="204">
        <v>0</v>
      </c>
      <c r="Z83" s="204">
        <v>0</v>
      </c>
      <c r="AA83" s="204">
        <v>0</v>
      </c>
      <c r="AB83" s="204">
        <v>4277159.8057142859</v>
      </c>
      <c r="AC83" s="204">
        <v>5479910.5586904762</v>
      </c>
      <c r="AD83" s="204">
        <v>5776297.5520238094</v>
      </c>
      <c r="AE83" s="203">
        <v>42879250.360000007</v>
      </c>
    </row>
    <row r="84" spans="1:31">
      <c r="A84" s="678"/>
      <c r="B84" s="680" t="s">
        <v>9</v>
      </c>
      <c r="C84" s="680"/>
      <c r="D84" s="206">
        <f t="shared" ref="D84:I84" si="1">SUM(D83:D83)</f>
        <v>7207638.8883095225</v>
      </c>
      <c r="E84" s="206">
        <f t="shared" si="1"/>
        <v>7253679.6643095231</v>
      </c>
      <c r="F84" s="206">
        <f t="shared" si="1"/>
        <v>7018761.6909761894</v>
      </c>
      <c r="G84" s="206">
        <f t="shared" si="1"/>
        <v>6757512.0909761898</v>
      </c>
      <c r="H84" s="206">
        <f t="shared" si="1"/>
        <v>2339087.7319285716</v>
      </c>
      <c r="I84" s="206">
        <f t="shared" si="1"/>
        <v>899126.58049999992</v>
      </c>
      <c r="J84" s="206">
        <f>SUM(J83)</f>
        <v>0</v>
      </c>
      <c r="K84" s="206">
        <f>SUM(K83)</f>
        <v>0</v>
      </c>
      <c r="L84" s="206">
        <f>SUM(L83)</f>
        <v>0</v>
      </c>
      <c r="M84" s="206">
        <f>SUM(M83:M83)</f>
        <v>4858396.3257142855</v>
      </c>
      <c r="N84" s="206">
        <f>SUM(N83:N83)</f>
        <v>6267322.7129761903</v>
      </c>
      <c r="O84" s="206">
        <f>SUM(O83:O83)</f>
        <v>6651429.7063095234</v>
      </c>
      <c r="P84" s="678"/>
      <c r="Q84" s="191"/>
      <c r="R84" s="207"/>
      <c r="S84" s="191"/>
      <c r="T84" s="191"/>
      <c r="U84" s="193"/>
      <c r="V84" s="193"/>
      <c r="W84" s="194"/>
      <c r="X84" s="193"/>
      <c r="Y84" s="193"/>
      <c r="Z84" s="193"/>
      <c r="AA84" s="193"/>
      <c r="AB84" s="193"/>
      <c r="AC84" s="193"/>
      <c r="AD84" s="193"/>
      <c r="AE84" s="193"/>
    </row>
    <row r="85" spans="1:31" s="220" customFormat="1">
      <c r="A85" s="678"/>
      <c r="B85" s="680" t="s">
        <v>398</v>
      </c>
      <c r="C85" s="680"/>
      <c r="D85" s="264">
        <f>D83/22</f>
        <v>327619.94946861465</v>
      </c>
      <c r="E85" s="264">
        <f t="shared" ref="E85:O85" si="2">E83/22</f>
        <v>329712.71201406926</v>
      </c>
      <c r="F85" s="264">
        <f t="shared" si="2"/>
        <v>319034.62231709954</v>
      </c>
      <c r="G85" s="264">
        <f t="shared" si="2"/>
        <v>307159.64049891772</v>
      </c>
      <c r="H85" s="264">
        <f t="shared" si="2"/>
        <v>106322.16963311689</v>
      </c>
      <c r="I85" s="264">
        <f t="shared" si="2"/>
        <v>40869.390022727268</v>
      </c>
      <c r="J85" s="264">
        <f t="shared" si="2"/>
        <v>0</v>
      </c>
      <c r="K85" s="264">
        <f t="shared" si="2"/>
        <v>0</v>
      </c>
      <c r="L85" s="264">
        <f t="shared" si="2"/>
        <v>0</v>
      </c>
      <c r="M85" s="264">
        <f t="shared" si="2"/>
        <v>220836.1966233766</v>
      </c>
      <c r="N85" s="264">
        <f t="shared" si="2"/>
        <v>284878.30513528135</v>
      </c>
      <c r="O85" s="264">
        <f t="shared" si="2"/>
        <v>302337.71392316016</v>
      </c>
      <c r="P85" s="263"/>
      <c r="Q85" s="263"/>
      <c r="R85" s="265"/>
      <c r="S85" s="205"/>
      <c r="T85" s="205"/>
      <c r="U85" s="266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</row>
    <row r="87" spans="1:31">
      <c r="D87" s="213">
        <f>D83+E83+F83+G83+H83+I83+J83+K83+L83+M83+N83+O83</f>
        <v>49252955.39199999</v>
      </c>
    </row>
    <row r="88" spans="1:31">
      <c r="B88" s="175"/>
      <c r="C88" s="175"/>
      <c r="D88" s="213">
        <f>D87/'Assumptions&amp;Calculations'!G40</f>
        <v>1352731.5405657785</v>
      </c>
    </row>
    <row r="89" spans="1:31">
      <c r="A89" s="220"/>
      <c r="D89" s="213">
        <f>D88/'Assumptions&amp;Calculations'!F40</f>
        <v>22545.525676096309</v>
      </c>
      <c r="F89" s="217"/>
    </row>
    <row r="90" spans="1:31">
      <c r="A90" s="175"/>
      <c r="D90" s="219"/>
    </row>
    <row r="91" spans="1:31">
      <c r="A91" s="208"/>
    </row>
  </sheetData>
  <mergeCells count="13">
    <mergeCell ref="Q2:AD2"/>
    <mergeCell ref="AE2:AE3"/>
    <mergeCell ref="A1:P1"/>
    <mergeCell ref="A2:A3"/>
    <mergeCell ref="B2:B3"/>
    <mergeCell ref="C2:C3"/>
    <mergeCell ref="D2:O2"/>
    <mergeCell ref="P2:P3"/>
    <mergeCell ref="B85:C85"/>
    <mergeCell ref="A83:A85"/>
    <mergeCell ref="B83:C83"/>
    <mergeCell ref="P83:P84"/>
    <mergeCell ref="B84:C8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37"/>
  <sheetViews>
    <sheetView topLeftCell="A15" workbookViewId="0">
      <selection activeCell="C30" sqref="C30"/>
    </sheetView>
  </sheetViews>
  <sheetFormatPr defaultColWidth="9.109375" defaultRowHeight="13.8"/>
  <cols>
    <col min="1" max="1" width="23.77734375" style="125" customWidth="1"/>
    <col min="2" max="2" width="16" style="125" customWidth="1"/>
    <col min="3" max="3" width="7.44140625" style="122" customWidth="1"/>
    <col min="4" max="4" width="13.77734375" style="128" customWidth="1"/>
    <col min="5" max="5" width="13.77734375" style="127" customWidth="1"/>
    <col min="6" max="6" width="13.77734375" style="122" customWidth="1"/>
    <col min="7" max="7" width="13.77734375" style="129" customWidth="1"/>
    <col min="8" max="8" width="13.77734375" style="130" customWidth="1"/>
    <col min="9" max="9" width="13.77734375" style="131" customWidth="1"/>
    <col min="10" max="10" width="13.77734375" style="91" customWidth="1"/>
    <col min="11" max="15" width="13.77734375" style="122" customWidth="1"/>
    <col min="16" max="16" width="23.33203125" style="122" bestFit="1" customWidth="1"/>
    <col min="17" max="17" width="25.6640625" style="122" hidden="1" customWidth="1"/>
    <col min="18" max="18" width="11.109375" style="123" hidden="1" customWidth="1"/>
    <col min="19" max="20" width="12.44140625" style="91" hidden="1" customWidth="1"/>
    <col min="21" max="21" width="24.44140625" style="92" hidden="1" customWidth="1"/>
    <col min="22" max="22" width="18.109375" style="91" hidden="1" customWidth="1"/>
    <col min="23" max="23" width="12.44140625" style="91" hidden="1" customWidth="1"/>
    <col min="24" max="24" width="11" style="91" hidden="1" customWidth="1"/>
    <col min="25" max="27" width="9.44140625" style="91" hidden="1" customWidth="1"/>
    <col min="28" max="30" width="14.77734375" style="91" hidden="1" customWidth="1"/>
    <col min="31" max="31" width="13.44140625" style="91" hidden="1" customWidth="1"/>
    <col min="32" max="16384" width="9.109375" style="91"/>
  </cols>
  <sheetData>
    <row r="1" spans="1:31" ht="30.75" customHeight="1" thickBot="1">
      <c r="A1" s="664" t="s">
        <v>391</v>
      </c>
      <c r="B1" s="664"/>
      <c r="C1" s="664"/>
      <c r="D1" s="664"/>
      <c r="E1" s="664"/>
      <c r="F1" s="664"/>
      <c r="G1" s="664"/>
      <c r="H1" s="664"/>
      <c r="I1" s="664"/>
      <c r="J1" s="664"/>
      <c r="K1" s="664"/>
      <c r="L1" s="664"/>
      <c r="M1" s="664"/>
      <c r="N1" s="664"/>
      <c r="O1" s="664"/>
      <c r="P1" s="665"/>
      <c r="Q1" s="85"/>
      <c r="R1" s="86"/>
      <c r="S1" s="87"/>
      <c r="T1" s="87"/>
      <c r="U1" s="88"/>
      <c r="V1" s="89"/>
      <c r="W1" s="90"/>
      <c r="X1" s="89"/>
      <c r="Y1" s="89"/>
      <c r="Z1" s="89"/>
      <c r="AA1" s="89"/>
      <c r="AB1" s="89"/>
      <c r="AC1" s="89"/>
      <c r="AD1" s="89"/>
      <c r="AE1" s="89"/>
    </row>
    <row r="2" spans="1:31" s="92" customFormat="1" ht="21" customHeight="1">
      <c r="A2" s="666" t="s">
        <v>338</v>
      </c>
      <c r="B2" s="668" t="s">
        <v>202</v>
      </c>
      <c r="C2" s="670" t="s">
        <v>339</v>
      </c>
      <c r="D2" s="672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3"/>
      <c r="P2" s="662" t="s">
        <v>341</v>
      </c>
      <c r="Q2" s="660" t="s">
        <v>342</v>
      </c>
      <c r="R2" s="661"/>
      <c r="S2" s="661"/>
      <c r="T2" s="661"/>
      <c r="U2" s="661"/>
      <c r="V2" s="661"/>
      <c r="W2" s="661"/>
      <c r="X2" s="661"/>
      <c r="Y2" s="661"/>
      <c r="Z2" s="661"/>
      <c r="AA2" s="661"/>
      <c r="AB2" s="661"/>
      <c r="AC2" s="661"/>
      <c r="AD2" s="661"/>
      <c r="AE2" s="662" t="s">
        <v>341</v>
      </c>
    </row>
    <row r="3" spans="1:31" s="95" customFormat="1" ht="30.75" customHeight="1">
      <c r="A3" s="667"/>
      <c r="B3" s="669"/>
      <c r="C3" s="671"/>
      <c r="D3" s="164" t="s">
        <v>323</v>
      </c>
      <c r="E3" s="164" t="s">
        <v>324</v>
      </c>
      <c r="F3" s="164" t="s">
        <v>325</v>
      </c>
      <c r="G3" s="164" t="s">
        <v>326</v>
      </c>
      <c r="H3" s="164" t="s">
        <v>236</v>
      </c>
      <c r="I3" s="164" t="s">
        <v>327</v>
      </c>
      <c r="J3" s="94" t="s">
        <v>328</v>
      </c>
      <c r="K3" s="94" t="s">
        <v>329</v>
      </c>
      <c r="L3" s="94" t="s">
        <v>330</v>
      </c>
      <c r="M3" s="164" t="s">
        <v>331</v>
      </c>
      <c r="N3" s="164" t="s">
        <v>332</v>
      </c>
      <c r="O3" s="164" t="s">
        <v>333</v>
      </c>
      <c r="P3" s="663"/>
      <c r="Q3" s="145" t="s">
        <v>345</v>
      </c>
      <c r="R3" s="93" t="s">
        <v>344</v>
      </c>
      <c r="S3" s="94" t="s">
        <v>323</v>
      </c>
      <c r="T3" s="94" t="s">
        <v>324</v>
      </c>
      <c r="U3" s="94" t="s">
        <v>325</v>
      </c>
      <c r="V3" s="94" t="s">
        <v>326</v>
      </c>
      <c r="W3" s="94" t="s">
        <v>236</v>
      </c>
      <c r="X3" s="94" t="s">
        <v>327</v>
      </c>
      <c r="Y3" s="94" t="s">
        <v>328</v>
      </c>
      <c r="Z3" s="94" t="s">
        <v>329</v>
      </c>
      <c r="AA3" s="94" t="s">
        <v>330</v>
      </c>
      <c r="AB3" s="94" t="s">
        <v>331</v>
      </c>
      <c r="AC3" s="94" t="s">
        <v>332</v>
      </c>
      <c r="AD3" s="94" t="s">
        <v>333</v>
      </c>
      <c r="AE3" s="663"/>
    </row>
    <row r="4" spans="1:31" s="104" customFormat="1" ht="21" customHeight="1">
      <c r="A4" s="146" t="s">
        <v>346</v>
      </c>
      <c r="B4" s="96" t="s">
        <v>15</v>
      </c>
      <c r="C4" s="97" t="s">
        <v>347</v>
      </c>
      <c r="D4" s="165">
        <f>'Total Fuel per Operation(Sugar)'!D4+'Total Fuel per Operation(Sugar)'!E4</f>
        <v>18666.666666666668</v>
      </c>
      <c r="E4" s="165">
        <f>'Total Fuel per Operation(Sugar)'!F4+'Total Fuel per Operation(Sugar)'!G4</f>
        <v>64707.44266666667</v>
      </c>
      <c r="F4" s="165">
        <f>'Total Fuel per Operation(Sugar)'!H4+'Total Fuel per Operation(Sugar)'!I4</f>
        <v>64707.44266666667</v>
      </c>
      <c r="G4" s="165">
        <f>'Total Fuel per Operation(Sugar)'!K4+'Total Fuel per Operation(Sugar)'!J4</f>
        <v>46040.775999999998</v>
      </c>
      <c r="H4" s="165">
        <f>'Total Fuel per Operation(Sugar)'!L4+'Total Fuel per Operation(Sugar)'!M4</f>
        <v>46040.775999999998</v>
      </c>
      <c r="I4" s="165">
        <f>'Total Fuel per Operation(Sugar)'!O4+'Total Fuel per Operation(Sugar)'!N4</f>
        <v>46040.775999999998</v>
      </c>
      <c r="J4" s="165">
        <f>'Total Fuel per Operation(Sugar)'!P4</f>
        <v>0</v>
      </c>
      <c r="K4" s="165">
        <f>'Total Fuel per Operation(Sugar)'!Q4</f>
        <v>0</v>
      </c>
      <c r="L4" s="165">
        <f>'Total Fuel per Operation(Sugar)'!R4</f>
        <v>0</v>
      </c>
      <c r="M4" s="165">
        <f>'Total Fuel per Operation(Sugar)'!S4+'Total Fuel per Operation(Sugar)'!T4</f>
        <v>0</v>
      </c>
      <c r="N4" s="165">
        <f>'Total Fuel per Operation(Sugar)'!V4+'Total Fuel per Operation(Sugar)'!U4</f>
        <v>0</v>
      </c>
      <c r="O4" s="165">
        <f>'Total Fuel per Operation(Sugar)'!W4+'Total Fuel per Operation(Sugar)'!X4</f>
        <v>0</v>
      </c>
      <c r="P4" s="147">
        <f>SUM(D4:O4)</f>
        <v>286203.88000000006</v>
      </c>
      <c r="Q4" s="148">
        <v>115101.94</v>
      </c>
      <c r="R4" s="101">
        <v>5</v>
      </c>
      <c r="S4" s="100"/>
      <c r="T4" s="102">
        <v>46040.775999999998</v>
      </c>
      <c r="U4" s="102">
        <v>46040.775999999998</v>
      </c>
      <c r="V4" s="102">
        <v>46040.775999999998</v>
      </c>
      <c r="W4" s="102">
        <v>46040.775999999998</v>
      </c>
      <c r="X4" s="102">
        <v>46040.775999999998</v>
      </c>
      <c r="Y4" s="100"/>
      <c r="Z4" s="100"/>
      <c r="AA4" s="100"/>
      <c r="AB4" s="100"/>
      <c r="AC4" s="100"/>
      <c r="AD4" s="100"/>
      <c r="AE4" s="103">
        <v>230203.88</v>
      </c>
    </row>
    <row r="5" spans="1:31" s="104" customFormat="1" ht="21" customHeight="1">
      <c r="A5" s="146" t="s">
        <v>16</v>
      </c>
      <c r="B5" s="96" t="s">
        <v>16</v>
      </c>
      <c r="C5" s="97" t="s">
        <v>347</v>
      </c>
      <c r="D5" s="165">
        <f>'Total Fuel per Operation(Sugar)'!D5+'Total Fuel per Operation(Sugar)'!E5</f>
        <v>18122.632000000001</v>
      </c>
      <c r="E5" s="165">
        <f>'Total Fuel per Operation(Sugar)'!F5+'Total Fuel per Operation(Sugar)'!G5</f>
        <v>18122.632000000001</v>
      </c>
      <c r="F5" s="165">
        <f>'Total Fuel per Operation(Sugar)'!H5+'Total Fuel per Operation(Sugar)'!I5</f>
        <v>18122.632000000001</v>
      </c>
      <c r="G5" s="165">
        <f>'Total Fuel per Operation(Sugar)'!K5+'Total Fuel per Operation(Sugar)'!J5</f>
        <v>13322.632000000001</v>
      </c>
      <c r="H5" s="165">
        <f>'Total Fuel per Operation(Sugar)'!L5+'Total Fuel per Operation(Sugar)'!M5</f>
        <v>13322.632000000001</v>
      </c>
      <c r="I5" s="165">
        <f>'Total Fuel per Operation(Sugar)'!O5+'Total Fuel per Operation(Sugar)'!N5</f>
        <v>13322.632000000001</v>
      </c>
      <c r="J5" s="165">
        <f>'Total Fuel per Operation(Sugar)'!P5</f>
        <v>0</v>
      </c>
      <c r="K5" s="165">
        <f>'Total Fuel per Operation(Sugar)'!Q5</f>
        <v>0</v>
      </c>
      <c r="L5" s="165">
        <f>'Total Fuel per Operation(Sugar)'!R5</f>
        <v>0</v>
      </c>
      <c r="M5" s="165">
        <f>'Total Fuel per Operation(Sugar)'!S5+'Total Fuel per Operation(Sugar)'!T5</f>
        <v>0</v>
      </c>
      <c r="N5" s="165">
        <f>'Total Fuel per Operation(Sugar)'!V5+'Total Fuel per Operation(Sugar)'!U5</f>
        <v>0</v>
      </c>
      <c r="O5" s="165">
        <f>'Total Fuel per Operation(Sugar)'!W5+'Total Fuel per Operation(Sugar)'!X5</f>
        <v>0</v>
      </c>
      <c r="P5" s="147">
        <f t="shared" ref="P5:P29" si="0">SUM(D5:O5)</f>
        <v>94335.792000000001</v>
      </c>
      <c r="Q5" s="148">
        <v>33306.58</v>
      </c>
      <c r="R5" s="101">
        <v>5</v>
      </c>
      <c r="S5" s="105"/>
      <c r="T5" s="102">
        <v>13322.632000000001</v>
      </c>
      <c r="U5" s="102">
        <v>13322.632000000001</v>
      </c>
      <c r="V5" s="102">
        <v>13322.632000000001</v>
      </c>
      <c r="W5" s="102">
        <v>13322.632000000001</v>
      </c>
      <c r="X5" s="102">
        <v>13322.632000000001</v>
      </c>
      <c r="Y5" s="106"/>
      <c r="Z5" s="106"/>
      <c r="AA5" s="106"/>
      <c r="AB5" s="106"/>
      <c r="AC5" s="106"/>
      <c r="AD5" s="106"/>
      <c r="AE5" s="103">
        <v>66613.16</v>
      </c>
    </row>
    <row r="6" spans="1:31" s="104" customFormat="1" ht="21" customHeight="1">
      <c r="A6" s="146" t="s">
        <v>24</v>
      </c>
      <c r="B6" s="96" t="s">
        <v>24</v>
      </c>
      <c r="C6" s="97" t="s">
        <v>348</v>
      </c>
      <c r="D6" s="165">
        <f>'Total Fuel per Operation(Sugar)'!D6+'Total Fuel per Operation(Sugar)'!E6</f>
        <v>215836.46666666667</v>
      </c>
      <c r="E6" s="165">
        <f>'Total Fuel per Operation(Sugar)'!F6+'Total Fuel per Operation(Sugar)'!G6</f>
        <v>215836.46666666667</v>
      </c>
      <c r="F6" s="165">
        <f>'Total Fuel per Operation(Sugar)'!H6+'Total Fuel per Operation(Sugar)'!I6</f>
        <v>21305.600000000002</v>
      </c>
      <c r="G6" s="165">
        <f>'Total Fuel per Operation(Sugar)'!K6+'Total Fuel per Operation(Sugar)'!J6</f>
        <v>0</v>
      </c>
      <c r="H6" s="165">
        <f>'Total Fuel per Operation(Sugar)'!L6+'Total Fuel per Operation(Sugar)'!M6</f>
        <v>0</v>
      </c>
      <c r="I6" s="165">
        <f>'Total Fuel per Operation(Sugar)'!O6+'Total Fuel per Operation(Sugar)'!N6</f>
        <v>0</v>
      </c>
      <c r="J6" s="165">
        <f>'Total Fuel per Operation(Sugar)'!P6</f>
        <v>0</v>
      </c>
      <c r="K6" s="165">
        <f>'Total Fuel per Operation(Sugar)'!Q6</f>
        <v>0</v>
      </c>
      <c r="L6" s="165">
        <f>'Total Fuel per Operation(Sugar)'!R6</f>
        <v>0</v>
      </c>
      <c r="M6" s="165">
        <f>'Total Fuel per Operation(Sugar)'!S6+'Total Fuel per Operation(Sugar)'!T6</f>
        <v>0</v>
      </c>
      <c r="N6" s="165">
        <f>'Total Fuel per Operation(Sugar)'!V6+'Total Fuel per Operation(Sugar)'!U6</f>
        <v>21305.600000000002</v>
      </c>
      <c r="O6" s="165">
        <f>'Total Fuel per Operation(Sugar)'!W6+'Total Fuel per Operation(Sugar)'!X6</f>
        <v>215836.46666666667</v>
      </c>
      <c r="P6" s="147">
        <f t="shared" si="0"/>
        <v>690120.6</v>
      </c>
      <c r="Q6" s="148">
        <v>291796.3</v>
      </c>
      <c r="R6" s="101">
        <v>3</v>
      </c>
      <c r="S6" s="102">
        <v>194530.86666666667</v>
      </c>
      <c r="T6" s="102">
        <v>194530.86666666667</v>
      </c>
      <c r="U6" s="106"/>
      <c r="V6" s="106"/>
      <c r="W6" s="107"/>
      <c r="X6" s="106"/>
      <c r="Y6" s="106"/>
      <c r="Z6" s="106"/>
      <c r="AA6" s="106"/>
      <c r="AB6" s="106"/>
      <c r="AC6" s="106"/>
      <c r="AD6" s="102">
        <v>194530.86666666667</v>
      </c>
      <c r="AE6" s="103">
        <v>583592.6</v>
      </c>
    </row>
    <row r="7" spans="1:31" s="104" customFormat="1" ht="21" customHeight="1">
      <c r="A7" s="146" t="s">
        <v>23</v>
      </c>
      <c r="B7" s="96" t="s">
        <v>23</v>
      </c>
      <c r="C7" s="97" t="s">
        <v>348</v>
      </c>
      <c r="D7" s="165">
        <f>'Total Fuel per Operation(Sugar)'!D7+'Total Fuel per Operation(Sugar)'!E7</f>
        <v>49571.106666666667</v>
      </c>
      <c r="E7" s="165">
        <f>'Total Fuel per Operation(Sugar)'!F7+'Total Fuel per Operation(Sugar)'!G7</f>
        <v>49571.106666666667</v>
      </c>
      <c r="F7" s="165">
        <f>'Total Fuel per Operation(Sugar)'!H7+'Total Fuel per Operation(Sugar)'!I7</f>
        <v>9184</v>
      </c>
      <c r="G7" s="165">
        <f>'Total Fuel per Operation(Sugar)'!K7+'Total Fuel per Operation(Sugar)'!J7</f>
        <v>0</v>
      </c>
      <c r="H7" s="165">
        <f>'Total Fuel per Operation(Sugar)'!L7+'Total Fuel per Operation(Sugar)'!M7</f>
        <v>0</v>
      </c>
      <c r="I7" s="165">
        <f>'Total Fuel per Operation(Sugar)'!O7+'Total Fuel per Operation(Sugar)'!N7</f>
        <v>0</v>
      </c>
      <c r="J7" s="165">
        <f>'Total Fuel per Operation(Sugar)'!P7</f>
        <v>0</v>
      </c>
      <c r="K7" s="165">
        <f>'Total Fuel per Operation(Sugar)'!Q7</f>
        <v>0</v>
      </c>
      <c r="L7" s="165">
        <f>'Total Fuel per Operation(Sugar)'!R7</f>
        <v>0</v>
      </c>
      <c r="M7" s="165">
        <f>'Total Fuel per Operation(Sugar)'!S7+'Total Fuel per Operation(Sugar)'!T7</f>
        <v>0</v>
      </c>
      <c r="N7" s="165">
        <f>'Total Fuel per Operation(Sugar)'!V7+'Total Fuel per Operation(Sugar)'!U7</f>
        <v>9184</v>
      </c>
      <c r="O7" s="165">
        <f>'Total Fuel per Operation(Sugar)'!W7+'Total Fuel per Operation(Sugar)'!X7</f>
        <v>49571.106666666667</v>
      </c>
      <c r="P7" s="147">
        <f t="shared" si="0"/>
        <v>167081.32</v>
      </c>
      <c r="Q7" s="148">
        <v>60580.66</v>
      </c>
      <c r="R7" s="101">
        <v>3</v>
      </c>
      <c r="S7" s="102">
        <v>40387.106666666667</v>
      </c>
      <c r="T7" s="102">
        <v>40387.106666666667</v>
      </c>
      <c r="U7" s="106"/>
      <c r="V7" s="106"/>
      <c r="W7" s="107"/>
      <c r="X7" s="106"/>
      <c r="Y7" s="106"/>
      <c r="Z7" s="106"/>
      <c r="AA7" s="106"/>
      <c r="AB7" s="106"/>
      <c r="AC7" s="106"/>
      <c r="AD7" s="102">
        <v>40387.106666666667</v>
      </c>
      <c r="AE7" s="103">
        <v>121161.32</v>
      </c>
    </row>
    <row r="8" spans="1:31" s="104" customFormat="1" ht="21" customHeight="1">
      <c r="A8" s="146" t="s">
        <v>349</v>
      </c>
      <c r="B8" s="96" t="s">
        <v>64</v>
      </c>
      <c r="C8" s="97" t="s">
        <v>350</v>
      </c>
      <c r="D8" s="165">
        <f>'Total Fuel per Operation(Sugar)'!D8+'Total Fuel per Operation(Sugar)'!E8</f>
        <v>252475.31</v>
      </c>
      <c r="E8" s="165">
        <f>'Total Fuel per Operation(Sugar)'!F8+'Total Fuel per Operation(Sugar)'!G8</f>
        <v>252475.31</v>
      </c>
      <c r="F8" s="165">
        <f>'Total Fuel per Operation(Sugar)'!H8+'Total Fuel per Operation(Sugar)'!I8</f>
        <v>252475.31</v>
      </c>
      <c r="G8" s="165">
        <f>'Total Fuel per Operation(Sugar)'!K8+'Total Fuel per Operation(Sugar)'!J8</f>
        <v>252475.31</v>
      </c>
      <c r="H8" s="165">
        <f>'Total Fuel per Operation(Sugar)'!L8+'Total Fuel per Operation(Sugar)'!M8</f>
        <v>24000</v>
      </c>
      <c r="I8" s="165">
        <f>'Total Fuel per Operation(Sugar)'!O8+'Total Fuel per Operation(Sugar)'!N8</f>
        <v>0</v>
      </c>
      <c r="J8" s="165">
        <f>'Total Fuel per Operation(Sugar)'!P8</f>
        <v>0</v>
      </c>
      <c r="K8" s="165">
        <f>'Total Fuel per Operation(Sugar)'!Q8</f>
        <v>0</v>
      </c>
      <c r="L8" s="165">
        <f>'Total Fuel per Operation(Sugar)'!R8</f>
        <v>0</v>
      </c>
      <c r="M8" s="165">
        <f>'Total Fuel per Operation(Sugar)'!S8+'Total Fuel per Operation(Sugar)'!T8</f>
        <v>0</v>
      </c>
      <c r="N8" s="165">
        <f>'Total Fuel per Operation(Sugar)'!V8+'Total Fuel per Operation(Sugar)'!U8</f>
        <v>24000</v>
      </c>
      <c r="O8" s="165">
        <f>'Total Fuel per Operation(Sugar)'!W8+'Total Fuel per Operation(Sugar)'!X8</f>
        <v>24000</v>
      </c>
      <c r="P8" s="147">
        <f t="shared" si="0"/>
        <v>1081901.24</v>
      </c>
      <c r="Q8" s="148">
        <v>456950.62</v>
      </c>
      <c r="R8" s="101">
        <v>4</v>
      </c>
      <c r="S8" s="102">
        <v>228475.31</v>
      </c>
      <c r="T8" s="102">
        <v>228475.31</v>
      </c>
      <c r="U8" s="102">
        <v>228475.31</v>
      </c>
      <c r="V8" s="102">
        <v>228475.31</v>
      </c>
      <c r="W8" s="99"/>
      <c r="X8" s="100"/>
      <c r="Y8" s="100"/>
      <c r="Z8" s="100"/>
      <c r="AA8" s="100"/>
      <c r="AB8" s="100"/>
      <c r="AC8" s="100"/>
      <c r="AD8" s="100"/>
      <c r="AE8" s="103">
        <v>913901.24</v>
      </c>
    </row>
    <row r="9" spans="1:31" s="104" customFormat="1" ht="21" customHeight="1">
      <c r="A9" s="146" t="s">
        <v>351</v>
      </c>
      <c r="B9" s="96" t="s">
        <v>64</v>
      </c>
      <c r="C9" s="97" t="s">
        <v>350</v>
      </c>
      <c r="D9" s="165">
        <f>'Total Fuel per Operation(Sugar)'!D9+'Total Fuel per Operation(Sugar)'!E9</f>
        <v>230696.75761904765</v>
      </c>
      <c r="E9" s="165">
        <f>'Total Fuel per Operation(Sugar)'!F9+'Total Fuel per Operation(Sugar)'!G9</f>
        <v>230696.75761904765</v>
      </c>
      <c r="F9" s="165">
        <f>'Total Fuel per Operation(Sugar)'!H9+'Total Fuel per Operation(Sugar)'!I9</f>
        <v>230696.75761904765</v>
      </c>
      <c r="G9" s="165">
        <f>'Total Fuel per Operation(Sugar)'!K9+'Total Fuel per Operation(Sugar)'!J9</f>
        <v>230696.75761904765</v>
      </c>
      <c r="H9" s="165">
        <f>'Total Fuel per Operation(Sugar)'!L9+'Total Fuel per Operation(Sugar)'!M9</f>
        <v>32246.03428571429</v>
      </c>
      <c r="I9" s="165">
        <f>'Total Fuel per Operation(Sugar)'!O9+'Total Fuel per Operation(Sugar)'!N9</f>
        <v>0</v>
      </c>
      <c r="J9" s="165">
        <f>'Total Fuel per Operation(Sugar)'!P9</f>
        <v>0</v>
      </c>
      <c r="K9" s="165">
        <f>'Total Fuel per Operation(Sugar)'!Q9</f>
        <v>0</v>
      </c>
      <c r="L9" s="165">
        <f>'Total Fuel per Operation(Sugar)'!R9</f>
        <v>0</v>
      </c>
      <c r="M9" s="165">
        <f>'Total Fuel per Operation(Sugar)'!S9+'Total Fuel per Operation(Sugar)'!T9</f>
        <v>0</v>
      </c>
      <c r="N9" s="165">
        <f>'Total Fuel per Operation(Sugar)'!V9+'Total Fuel per Operation(Sugar)'!U9</f>
        <v>230696.75761904765</v>
      </c>
      <c r="O9" s="165">
        <f>'Total Fuel per Operation(Sugar)'!W9+'Total Fuel per Operation(Sugar)'!X9</f>
        <v>230696.75761904765</v>
      </c>
      <c r="P9" s="147">
        <f t="shared" si="0"/>
        <v>1416426.58</v>
      </c>
      <c r="Q9" s="148">
        <v>595352.17000000004</v>
      </c>
      <c r="R9" s="101">
        <v>6</v>
      </c>
      <c r="S9" s="102">
        <v>198450.72333333336</v>
      </c>
      <c r="T9" s="102">
        <v>198450.72333333336</v>
      </c>
      <c r="U9" s="102">
        <v>198450.72333333336</v>
      </c>
      <c r="V9" s="102">
        <v>198450.72333333336</v>
      </c>
      <c r="W9" s="99"/>
      <c r="X9" s="100"/>
      <c r="Y9" s="100"/>
      <c r="Z9" s="100"/>
      <c r="AA9" s="100"/>
      <c r="AB9" s="100"/>
      <c r="AC9" s="102">
        <v>198450.72333333336</v>
      </c>
      <c r="AD9" s="102">
        <v>198450.72333333336</v>
      </c>
      <c r="AE9" s="103">
        <v>1190704.3400000001</v>
      </c>
    </row>
    <row r="10" spans="1:31" s="104" customFormat="1" ht="21" customHeight="1">
      <c r="A10" s="146" t="s">
        <v>352</v>
      </c>
      <c r="B10" s="108" t="s">
        <v>34</v>
      </c>
      <c r="C10" s="97" t="s">
        <v>353</v>
      </c>
      <c r="D10" s="165">
        <f>'Total Fuel per Operation(Sugar)'!D10+'Total Fuel per Operation(Sugar)'!E10</f>
        <v>58001.429333333341</v>
      </c>
      <c r="E10" s="165">
        <f>'Total Fuel per Operation(Sugar)'!F10+'Total Fuel per Operation(Sugar)'!G10</f>
        <v>58001.429333333341</v>
      </c>
      <c r="F10" s="165">
        <f>'Total Fuel per Operation(Sugar)'!H10+'Total Fuel per Operation(Sugar)'!I10</f>
        <v>58001.429333333341</v>
      </c>
      <c r="G10" s="165">
        <f>'Total Fuel per Operation(Sugar)'!K10+'Total Fuel per Operation(Sugar)'!J10</f>
        <v>41868.096000000005</v>
      </c>
      <c r="H10" s="165">
        <f>'Total Fuel per Operation(Sugar)'!L10+'Total Fuel per Operation(Sugar)'!M10</f>
        <v>41868.096000000005</v>
      </c>
      <c r="I10" s="165">
        <f>'Total Fuel per Operation(Sugar)'!O10+'Total Fuel per Operation(Sugar)'!N10</f>
        <v>0</v>
      </c>
      <c r="J10" s="165">
        <f>'Total Fuel per Operation(Sugar)'!P10</f>
        <v>0</v>
      </c>
      <c r="K10" s="165">
        <f>'Total Fuel per Operation(Sugar)'!Q10</f>
        <v>0</v>
      </c>
      <c r="L10" s="165">
        <f>'Total Fuel per Operation(Sugar)'!R10</f>
        <v>0</v>
      </c>
      <c r="M10" s="165">
        <f>'Total Fuel per Operation(Sugar)'!S10+'Total Fuel per Operation(Sugar)'!T10</f>
        <v>0</v>
      </c>
      <c r="N10" s="165">
        <f>'Total Fuel per Operation(Sugar)'!V10+'Total Fuel per Operation(Sugar)'!U10</f>
        <v>0</v>
      </c>
      <c r="O10" s="165">
        <f>'Total Fuel per Operation(Sugar)'!W10+'Total Fuel per Operation(Sugar)'!X10</f>
        <v>0</v>
      </c>
      <c r="P10" s="147">
        <f t="shared" si="0"/>
        <v>257740.48000000004</v>
      </c>
      <c r="Q10" s="148">
        <v>104670.24</v>
      </c>
      <c r="R10" s="101">
        <v>5</v>
      </c>
      <c r="S10" s="102">
        <v>41868.096000000005</v>
      </c>
      <c r="T10" s="102">
        <v>41868.096000000005</v>
      </c>
      <c r="U10" s="102">
        <v>41868.096000000005</v>
      </c>
      <c r="V10" s="102">
        <v>41868.096000000005</v>
      </c>
      <c r="W10" s="102">
        <v>41868.096000000005</v>
      </c>
      <c r="X10" s="100"/>
      <c r="Y10" s="100"/>
      <c r="Z10" s="100"/>
      <c r="AA10" s="100"/>
      <c r="AB10" s="100"/>
      <c r="AC10" s="100"/>
      <c r="AD10" s="100"/>
      <c r="AE10" s="103">
        <v>209340.48000000004</v>
      </c>
    </row>
    <row r="11" spans="1:31" s="104" customFormat="1" ht="21" customHeight="1">
      <c r="A11" s="149" t="s">
        <v>354</v>
      </c>
      <c r="B11" s="108" t="s">
        <v>43</v>
      </c>
      <c r="C11" s="97" t="s">
        <v>782</v>
      </c>
      <c r="D11" s="165">
        <f>'Total Fuel per Operation(Sugar)'!D11+'Total Fuel per Operation(Sugar)'!E11</f>
        <v>371365.80000000005</v>
      </c>
      <c r="E11" s="165">
        <f>'Total Fuel per Operation(Sugar)'!F11+'Total Fuel per Operation(Sugar)'!G11</f>
        <v>371365.80000000005</v>
      </c>
      <c r="F11" s="165">
        <f>'Total Fuel per Operation(Sugar)'!H11+'Total Fuel per Operation(Sugar)'!I11</f>
        <v>371365.80000000005</v>
      </c>
      <c r="G11" s="165">
        <f>'Total Fuel per Operation(Sugar)'!K11+'Total Fuel per Operation(Sugar)'!J11</f>
        <v>371365.80000000005</v>
      </c>
      <c r="H11" s="165">
        <f>'Total Fuel per Operation(Sugar)'!L11+'Total Fuel per Operation(Sugar)'!M11</f>
        <v>37136.58</v>
      </c>
      <c r="I11" s="165">
        <f>'Total Fuel per Operation(Sugar)'!O11+'Total Fuel per Operation(Sugar)'!N11</f>
        <v>0</v>
      </c>
      <c r="J11" s="165">
        <f>'Total Fuel per Operation(Sugar)'!P11</f>
        <v>0</v>
      </c>
      <c r="K11" s="165">
        <f>'Total Fuel per Operation(Sugar)'!Q11</f>
        <v>0</v>
      </c>
      <c r="L11" s="165">
        <f>'Total Fuel per Operation(Sugar)'!R11</f>
        <v>0</v>
      </c>
      <c r="M11" s="165">
        <f>'Total Fuel per Operation(Sugar)'!S11+'Total Fuel per Operation(Sugar)'!T11</f>
        <v>371365.80000000005</v>
      </c>
      <c r="N11" s="165">
        <f>'Total Fuel per Operation(Sugar)'!V11+'Total Fuel per Operation(Sugar)'!U11</f>
        <v>371365.80000000005</v>
      </c>
      <c r="O11" s="165">
        <f>'Total Fuel per Operation(Sugar)'!W11+'Total Fuel per Operation(Sugar)'!X11</f>
        <v>371365.80000000005</v>
      </c>
      <c r="P11" s="147">
        <f t="shared" si="0"/>
        <v>2636697.1800000006</v>
      </c>
      <c r="Q11" s="148">
        <v>1169802.27</v>
      </c>
      <c r="R11" s="101">
        <v>7</v>
      </c>
      <c r="S11" s="102">
        <v>334229.22000000003</v>
      </c>
      <c r="T11" s="102">
        <v>334229.22000000003</v>
      </c>
      <c r="U11" s="102">
        <v>334229.22000000003</v>
      </c>
      <c r="V11" s="102">
        <v>334229.22000000003</v>
      </c>
      <c r="W11" s="99"/>
      <c r="X11" s="100"/>
      <c r="Y11" s="100"/>
      <c r="Z11" s="100"/>
      <c r="AA11" s="100"/>
      <c r="AB11" s="102">
        <v>334229.22000000003</v>
      </c>
      <c r="AC11" s="102">
        <v>334229.22000000003</v>
      </c>
      <c r="AD11" s="102">
        <v>334229.22000000003</v>
      </c>
      <c r="AE11" s="103">
        <v>2339604.54</v>
      </c>
    </row>
    <row r="12" spans="1:31" ht="21" customHeight="1">
      <c r="A12" s="150" t="s">
        <v>356</v>
      </c>
      <c r="B12" s="109" t="s">
        <v>43</v>
      </c>
      <c r="C12" s="97" t="s">
        <v>782</v>
      </c>
      <c r="D12" s="165">
        <f>'Total Fuel per Operation(Sugar)'!D12+'Total Fuel per Operation(Sugar)'!E12</f>
        <v>229709.30285714284</v>
      </c>
      <c r="E12" s="165">
        <f>'Total Fuel per Operation(Sugar)'!F12+'Total Fuel per Operation(Sugar)'!G12</f>
        <v>229709.30285714284</v>
      </c>
      <c r="F12" s="165">
        <f>'Total Fuel per Operation(Sugar)'!H12+'Total Fuel per Operation(Sugar)'!I12</f>
        <v>229709.30285714284</v>
      </c>
      <c r="G12" s="165">
        <f>'Total Fuel per Operation(Sugar)'!K12+'Total Fuel per Operation(Sugar)'!J12</f>
        <v>229709.30285714284</v>
      </c>
      <c r="H12" s="165">
        <f>'Total Fuel per Operation(Sugar)'!L12+'Total Fuel per Operation(Sugar)'!M12</f>
        <v>23930.74</v>
      </c>
      <c r="I12" s="165">
        <f>'Total Fuel per Operation(Sugar)'!O12+'Total Fuel per Operation(Sugar)'!N12</f>
        <v>0</v>
      </c>
      <c r="J12" s="165">
        <f>'Total Fuel per Operation(Sugar)'!P12</f>
        <v>0</v>
      </c>
      <c r="K12" s="165">
        <f>'Total Fuel per Operation(Sugar)'!Q12</f>
        <v>0</v>
      </c>
      <c r="L12" s="165">
        <f>'Total Fuel per Operation(Sugar)'!R12</f>
        <v>0</v>
      </c>
      <c r="M12" s="165">
        <f>'Total Fuel per Operation(Sugar)'!S12+'Total Fuel per Operation(Sugar)'!T12</f>
        <v>229709.30285714284</v>
      </c>
      <c r="N12" s="165">
        <f>'Total Fuel per Operation(Sugar)'!V12+'Total Fuel per Operation(Sugar)'!U12</f>
        <v>229709.30285714284</v>
      </c>
      <c r="O12" s="165">
        <f>'Total Fuel per Operation(Sugar)'!W12+'Total Fuel per Operation(Sugar)'!X12</f>
        <v>229709.30285714284</v>
      </c>
      <c r="P12" s="147">
        <f t="shared" si="0"/>
        <v>1631895.8599999999</v>
      </c>
      <c r="Q12" s="148">
        <v>720224.97</v>
      </c>
      <c r="R12" s="101">
        <v>7</v>
      </c>
      <c r="S12" s="102">
        <v>205778.56285714285</v>
      </c>
      <c r="T12" s="102">
        <v>205778.56285714285</v>
      </c>
      <c r="U12" s="102">
        <v>205778.56285714285</v>
      </c>
      <c r="V12" s="102">
        <v>205778.56285714285</v>
      </c>
      <c r="W12" s="111"/>
      <c r="X12" s="112"/>
      <c r="Y12" s="112"/>
      <c r="Z12" s="112"/>
      <c r="AA12" s="112"/>
      <c r="AB12" s="102">
        <v>205778.56285714285</v>
      </c>
      <c r="AC12" s="102">
        <v>205778.56285714285</v>
      </c>
      <c r="AD12" s="102">
        <v>205778.56285714285</v>
      </c>
      <c r="AE12" s="103">
        <v>1440449.94</v>
      </c>
    </row>
    <row r="13" spans="1:31" ht="21" customHeight="1">
      <c r="A13" s="151" t="s">
        <v>357</v>
      </c>
      <c r="B13" s="99" t="s">
        <v>43</v>
      </c>
      <c r="C13" s="97" t="s">
        <v>782</v>
      </c>
      <c r="D13" s="165">
        <f>'Total Fuel per Operation(Sugar)'!D13+'Total Fuel per Operation(Sugar)'!E13</f>
        <v>396148.57142857142</v>
      </c>
      <c r="E13" s="165">
        <f>'Total Fuel per Operation(Sugar)'!F13+'Total Fuel per Operation(Sugar)'!G13</f>
        <v>396148.57142857142</v>
      </c>
      <c r="F13" s="165">
        <f>'Total Fuel per Operation(Sugar)'!H13+'Total Fuel per Operation(Sugar)'!I13</f>
        <v>396148.57142857142</v>
      </c>
      <c r="G13" s="165">
        <f>'Total Fuel per Operation(Sugar)'!K13+'Total Fuel per Operation(Sugar)'!J13</f>
        <v>396148.57142857142</v>
      </c>
      <c r="H13" s="165">
        <f>'Total Fuel per Operation(Sugar)'!L13+'Total Fuel per Operation(Sugar)'!M13</f>
        <v>40780</v>
      </c>
      <c r="I13" s="165">
        <f>'Total Fuel per Operation(Sugar)'!O13+'Total Fuel per Operation(Sugar)'!N13</f>
        <v>0</v>
      </c>
      <c r="J13" s="165">
        <f>'Total Fuel per Operation(Sugar)'!P13</f>
        <v>0</v>
      </c>
      <c r="K13" s="165">
        <f>'Total Fuel per Operation(Sugar)'!Q13</f>
        <v>0</v>
      </c>
      <c r="L13" s="165">
        <f>'Total Fuel per Operation(Sugar)'!R13</f>
        <v>0</v>
      </c>
      <c r="M13" s="165">
        <f>'Total Fuel per Operation(Sugar)'!S13+'Total Fuel per Operation(Sugar)'!T13</f>
        <v>396148.57142857142</v>
      </c>
      <c r="N13" s="165">
        <f>'Total Fuel per Operation(Sugar)'!V13+'Total Fuel per Operation(Sugar)'!U13</f>
        <v>396148.57142857142</v>
      </c>
      <c r="O13" s="165">
        <f>'Total Fuel per Operation(Sugar)'!W13+'Total Fuel per Operation(Sugar)'!X13</f>
        <v>396148.57142857142</v>
      </c>
      <c r="P13" s="147">
        <f t="shared" si="0"/>
        <v>2813820</v>
      </c>
      <c r="Q13" s="148">
        <v>1243790</v>
      </c>
      <c r="R13" s="101">
        <v>7</v>
      </c>
      <c r="S13" s="102">
        <v>355368.57142857142</v>
      </c>
      <c r="T13" s="102">
        <v>355368.57142857142</v>
      </c>
      <c r="U13" s="102">
        <v>355368.57142857142</v>
      </c>
      <c r="V13" s="102">
        <v>355368.57142857142</v>
      </c>
      <c r="W13" s="111"/>
      <c r="X13" s="112"/>
      <c r="Y13" s="112"/>
      <c r="Z13" s="112"/>
      <c r="AA13" s="112"/>
      <c r="AB13" s="102">
        <v>355368.57142857142</v>
      </c>
      <c r="AC13" s="102">
        <v>355368.57142857142</v>
      </c>
      <c r="AD13" s="102">
        <v>355368.57142857142</v>
      </c>
      <c r="AE13" s="103">
        <v>2487580</v>
      </c>
    </row>
    <row r="14" spans="1:31" ht="21" customHeight="1">
      <c r="A14" s="149" t="s">
        <v>358</v>
      </c>
      <c r="B14" s="99" t="s">
        <v>43</v>
      </c>
      <c r="C14" s="97" t="s">
        <v>782</v>
      </c>
      <c r="D14" s="165">
        <f>'Total Fuel per Operation(Sugar)'!D14+'Total Fuel per Operation(Sugar)'!E14</f>
        <v>277888.01428571431</v>
      </c>
      <c r="E14" s="165">
        <f>'Total Fuel per Operation(Sugar)'!F14+'Total Fuel per Operation(Sugar)'!G14</f>
        <v>277888.01428571431</v>
      </c>
      <c r="F14" s="165">
        <f>'Total Fuel per Operation(Sugar)'!H14+'Total Fuel per Operation(Sugar)'!I14</f>
        <v>277888.01428571431</v>
      </c>
      <c r="G14" s="165">
        <f>'Total Fuel per Operation(Sugar)'!K14+'Total Fuel per Operation(Sugar)'!J14</f>
        <v>277888.01428571431</v>
      </c>
      <c r="H14" s="165">
        <f>'Total Fuel per Operation(Sugar)'!L14+'Total Fuel per Operation(Sugar)'!M14</f>
        <v>26170</v>
      </c>
      <c r="I14" s="165">
        <f>'Total Fuel per Operation(Sugar)'!O14+'Total Fuel per Operation(Sugar)'!N14</f>
        <v>0</v>
      </c>
      <c r="J14" s="165">
        <f>'Total Fuel per Operation(Sugar)'!P14</f>
        <v>0</v>
      </c>
      <c r="K14" s="165">
        <f>'Total Fuel per Operation(Sugar)'!Q14</f>
        <v>0</v>
      </c>
      <c r="L14" s="165">
        <f>'Total Fuel per Operation(Sugar)'!R14</f>
        <v>0</v>
      </c>
      <c r="M14" s="165">
        <f>'Total Fuel per Operation(Sugar)'!S14+'Total Fuel per Operation(Sugar)'!T14</f>
        <v>277888.01428571431</v>
      </c>
      <c r="N14" s="165">
        <f>'Total Fuel per Operation(Sugar)'!V14+'Total Fuel per Operation(Sugar)'!U14</f>
        <v>277888.01428571431</v>
      </c>
      <c r="O14" s="165">
        <f>'Total Fuel per Operation(Sugar)'!W14+'Total Fuel per Operation(Sugar)'!X14</f>
        <v>277888.01428571431</v>
      </c>
      <c r="P14" s="147">
        <f t="shared" si="0"/>
        <v>1971386.1000000003</v>
      </c>
      <c r="Q14" s="148">
        <v>881013.05</v>
      </c>
      <c r="R14" s="101">
        <v>7</v>
      </c>
      <c r="S14" s="102">
        <v>251718.01428571431</v>
      </c>
      <c r="T14" s="102">
        <v>251718.01428571431</v>
      </c>
      <c r="U14" s="102">
        <v>251718.01428571431</v>
      </c>
      <c r="V14" s="102">
        <v>251718.01428571431</v>
      </c>
      <c r="W14" s="111"/>
      <c r="X14" s="112"/>
      <c r="Y14" s="112"/>
      <c r="Z14" s="112"/>
      <c r="AA14" s="112"/>
      <c r="AB14" s="102">
        <v>251718.01428571431</v>
      </c>
      <c r="AC14" s="102">
        <v>251718.01428571431</v>
      </c>
      <c r="AD14" s="102">
        <v>251718.01428571431</v>
      </c>
      <c r="AE14" s="103">
        <v>1762026.1000000003</v>
      </c>
    </row>
    <row r="15" spans="1:31" ht="21" customHeight="1">
      <c r="A15" s="152" t="s">
        <v>359</v>
      </c>
      <c r="B15" s="113" t="s">
        <v>43</v>
      </c>
      <c r="C15" s="97" t="s">
        <v>782</v>
      </c>
      <c r="D15" s="165">
        <f>'Total Fuel per Operation(Sugar)'!D15+'Total Fuel per Operation(Sugar)'!E15</f>
        <v>637221.42857142852</v>
      </c>
      <c r="E15" s="165">
        <f>'Total Fuel per Operation(Sugar)'!F15+'Total Fuel per Operation(Sugar)'!G15</f>
        <v>637221.42857142852</v>
      </c>
      <c r="F15" s="165">
        <f>'Total Fuel per Operation(Sugar)'!H15+'Total Fuel per Operation(Sugar)'!I15</f>
        <v>637221.42857142852</v>
      </c>
      <c r="G15" s="165">
        <f>'Total Fuel per Operation(Sugar)'!K15+'Total Fuel per Operation(Sugar)'!J15</f>
        <v>637221.42857142852</v>
      </c>
      <c r="H15" s="165">
        <f>'Total Fuel per Operation(Sugar)'!L15+'Total Fuel per Operation(Sugar)'!M15</f>
        <v>59474.000000000007</v>
      </c>
      <c r="I15" s="165">
        <f>'Total Fuel per Operation(Sugar)'!O15+'Total Fuel per Operation(Sugar)'!N15</f>
        <v>0</v>
      </c>
      <c r="J15" s="165">
        <f>'Total Fuel per Operation(Sugar)'!P15</f>
        <v>0</v>
      </c>
      <c r="K15" s="165">
        <f>'Total Fuel per Operation(Sugar)'!Q15</f>
        <v>0</v>
      </c>
      <c r="L15" s="165">
        <f>'Total Fuel per Operation(Sugar)'!R15</f>
        <v>0</v>
      </c>
      <c r="M15" s="165">
        <f>'Total Fuel per Operation(Sugar)'!S15+'Total Fuel per Operation(Sugar)'!T15</f>
        <v>637221.42857142852</v>
      </c>
      <c r="N15" s="165">
        <f>'Total Fuel per Operation(Sugar)'!V15+'Total Fuel per Operation(Sugar)'!U15</f>
        <v>637221.42857142852</v>
      </c>
      <c r="O15" s="165">
        <f>'Total Fuel per Operation(Sugar)'!W15+'Total Fuel per Operation(Sugar)'!X15</f>
        <v>637221.42857142852</v>
      </c>
      <c r="P15" s="147">
        <f t="shared" si="0"/>
        <v>4520024</v>
      </c>
      <c r="Q15" s="148">
        <v>2022116</v>
      </c>
      <c r="R15" s="101">
        <v>7</v>
      </c>
      <c r="S15" s="102">
        <v>577747.42857142852</v>
      </c>
      <c r="T15" s="102">
        <v>577747.42857142852</v>
      </c>
      <c r="U15" s="102">
        <v>577747.42857142852</v>
      </c>
      <c r="V15" s="102">
        <v>577747.42857142852</v>
      </c>
      <c r="W15" s="111"/>
      <c r="X15" s="112"/>
      <c r="Y15" s="112"/>
      <c r="Z15" s="112"/>
      <c r="AA15" s="112"/>
      <c r="AB15" s="102">
        <v>577747.42857142852</v>
      </c>
      <c r="AC15" s="102">
        <v>577747.42857142852</v>
      </c>
      <c r="AD15" s="102">
        <v>577747.42857142852</v>
      </c>
      <c r="AE15" s="103">
        <v>4044232</v>
      </c>
    </row>
    <row r="16" spans="1:31" s="104" customFormat="1" ht="21" customHeight="1">
      <c r="A16" s="153" t="s">
        <v>360</v>
      </c>
      <c r="B16" s="108" t="s">
        <v>43</v>
      </c>
      <c r="C16" s="97" t="s">
        <v>782</v>
      </c>
      <c r="D16" s="165">
        <f>'Total Fuel per Operation(Sugar)'!D16+'Total Fuel per Operation(Sugar)'!E16</f>
        <v>284060.84285714285</v>
      </c>
      <c r="E16" s="165">
        <f>'Total Fuel per Operation(Sugar)'!F16+'Total Fuel per Operation(Sugar)'!G16</f>
        <v>284060.84285714285</v>
      </c>
      <c r="F16" s="165">
        <f>'Total Fuel per Operation(Sugar)'!H16+'Total Fuel per Operation(Sugar)'!I16</f>
        <v>284060.84285714285</v>
      </c>
      <c r="G16" s="165">
        <f>'Total Fuel per Operation(Sugar)'!K16+'Total Fuel per Operation(Sugar)'!J16</f>
        <v>284060.84285714285</v>
      </c>
      <c r="H16" s="165">
        <f>'Total Fuel per Operation(Sugar)'!L16+'Total Fuel per Operation(Sugar)'!M16</f>
        <v>29091.820000000003</v>
      </c>
      <c r="I16" s="165">
        <f>'Total Fuel per Operation(Sugar)'!O16+'Total Fuel per Operation(Sugar)'!N16</f>
        <v>0</v>
      </c>
      <c r="J16" s="165">
        <f>'Total Fuel per Operation(Sugar)'!P16</f>
        <v>0</v>
      </c>
      <c r="K16" s="165">
        <f>'Total Fuel per Operation(Sugar)'!Q16</f>
        <v>0</v>
      </c>
      <c r="L16" s="165">
        <f>'Total Fuel per Operation(Sugar)'!R16</f>
        <v>0</v>
      </c>
      <c r="M16" s="165">
        <f>'Total Fuel per Operation(Sugar)'!S16+'Total Fuel per Operation(Sugar)'!T16</f>
        <v>284060.84285714285</v>
      </c>
      <c r="N16" s="165">
        <f>'Total Fuel per Operation(Sugar)'!V16+'Total Fuel per Operation(Sugar)'!U16</f>
        <v>284060.84285714285</v>
      </c>
      <c r="O16" s="165">
        <f>'Total Fuel per Operation(Sugar)'!W16+'Total Fuel per Operation(Sugar)'!X16</f>
        <v>284060.84285714285</v>
      </c>
      <c r="P16" s="147">
        <f t="shared" si="0"/>
        <v>2017517.7200000002</v>
      </c>
      <c r="Q16" s="148">
        <v>892391.58</v>
      </c>
      <c r="R16" s="101">
        <v>7</v>
      </c>
      <c r="S16" s="102">
        <v>254969.02285714285</v>
      </c>
      <c r="T16" s="102">
        <v>254969.02285714285</v>
      </c>
      <c r="U16" s="102">
        <v>254969.02285714285</v>
      </c>
      <c r="V16" s="102">
        <v>254969.02285714285</v>
      </c>
      <c r="W16" s="99"/>
      <c r="X16" s="100"/>
      <c r="Y16" s="100"/>
      <c r="Z16" s="100"/>
      <c r="AA16" s="100"/>
      <c r="AB16" s="102">
        <v>254969.02285714285</v>
      </c>
      <c r="AC16" s="102">
        <v>254969.02285714285</v>
      </c>
      <c r="AD16" s="102">
        <v>254969.02285714285</v>
      </c>
      <c r="AE16" s="103">
        <v>1784783.16</v>
      </c>
    </row>
    <row r="17" spans="1:31" s="104" customFormat="1" ht="21" customHeight="1">
      <c r="A17" s="149" t="s">
        <v>361</v>
      </c>
      <c r="B17" s="108" t="s">
        <v>43</v>
      </c>
      <c r="C17" s="97" t="s">
        <v>782</v>
      </c>
      <c r="D17" s="165">
        <f>'Total Fuel per Operation(Sugar)'!D17+'Total Fuel per Operation(Sugar)'!E17</f>
        <v>301535.82</v>
      </c>
      <c r="E17" s="165">
        <f>'Total Fuel per Operation(Sugar)'!F17+'Total Fuel per Operation(Sugar)'!G17</f>
        <v>301535.82</v>
      </c>
      <c r="F17" s="165">
        <f>'Total Fuel per Operation(Sugar)'!H17+'Total Fuel per Operation(Sugar)'!I17</f>
        <v>301535.82</v>
      </c>
      <c r="G17" s="165">
        <f>'Total Fuel per Operation(Sugar)'!K17+'Total Fuel per Operation(Sugar)'!J17</f>
        <v>301535.82</v>
      </c>
      <c r="H17" s="165">
        <f>'Total Fuel per Operation(Sugar)'!L17+'Total Fuel per Operation(Sugar)'!M17</f>
        <v>33057.960000000006</v>
      </c>
      <c r="I17" s="165">
        <f>'Total Fuel per Operation(Sugar)'!O17+'Total Fuel per Operation(Sugar)'!N17</f>
        <v>0</v>
      </c>
      <c r="J17" s="165">
        <f>'Total Fuel per Operation(Sugar)'!P17</f>
        <v>0</v>
      </c>
      <c r="K17" s="165">
        <f>'Total Fuel per Operation(Sugar)'!Q17</f>
        <v>0</v>
      </c>
      <c r="L17" s="165">
        <f>'Total Fuel per Operation(Sugar)'!R17</f>
        <v>0</v>
      </c>
      <c r="M17" s="165">
        <f>'Total Fuel per Operation(Sugar)'!S17+'Total Fuel per Operation(Sugar)'!T17</f>
        <v>301535.82</v>
      </c>
      <c r="N17" s="165">
        <f>'Total Fuel per Operation(Sugar)'!V17+'Total Fuel per Operation(Sugar)'!U17</f>
        <v>301535.82</v>
      </c>
      <c r="O17" s="165">
        <f>'Total Fuel per Operation(Sugar)'!W17+'Total Fuel per Operation(Sugar)'!X17</f>
        <v>301535.82</v>
      </c>
      <c r="P17" s="147">
        <f t="shared" si="0"/>
        <v>2143808.7000000002</v>
      </c>
      <c r="Q17" s="148">
        <v>939672.51</v>
      </c>
      <c r="R17" s="101">
        <v>7</v>
      </c>
      <c r="S17" s="102">
        <v>268477.86</v>
      </c>
      <c r="T17" s="102">
        <v>268477.86</v>
      </c>
      <c r="U17" s="102">
        <v>268477.86</v>
      </c>
      <c r="V17" s="102">
        <v>268477.86</v>
      </c>
      <c r="W17" s="99"/>
      <c r="X17" s="100"/>
      <c r="Y17" s="100"/>
      <c r="Z17" s="100"/>
      <c r="AA17" s="100"/>
      <c r="AB17" s="102">
        <v>268477.86</v>
      </c>
      <c r="AC17" s="102">
        <v>268477.86</v>
      </c>
      <c r="AD17" s="102">
        <v>268477.86</v>
      </c>
      <c r="AE17" s="103">
        <v>1879345.0199999996</v>
      </c>
    </row>
    <row r="18" spans="1:31" s="104" customFormat="1" ht="21" customHeight="1">
      <c r="A18" s="146" t="s">
        <v>362</v>
      </c>
      <c r="B18" s="108" t="s">
        <v>43</v>
      </c>
      <c r="C18" s="97" t="s">
        <v>782</v>
      </c>
      <c r="D18" s="165">
        <f>'Total Fuel per Operation(Sugar)'!D18+'Total Fuel per Operation(Sugar)'!E18</f>
        <v>138482.83428571429</v>
      </c>
      <c r="E18" s="165">
        <f>'Total Fuel per Operation(Sugar)'!F18+'Total Fuel per Operation(Sugar)'!G18</f>
        <v>138482.83428571429</v>
      </c>
      <c r="F18" s="165">
        <f>'Total Fuel per Operation(Sugar)'!H18+'Total Fuel per Operation(Sugar)'!I18</f>
        <v>138482.83428571429</v>
      </c>
      <c r="G18" s="165">
        <f>'Total Fuel per Operation(Sugar)'!K18+'Total Fuel per Operation(Sugar)'!J18</f>
        <v>138482.83428571429</v>
      </c>
      <c r="H18" s="165">
        <f>'Total Fuel per Operation(Sugar)'!L18+'Total Fuel per Operation(Sugar)'!M18</f>
        <v>15146.56</v>
      </c>
      <c r="I18" s="165">
        <f>'Total Fuel per Operation(Sugar)'!O18+'Total Fuel per Operation(Sugar)'!N18</f>
        <v>0</v>
      </c>
      <c r="J18" s="165">
        <f>'Total Fuel per Operation(Sugar)'!P18</f>
        <v>0</v>
      </c>
      <c r="K18" s="165">
        <f>'Total Fuel per Operation(Sugar)'!Q18</f>
        <v>0</v>
      </c>
      <c r="L18" s="165">
        <f>'Total Fuel per Operation(Sugar)'!R18</f>
        <v>0</v>
      </c>
      <c r="M18" s="165">
        <f>'Total Fuel per Operation(Sugar)'!S18+'Total Fuel per Operation(Sugar)'!T18</f>
        <v>138482.83428571429</v>
      </c>
      <c r="N18" s="165">
        <f>'Total Fuel per Operation(Sugar)'!V18+'Total Fuel per Operation(Sugar)'!U18</f>
        <v>138482.83428571429</v>
      </c>
      <c r="O18" s="165">
        <f>'Total Fuel per Operation(Sugar)'!W18+'Total Fuel per Operation(Sugar)'!X18</f>
        <v>138482.83428571429</v>
      </c>
      <c r="P18" s="147">
        <f t="shared" si="0"/>
        <v>984526.40000000014</v>
      </c>
      <c r="Q18" s="148">
        <v>431676.96</v>
      </c>
      <c r="R18" s="101">
        <v>7</v>
      </c>
      <c r="S18" s="102">
        <v>123336.27428571429</v>
      </c>
      <c r="T18" s="102">
        <v>123336.27428571429</v>
      </c>
      <c r="U18" s="102">
        <v>123336.27428571429</v>
      </c>
      <c r="V18" s="102">
        <v>123336.27428571429</v>
      </c>
      <c r="W18" s="99"/>
      <c r="X18" s="100"/>
      <c r="Y18" s="100"/>
      <c r="Z18" s="100"/>
      <c r="AA18" s="100"/>
      <c r="AB18" s="102">
        <v>123336.27428571429</v>
      </c>
      <c r="AC18" s="102">
        <v>123336.27428571429</v>
      </c>
      <c r="AD18" s="102">
        <v>123336.27428571429</v>
      </c>
      <c r="AE18" s="103">
        <v>863353.91999999993</v>
      </c>
    </row>
    <row r="19" spans="1:31" s="104" customFormat="1" ht="21" customHeight="1">
      <c r="A19" s="149" t="s">
        <v>363</v>
      </c>
      <c r="B19" s="108" t="s">
        <v>43</v>
      </c>
      <c r="C19" s="97" t="s">
        <v>782</v>
      </c>
      <c r="D19" s="165">
        <f>'Total Fuel per Operation(Sugar)'!D19+'Total Fuel per Operation(Sugar)'!E19</f>
        <v>573777.36</v>
      </c>
      <c r="E19" s="165">
        <f>'Total Fuel per Operation(Sugar)'!F19+'Total Fuel per Operation(Sugar)'!G19</f>
        <v>573777.36</v>
      </c>
      <c r="F19" s="165">
        <f>'Total Fuel per Operation(Sugar)'!H19+'Total Fuel per Operation(Sugar)'!I19</f>
        <v>573777.36</v>
      </c>
      <c r="G19" s="165">
        <f>'Total Fuel per Operation(Sugar)'!K19+'Total Fuel per Operation(Sugar)'!J19</f>
        <v>573777.36</v>
      </c>
      <c r="H19" s="165">
        <f>'Total Fuel per Operation(Sugar)'!L19+'Total Fuel per Operation(Sugar)'!M19</f>
        <v>60556.860000000008</v>
      </c>
      <c r="I19" s="165">
        <f>'Total Fuel per Operation(Sugar)'!O19+'Total Fuel per Operation(Sugar)'!N19</f>
        <v>0</v>
      </c>
      <c r="J19" s="165">
        <f>'Total Fuel per Operation(Sugar)'!P19</f>
        <v>0</v>
      </c>
      <c r="K19" s="165">
        <f>'Total Fuel per Operation(Sugar)'!Q19</f>
        <v>0</v>
      </c>
      <c r="L19" s="165">
        <f>'Total Fuel per Operation(Sugar)'!R19</f>
        <v>0</v>
      </c>
      <c r="M19" s="165">
        <f>'Total Fuel per Operation(Sugar)'!S19+'Total Fuel per Operation(Sugar)'!T19</f>
        <v>573777.36</v>
      </c>
      <c r="N19" s="165">
        <f>'Total Fuel per Operation(Sugar)'!V19+'Total Fuel per Operation(Sugar)'!U19</f>
        <v>573777.36</v>
      </c>
      <c r="O19" s="165">
        <f>'Total Fuel per Operation(Sugar)'!W19+'Total Fuel per Operation(Sugar)'!X19</f>
        <v>573777.36</v>
      </c>
      <c r="P19" s="147">
        <f t="shared" si="0"/>
        <v>4076998.3799999994</v>
      </c>
      <c r="Q19" s="148">
        <v>1796271.75</v>
      </c>
      <c r="R19" s="101">
        <v>7</v>
      </c>
      <c r="S19" s="102">
        <v>513220.5</v>
      </c>
      <c r="T19" s="102">
        <v>513220.5</v>
      </c>
      <c r="U19" s="102">
        <v>513220.5</v>
      </c>
      <c r="V19" s="102">
        <v>513220.5</v>
      </c>
      <c r="W19" s="99"/>
      <c r="X19" s="100"/>
      <c r="Y19" s="100"/>
      <c r="Z19" s="100"/>
      <c r="AA19" s="100"/>
      <c r="AB19" s="102">
        <v>513220.5</v>
      </c>
      <c r="AC19" s="102">
        <v>513220.5</v>
      </c>
      <c r="AD19" s="102">
        <v>513220.5</v>
      </c>
      <c r="AE19" s="103">
        <v>3592543.5</v>
      </c>
    </row>
    <row r="20" spans="1:31" s="104" customFormat="1" ht="21" customHeight="1">
      <c r="A20" s="151" t="s">
        <v>364</v>
      </c>
      <c r="B20" s="108" t="s">
        <v>43</v>
      </c>
      <c r="C20" s="97" t="s">
        <v>782</v>
      </c>
      <c r="D20" s="165">
        <f>'Total Fuel per Operation(Sugar)'!D20+'Total Fuel per Operation(Sugar)'!E20</f>
        <v>461434.10571428575</v>
      </c>
      <c r="E20" s="165">
        <f>'Total Fuel per Operation(Sugar)'!F20+'Total Fuel per Operation(Sugar)'!G20</f>
        <v>461434.10571428575</v>
      </c>
      <c r="F20" s="165">
        <f>'Total Fuel per Operation(Sugar)'!H20+'Total Fuel per Operation(Sugar)'!I20</f>
        <v>461434.10571428575</v>
      </c>
      <c r="G20" s="165">
        <f>'Total Fuel per Operation(Sugar)'!K20+'Total Fuel per Operation(Sugar)'!J20</f>
        <v>461434.10571428575</v>
      </c>
      <c r="H20" s="165">
        <f>'Total Fuel per Operation(Sugar)'!L20+'Total Fuel per Operation(Sugar)'!M20</f>
        <v>52302.000000000007</v>
      </c>
      <c r="I20" s="165">
        <f>'Total Fuel per Operation(Sugar)'!O20+'Total Fuel per Operation(Sugar)'!N20</f>
        <v>0</v>
      </c>
      <c r="J20" s="165">
        <f>'Total Fuel per Operation(Sugar)'!P20</f>
        <v>0</v>
      </c>
      <c r="K20" s="165">
        <f>'Total Fuel per Operation(Sugar)'!Q20</f>
        <v>0</v>
      </c>
      <c r="L20" s="165">
        <f>'Total Fuel per Operation(Sugar)'!R20</f>
        <v>0</v>
      </c>
      <c r="M20" s="165">
        <f>'Total Fuel per Operation(Sugar)'!S20+'Total Fuel per Operation(Sugar)'!T20</f>
        <v>461434.10571428575</v>
      </c>
      <c r="N20" s="165">
        <f>'Total Fuel per Operation(Sugar)'!V20+'Total Fuel per Operation(Sugar)'!U20</f>
        <v>461434.10571428575</v>
      </c>
      <c r="O20" s="165">
        <f>'Total Fuel per Operation(Sugar)'!W20+'Total Fuel per Operation(Sugar)'!X20</f>
        <v>461434.10571428575</v>
      </c>
      <c r="P20" s="147">
        <f t="shared" si="0"/>
        <v>3282340.74</v>
      </c>
      <c r="Q20" s="148">
        <v>1431962.37</v>
      </c>
      <c r="R20" s="101">
        <v>7</v>
      </c>
      <c r="S20" s="102">
        <v>409132.10571428575</v>
      </c>
      <c r="T20" s="102">
        <v>409132.10571428575</v>
      </c>
      <c r="U20" s="102">
        <v>409132.10571428575</v>
      </c>
      <c r="V20" s="102">
        <v>409132.10571428575</v>
      </c>
      <c r="W20" s="99"/>
      <c r="X20" s="100"/>
      <c r="Y20" s="100"/>
      <c r="Z20" s="100"/>
      <c r="AA20" s="100"/>
      <c r="AB20" s="102">
        <v>409132.10571428575</v>
      </c>
      <c r="AC20" s="102">
        <v>409132.10571428575</v>
      </c>
      <c r="AD20" s="102">
        <v>409132.10571428575</v>
      </c>
      <c r="AE20" s="103">
        <v>2863924.74</v>
      </c>
    </row>
    <row r="21" spans="1:31" s="104" customFormat="1" ht="21" customHeight="1">
      <c r="A21" s="146" t="s">
        <v>365</v>
      </c>
      <c r="B21" s="108" t="s">
        <v>366</v>
      </c>
      <c r="C21" s="97" t="s">
        <v>782</v>
      </c>
      <c r="D21" s="165">
        <f>'Total Fuel per Operation(Sugar)'!D21+'Total Fuel per Operation(Sugar)'!E21</f>
        <v>216559.05428571426</v>
      </c>
      <c r="E21" s="165">
        <f>'Total Fuel per Operation(Sugar)'!F21+'Total Fuel per Operation(Sugar)'!G21</f>
        <v>216559.05428571426</v>
      </c>
      <c r="F21" s="165">
        <f>'Total Fuel per Operation(Sugar)'!H21+'Total Fuel per Operation(Sugar)'!I21</f>
        <v>216559.05428571426</v>
      </c>
      <c r="G21" s="165">
        <f>'Total Fuel per Operation(Sugar)'!K21+'Total Fuel per Operation(Sugar)'!J21</f>
        <v>216559.05428571426</v>
      </c>
      <c r="H21" s="165">
        <f>'Total Fuel per Operation(Sugar)'!L21+'Total Fuel per Operation(Sugar)'!M21</f>
        <v>26136.000000000004</v>
      </c>
      <c r="I21" s="165">
        <f>'Total Fuel per Operation(Sugar)'!O21+'Total Fuel per Operation(Sugar)'!N21</f>
        <v>0</v>
      </c>
      <c r="J21" s="165">
        <f>'Total Fuel per Operation(Sugar)'!P21</f>
        <v>0</v>
      </c>
      <c r="K21" s="165">
        <f>'Total Fuel per Operation(Sugar)'!Q21</f>
        <v>0</v>
      </c>
      <c r="L21" s="165">
        <f>'Total Fuel per Operation(Sugar)'!R21</f>
        <v>0</v>
      </c>
      <c r="M21" s="165">
        <f>'Total Fuel per Operation(Sugar)'!S21+'Total Fuel per Operation(Sugar)'!T21</f>
        <v>216559.05428571426</v>
      </c>
      <c r="N21" s="165">
        <f>'Total Fuel per Operation(Sugar)'!V21+'Total Fuel per Operation(Sugar)'!U21</f>
        <v>216559.05428571426</v>
      </c>
      <c r="O21" s="165">
        <f>'Total Fuel per Operation(Sugar)'!W21+'Total Fuel per Operation(Sugar)'!X21</f>
        <v>216559.05428571426</v>
      </c>
      <c r="P21" s="147">
        <f t="shared" si="0"/>
        <v>1542049.3799999997</v>
      </c>
      <c r="Q21" s="148">
        <v>666480.68999999994</v>
      </c>
      <c r="R21" s="101">
        <v>7</v>
      </c>
      <c r="S21" s="102">
        <v>190423.05428571426</v>
      </c>
      <c r="T21" s="102">
        <v>190423.05428571426</v>
      </c>
      <c r="U21" s="102">
        <v>190423.05428571426</v>
      </c>
      <c r="V21" s="102">
        <v>190423.05428571426</v>
      </c>
      <c r="W21" s="99"/>
      <c r="X21" s="100"/>
      <c r="Y21" s="100"/>
      <c r="Z21" s="100"/>
      <c r="AA21" s="100"/>
      <c r="AB21" s="102">
        <v>190423.05428571426</v>
      </c>
      <c r="AC21" s="102">
        <v>190423.05428571426</v>
      </c>
      <c r="AD21" s="102">
        <v>190423.05428571426</v>
      </c>
      <c r="AE21" s="103">
        <v>1332961.3799999997</v>
      </c>
    </row>
    <row r="22" spans="1:31" ht="21" customHeight="1">
      <c r="A22" s="149" t="s">
        <v>368</v>
      </c>
      <c r="B22" s="108" t="s">
        <v>366</v>
      </c>
      <c r="C22" s="97" t="s">
        <v>782</v>
      </c>
      <c r="D22" s="165">
        <f>'Total Fuel per Operation(Sugar)'!D22+'Total Fuel per Operation(Sugar)'!E22</f>
        <v>462868.69142857142</v>
      </c>
      <c r="E22" s="165">
        <f>'Total Fuel per Operation(Sugar)'!F22+'Total Fuel per Operation(Sugar)'!G22</f>
        <v>462868.69142857142</v>
      </c>
      <c r="F22" s="165">
        <f>'Total Fuel per Operation(Sugar)'!H22+'Total Fuel per Operation(Sugar)'!I22</f>
        <v>462868.69142857142</v>
      </c>
      <c r="G22" s="165">
        <f>'Total Fuel per Operation(Sugar)'!K22+'Total Fuel per Operation(Sugar)'!J22</f>
        <v>462868.69142857142</v>
      </c>
      <c r="H22" s="165">
        <f>'Total Fuel per Operation(Sugar)'!L22+'Total Fuel per Operation(Sugar)'!M22</f>
        <v>53600</v>
      </c>
      <c r="I22" s="165">
        <f>'Total Fuel per Operation(Sugar)'!O22+'Total Fuel per Operation(Sugar)'!N22</f>
        <v>0</v>
      </c>
      <c r="J22" s="165">
        <f>'Total Fuel per Operation(Sugar)'!P22</f>
        <v>0</v>
      </c>
      <c r="K22" s="165">
        <f>'Total Fuel per Operation(Sugar)'!Q22</f>
        <v>0</v>
      </c>
      <c r="L22" s="165">
        <f>'Total Fuel per Operation(Sugar)'!R22</f>
        <v>0</v>
      </c>
      <c r="M22" s="165">
        <f>'Total Fuel per Operation(Sugar)'!S22+'Total Fuel per Operation(Sugar)'!T22</f>
        <v>462868.69142857142</v>
      </c>
      <c r="N22" s="165">
        <f>'Total Fuel per Operation(Sugar)'!V22+'Total Fuel per Operation(Sugar)'!U22</f>
        <v>462868.69142857142</v>
      </c>
      <c r="O22" s="165">
        <f>'Total Fuel per Operation(Sugar)'!W22+'Total Fuel per Operation(Sugar)'!X22</f>
        <v>462868.69142857142</v>
      </c>
      <c r="P22" s="147">
        <f t="shared" si="0"/>
        <v>3293680.84</v>
      </c>
      <c r="Q22" s="148">
        <v>1432440.42</v>
      </c>
      <c r="R22" s="101">
        <v>7</v>
      </c>
      <c r="S22" s="102">
        <v>409268.69142857142</v>
      </c>
      <c r="T22" s="102">
        <v>409268.69142857142</v>
      </c>
      <c r="U22" s="102">
        <v>409268.69142857142</v>
      </c>
      <c r="V22" s="102">
        <v>409268.69142857142</v>
      </c>
      <c r="W22" s="111"/>
      <c r="X22" s="112"/>
      <c r="Y22" s="112"/>
      <c r="Z22" s="112"/>
      <c r="AA22" s="112"/>
      <c r="AB22" s="102">
        <v>409268.69142857142</v>
      </c>
      <c r="AC22" s="102">
        <v>409268.69142857142</v>
      </c>
      <c r="AD22" s="102">
        <v>409268.69142857142</v>
      </c>
      <c r="AE22" s="103">
        <v>2864880.84</v>
      </c>
    </row>
    <row r="23" spans="1:31" s="104" customFormat="1" ht="21" customHeight="1">
      <c r="A23" s="149" t="s">
        <v>42</v>
      </c>
      <c r="B23" s="96" t="s">
        <v>42</v>
      </c>
      <c r="C23" s="97" t="s">
        <v>355</v>
      </c>
      <c r="D23" s="165">
        <f>'Total Fuel per Operation(Sugar)'!D23+'Total Fuel per Operation(Sugar)'!E23</f>
        <v>312221</v>
      </c>
      <c r="E23" s="165">
        <f>'Total Fuel per Operation(Sugar)'!F23+'Total Fuel per Operation(Sugar)'!G23</f>
        <v>312221</v>
      </c>
      <c r="F23" s="165">
        <f>'Total Fuel per Operation(Sugar)'!H23+'Total Fuel per Operation(Sugar)'!I23</f>
        <v>312221</v>
      </c>
      <c r="G23" s="165">
        <f>'Total Fuel per Operation(Sugar)'!K23+'Total Fuel per Operation(Sugar)'!J23</f>
        <v>246813</v>
      </c>
      <c r="H23" s="165">
        <f>'Total Fuel per Operation(Sugar)'!L23+'Total Fuel per Operation(Sugar)'!M23</f>
        <v>246813</v>
      </c>
      <c r="I23" s="165">
        <f>'Total Fuel per Operation(Sugar)'!O23+'Total Fuel per Operation(Sugar)'!N23</f>
        <v>0</v>
      </c>
      <c r="J23" s="165">
        <f>'Total Fuel per Operation(Sugar)'!P23</f>
        <v>0</v>
      </c>
      <c r="K23" s="165">
        <f>'Total Fuel per Operation(Sugar)'!Q23</f>
        <v>0</v>
      </c>
      <c r="L23" s="165">
        <f>'Total Fuel per Operation(Sugar)'!R23</f>
        <v>0</v>
      </c>
      <c r="M23" s="165">
        <f>'Total Fuel per Operation(Sugar)'!S23+'Total Fuel per Operation(Sugar)'!T23</f>
        <v>246813</v>
      </c>
      <c r="N23" s="165">
        <f>'Total Fuel per Operation(Sugar)'!V23+'Total Fuel per Operation(Sugar)'!U23</f>
        <v>312221</v>
      </c>
      <c r="O23" s="165">
        <f>'Total Fuel per Operation(Sugar)'!W23+'Total Fuel per Operation(Sugar)'!X23</f>
        <v>312221</v>
      </c>
      <c r="P23" s="147">
        <f t="shared" si="0"/>
        <v>2301544</v>
      </c>
      <c r="Q23" s="148">
        <v>987252</v>
      </c>
      <c r="R23" s="101">
        <v>8</v>
      </c>
      <c r="S23" s="102">
        <v>246813</v>
      </c>
      <c r="T23" s="102">
        <v>246813</v>
      </c>
      <c r="U23" s="102">
        <v>246813</v>
      </c>
      <c r="V23" s="102">
        <v>246813</v>
      </c>
      <c r="W23" s="102">
        <v>246813</v>
      </c>
      <c r="X23" s="100"/>
      <c r="Y23" s="100"/>
      <c r="Z23" s="100"/>
      <c r="AA23" s="100"/>
      <c r="AB23" s="102">
        <v>246813</v>
      </c>
      <c r="AC23" s="102">
        <v>246813</v>
      </c>
      <c r="AD23" s="102">
        <v>246813</v>
      </c>
      <c r="AE23" s="103">
        <v>1974504</v>
      </c>
    </row>
    <row r="24" spans="1:31" s="104" customFormat="1" ht="21" customHeight="1">
      <c r="A24" s="146" t="s">
        <v>40</v>
      </c>
      <c r="B24" s="96" t="s">
        <v>40</v>
      </c>
      <c r="C24" s="97" t="s">
        <v>355</v>
      </c>
      <c r="D24" s="165">
        <f>'Total Fuel per Operation(Sugar)'!D24+'Total Fuel per Operation(Sugar)'!E24</f>
        <v>174709.5</v>
      </c>
      <c r="E24" s="165">
        <f>'Total Fuel per Operation(Sugar)'!F24+'Total Fuel per Operation(Sugar)'!G24</f>
        <v>174709.5</v>
      </c>
      <c r="F24" s="165">
        <f>'Total Fuel per Operation(Sugar)'!H24+'Total Fuel per Operation(Sugar)'!I24</f>
        <v>174709.5</v>
      </c>
      <c r="G24" s="165">
        <f>'Total Fuel per Operation(Sugar)'!K24+'Total Fuel per Operation(Sugar)'!J24</f>
        <v>136677.5</v>
      </c>
      <c r="H24" s="165">
        <f>'Total Fuel per Operation(Sugar)'!L24+'Total Fuel per Operation(Sugar)'!M24</f>
        <v>136677.5</v>
      </c>
      <c r="I24" s="165">
        <f>'Total Fuel per Operation(Sugar)'!O24+'Total Fuel per Operation(Sugar)'!N24</f>
        <v>0</v>
      </c>
      <c r="J24" s="165">
        <f>'Total Fuel per Operation(Sugar)'!P24</f>
        <v>0</v>
      </c>
      <c r="K24" s="165">
        <f>'Total Fuel per Operation(Sugar)'!Q24</f>
        <v>0</v>
      </c>
      <c r="L24" s="165">
        <f>'Total Fuel per Operation(Sugar)'!R24</f>
        <v>0</v>
      </c>
      <c r="M24" s="165">
        <f>'Total Fuel per Operation(Sugar)'!S24+'Total Fuel per Operation(Sugar)'!T24</f>
        <v>136677.5</v>
      </c>
      <c r="N24" s="165">
        <f>'Total Fuel per Operation(Sugar)'!V24+'Total Fuel per Operation(Sugar)'!U24</f>
        <v>174709.5</v>
      </c>
      <c r="O24" s="165">
        <f>'Total Fuel per Operation(Sugar)'!W24+'Total Fuel per Operation(Sugar)'!X24</f>
        <v>174709.5</v>
      </c>
      <c r="P24" s="147">
        <f t="shared" si="0"/>
        <v>1283580</v>
      </c>
      <c r="Q24" s="148">
        <v>546710</v>
      </c>
      <c r="R24" s="101">
        <v>8</v>
      </c>
      <c r="S24" s="102">
        <v>136677.5</v>
      </c>
      <c r="T24" s="102">
        <v>136677.5</v>
      </c>
      <c r="U24" s="102">
        <v>136677.5</v>
      </c>
      <c r="V24" s="102">
        <v>136677.5</v>
      </c>
      <c r="W24" s="102">
        <v>136677.5</v>
      </c>
      <c r="X24" s="100"/>
      <c r="Y24" s="100"/>
      <c r="Z24" s="100"/>
      <c r="AA24" s="100"/>
      <c r="AB24" s="102">
        <v>136677.5</v>
      </c>
      <c r="AC24" s="102">
        <v>136677.5</v>
      </c>
      <c r="AD24" s="102">
        <v>136677.5</v>
      </c>
      <c r="AE24" s="103">
        <v>1093420</v>
      </c>
    </row>
    <row r="25" spans="1:31" ht="21" customHeight="1">
      <c r="A25" s="146" t="s">
        <v>369</v>
      </c>
      <c r="B25" s="96" t="s">
        <v>78</v>
      </c>
      <c r="C25" s="97" t="s">
        <v>367</v>
      </c>
      <c r="D25" s="165">
        <f>'Total Fuel per Operation(Sugar)'!D25+'Total Fuel per Operation(Sugar)'!E25</f>
        <v>81829.01999999999</v>
      </c>
      <c r="E25" s="165">
        <f>'Total Fuel per Operation(Sugar)'!F25+'Total Fuel per Operation(Sugar)'!G25</f>
        <v>81829.01999999999</v>
      </c>
      <c r="F25" s="165">
        <f>'Total Fuel per Operation(Sugar)'!H25+'Total Fuel per Operation(Sugar)'!I25</f>
        <v>81829.01999999999</v>
      </c>
      <c r="G25" s="165">
        <f>'Total Fuel per Operation(Sugar)'!K25+'Total Fuel per Operation(Sugar)'!J25</f>
        <v>81829.01999999999</v>
      </c>
      <c r="H25" s="165">
        <f>'Total Fuel per Operation(Sugar)'!L25+'Total Fuel per Operation(Sugar)'!M25</f>
        <v>0</v>
      </c>
      <c r="I25" s="165">
        <f>'Total Fuel per Operation(Sugar)'!O25+'Total Fuel per Operation(Sugar)'!N25</f>
        <v>0</v>
      </c>
      <c r="J25" s="165">
        <f>'Total Fuel per Operation(Sugar)'!P25</f>
        <v>0</v>
      </c>
      <c r="K25" s="165">
        <f>'Total Fuel per Operation(Sugar)'!Q25</f>
        <v>0</v>
      </c>
      <c r="L25" s="165">
        <f>'Total Fuel per Operation(Sugar)'!R25</f>
        <v>0</v>
      </c>
      <c r="M25" s="165">
        <f>'Total Fuel per Operation(Sugar)'!S25+'Total Fuel per Operation(Sugar)'!T25</f>
        <v>0</v>
      </c>
      <c r="N25" s="165">
        <f>'Total Fuel per Operation(Sugar)'!V25+'Total Fuel per Operation(Sugar)'!U25</f>
        <v>0</v>
      </c>
      <c r="O25" s="165">
        <f>'Total Fuel per Operation(Sugar)'!W25+'Total Fuel per Operation(Sugar)'!X25</f>
        <v>61469.02</v>
      </c>
      <c r="P25" s="147">
        <f t="shared" si="0"/>
        <v>388785.1</v>
      </c>
      <c r="Q25" s="148">
        <v>153672.54999999999</v>
      </c>
      <c r="R25" s="101">
        <v>5</v>
      </c>
      <c r="S25" s="102">
        <v>61469.02</v>
      </c>
      <c r="T25" s="102">
        <v>61469.02</v>
      </c>
      <c r="U25" s="102">
        <v>61469.02</v>
      </c>
      <c r="V25" s="102">
        <v>61469.02</v>
      </c>
      <c r="W25" s="111"/>
      <c r="X25" s="112"/>
      <c r="Y25" s="112"/>
      <c r="Z25" s="112"/>
      <c r="AA25" s="112"/>
      <c r="AB25" s="112"/>
      <c r="AC25" s="112"/>
      <c r="AD25" s="102">
        <v>61469.02</v>
      </c>
      <c r="AE25" s="103">
        <v>307345.09999999998</v>
      </c>
    </row>
    <row r="26" spans="1:31" s="104" customFormat="1" ht="21" customHeight="1">
      <c r="A26" s="150" t="s">
        <v>370</v>
      </c>
      <c r="B26" s="96" t="s">
        <v>91</v>
      </c>
      <c r="C26" s="97" t="s">
        <v>371</v>
      </c>
      <c r="D26" s="165">
        <f>'Total Fuel per Operation(Sugar)'!D26+'Total Fuel per Operation(Sugar)'!E26</f>
        <v>122230.776</v>
      </c>
      <c r="E26" s="165">
        <f>'Total Fuel per Operation(Sugar)'!F26+'Total Fuel per Operation(Sugar)'!G26</f>
        <v>122230.776</v>
      </c>
      <c r="F26" s="165">
        <f>'Total Fuel per Operation(Sugar)'!H26+'Total Fuel per Operation(Sugar)'!I26</f>
        <v>122230.776</v>
      </c>
      <c r="G26" s="165">
        <f>'Total Fuel per Operation(Sugar)'!K26+'Total Fuel per Operation(Sugar)'!J26</f>
        <v>122230.776</v>
      </c>
      <c r="H26" s="165">
        <f>'Total Fuel per Operation(Sugar)'!L26+'Total Fuel per Operation(Sugar)'!M26</f>
        <v>106230.776</v>
      </c>
      <c r="I26" s="165">
        <f>'Total Fuel per Operation(Sugar)'!O26+'Total Fuel per Operation(Sugar)'!N26</f>
        <v>0</v>
      </c>
      <c r="J26" s="165">
        <f>'Total Fuel per Operation(Sugar)'!P26</f>
        <v>0</v>
      </c>
      <c r="K26" s="165">
        <f>'Total Fuel per Operation(Sugar)'!Q26</f>
        <v>0</v>
      </c>
      <c r="L26" s="165">
        <f>'Total Fuel per Operation(Sugar)'!R26</f>
        <v>0</v>
      </c>
      <c r="M26" s="165">
        <f>'Total Fuel per Operation(Sugar)'!S26+'Total Fuel per Operation(Sugar)'!T26</f>
        <v>0</v>
      </c>
      <c r="N26" s="165">
        <f>'Total Fuel per Operation(Sugar)'!V26+'Total Fuel per Operation(Sugar)'!U26</f>
        <v>16000</v>
      </c>
      <c r="O26" s="165">
        <f>'Total Fuel per Operation(Sugar)'!W26+'Total Fuel per Operation(Sugar)'!X26</f>
        <v>16000</v>
      </c>
      <c r="P26" s="147">
        <f t="shared" si="0"/>
        <v>627153.88</v>
      </c>
      <c r="Q26" s="148">
        <v>265576.94</v>
      </c>
      <c r="R26" s="101">
        <v>5</v>
      </c>
      <c r="S26" s="102">
        <v>106230.776</v>
      </c>
      <c r="T26" s="102">
        <v>106230.776</v>
      </c>
      <c r="U26" s="102">
        <v>106230.776</v>
      </c>
      <c r="V26" s="102">
        <v>106230.776</v>
      </c>
      <c r="W26" s="102">
        <v>106230.776</v>
      </c>
      <c r="X26" s="100"/>
      <c r="Y26" s="100"/>
      <c r="Z26" s="100"/>
      <c r="AA26" s="100"/>
      <c r="AB26" s="100"/>
      <c r="AC26" s="100"/>
      <c r="AD26" s="100"/>
      <c r="AE26" s="103">
        <v>531153.88</v>
      </c>
    </row>
    <row r="27" spans="1:31" s="104" customFormat="1" ht="21" customHeight="1">
      <c r="A27" s="149" t="s">
        <v>55</v>
      </c>
      <c r="B27" s="96" t="s">
        <v>55</v>
      </c>
      <c r="C27" s="97" t="s">
        <v>372</v>
      </c>
      <c r="D27" s="165">
        <f>'Total Fuel per Operation(Sugar)'!D27+'Total Fuel per Operation(Sugar)'!E27</f>
        <v>963617.17249999999</v>
      </c>
      <c r="E27" s="165">
        <f>'Total Fuel per Operation(Sugar)'!F27+'Total Fuel per Operation(Sugar)'!G27</f>
        <v>963617.17249999999</v>
      </c>
      <c r="F27" s="165">
        <f>'Total Fuel per Operation(Sugar)'!H27+'Total Fuel per Operation(Sugar)'!I27</f>
        <v>963617.17249999999</v>
      </c>
      <c r="G27" s="165">
        <f>'Total Fuel per Operation(Sugar)'!K27+'Total Fuel per Operation(Sugar)'!J27</f>
        <v>963617.17249999999</v>
      </c>
      <c r="H27" s="165">
        <f>'Total Fuel per Operation(Sugar)'!L27+'Total Fuel per Operation(Sugar)'!M27</f>
        <v>963617.17249999999</v>
      </c>
      <c r="I27" s="165">
        <f>'Total Fuel per Operation(Sugar)'!O27+'Total Fuel per Operation(Sugar)'!N27</f>
        <v>839763.17249999999</v>
      </c>
      <c r="J27" s="165">
        <f>'Total Fuel per Operation(Sugar)'!P27</f>
        <v>0</v>
      </c>
      <c r="K27" s="165">
        <f>'Total Fuel per Operation(Sugar)'!Q27</f>
        <v>0</v>
      </c>
      <c r="L27" s="165">
        <f>'Total Fuel per Operation(Sugar)'!R27</f>
        <v>0</v>
      </c>
      <c r="M27" s="165">
        <f>'Total Fuel per Operation(Sugar)'!S27+'Total Fuel per Operation(Sugar)'!T27</f>
        <v>123854.00000000001</v>
      </c>
      <c r="N27" s="165">
        <f>'Total Fuel per Operation(Sugar)'!V27+'Total Fuel per Operation(Sugar)'!U27</f>
        <v>963617.17249999999</v>
      </c>
      <c r="O27" s="165">
        <f>'Total Fuel per Operation(Sugar)'!W27+'Total Fuel per Operation(Sugar)'!X27</f>
        <v>963617.17249999999</v>
      </c>
      <c r="P27" s="147">
        <f t="shared" si="0"/>
        <v>7708937.3800000008</v>
      </c>
      <c r="Q27" s="148">
        <v>3359052.69</v>
      </c>
      <c r="R27" s="101">
        <v>8</v>
      </c>
      <c r="S27" s="102">
        <v>839763.17249999999</v>
      </c>
      <c r="T27" s="102">
        <v>839763.17249999999</v>
      </c>
      <c r="U27" s="102">
        <v>839763.17249999999</v>
      </c>
      <c r="V27" s="102">
        <v>839763.17249999999</v>
      </c>
      <c r="W27" s="102">
        <v>839763.17249999999</v>
      </c>
      <c r="X27" s="102">
        <v>839763.17249999999</v>
      </c>
      <c r="Y27" s="100"/>
      <c r="Z27" s="100"/>
      <c r="AA27" s="100"/>
      <c r="AB27" s="100"/>
      <c r="AC27" s="102">
        <v>839763.17249999999</v>
      </c>
      <c r="AD27" s="102">
        <v>839763.17249999999</v>
      </c>
      <c r="AE27" s="103">
        <v>6718105.3800000008</v>
      </c>
    </row>
    <row r="28" spans="1:31" s="104" customFormat="1" ht="21" customHeight="1">
      <c r="A28" s="146" t="s">
        <v>373</v>
      </c>
      <c r="B28" s="108" t="s">
        <v>374</v>
      </c>
      <c r="C28" s="97" t="s">
        <v>375</v>
      </c>
      <c r="D28" s="165">
        <f>'Total Fuel per Operation(Sugar)'!D28+'Total Fuel per Operation(Sugar)'!E28</f>
        <v>140472.36799999999</v>
      </c>
      <c r="E28" s="165">
        <f>'Total Fuel per Operation(Sugar)'!F28+'Total Fuel per Operation(Sugar)'!G28</f>
        <v>140472.36799999999</v>
      </c>
      <c r="F28" s="165">
        <f>'Total Fuel per Operation(Sugar)'!H28+'Total Fuel per Operation(Sugar)'!I28</f>
        <v>140472.36799999999</v>
      </c>
      <c r="G28" s="165">
        <f>'Total Fuel per Operation(Sugar)'!K28+'Total Fuel per Operation(Sugar)'!J28</f>
        <v>106352.36799999999</v>
      </c>
      <c r="H28" s="165">
        <f>'Total Fuel per Operation(Sugar)'!L28+'Total Fuel per Operation(Sugar)'!M28</f>
        <v>106352.36799999999</v>
      </c>
      <c r="I28" s="165">
        <f>'Total Fuel per Operation(Sugar)'!O28+'Total Fuel per Operation(Sugar)'!N28</f>
        <v>0</v>
      </c>
      <c r="J28" s="165">
        <f>'Total Fuel per Operation(Sugar)'!P28</f>
        <v>0</v>
      </c>
      <c r="K28" s="165">
        <f>'Total Fuel per Operation(Sugar)'!Q28</f>
        <v>0</v>
      </c>
      <c r="L28" s="165">
        <f>'Total Fuel per Operation(Sugar)'!R28</f>
        <v>0</v>
      </c>
      <c r="M28" s="165">
        <f>'Total Fuel per Operation(Sugar)'!S28+'Total Fuel per Operation(Sugar)'!T28</f>
        <v>0</v>
      </c>
      <c r="N28" s="165">
        <f>'Total Fuel per Operation(Sugar)'!V28+'Total Fuel per Operation(Sugar)'!U28</f>
        <v>0</v>
      </c>
      <c r="O28" s="165">
        <f>'Total Fuel per Operation(Sugar)'!W28+'Total Fuel per Operation(Sugar)'!X28</f>
        <v>34120</v>
      </c>
      <c r="P28" s="147">
        <f t="shared" si="0"/>
        <v>668241.84</v>
      </c>
      <c r="Q28" s="148">
        <v>265880.92</v>
      </c>
      <c r="R28" s="101">
        <v>5</v>
      </c>
      <c r="S28" s="102">
        <v>106352.36799999999</v>
      </c>
      <c r="T28" s="102">
        <v>106352.36799999999</v>
      </c>
      <c r="U28" s="102">
        <v>106352.36799999999</v>
      </c>
      <c r="V28" s="102">
        <v>106352.36799999999</v>
      </c>
      <c r="W28" s="102">
        <v>106352.36799999999</v>
      </c>
      <c r="X28" s="100"/>
      <c r="Y28" s="100"/>
      <c r="Z28" s="100"/>
      <c r="AA28" s="100"/>
      <c r="AB28" s="100"/>
      <c r="AC28" s="100"/>
      <c r="AD28" s="100"/>
      <c r="AE28" s="103">
        <v>531761.84</v>
      </c>
    </row>
    <row r="29" spans="1:31" s="116" customFormat="1" ht="21" customHeight="1">
      <c r="A29" s="150" t="s">
        <v>213</v>
      </c>
      <c r="B29" s="154" t="s">
        <v>376</v>
      </c>
      <c r="C29" s="110" t="s">
        <v>377</v>
      </c>
      <c r="D29" s="165">
        <f>'Total Fuel per Operation(Sugar)'!D29+'Total Fuel per Operation(Sugar)'!E29</f>
        <v>218136.85714285713</v>
      </c>
      <c r="E29" s="165">
        <f>'Total Fuel per Operation(Sugar)'!F29+'Total Fuel per Operation(Sugar)'!G29</f>
        <v>218136.85714285713</v>
      </c>
      <c r="F29" s="165">
        <f>'Total Fuel per Operation(Sugar)'!H29+'Total Fuel per Operation(Sugar)'!I29</f>
        <v>218136.85714285713</v>
      </c>
      <c r="G29" s="165">
        <f>'Total Fuel per Operation(Sugar)'!K29+'Total Fuel per Operation(Sugar)'!J29</f>
        <v>164536.85714285713</v>
      </c>
      <c r="H29" s="165">
        <f>'Total Fuel per Operation(Sugar)'!L29+'Total Fuel per Operation(Sugar)'!M29</f>
        <v>164536.85714285713</v>
      </c>
      <c r="I29" s="165">
        <f>'Total Fuel per Operation(Sugar)'!O29+'Total Fuel per Operation(Sugar)'!N29</f>
        <v>0</v>
      </c>
      <c r="J29" s="165">
        <f>'Total Fuel per Operation(Sugar)'!P29</f>
        <v>0</v>
      </c>
      <c r="K29" s="165">
        <f>'Total Fuel per Operation(Sugar)'!Q29</f>
        <v>0</v>
      </c>
      <c r="L29" s="165">
        <f>'Total Fuel per Operation(Sugar)'!R29</f>
        <v>0</v>
      </c>
      <c r="M29" s="165">
        <f>'Total Fuel per Operation(Sugar)'!S29+'Total Fuel per Operation(Sugar)'!T29</f>
        <v>0</v>
      </c>
      <c r="N29" s="165">
        <f>'Total Fuel per Operation(Sugar)'!V29+'Total Fuel per Operation(Sugar)'!U29</f>
        <v>164536.85714285713</v>
      </c>
      <c r="O29" s="165">
        <f>'Total Fuel per Operation(Sugar)'!W29+'Total Fuel per Operation(Sugar)'!X29</f>
        <v>218136.85714285713</v>
      </c>
      <c r="P29" s="147">
        <f t="shared" si="0"/>
        <v>1366157.9999999998</v>
      </c>
      <c r="Q29" s="148">
        <v>575879</v>
      </c>
      <c r="R29" s="101">
        <v>7</v>
      </c>
      <c r="S29" s="102">
        <v>164536.85714285713</v>
      </c>
      <c r="T29" s="102">
        <v>164536.85714285713</v>
      </c>
      <c r="U29" s="102">
        <v>164536.85714285713</v>
      </c>
      <c r="V29" s="102">
        <v>164536.85714285713</v>
      </c>
      <c r="W29" s="102">
        <v>164536.85714285713</v>
      </c>
      <c r="X29" s="115"/>
      <c r="Y29" s="114"/>
      <c r="Z29" s="114"/>
      <c r="AA29" s="114"/>
      <c r="AB29" s="114"/>
      <c r="AC29" s="102">
        <v>164536.85714285713</v>
      </c>
      <c r="AD29" s="102">
        <v>164536.85714285713</v>
      </c>
      <c r="AE29" s="103">
        <v>1151758</v>
      </c>
    </row>
    <row r="30" spans="1:31" ht="21" customHeight="1" thickBot="1">
      <c r="A30" s="166" t="s">
        <v>378</v>
      </c>
      <c r="B30" s="117"/>
      <c r="C30" s="117"/>
      <c r="D30" s="167">
        <f>SUM(D4:D29)</f>
        <v>7207638.8883095225</v>
      </c>
      <c r="E30" s="167">
        <f t="shared" ref="E30:O30" si="1">SUM(E4:E29)</f>
        <v>7253679.6643095231</v>
      </c>
      <c r="F30" s="167">
        <f t="shared" si="1"/>
        <v>7018761.6909761894</v>
      </c>
      <c r="G30" s="167">
        <f t="shared" si="1"/>
        <v>6757512.0909761889</v>
      </c>
      <c r="H30" s="167">
        <f t="shared" si="1"/>
        <v>2339087.7319285716</v>
      </c>
      <c r="I30" s="167">
        <f t="shared" si="1"/>
        <v>899126.58049999992</v>
      </c>
      <c r="J30" s="167">
        <f t="shared" si="1"/>
        <v>0</v>
      </c>
      <c r="K30" s="167">
        <f t="shared" si="1"/>
        <v>0</v>
      </c>
      <c r="L30" s="167">
        <f t="shared" si="1"/>
        <v>0</v>
      </c>
      <c r="M30" s="167">
        <f t="shared" si="1"/>
        <v>4858396.3257142855</v>
      </c>
      <c r="N30" s="167">
        <f t="shared" si="1"/>
        <v>6267322.7129761903</v>
      </c>
      <c r="O30" s="167">
        <f t="shared" si="1"/>
        <v>6651429.7063095234</v>
      </c>
      <c r="P30" s="168">
        <f>SUM(D30:O30)</f>
        <v>49252955.39199999</v>
      </c>
      <c r="Q30" s="156">
        <v>21439625.180000003</v>
      </c>
      <c r="R30" s="120"/>
      <c r="S30" s="119">
        <v>6259224.1020238092</v>
      </c>
      <c r="T30" s="119">
        <v>6318587.5100238081</v>
      </c>
      <c r="U30" s="119">
        <v>6083669.5366904754</v>
      </c>
      <c r="V30" s="119">
        <v>6083669.5366904754</v>
      </c>
      <c r="W30" s="119">
        <v>1701605.1776428572</v>
      </c>
      <c r="X30" s="119">
        <v>899126.58049999992</v>
      </c>
      <c r="Y30" s="119">
        <v>0</v>
      </c>
      <c r="Z30" s="119">
        <v>0</v>
      </c>
      <c r="AA30" s="119">
        <v>0</v>
      </c>
      <c r="AB30" s="119">
        <v>4277159.8057142859</v>
      </c>
      <c r="AC30" s="119">
        <v>5479910.5586904762</v>
      </c>
      <c r="AD30" s="119">
        <v>5776297.5520238094</v>
      </c>
      <c r="AE30" s="121">
        <v>42879250.360000007</v>
      </c>
    </row>
    <row r="31" spans="1:31">
      <c r="A31" s="124"/>
      <c r="D31" s="126"/>
      <c r="F31" s="128"/>
      <c r="G31" s="127"/>
      <c r="H31" s="122"/>
      <c r="I31" s="129"/>
      <c r="K31" s="131"/>
      <c r="L31" s="127"/>
      <c r="S31" s="122"/>
      <c r="T31" s="122"/>
      <c r="U31" s="91"/>
      <c r="W31" s="92"/>
    </row>
    <row r="32" spans="1:31" s="139" customFormat="1" ht="16.8">
      <c r="A32" s="125"/>
      <c r="B32" s="142"/>
      <c r="C32" s="132"/>
      <c r="D32" s="134"/>
      <c r="E32" s="135"/>
      <c r="F32" s="132"/>
      <c r="G32" s="136"/>
      <c r="H32" s="137"/>
      <c r="I32" s="133"/>
      <c r="K32" s="132"/>
      <c r="L32" s="132"/>
      <c r="M32" s="132"/>
      <c r="N32" s="132"/>
      <c r="O32" s="132"/>
      <c r="P32" s="169">
        <f>P30*75</f>
        <v>3693971654.3999991</v>
      </c>
      <c r="Q32" s="132"/>
      <c r="R32" s="138"/>
      <c r="U32" s="140"/>
    </row>
    <row r="33" spans="1:21" s="139" customFormat="1" ht="16.8">
      <c r="A33" s="125"/>
      <c r="B33" s="142"/>
      <c r="C33" s="132"/>
      <c r="D33" s="134"/>
      <c r="E33" s="135"/>
      <c r="F33" s="132"/>
      <c r="G33" s="136"/>
      <c r="H33" s="137"/>
      <c r="I33" s="133"/>
      <c r="K33" s="132"/>
      <c r="L33" s="132"/>
      <c r="M33" s="132"/>
      <c r="N33" s="132"/>
      <c r="O33" s="132"/>
      <c r="P33" s="132"/>
      <c r="Q33" s="132"/>
      <c r="R33" s="138"/>
      <c r="U33" s="140"/>
    </row>
    <row r="34" spans="1:21" s="139" customFormat="1" ht="16.8">
      <c r="A34" s="125"/>
      <c r="D34" s="134"/>
      <c r="E34" s="135"/>
      <c r="F34" s="132"/>
      <c r="G34" s="136"/>
      <c r="H34" s="137"/>
      <c r="I34" s="133"/>
      <c r="K34" s="132"/>
      <c r="L34" s="132"/>
      <c r="M34" s="132"/>
      <c r="N34" s="132"/>
      <c r="O34" s="132"/>
      <c r="P34" s="132"/>
      <c r="Q34" s="132"/>
      <c r="R34" s="138"/>
      <c r="U34" s="140"/>
    </row>
    <row r="35" spans="1:21" ht="17.399999999999999">
      <c r="A35" s="141"/>
      <c r="B35" s="142"/>
      <c r="C35" s="132"/>
      <c r="F35" s="143"/>
    </row>
    <row r="36" spans="1:21" ht="16.8">
      <c r="A36" s="139"/>
      <c r="D36" s="144"/>
    </row>
    <row r="37" spans="1:21">
      <c r="A37" s="124"/>
    </row>
  </sheetData>
  <mergeCells count="8">
    <mergeCell ref="Q2:AD2"/>
    <mergeCell ref="AE2:AE3"/>
    <mergeCell ref="A1:P1"/>
    <mergeCell ref="A2:A3"/>
    <mergeCell ref="B2:B3"/>
    <mergeCell ref="C2:C3"/>
    <mergeCell ref="D2:O2"/>
    <mergeCell ref="P2:P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118"/>
  <sheetViews>
    <sheetView workbookViewId="0">
      <selection activeCell="N10" sqref="N10:P11"/>
    </sheetView>
  </sheetViews>
  <sheetFormatPr defaultColWidth="8.77734375" defaultRowHeight="14.4"/>
  <cols>
    <col min="1" max="1" width="12.6640625" style="3" bestFit="1" customWidth="1"/>
    <col min="2" max="13" width="12.77734375" style="31" customWidth="1"/>
    <col min="14" max="14" width="15.6640625" style="326" bestFit="1" customWidth="1"/>
    <col min="15" max="15" width="16.77734375" style="326" bestFit="1" customWidth="1"/>
    <col min="16" max="16" width="15.6640625" style="326" bestFit="1" customWidth="1"/>
    <col min="17" max="17" width="15.109375" style="31" bestFit="1" customWidth="1"/>
    <col min="18" max="18" width="12" bestFit="1" customWidth="1"/>
  </cols>
  <sheetData>
    <row r="1" spans="1:16">
      <c r="A1" s="590" t="s">
        <v>310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O1" s="328">
        <f>SUM(O20,O39,O58,O77)</f>
        <v>25250517757.068699</v>
      </c>
      <c r="P1" s="328">
        <f>SUM(P20,P39,P58,P77)</f>
        <v>9841980083.5903416</v>
      </c>
    </row>
    <row r="2" spans="1:16" s="3" customFormat="1" ht="43.2">
      <c r="A2" s="19" t="s">
        <v>570</v>
      </c>
      <c r="B2" s="19" t="s">
        <v>238</v>
      </c>
      <c r="C2" s="19" t="s">
        <v>239</v>
      </c>
      <c r="D2" s="19" t="s">
        <v>240</v>
      </c>
      <c r="E2" s="19" t="s">
        <v>241</v>
      </c>
      <c r="F2" s="19" t="s">
        <v>236</v>
      </c>
      <c r="G2" s="19" t="s">
        <v>237</v>
      </c>
      <c r="H2" s="19" t="s">
        <v>242</v>
      </c>
      <c r="I2" s="19" t="s">
        <v>243</v>
      </c>
      <c r="J2" s="19" t="s">
        <v>244</v>
      </c>
      <c r="K2" s="19" t="s">
        <v>245</v>
      </c>
      <c r="L2" s="19" t="s">
        <v>246</v>
      </c>
      <c r="M2" s="19" t="s">
        <v>247</v>
      </c>
      <c r="N2" s="327" t="s">
        <v>567</v>
      </c>
      <c r="O2" s="327" t="s">
        <v>569</v>
      </c>
      <c r="P2" s="327" t="s">
        <v>568</v>
      </c>
    </row>
    <row r="3" spans="1:16">
      <c r="A3" s="7" t="s">
        <v>294</v>
      </c>
      <c r="B3" s="331">
        <f>Summary!B3*0.8</f>
        <v>51916.640000000007</v>
      </c>
      <c r="C3" s="331">
        <f>Summary!C3*0.8</f>
        <v>54898.400000000001</v>
      </c>
      <c r="D3" s="331">
        <f>Summary!D3*0.8</f>
        <v>73992</v>
      </c>
      <c r="E3" s="331">
        <f>Summary!E3*0.8</f>
        <v>89433.600000000006</v>
      </c>
      <c r="F3" s="331">
        <f>Summary!F3*0.8</f>
        <v>201556.80000000002</v>
      </c>
      <c r="G3" s="331">
        <f>Summary!G3*0.8</f>
        <v>142485.6</v>
      </c>
      <c r="H3" s="331">
        <f>Summary!H3*0.8</f>
        <v>199927.04000000001</v>
      </c>
      <c r="I3" s="331">
        <f>Summary!I3*0.8</f>
        <v>157949.6</v>
      </c>
      <c r="J3" s="331">
        <f>Summary!J3*0.8</f>
        <v>173990.40000000002</v>
      </c>
      <c r="K3" s="331">
        <f>Summary!K3*0.8</f>
        <v>147428</v>
      </c>
      <c r="L3" s="331">
        <f>Summary!L3*0.8</f>
        <v>89469.6</v>
      </c>
      <c r="M3" s="331">
        <f>Summary!M3*0.8</f>
        <v>223340.80000000002</v>
      </c>
      <c r="N3" s="45">
        <f>SUM(B3:M3)</f>
        <v>1606388.4800000002</v>
      </c>
      <c r="O3" s="45">
        <f>$N3*AVERAGE('Assumptions&amp;Calculations'!$B$3:$B$5)</f>
        <v>107719056.84053336</v>
      </c>
      <c r="P3" s="45">
        <f>$N3*AVERAGE('Assumptions&amp;Calculations'!$M$3:$M$5)</f>
        <v>41986022.712380953</v>
      </c>
    </row>
    <row r="4" spans="1:16">
      <c r="A4" s="7" t="s">
        <v>295</v>
      </c>
      <c r="B4" s="331">
        <f>Summary!B4*0.8</f>
        <v>3330739.2</v>
      </c>
      <c r="C4" s="331">
        <f>Summary!C4*0.8</f>
        <v>128550.40000000001</v>
      </c>
      <c r="D4" s="331">
        <f>Summary!D4*0.8</f>
        <v>8203769.6000000006</v>
      </c>
      <c r="E4" s="331">
        <f>Summary!E4*0.8</f>
        <v>821382.24</v>
      </c>
      <c r="F4" s="331">
        <f>Summary!F4*0.8</f>
        <v>965076</v>
      </c>
      <c r="G4" s="331">
        <f>Summary!G4*0.8</f>
        <v>3330739.2</v>
      </c>
      <c r="H4" s="331">
        <f>Summary!H4*0.8</f>
        <v>128550.40000000001</v>
      </c>
      <c r="I4" s="331">
        <f>Summary!I4*0.8</f>
        <v>0</v>
      </c>
      <c r="J4" s="331">
        <f>Summary!J4*0.8</f>
        <v>0</v>
      </c>
      <c r="K4" s="331">
        <f>Summary!K4*0.8</f>
        <v>8203769.6000000006</v>
      </c>
      <c r="L4" s="331">
        <f>Summary!L4*0.8</f>
        <v>821382.24</v>
      </c>
      <c r="M4" s="331">
        <f>Summary!M4*0.8</f>
        <v>965076</v>
      </c>
      <c r="N4" s="45">
        <f t="shared" ref="N4:N19" si="0">SUM(B4:M4)</f>
        <v>26899034.879999999</v>
      </c>
      <c r="O4" s="45">
        <f>$N4*AVERAGE('Assumptions&amp;Calculations'!$B$3:$B$5)</f>
        <v>1803759615.6032</v>
      </c>
      <c r="P4" s="45">
        <f>$N4*AVERAGE('Assumptions&amp;Calculations'!$M$3:$M$5)</f>
        <v>703057512.84571421</v>
      </c>
    </row>
    <row r="5" spans="1:16">
      <c r="A5" s="7" t="s">
        <v>296</v>
      </c>
      <c r="B5" s="331">
        <f>Summary!B5*0.8</f>
        <v>2711368.3200000003</v>
      </c>
      <c r="C5" s="331">
        <f>Summary!C5*0.8</f>
        <v>1315727.2000000002</v>
      </c>
      <c r="D5" s="331">
        <f>Summary!D5*0.8</f>
        <v>626867.20000000007</v>
      </c>
      <c r="E5" s="331">
        <f>Summary!E5*0.8</f>
        <v>3379.2000000000003</v>
      </c>
      <c r="F5" s="331">
        <f>Summary!F5*0.8</f>
        <v>7658912</v>
      </c>
      <c r="G5" s="331">
        <f>Summary!G5*0.8</f>
        <v>7621437.2800000012</v>
      </c>
      <c r="H5" s="331">
        <f>Summary!H5*0.8</f>
        <v>2175528.48</v>
      </c>
      <c r="I5" s="331">
        <f>Summary!I5*0.8</f>
        <v>3048121.6</v>
      </c>
      <c r="J5" s="331">
        <f>Summary!J5*0.8</f>
        <v>2339398.4</v>
      </c>
      <c r="K5" s="331">
        <f>Summary!K5*0.8</f>
        <v>6591852.6400000006</v>
      </c>
      <c r="L5" s="331">
        <f>Summary!L5*0.8</f>
        <v>6252898.0800000001</v>
      </c>
      <c r="M5" s="331">
        <f>Summary!M5*0.8</f>
        <v>3617315.5200000005</v>
      </c>
      <c r="N5" s="45">
        <f t="shared" si="0"/>
        <v>43962805.920000009</v>
      </c>
      <c r="O5" s="45">
        <f>$N5*AVERAGE('Assumptions&amp;Calculations'!$B$3:$B$5)</f>
        <v>2947999222.3088007</v>
      </c>
      <c r="P5" s="45">
        <f>$N5*AVERAGE('Assumptions&amp;Calculations'!$M$3:$M$5)</f>
        <v>1149051671.3971429</v>
      </c>
    </row>
    <row r="6" spans="1:16">
      <c r="A6" s="7" t="s">
        <v>297</v>
      </c>
      <c r="B6" s="331">
        <f>Summary!B6*0.8</f>
        <v>1846320</v>
      </c>
      <c r="C6" s="331">
        <f>Summary!C6*0.8</f>
        <v>3323315.2</v>
      </c>
      <c r="D6" s="331">
        <f>Summary!D6*0.8</f>
        <v>564518.40000000002</v>
      </c>
      <c r="E6" s="331">
        <f>Summary!E6*0.8</f>
        <v>0</v>
      </c>
      <c r="F6" s="331">
        <f>Summary!F6*0.8</f>
        <v>0</v>
      </c>
      <c r="G6" s="331">
        <f>Summary!G6*0.8</f>
        <v>5860288</v>
      </c>
      <c r="H6" s="331">
        <f>Summary!H6*0.8</f>
        <v>1435748.4800000002</v>
      </c>
      <c r="I6" s="331">
        <f>Summary!I6*0.8</f>
        <v>1846320</v>
      </c>
      <c r="J6" s="331">
        <f>Summary!J6*0.8</f>
        <v>3323315.2</v>
      </c>
      <c r="K6" s="331">
        <f>Summary!K6*0.8</f>
        <v>564518.40000000002</v>
      </c>
      <c r="L6" s="331">
        <f>Summary!L6*0.8</f>
        <v>5860288</v>
      </c>
      <c r="M6" s="331">
        <f>Summary!M6*0.8</f>
        <v>1928924.4800000004</v>
      </c>
      <c r="N6" s="45">
        <f t="shared" si="0"/>
        <v>26553556.16</v>
      </c>
      <c r="O6" s="45">
        <f>$N6*AVERAGE('Assumptions&amp;Calculations'!$B$3:$B$5)</f>
        <v>1780592964.2357335</v>
      </c>
      <c r="P6" s="45">
        <f>$N6*AVERAGE('Assumptions&amp;Calculations'!$M$3:$M$5)</f>
        <v>694027768.44380951</v>
      </c>
    </row>
    <row r="7" spans="1:16">
      <c r="A7" s="7" t="s">
        <v>298</v>
      </c>
      <c r="B7" s="331">
        <f>Summary!B7*0.8</f>
        <v>536686.4</v>
      </c>
      <c r="C7" s="331">
        <f>Summary!C7*0.8</f>
        <v>888140.80000000005</v>
      </c>
      <c r="D7" s="331">
        <f>Summary!D7*0.8</f>
        <v>126617.60000000001</v>
      </c>
      <c r="E7" s="331">
        <f>Summary!E7*0.8</f>
        <v>0</v>
      </c>
      <c r="F7" s="331">
        <f>Summary!F7*0.8</f>
        <v>0</v>
      </c>
      <c r="G7" s="331">
        <f>Summary!G7*0.8</f>
        <v>1025196.8</v>
      </c>
      <c r="H7" s="331">
        <f>Summary!H7*0.8</f>
        <v>1432060.6400000001</v>
      </c>
      <c r="I7" s="331">
        <f>Summary!I7*0.8</f>
        <v>423559.52</v>
      </c>
      <c r="J7" s="331">
        <f>Summary!J7*0.8</f>
        <v>536686.4</v>
      </c>
      <c r="K7" s="331">
        <f>Summary!K7*0.8</f>
        <v>1913337.6</v>
      </c>
      <c r="L7" s="331">
        <f>Summary!L7*0.8</f>
        <v>1558678.2400000002</v>
      </c>
      <c r="M7" s="331">
        <f>Summary!M7*0.8</f>
        <v>423559.52</v>
      </c>
      <c r="N7" s="45">
        <f t="shared" si="0"/>
        <v>8864523.5200000014</v>
      </c>
      <c r="O7" s="45">
        <f>$N7*AVERAGE('Assumptions&amp;Calculations'!$B$3:$B$5)</f>
        <v>594425398.83946681</v>
      </c>
      <c r="P7" s="45">
        <f>$N7*AVERAGE('Assumptions&amp;Calculations'!$M$3:$M$5)</f>
        <v>231691207.00190479</v>
      </c>
    </row>
    <row r="8" spans="1:16">
      <c r="A8" s="7" t="s">
        <v>299</v>
      </c>
      <c r="B8" s="331">
        <f>Summary!B8*0.8</f>
        <v>927859.20000000007</v>
      </c>
      <c r="C8" s="331">
        <f>Summary!C8*0.8</f>
        <v>91225.600000000006</v>
      </c>
      <c r="D8" s="331">
        <f>Summary!D8*0.8</f>
        <v>0</v>
      </c>
      <c r="E8" s="331">
        <f>Summary!E8*0.8</f>
        <v>927308.80000000005</v>
      </c>
      <c r="F8" s="331">
        <f>Summary!F8*0.8</f>
        <v>1537923.52</v>
      </c>
      <c r="G8" s="331">
        <f>Summary!G8*0.8</f>
        <v>307423.36000000004</v>
      </c>
      <c r="H8" s="331">
        <f>Summary!H8*0.8</f>
        <v>1051416</v>
      </c>
      <c r="I8" s="331">
        <f>Summary!I8*0.8</f>
        <v>387776</v>
      </c>
      <c r="J8" s="331">
        <f>Summary!J8*0.8</f>
        <v>1358931.2000000002</v>
      </c>
      <c r="K8" s="331">
        <f>Summary!K8*0.8</f>
        <v>1156691.3600000001</v>
      </c>
      <c r="L8" s="331">
        <f>Summary!L8*0.8</f>
        <v>312793.92000000004</v>
      </c>
      <c r="M8" s="331">
        <f>Summary!M8*0.8</f>
        <v>500564</v>
      </c>
      <c r="N8" s="45">
        <f t="shared" si="0"/>
        <v>8559912.9600000009</v>
      </c>
      <c r="O8" s="45">
        <f>$N8*AVERAGE('Assumptions&amp;Calculations'!$B$3:$B$5)</f>
        <v>573999230.05440009</v>
      </c>
      <c r="P8" s="45">
        <f>$N8*AVERAGE('Assumptions&amp;Calculations'!$M$3:$M$5)</f>
        <v>223729629.80571428</v>
      </c>
    </row>
    <row r="9" spans="1:16">
      <c r="A9" s="7" t="s">
        <v>300</v>
      </c>
      <c r="B9" s="331">
        <f>Summary!B9*0.8</f>
        <v>464227.68</v>
      </c>
      <c r="C9" s="331">
        <f>Summary!C9*0.8</f>
        <v>1421725.2800000003</v>
      </c>
      <c r="D9" s="331">
        <f>Summary!D9*0.8</f>
        <v>826922.4</v>
      </c>
      <c r="E9" s="331">
        <f>Summary!E9*0.8</f>
        <v>424260.95999999996</v>
      </c>
      <c r="F9" s="331">
        <f>Summary!F9*0.8</f>
        <v>162343.20000000001</v>
      </c>
      <c r="G9" s="331">
        <f>Summary!G9*0.8</f>
        <v>703430.4</v>
      </c>
      <c r="H9" s="331">
        <f>Summary!H9*0.8</f>
        <v>1630923.36</v>
      </c>
      <c r="I9" s="331">
        <f>Summary!I9*0.8</f>
        <v>267299.52000000008</v>
      </c>
      <c r="J9" s="331">
        <f>Summary!J9*0.8</f>
        <v>579927.36</v>
      </c>
      <c r="K9" s="331">
        <f>Summary!K9*0.8</f>
        <v>1609140</v>
      </c>
      <c r="L9" s="331">
        <f>Summary!L9*0.8</f>
        <v>2126892.8000000003</v>
      </c>
      <c r="M9" s="331">
        <f>Summary!M9*0.8</f>
        <v>400482.72000000009</v>
      </c>
      <c r="N9" s="45">
        <f t="shared" si="0"/>
        <v>10617575.680000002</v>
      </c>
      <c r="O9" s="45">
        <f>$N9*AVERAGE('Assumptions&amp;Calculations'!$B$3:$B$5)</f>
        <v>711979233.18186688</v>
      </c>
      <c r="P9" s="45">
        <f>$N9*AVERAGE('Assumptions&amp;Calculations'!$M$3:$M$5)</f>
        <v>277510564.35047621</v>
      </c>
    </row>
    <row r="10" spans="1:16">
      <c r="A10" s="7" t="s">
        <v>301</v>
      </c>
      <c r="B10" s="331">
        <f>Summary!B10*0.8</f>
        <v>670794.4</v>
      </c>
      <c r="C10" s="331">
        <f>Summary!C10*0.8</f>
        <v>992819.20000000007</v>
      </c>
      <c r="D10" s="331">
        <f>Summary!D10*0.8</f>
        <v>170137.60000000001</v>
      </c>
      <c r="E10" s="331">
        <f>Summary!E10*0.8</f>
        <v>0</v>
      </c>
      <c r="F10" s="331">
        <f>Summary!F10*0.8</f>
        <v>1235705.6000000001</v>
      </c>
      <c r="G10" s="331">
        <f>Summary!G10*0.8</f>
        <v>206180.32</v>
      </c>
      <c r="H10" s="331">
        <f>Summary!H10*0.8</f>
        <v>670794.4</v>
      </c>
      <c r="I10" s="331">
        <f>Summary!I10*0.8</f>
        <v>992819.20000000007</v>
      </c>
      <c r="J10" s="331">
        <f>Summary!J10*0.8</f>
        <v>170137.60000000001</v>
      </c>
      <c r="K10" s="331">
        <f>Summary!K10*0.8</f>
        <v>0</v>
      </c>
      <c r="L10" s="331">
        <f>Summary!L10*0.8</f>
        <v>1235705.6000000001</v>
      </c>
      <c r="M10" s="331">
        <f>Summary!M10*0.8</f>
        <v>206180.32</v>
      </c>
      <c r="N10" s="45">
        <f t="shared" si="0"/>
        <v>6551274.2400000002</v>
      </c>
      <c r="O10" s="45">
        <f>$N10*AVERAGE('Assumptions&amp;Calculations'!$B$3:$B$5)</f>
        <v>439306612.95360005</v>
      </c>
      <c r="P10" s="45">
        <f>$N10*AVERAGE('Assumptions&amp;Calculations'!$M$3:$M$5)</f>
        <v>171230030.88</v>
      </c>
    </row>
    <row r="11" spans="1:16">
      <c r="A11" s="7" t="s">
        <v>782</v>
      </c>
      <c r="B11" s="331">
        <f>Summary!B11*0.8</f>
        <v>98705.600000000006</v>
      </c>
      <c r="C11" s="331">
        <f>Summary!C11*0.8</f>
        <v>141619.20000000001</v>
      </c>
      <c r="D11" s="331">
        <f>Summary!D11*0.8</f>
        <v>21964.800000000003</v>
      </c>
      <c r="E11" s="331">
        <f>Summary!E11*0.8</f>
        <v>0</v>
      </c>
      <c r="F11" s="331">
        <f>Summary!F11*0.8</f>
        <v>515238.40000000002</v>
      </c>
      <c r="G11" s="331">
        <f>Summary!G11*0.8</f>
        <v>44405.119999999995</v>
      </c>
      <c r="H11" s="331">
        <f>Summary!H11*0.8</f>
        <v>60521.600000000006</v>
      </c>
      <c r="I11" s="331">
        <f>Summary!I11*0.8</f>
        <v>195712</v>
      </c>
      <c r="J11" s="331">
        <f>Summary!J11*0.8</f>
        <v>350809.60000000003</v>
      </c>
      <c r="K11" s="331">
        <f>Summary!K11*0.8</f>
        <v>18122.560000000001</v>
      </c>
      <c r="L11" s="331">
        <f>Summary!L11*0.8</f>
        <v>248945.6</v>
      </c>
      <c r="M11" s="331">
        <f>Summary!M11*0.8</f>
        <v>80375.360000000001</v>
      </c>
      <c r="N11" s="45">
        <f t="shared" ref="N11" si="1">SUM(B11:M11)</f>
        <v>1776419.8400000003</v>
      </c>
      <c r="O11" s="45">
        <f>$N11*AVERAGE('Assumptions&amp;Calculations'!$B$3:$B$5)</f>
        <v>119120793.07093336</v>
      </c>
      <c r="P11" s="45">
        <f>$N11*AVERAGE('Assumptions&amp;Calculations'!$M$3:$M$5)</f>
        <v>46430116.175238095</v>
      </c>
    </row>
    <row r="12" spans="1:16">
      <c r="A12" s="7" t="s">
        <v>302</v>
      </c>
      <c r="B12" s="331">
        <f>Summary!B12*0.8</f>
        <v>0</v>
      </c>
      <c r="C12" s="331">
        <f>Summary!C12*0.8</f>
        <v>0</v>
      </c>
      <c r="D12" s="331">
        <f>Summary!D12*0.8</f>
        <v>0</v>
      </c>
      <c r="E12" s="331">
        <f>Summary!E12*0.8</f>
        <v>759942.4</v>
      </c>
      <c r="F12" s="331">
        <f>Summary!F12*0.8</f>
        <v>62814.240000000005</v>
      </c>
      <c r="G12" s="331">
        <f>Summary!G12*0.8</f>
        <v>47964</v>
      </c>
      <c r="H12" s="331">
        <f>Summary!H12*0.8</f>
        <v>80614.400000000009</v>
      </c>
      <c r="I12" s="331">
        <f>Summary!I12*0.8</f>
        <v>976633.60000000009</v>
      </c>
      <c r="J12" s="331">
        <f>Summary!J12*0.8</f>
        <v>62814.240000000005</v>
      </c>
      <c r="K12" s="331">
        <f>Summary!K12*0.8</f>
        <v>47964</v>
      </c>
      <c r="L12" s="331">
        <f>Summary!L12*0.8</f>
        <v>80614.400000000009</v>
      </c>
      <c r="M12" s="331">
        <f>Summary!M12*0.8</f>
        <v>216691.20000000001</v>
      </c>
      <c r="N12" s="45">
        <f t="shared" si="0"/>
        <v>2336052.4800000004</v>
      </c>
      <c r="O12" s="45">
        <f>$N12*AVERAGE('Assumptions&amp;Calculations'!$B$3:$B$5)</f>
        <v>156647892.46720004</v>
      </c>
      <c r="P12" s="45">
        <f>$N12*AVERAGE('Assumptions&amp;Calculations'!$M$3:$M$5)</f>
        <v>61057181.188571431</v>
      </c>
    </row>
    <row r="13" spans="1:16">
      <c r="A13" s="7" t="s">
        <v>303</v>
      </c>
      <c r="B13" s="331">
        <f>Summary!B13*0.8</f>
        <v>269513.27999999997</v>
      </c>
      <c r="C13" s="331">
        <f>Summary!C13*0.8</f>
        <v>257207.2</v>
      </c>
      <c r="D13" s="331">
        <f>Summary!D13*0.8</f>
        <v>573529.59999999998</v>
      </c>
      <c r="E13" s="331">
        <f>Summary!E13*0.8</f>
        <v>297305.60000000003</v>
      </c>
      <c r="F13" s="331">
        <f>Summary!F13*0.8</f>
        <v>517638.40000000002</v>
      </c>
      <c r="G13" s="331">
        <f>Summary!G13*0.8</f>
        <v>964708.64000000013</v>
      </c>
      <c r="H13" s="331">
        <f>Summary!H13*0.8</f>
        <v>269513.27999999997</v>
      </c>
      <c r="I13" s="331">
        <f>Summary!I13*0.8</f>
        <v>257207.2</v>
      </c>
      <c r="J13" s="331">
        <f>Summary!J13*0.8</f>
        <v>573529.59999999998</v>
      </c>
      <c r="K13" s="331">
        <f>Summary!K13*0.8</f>
        <v>297305.60000000003</v>
      </c>
      <c r="L13" s="331">
        <f>Summary!L13*0.8</f>
        <v>517638.40000000002</v>
      </c>
      <c r="M13" s="331">
        <f>Summary!M13*0.8</f>
        <v>964708.64000000013</v>
      </c>
      <c r="N13" s="45">
        <f t="shared" si="0"/>
        <v>5759805.4400000013</v>
      </c>
      <c r="O13" s="45">
        <f>$N13*AVERAGE('Assumptions&amp;Calculations'!$B$3:$B$5)</f>
        <v>386233353.45493346</v>
      </c>
      <c r="P13" s="45">
        <f>$N13*AVERAGE('Assumptions&amp;Calculations'!$M$3:$M$5)</f>
        <v>150543486.23238099</v>
      </c>
    </row>
    <row r="14" spans="1:16">
      <c r="A14" s="7" t="s">
        <v>304</v>
      </c>
      <c r="B14" s="331">
        <f>Summary!B14*0.8</f>
        <v>346257.60000000003</v>
      </c>
      <c r="C14" s="331">
        <f>Summary!C14*0.8</f>
        <v>394841.60000000003</v>
      </c>
      <c r="D14" s="331">
        <f>Summary!D14*0.8</f>
        <v>70118.400000000009</v>
      </c>
      <c r="E14" s="331">
        <f>Summary!E14*0.8</f>
        <v>0</v>
      </c>
      <c r="F14" s="331">
        <f>Summary!F14*0.8</f>
        <v>918988.80000000005</v>
      </c>
      <c r="G14" s="331">
        <f>Summary!G14*0.8</f>
        <v>101769.28000000001</v>
      </c>
      <c r="H14" s="331">
        <f>Summary!H14*0.8</f>
        <v>62328</v>
      </c>
      <c r="I14" s="331">
        <f>Summary!I14*0.8</f>
        <v>622694.40000000002</v>
      </c>
      <c r="J14" s="331">
        <f>Summary!J14*0.8</f>
        <v>150387.20000000001</v>
      </c>
      <c r="K14" s="331">
        <f>Summary!K14*0.8</f>
        <v>379225.60000000003</v>
      </c>
      <c r="L14" s="331">
        <f>Summary!L14*0.8</f>
        <v>590553.59999999998</v>
      </c>
      <c r="M14" s="331">
        <f>Summary!M14*0.8</f>
        <v>75170.87999999999</v>
      </c>
      <c r="N14" s="45">
        <f t="shared" si="0"/>
        <v>3712335.3600000003</v>
      </c>
      <c r="O14" s="45">
        <f>$N14*AVERAGE('Assumptions&amp;Calculations'!$B$3:$B$5)</f>
        <v>248936834.79040003</v>
      </c>
      <c r="P14" s="45">
        <f>$N14*AVERAGE('Assumptions&amp;Calculations'!$M$3:$M$5)</f>
        <v>97028955.748571426</v>
      </c>
    </row>
    <row r="15" spans="1:16">
      <c r="A15" s="7" t="s">
        <v>305</v>
      </c>
      <c r="B15" s="331">
        <f>Summary!B15*0.8</f>
        <v>894308</v>
      </c>
      <c r="C15" s="331">
        <f>Summary!C15*0.8</f>
        <v>1055884.8</v>
      </c>
      <c r="D15" s="331">
        <f>Summary!D15*0.8</f>
        <v>62246.400000000001</v>
      </c>
      <c r="E15" s="331">
        <f>Summary!E15*0.8</f>
        <v>0</v>
      </c>
      <c r="F15" s="331">
        <f>Summary!F15*0.8</f>
        <v>3545241.6000000001</v>
      </c>
      <c r="G15" s="331">
        <f>Summary!G15*0.8</f>
        <v>372126.72000000003</v>
      </c>
      <c r="H15" s="331">
        <f>Summary!H15*0.8</f>
        <v>291648</v>
      </c>
      <c r="I15" s="331">
        <f>Summary!I15*0.8</f>
        <v>1671372.8</v>
      </c>
      <c r="J15" s="331">
        <f>Summary!J15*0.8</f>
        <v>229094.40000000002</v>
      </c>
      <c r="K15" s="331">
        <f>Summary!K15*0.8</f>
        <v>2000403.2000000002</v>
      </c>
      <c r="L15" s="331">
        <f>Summary!L15*0.8</f>
        <v>1791056.1600000001</v>
      </c>
      <c r="M15" s="331">
        <f>Summary!M15*0.8</f>
        <v>305584.96000000002</v>
      </c>
      <c r="N15" s="45">
        <f t="shared" si="0"/>
        <v>12218967.040000001</v>
      </c>
      <c r="O15" s="45">
        <f>$N15*AVERAGE('Assumptions&amp;Calculations'!$B$3:$B$5)</f>
        <v>819363199.81226683</v>
      </c>
      <c r="P15" s="45">
        <f>$N15*AVERAGE('Assumptions&amp;Calculations'!$M$3:$M$5)</f>
        <v>319365977.81333333</v>
      </c>
    </row>
    <row r="16" spans="1:16">
      <c r="A16" s="7" t="s">
        <v>306</v>
      </c>
      <c r="B16" s="331">
        <f>Summary!B16*0.8</f>
        <v>232946.40000000002</v>
      </c>
      <c r="C16" s="331">
        <f>Summary!C16*0.8</f>
        <v>807052.80000000005</v>
      </c>
      <c r="D16" s="331">
        <f>Summary!D16*0.8</f>
        <v>81561.600000000006</v>
      </c>
      <c r="E16" s="331">
        <f>Summary!E16*0.8</f>
        <v>1000352</v>
      </c>
      <c r="F16" s="331">
        <f>Summary!F16*0.8</f>
        <v>435031.2</v>
      </c>
      <c r="G16" s="331">
        <f>Summary!G16*0.8</f>
        <v>132380</v>
      </c>
      <c r="H16" s="331">
        <f>Summary!H16*0.8</f>
        <v>803107.20000000007</v>
      </c>
      <c r="I16" s="331">
        <f>Summary!I16*0.8</f>
        <v>209612.80000000002</v>
      </c>
      <c r="J16" s="331">
        <f>Summary!J16*0.8</f>
        <v>496051.20000000001</v>
      </c>
      <c r="K16" s="331">
        <f>Summary!K16*0.8</f>
        <v>221301.12000000002</v>
      </c>
      <c r="L16" s="331">
        <f>Summary!L16*0.8</f>
        <v>1026596.4800000001</v>
      </c>
      <c r="M16" s="331">
        <f>Summary!M16*0.8</f>
        <v>147575.20000000001</v>
      </c>
      <c r="N16" s="45">
        <f t="shared" si="0"/>
        <v>5593568.0000000009</v>
      </c>
      <c r="O16" s="45">
        <f>$N16*AVERAGE('Assumptions&amp;Calculations'!$B$3:$B$5)</f>
        <v>375086024.85333341</v>
      </c>
      <c r="P16" s="45">
        <f>$N16*AVERAGE('Assumptions&amp;Calculations'!$M$3:$M$5)</f>
        <v>146198554.09523809</v>
      </c>
    </row>
    <row r="17" spans="1:17">
      <c r="A17" s="7" t="s">
        <v>307</v>
      </c>
      <c r="B17" s="331">
        <f>Summary!B17*0.8</f>
        <v>176697.60000000001</v>
      </c>
      <c r="C17" s="331">
        <f>Summary!C17*0.8</f>
        <v>0</v>
      </c>
      <c r="D17" s="331">
        <f>Summary!D17*0.8</f>
        <v>0</v>
      </c>
      <c r="E17" s="331">
        <f>Summary!E17*0.8</f>
        <v>3096870.4000000004</v>
      </c>
      <c r="F17" s="331">
        <f>Summary!F17*0.8</f>
        <v>387550.08</v>
      </c>
      <c r="G17" s="331">
        <f>Summary!G17*0.8</f>
        <v>532214.4</v>
      </c>
      <c r="H17" s="331">
        <f>Summary!H17*0.8</f>
        <v>2120243.2000000002</v>
      </c>
      <c r="I17" s="331">
        <f>Summary!I17*0.8</f>
        <v>176697.60000000001</v>
      </c>
      <c r="J17" s="331">
        <f>Summary!J17*0.8</f>
        <v>3096870.4000000004</v>
      </c>
      <c r="K17" s="331">
        <f>Summary!K17*0.8</f>
        <v>387550.08</v>
      </c>
      <c r="L17" s="331">
        <f>Summary!L17*0.8</f>
        <v>532214.4</v>
      </c>
      <c r="M17" s="331">
        <f>Summary!M17*0.8</f>
        <v>2120243.2000000002</v>
      </c>
      <c r="N17" s="45">
        <f t="shared" si="0"/>
        <v>12627151.359999999</v>
      </c>
      <c r="O17" s="45">
        <f>$N17*AVERAGE('Assumptions&amp;Calculations'!$B$3:$B$5)</f>
        <v>846734679.69706666</v>
      </c>
      <c r="P17" s="45">
        <f>$N17*AVERAGE('Assumptions&amp;Calculations'!$M$3:$M$5)</f>
        <v>330034652.51047611</v>
      </c>
    </row>
    <row r="18" spans="1:17">
      <c r="A18" s="7" t="s">
        <v>308</v>
      </c>
      <c r="B18" s="331">
        <f>Summary!B18*0.8</f>
        <v>1336716</v>
      </c>
      <c r="C18" s="331">
        <f>Summary!C18*0.8</f>
        <v>1277760</v>
      </c>
      <c r="D18" s="331">
        <f>Summary!D18*0.8</f>
        <v>117068.8</v>
      </c>
      <c r="E18" s="331">
        <f>Summary!E18*0.8</f>
        <v>0</v>
      </c>
      <c r="F18" s="331">
        <f>Summary!F18*0.8</f>
        <v>816640</v>
      </c>
      <c r="G18" s="331">
        <f>Summary!G18*0.8</f>
        <v>1295665.6000000001</v>
      </c>
      <c r="H18" s="331">
        <f>Summary!H18*0.8</f>
        <v>416706.72000000003</v>
      </c>
      <c r="I18" s="331">
        <f>Summary!I18*0.8</f>
        <v>1201108</v>
      </c>
      <c r="J18" s="331">
        <f>Summary!J18*0.8</f>
        <v>1418752</v>
      </c>
      <c r="K18" s="331">
        <f>Summary!K18*0.8</f>
        <v>2994348.8000000003</v>
      </c>
      <c r="L18" s="331">
        <f>Summary!L18*0.8</f>
        <v>1309037.4400000002</v>
      </c>
      <c r="M18" s="331">
        <f>Summary!M18*0.8</f>
        <v>409538.08</v>
      </c>
      <c r="N18" s="45">
        <f t="shared" si="0"/>
        <v>12593341.439999999</v>
      </c>
      <c r="O18" s="45">
        <f>$N18*AVERAGE('Assumptions&amp;Calculations'!$B$3:$B$5)</f>
        <v>844467499.16159999</v>
      </c>
      <c r="P18" s="45">
        <f>$N18*AVERAGE('Assumptions&amp;Calculations'!$M$3:$M$5)</f>
        <v>329150965.85142851</v>
      </c>
    </row>
    <row r="19" spans="1:17">
      <c r="A19" s="7" t="s">
        <v>309</v>
      </c>
      <c r="B19" s="331">
        <f>SUM('Total Fuel per Operation (Rice)'!S$80:S$82)</f>
        <v>0</v>
      </c>
      <c r="C19" s="331">
        <f>SUM('Total Fuel per Operation (Rice)'!T$80:T$82)</f>
        <v>0</v>
      </c>
      <c r="D19" s="331">
        <f>SUM('Total Fuel per Operation (Rice)'!U$80:U$82)</f>
        <v>0</v>
      </c>
      <c r="E19" s="331">
        <f>SUM('Total Fuel per Operation (Rice)'!V$80:V$82)</f>
        <v>0</v>
      </c>
      <c r="F19" s="331">
        <f>SUM('Total Fuel per Operation (Rice)'!W$80:W$82)</f>
        <v>77440</v>
      </c>
      <c r="G19" s="331">
        <f>SUM('Total Fuel per Operation (Rice)'!X$80:X$82)</f>
        <v>0</v>
      </c>
      <c r="H19" s="331">
        <f>SUM('Total Fuel per Operation (Rice)'!Y$80:Y$82)</f>
        <v>0</v>
      </c>
      <c r="I19" s="331">
        <f>SUM('Total Fuel per Operation (Rice)'!Z$80:Z$82)</f>
        <v>77440</v>
      </c>
      <c r="J19" s="331">
        <f>SUM('Total Fuel per Operation (Rice)'!AA$80:AA$82)</f>
        <v>0</v>
      </c>
      <c r="K19" s="331">
        <f>SUM('Total Fuel per Operation (Rice)'!AB$80:AB$82)</f>
        <v>0</v>
      </c>
      <c r="L19" s="331">
        <f>SUM('Total Fuel per Operation (Rice)'!AC$80:AC$82)</f>
        <v>0</v>
      </c>
      <c r="M19" s="331">
        <f>SUM('Total Fuel per Operation (Rice)'!AD$80:AD$82)</f>
        <v>2640</v>
      </c>
      <c r="N19" s="45">
        <f t="shared" si="0"/>
        <v>157520</v>
      </c>
      <c r="O19" s="45">
        <f>$N19*AVERAGE('Assumptions&amp;Calculations'!$B$3:$B$5)</f>
        <v>10562766.133333335</v>
      </c>
      <c r="P19" s="45">
        <f>$N19*AVERAGE('Assumptions&amp;Calculations'!$M$3:$M$5)</f>
        <v>4117085.2380952379</v>
      </c>
    </row>
    <row r="20" spans="1:17" s="46" customFormat="1" ht="28.8">
      <c r="A20" s="44" t="s">
        <v>311</v>
      </c>
      <c r="B20" s="45">
        <f>SUM(B3:B19)</f>
        <v>13895056.319999998</v>
      </c>
      <c r="C20" s="45">
        <f t="shared" ref="C20:M20" si="2">SUM(C3:C19)</f>
        <v>12150767.680000002</v>
      </c>
      <c r="D20" s="45">
        <f t="shared" si="2"/>
        <v>11519314.400000002</v>
      </c>
      <c r="E20" s="45">
        <f t="shared" si="2"/>
        <v>7420235.2000000002</v>
      </c>
      <c r="F20" s="45">
        <f t="shared" si="2"/>
        <v>19038099.84</v>
      </c>
      <c r="G20" s="45">
        <f t="shared" si="2"/>
        <v>22688414.720000003</v>
      </c>
      <c r="H20" s="45">
        <f t="shared" si="2"/>
        <v>12829631.200000001</v>
      </c>
      <c r="I20" s="45">
        <f t="shared" si="2"/>
        <v>12512323.840000002</v>
      </c>
      <c r="J20" s="45">
        <f t="shared" si="2"/>
        <v>14860695.199999999</v>
      </c>
      <c r="K20" s="45">
        <f t="shared" si="2"/>
        <v>26532958.560000002</v>
      </c>
      <c r="L20" s="45">
        <f t="shared" si="2"/>
        <v>24354764.960000001</v>
      </c>
      <c r="M20" s="45">
        <f t="shared" si="2"/>
        <v>12587970.880000001</v>
      </c>
      <c r="N20" s="45">
        <f>SUM(N3:N19)</f>
        <v>190390232.79999995</v>
      </c>
      <c r="O20" s="45">
        <f>$N20*AVERAGE('Assumptions&amp;Calculations'!$B$3:$B$5)</f>
        <v>12766934377.458664</v>
      </c>
      <c r="P20" s="45">
        <f>$N20*AVERAGE('Assumptions&amp;Calculations'!$M$3:$M$5)</f>
        <v>4976211382.2904749</v>
      </c>
      <c r="Q20" s="326"/>
    </row>
    <row r="22" spans="1:17" s="3" customFormat="1" ht="43.2">
      <c r="A22" s="19" t="s">
        <v>571</v>
      </c>
      <c r="B22" s="19" t="s">
        <v>238</v>
      </c>
      <c r="C22" s="19" t="s">
        <v>239</v>
      </c>
      <c r="D22" s="19" t="s">
        <v>240</v>
      </c>
      <c r="E22" s="19" t="s">
        <v>241</v>
      </c>
      <c r="F22" s="19" t="s">
        <v>236</v>
      </c>
      <c r="G22" s="19" t="s">
        <v>237</v>
      </c>
      <c r="H22" s="19" t="s">
        <v>242</v>
      </c>
      <c r="I22" s="19" t="s">
        <v>243</v>
      </c>
      <c r="J22" s="19" t="s">
        <v>244</v>
      </c>
      <c r="K22" s="19" t="s">
        <v>245</v>
      </c>
      <c r="L22" s="19" t="s">
        <v>246</v>
      </c>
      <c r="M22" s="19" t="s">
        <v>247</v>
      </c>
      <c r="N22" s="327" t="s">
        <v>567</v>
      </c>
      <c r="O22" s="327" t="s">
        <v>569</v>
      </c>
      <c r="P22" s="327" t="s">
        <v>568</v>
      </c>
      <c r="Q22" s="32"/>
    </row>
    <row r="23" spans="1:17">
      <c r="A23" s="7" t="s">
        <v>294</v>
      </c>
      <c r="B23" s="43">
        <f>Summary!B23*0.8</f>
        <v>501529.60000000003</v>
      </c>
      <c r="C23" s="43">
        <f>Summary!C23*0.8</f>
        <v>1049945.6000000001</v>
      </c>
      <c r="D23" s="43">
        <f>Summary!D23*0.8</f>
        <v>0</v>
      </c>
      <c r="E23" s="43">
        <f>Summary!E23*0.8</f>
        <v>1052160</v>
      </c>
      <c r="F23" s="43">
        <f>Summary!F23*0.8</f>
        <v>323417.60000000003</v>
      </c>
      <c r="G23" s="43">
        <f>Summary!G23*0.8</f>
        <v>0</v>
      </c>
      <c r="H23" s="43">
        <f>Summary!H23*0.8</f>
        <v>928537.60000000009</v>
      </c>
      <c r="I23" s="43">
        <f>Summary!I23*0.8</f>
        <v>0</v>
      </c>
      <c r="J23" s="43">
        <f>Summary!J23*0.8</f>
        <v>0</v>
      </c>
      <c r="K23" s="43">
        <f>Summary!K23*0.8</f>
        <v>579840</v>
      </c>
      <c r="L23" s="43">
        <f>Summary!L23*0.8</f>
        <v>771840</v>
      </c>
      <c r="M23" s="43">
        <f>Summary!M23*0.8</f>
        <v>0</v>
      </c>
      <c r="N23" s="45">
        <f>SUM(B23:M23)</f>
        <v>5207270.4000000004</v>
      </c>
      <c r="O23" s="45">
        <f>$N23*AVERAGE('Assumptions&amp;Calculations'!$B$3:$B$5)</f>
        <v>349182195.45600003</v>
      </c>
      <c r="P23" s="45">
        <f>$N23*AVERAGE('Assumptions&amp;Calculations'!$M$3:$M$5)</f>
        <v>136101930.51428571</v>
      </c>
    </row>
    <row r="24" spans="1:17">
      <c r="A24" s="7" t="s">
        <v>295</v>
      </c>
      <c r="B24" s="43">
        <f>Summary!B24*0.8</f>
        <v>0</v>
      </c>
      <c r="C24" s="43">
        <f>Summary!C24*0.8</f>
        <v>9918720</v>
      </c>
      <c r="D24" s="43">
        <f>Summary!D24*0.8</f>
        <v>0</v>
      </c>
      <c r="E24" s="43">
        <f>Summary!E24*0.8</f>
        <v>0</v>
      </c>
      <c r="F24" s="43">
        <f>Summary!F24*0.8</f>
        <v>871808</v>
      </c>
      <c r="G24" s="43">
        <f>Summary!G24*0.8</f>
        <v>1182720</v>
      </c>
      <c r="H24" s="43">
        <f>Summary!H24*0.8</f>
        <v>1536000</v>
      </c>
      <c r="I24" s="43">
        <f>Summary!I24*0.8</f>
        <v>7200000</v>
      </c>
      <c r="J24" s="43">
        <f>Summary!J24*0.8</f>
        <v>122572.8</v>
      </c>
      <c r="K24" s="43">
        <f>Summary!K24*0.8</f>
        <v>173094.40000000002</v>
      </c>
      <c r="L24" s="43">
        <f>Summary!L24*0.8</f>
        <v>576140.80000000005</v>
      </c>
      <c r="M24" s="43">
        <f>Summary!M24*0.8</f>
        <v>0</v>
      </c>
      <c r="N24" s="45">
        <f t="shared" ref="N24:N38" si="3">SUM(B24:M24)</f>
        <v>21581056</v>
      </c>
      <c r="O24" s="45">
        <f>$N24*AVERAGE('Assumptions&amp;Calculations'!$B$3:$B$5)</f>
        <v>1447153678.5066669</v>
      </c>
      <c r="P24" s="45">
        <f>$N24*AVERAGE('Assumptions&amp;Calculations'!$M$3:$M$5)</f>
        <v>564062005.33333325</v>
      </c>
    </row>
    <row r="25" spans="1:17">
      <c r="A25" s="7" t="s">
        <v>296</v>
      </c>
      <c r="B25" s="43">
        <f>Summary!B25*0.8</f>
        <v>2703667.2000000002</v>
      </c>
      <c r="C25" s="43">
        <f>Summary!C25*0.8</f>
        <v>0</v>
      </c>
      <c r="D25" s="43">
        <f>Summary!D25*0.8</f>
        <v>0</v>
      </c>
      <c r="E25" s="43">
        <f>Summary!E25*0.8</f>
        <v>12806400</v>
      </c>
      <c r="F25" s="43">
        <f>Summary!F25*0.8</f>
        <v>0</v>
      </c>
      <c r="G25" s="43">
        <f>Summary!G25*0.8</f>
        <v>0</v>
      </c>
      <c r="H25" s="43">
        <f>Summary!H25*0.8</f>
        <v>2703667.2000000002</v>
      </c>
      <c r="I25" s="43">
        <f>Summary!I25*0.8</f>
        <v>0</v>
      </c>
      <c r="J25" s="43">
        <f>Summary!J25*0.8</f>
        <v>0</v>
      </c>
      <c r="K25" s="43">
        <f>Summary!K25*0.8</f>
        <v>12806400</v>
      </c>
      <c r="L25" s="43">
        <f>Summary!L25*0.8</f>
        <v>0</v>
      </c>
      <c r="M25" s="43">
        <f>Summary!M25*0.8</f>
        <v>0</v>
      </c>
      <c r="N25" s="45">
        <f t="shared" si="3"/>
        <v>31020134.399999999</v>
      </c>
      <c r="O25" s="45">
        <f>$N25*AVERAGE('Assumptions&amp;Calculations'!$B$3:$B$5)</f>
        <v>2080106812.4160001</v>
      </c>
      <c r="P25" s="45">
        <f>$N25*AVERAGE('Assumptions&amp;Calculations'!$M$3:$M$5)</f>
        <v>810770298.51428556</v>
      </c>
    </row>
    <row r="26" spans="1:17">
      <c r="A26" s="7" t="s">
        <v>297</v>
      </c>
      <c r="B26" s="43">
        <f>Summary!B26*0.8</f>
        <v>962240</v>
      </c>
      <c r="C26" s="43">
        <f>Summary!C26*0.8</f>
        <v>0</v>
      </c>
      <c r="D26" s="43">
        <f>Summary!D26*0.8</f>
        <v>4293120</v>
      </c>
      <c r="E26" s="43">
        <f>Summary!E26*0.8</f>
        <v>376320</v>
      </c>
      <c r="F26" s="43">
        <f>Summary!F26*0.8</f>
        <v>0</v>
      </c>
      <c r="G26" s="43">
        <f>Summary!G26*0.8</f>
        <v>805043.20000000007</v>
      </c>
      <c r="H26" s="43">
        <f>Summary!H26*0.8</f>
        <v>157196.80000000002</v>
      </c>
      <c r="I26" s="43">
        <f>Summary!I26*0.8</f>
        <v>0</v>
      </c>
      <c r="J26" s="43">
        <f>Summary!J26*0.8</f>
        <v>0</v>
      </c>
      <c r="K26" s="43">
        <f>Summary!K26*0.8</f>
        <v>4669440</v>
      </c>
      <c r="L26" s="43">
        <f>Summary!L26*0.8</f>
        <v>0</v>
      </c>
      <c r="M26" s="43">
        <f>Summary!M26*0.8</f>
        <v>0</v>
      </c>
      <c r="N26" s="45">
        <f t="shared" si="3"/>
        <v>11263360</v>
      </c>
      <c r="O26" s="45">
        <f>$N26*AVERAGE('Assumptions&amp;Calculations'!$B$3:$B$5)</f>
        <v>755283377.06666672</v>
      </c>
      <c r="P26" s="45">
        <f>$N26*AVERAGE('Assumptions&amp;Calculations'!$M$3:$M$5)</f>
        <v>294389367.61904758</v>
      </c>
    </row>
    <row r="27" spans="1:17">
      <c r="A27" s="7" t="s">
        <v>298</v>
      </c>
      <c r="B27" s="43">
        <f>Summary!B27*0.8</f>
        <v>676608</v>
      </c>
      <c r="C27" s="43">
        <f>Summary!C27*0.8</f>
        <v>0</v>
      </c>
      <c r="D27" s="43">
        <f>Summary!D27*0.8</f>
        <v>0</v>
      </c>
      <c r="E27" s="43">
        <f>Summary!E27*0.8</f>
        <v>0</v>
      </c>
      <c r="F27" s="43">
        <f>Summary!F27*0.8</f>
        <v>2023680</v>
      </c>
      <c r="G27" s="43">
        <f>Summary!G27*0.8</f>
        <v>0</v>
      </c>
      <c r="H27" s="43">
        <f>Summary!H27*0.8</f>
        <v>0</v>
      </c>
      <c r="I27" s="43">
        <f>Summary!I27*0.8</f>
        <v>676608</v>
      </c>
      <c r="J27" s="43">
        <f>Summary!J27*0.8</f>
        <v>0</v>
      </c>
      <c r="K27" s="43">
        <f>Summary!K27*0.8</f>
        <v>2023680</v>
      </c>
      <c r="L27" s="43">
        <f>Summary!L27*0.8</f>
        <v>0</v>
      </c>
      <c r="M27" s="43">
        <f>Summary!M27*0.8</f>
        <v>0</v>
      </c>
      <c r="N27" s="45">
        <f t="shared" si="3"/>
        <v>5400576</v>
      </c>
      <c r="O27" s="45">
        <f>$N27*AVERAGE('Assumptions&amp;Calculations'!$B$3:$B$5)</f>
        <v>362144624.64000005</v>
      </c>
      <c r="P27" s="45">
        <f>$N27*AVERAGE('Assumptions&amp;Calculations'!$M$3:$M$5)</f>
        <v>141154340.57142857</v>
      </c>
    </row>
    <row r="28" spans="1:17">
      <c r="A28" s="7" t="s">
        <v>299</v>
      </c>
      <c r="B28" s="43">
        <f>Summary!B28*0.8</f>
        <v>0</v>
      </c>
      <c r="C28" s="43">
        <f>Summary!C28*0.8</f>
        <v>0</v>
      </c>
      <c r="D28" s="43">
        <f>Summary!D28*0.8</f>
        <v>0</v>
      </c>
      <c r="E28" s="43">
        <f>Summary!E28*0.8</f>
        <v>0</v>
      </c>
      <c r="F28" s="43">
        <f>Summary!F28*0.8</f>
        <v>2342400</v>
      </c>
      <c r="G28" s="43">
        <f>Summary!G28*0.8</f>
        <v>0</v>
      </c>
      <c r="H28" s="43">
        <f>Summary!H28*0.8</f>
        <v>0</v>
      </c>
      <c r="I28" s="43">
        <f>Summary!I28*0.8</f>
        <v>1090752</v>
      </c>
      <c r="J28" s="43">
        <f>Summary!J28*0.8</f>
        <v>2342400</v>
      </c>
      <c r="K28" s="43">
        <f>Summary!K28*0.8</f>
        <v>0</v>
      </c>
      <c r="L28" s="43">
        <f>Summary!L28*0.8</f>
        <v>0</v>
      </c>
      <c r="M28" s="43">
        <f>Summary!M28*0.8</f>
        <v>1090752</v>
      </c>
      <c r="N28" s="45">
        <f t="shared" si="3"/>
        <v>6866304</v>
      </c>
      <c r="O28" s="45">
        <f>$N28*AVERAGE('Assumptions&amp;Calculations'!$B$3:$B$5)</f>
        <v>460431458.56000006</v>
      </c>
      <c r="P28" s="45">
        <f>$N28*AVERAGE('Assumptions&amp;Calculations'!$M$3:$M$5)</f>
        <v>179463933.7142857</v>
      </c>
    </row>
    <row r="29" spans="1:17">
      <c r="A29" s="7" t="s">
        <v>300</v>
      </c>
      <c r="B29" s="43">
        <f>Summary!B29*0.8</f>
        <v>2008320</v>
      </c>
      <c r="C29" s="43">
        <f>Summary!C29*0.8</f>
        <v>0</v>
      </c>
      <c r="D29" s="43">
        <f>Summary!D29*0.8</f>
        <v>0</v>
      </c>
      <c r="E29" s="43">
        <f>Summary!E29*0.8</f>
        <v>1316697.6000000001</v>
      </c>
      <c r="F29" s="43">
        <f>Summary!F29*0.8</f>
        <v>545280</v>
      </c>
      <c r="G29" s="43">
        <f>Summary!G29*0.8</f>
        <v>0</v>
      </c>
      <c r="H29" s="43">
        <f>Summary!H29*0.8</f>
        <v>1007577.6000000001</v>
      </c>
      <c r="I29" s="43">
        <f>Summary!I29*0.8</f>
        <v>232320</v>
      </c>
      <c r="J29" s="43">
        <f>Summary!J29*0.8</f>
        <v>0</v>
      </c>
      <c r="K29" s="43">
        <f>Summary!K29*0.8</f>
        <v>0</v>
      </c>
      <c r="L29" s="43">
        <f>Summary!L29*0.8</f>
        <v>0</v>
      </c>
      <c r="M29" s="43">
        <f>Summary!M29*0.8</f>
        <v>0</v>
      </c>
      <c r="N29" s="45">
        <f t="shared" si="3"/>
        <v>5110195.2</v>
      </c>
      <c r="O29" s="45">
        <f>$N29*AVERAGE('Assumptions&amp;Calculations'!$B$3:$B$5)</f>
        <v>342672656.12800002</v>
      </c>
      <c r="P29" s="45">
        <f>$N29*AVERAGE('Assumptions&amp;Calculations'!$M$3:$M$5)</f>
        <v>133564685.25714284</v>
      </c>
    </row>
    <row r="30" spans="1:17">
      <c r="A30" s="7" t="s">
        <v>301</v>
      </c>
      <c r="B30" s="43">
        <f>Summary!B30*0.8</f>
        <v>1123468.8</v>
      </c>
      <c r="C30" s="43">
        <f>Summary!C30*0.8</f>
        <v>0</v>
      </c>
      <c r="D30" s="43">
        <f>Summary!D30*0.8</f>
        <v>0</v>
      </c>
      <c r="E30" s="43">
        <f>Summary!E30*0.8</f>
        <v>1032960</v>
      </c>
      <c r="F30" s="43">
        <f>Summary!F30*0.8</f>
        <v>0</v>
      </c>
      <c r="G30" s="43">
        <f>Summary!G30*0.8</f>
        <v>0</v>
      </c>
      <c r="H30" s="43">
        <f>Summary!H30*0.8</f>
        <v>1123468.8</v>
      </c>
      <c r="I30" s="43">
        <f>Summary!I30*0.8</f>
        <v>0</v>
      </c>
      <c r="J30" s="43">
        <f>Summary!J30*0.8</f>
        <v>0</v>
      </c>
      <c r="K30" s="43">
        <f>Summary!K30*0.8</f>
        <v>1032960</v>
      </c>
      <c r="L30" s="43">
        <f>Summary!L30*0.8</f>
        <v>0</v>
      </c>
      <c r="M30" s="43">
        <f>Summary!M30*0.8</f>
        <v>0</v>
      </c>
      <c r="N30" s="45">
        <f t="shared" si="3"/>
        <v>4312857.5999999996</v>
      </c>
      <c r="O30" s="45">
        <f>$N30*AVERAGE('Assumptions&amp;Calculations'!$B$3:$B$5)</f>
        <v>289205854.46399999</v>
      </c>
      <c r="P30" s="45">
        <f>$N30*AVERAGE('Assumptions&amp;Calculations'!$M$3:$M$5)</f>
        <v>112724748.34285712</v>
      </c>
    </row>
    <row r="31" spans="1:17">
      <c r="A31" s="7" t="s">
        <v>302</v>
      </c>
      <c r="B31" s="43">
        <f>Summary!B32*0.8</f>
        <v>0</v>
      </c>
      <c r="C31" s="43">
        <f>Summary!C32*0.8</f>
        <v>0</v>
      </c>
      <c r="D31" s="43">
        <f>Summary!D32*0.8</f>
        <v>0</v>
      </c>
      <c r="E31" s="43">
        <f>Summary!E32*0.8</f>
        <v>729600</v>
      </c>
      <c r="F31" s="43">
        <f>Summary!F32*0.8</f>
        <v>0</v>
      </c>
      <c r="G31" s="43">
        <f>Summary!G32*0.8</f>
        <v>0</v>
      </c>
      <c r="H31" s="43">
        <f>Summary!H32*0.8</f>
        <v>313216</v>
      </c>
      <c r="I31" s="43">
        <f>Summary!I32*0.8</f>
        <v>0</v>
      </c>
      <c r="J31" s="43">
        <f>Summary!J32*0.8</f>
        <v>729600</v>
      </c>
      <c r="K31" s="43">
        <f>Summary!K32*0.8</f>
        <v>0</v>
      </c>
      <c r="L31" s="43">
        <f>Summary!L32*0.8</f>
        <v>0</v>
      </c>
      <c r="M31" s="43">
        <f>Summary!M32*0.8</f>
        <v>313216</v>
      </c>
      <c r="N31" s="45">
        <f t="shared" si="3"/>
        <v>2085632</v>
      </c>
      <c r="O31" s="45">
        <f>$N31*AVERAGE('Assumptions&amp;Calculations'!$B$3:$B$5)</f>
        <v>139855529.81333333</v>
      </c>
      <c r="P31" s="45">
        <f>$N31*AVERAGE('Assumptions&amp;Calculations'!$M$3:$M$5)</f>
        <v>54511964.952380948</v>
      </c>
    </row>
    <row r="32" spans="1:17">
      <c r="A32" s="7" t="s">
        <v>303</v>
      </c>
      <c r="B32" s="43">
        <f>Summary!B33*0.8</f>
        <v>390643.20000000001</v>
      </c>
      <c r="C32" s="43">
        <f>Summary!C33*0.8</f>
        <v>0</v>
      </c>
      <c r="D32" s="43">
        <f>Summary!D33*0.8</f>
        <v>0</v>
      </c>
      <c r="E32" s="43">
        <f>Summary!E33*0.8</f>
        <v>840960</v>
      </c>
      <c r="F32" s="43">
        <f>Summary!F33*0.8</f>
        <v>0</v>
      </c>
      <c r="G32" s="43">
        <f>Summary!G33*0.8</f>
        <v>0</v>
      </c>
      <c r="H32" s="43">
        <f>Summary!H33*0.8</f>
        <v>390643.20000000001</v>
      </c>
      <c r="I32" s="43">
        <f>Summary!I33*0.8</f>
        <v>0</v>
      </c>
      <c r="J32" s="43">
        <f>Summary!J33*0.8</f>
        <v>0</v>
      </c>
      <c r="K32" s="43">
        <f>Summary!K33*0.8</f>
        <v>840960</v>
      </c>
      <c r="L32" s="43">
        <f>Summary!L33*0.8</f>
        <v>0</v>
      </c>
      <c r="M32" s="43">
        <f>Summary!M33*0.8</f>
        <v>0</v>
      </c>
      <c r="N32" s="45">
        <f t="shared" si="3"/>
        <v>2463206.3999999999</v>
      </c>
      <c r="O32" s="45">
        <f>$N32*AVERAGE('Assumptions&amp;Calculations'!$B$3:$B$5)</f>
        <v>165174410.49600002</v>
      </c>
      <c r="P32" s="45">
        <f>$N32*AVERAGE('Assumptions&amp;Calculations'!$M$3:$M$5)</f>
        <v>64380591.085714273</v>
      </c>
    </row>
    <row r="33" spans="1:17">
      <c r="A33" s="7" t="s">
        <v>304</v>
      </c>
      <c r="B33" s="43">
        <f>Summary!B34*0.8</f>
        <v>0</v>
      </c>
      <c r="C33" s="43">
        <f>Summary!C34*0.8</f>
        <v>840960</v>
      </c>
      <c r="D33" s="43">
        <f>Summary!D34*0.8</f>
        <v>168960</v>
      </c>
      <c r="E33" s="43">
        <f>Summary!E34*0.8</f>
        <v>0</v>
      </c>
      <c r="F33" s="43">
        <f>Summary!F34*0.8</f>
        <v>633945.60000000009</v>
      </c>
      <c r="G33" s="43">
        <f>Summary!G34*0.8</f>
        <v>77260.800000000003</v>
      </c>
      <c r="H33" s="43">
        <f>Summary!H34*0.8</f>
        <v>0</v>
      </c>
      <c r="I33" s="43">
        <f>Summary!I34*0.8</f>
        <v>840960</v>
      </c>
      <c r="J33" s="43">
        <f>Summary!J34*0.8</f>
        <v>168960</v>
      </c>
      <c r="K33" s="43">
        <f>Summary!K34*0.8</f>
        <v>0</v>
      </c>
      <c r="L33" s="43">
        <f>Summary!L34*0.8</f>
        <v>633945.60000000009</v>
      </c>
      <c r="M33" s="43">
        <f>Summary!M34*0.8</f>
        <v>77260.800000000003</v>
      </c>
      <c r="N33" s="45">
        <f t="shared" si="3"/>
        <v>3442252.8000000003</v>
      </c>
      <c r="O33" s="45">
        <f>$N33*AVERAGE('Assumptions&amp;Calculations'!$B$3:$B$5)</f>
        <v>230825998.59200004</v>
      </c>
      <c r="P33" s="45">
        <f>$N33*AVERAGE('Assumptions&amp;Calculations'!$M$3:$M$5)</f>
        <v>89969833.599999994</v>
      </c>
    </row>
    <row r="34" spans="1:17">
      <c r="A34" s="7" t="s">
        <v>305</v>
      </c>
      <c r="B34" s="43">
        <f>Summary!B35*0.8</f>
        <v>1013248</v>
      </c>
      <c r="C34" s="43">
        <f>Summary!C35*0.8</f>
        <v>5130918.4000000004</v>
      </c>
      <c r="D34" s="43">
        <f>Summary!D35*0.8</f>
        <v>0</v>
      </c>
      <c r="E34" s="43">
        <f>Summary!E35*0.8</f>
        <v>0</v>
      </c>
      <c r="F34" s="43">
        <f>Summary!F35*0.8</f>
        <v>2000806.4000000001</v>
      </c>
      <c r="G34" s="43">
        <f>Summary!G35*0.8</f>
        <v>0</v>
      </c>
      <c r="H34" s="43">
        <f>Summary!H35*0.8</f>
        <v>0</v>
      </c>
      <c r="I34" s="43">
        <f>Summary!I35*0.8</f>
        <v>0</v>
      </c>
      <c r="J34" s="43">
        <f>Summary!J35*0.8</f>
        <v>0</v>
      </c>
      <c r="K34" s="43">
        <f>Summary!K35*0.8</f>
        <v>1800960</v>
      </c>
      <c r="L34" s="43">
        <f>Summary!L35*0.8</f>
        <v>2342400</v>
      </c>
      <c r="M34" s="43">
        <f>Summary!M35*0.8</f>
        <v>0</v>
      </c>
      <c r="N34" s="45">
        <f t="shared" si="3"/>
        <v>12288332.800000001</v>
      </c>
      <c r="O34" s="45">
        <f>$N34*AVERAGE('Assumptions&amp;Calculations'!$B$3:$B$5)</f>
        <v>824014636.4586668</v>
      </c>
      <c r="P34" s="45">
        <f>$N34*AVERAGE('Assumptions&amp;Calculations'!$M$3:$M$5)</f>
        <v>321178984.07619047</v>
      </c>
    </row>
    <row r="35" spans="1:17">
      <c r="A35" s="7" t="s">
        <v>306</v>
      </c>
      <c r="B35" s="43">
        <f>Summary!B36*0.8</f>
        <v>1405440</v>
      </c>
      <c r="C35" s="43">
        <f>Summary!C36*0.8</f>
        <v>0</v>
      </c>
      <c r="D35" s="43">
        <f>Summary!D36*0.8</f>
        <v>0</v>
      </c>
      <c r="E35" s="43">
        <f>Summary!E36*0.8</f>
        <v>716492.80000000005</v>
      </c>
      <c r="F35" s="43">
        <f>Summary!F36*0.8</f>
        <v>0</v>
      </c>
      <c r="G35" s="43">
        <f>Summary!G36*0.8</f>
        <v>0</v>
      </c>
      <c r="H35" s="43">
        <f>Summary!H36*0.8</f>
        <v>1405440</v>
      </c>
      <c r="I35" s="43">
        <f>Summary!I36*0.8</f>
        <v>0</v>
      </c>
      <c r="J35" s="43">
        <f>Summary!J36*0.8</f>
        <v>0</v>
      </c>
      <c r="K35" s="43">
        <f>Summary!K36*0.8</f>
        <v>716492.80000000005</v>
      </c>
      <c r="L35" s="43">
        <f>Summary!L36*0.8</f>
        <v>0</v>
      </c>
      <c r="M35" s="43">
        <f>Summary!M36*0.8</f>
        <v>0</v>
      </c>
      <c r="N35" s="45">
        <f t="shared" si="3"/>
        <v>4243865.5999999996</v>
      </c>
      <c r="O35" s="45">
        <f>$N35*AVERAGE('Assumptions&amp;Calculations'!$B$3:$B$5)</f>
        <v>284579480.9173333</v>
      </c>
      <c r="P35" s="45">
        <f>$N35*AVERAGE('Assumptions&amp;Calculations'!$M$3:$M$5)</f>
        <v>110921511.00952379</v>
      </c>
    </row>
    <row r="36" spans="1:17">
      <c r="A36" s="7" t="s">
        <v>307</v>
      </c>
      <c r="B36" s="43">
        <f>Summary!B37*0.8</f>
        <v>0</v>
      </c>
      <c r="C36" s="43">
        <f>Summary!C37*0.8</f>
        <v>0</v>
      </c>
      <c r="D36" s="43">
        <f>Summary!D37*0.8</f>
        <v>0</v>
      </c>
      <c r="E36" s="43">
        <f>Summary!E37*0.8</f>
        <v>3375360</v>
      </c>
      <c r="F36" s="43">
        <f>Summary!F37*0.8</f>
        <v>0</v>
      </c>
      <c r="G36" s="43">
        <f>Summary!G37*0.8</f>
        <v>0</v>
      </c>
      <c r="H36" s="43">
        <f>Summary!H37*0.8</f>
        <v>1924467.2000000002</v>
      </c>
      <c r="I36" s="43">
        <f>Summary!I37*0.8</f>
        <v>0</v>
      </c>
      <c r="J36" s="43">
        <f>Summary!J37*0.8</f>
        <v>3375360</v>
      </c>
      <c r="K36" s="43">
        <f>Summary!K37*0.8</f>
        <v>0</v>
      </c>
      <c r="L36" s="43">
        <f>Summary!L37*0.8</f>
        <v>0</v>
      </c>
      <c r="M36" s="43">
        <f>Summary!M37*0.8</f>
        <v>1924467.2000000002</v>
      </c>
      <c r="N36" s="45">
        <f t="shared" si="3"/>
        <v>10599654.399999999</v>
      </c>
      <c r="O36" s="45">
        <f>$N36*AVERAGE('Assumptions&amp;Calculations'!$B$3:$B$5)</f>
        <v>710777491.88266659</v>
      </c>
      <c r="P36" s="45">
        <f>$N36*AVERAGE('Assumptions&amp;Calculations'!$M$3:$M$5)</f>
        <v>277042157.56190467</v>
      </c>
    </row>
    <row r="37" spans="1:17">
      <c r="A37" s="7" t="s">
        <v>308</v>
      </c>
      <c r="B37" s="43">
        <f>Summary!B38*0.8</f>
        <v>0</v>
      </c>
      <c r="C37" s="43">
        <f>Summary!C38*0.8</f>
        <v>610764.80000000005</v>
      </c>
      <c r="D37" s="43">
        <f>Summary!D38*0.8</f>
        <v>0</v>
      </c>
      <c r="E37" s="43">
        <f>Summary!E38*0.8</f>
        <v>0</v>
      </c>
      <c r="F37" s="43">
        <f>Summary!F38*0.8</f>
        <v>1689600</v>
      </c>
      <c r="G37" s="43">
        <f>Summary!G38*0.8</f>
        <v>0</v>
      </c>
      <c r="H37" s="43">
        <f>Summary!H38*0.8</f>
        <v>0</v>
      </c>
      <c r="I37" s="43">
        <f>Summary!I38*0.8</f>
        <v>610764.80000000005</v>
      </c>
      <c r="J37" s="43">
        <f>Summary!J38*0.8</f>
        <v>0</v>
      </c>
      <c r="K37" s="43">
        <f>Summary!K38*0.8</f>
        <v>0</v>
      </c>
      <c r="L37" s="43">
        <f>Summary!L38*0.8</f>
        <v>1689600</v>
      </c>
      <c r="M37" s="43">
        <f>Summary!M38*0.8</f>
        <v>0</v>
      </c>
      <c r="N37" s="45">
        <f t="shared" si="3"/>
        <v>4600729.5999999996</v>
      </c>
      <c r="O37" s="45">
        <f>$N37*AVERAGE('Assumptions&amp;Calculations'!$B$3:$B$5)</f>
        <v>308509591.21066666</v>
      </c>
      <c r="P37" s="45">
        <f>$N37*AVERAGE('Assumptions&amp;Calculations'!$M$3:$M$5)</f>
        <v>120248831.39047617</v>
      </c>
    </row>
    <row r="38" spans="1:17">
      <c r="A38" s="7" t="s">
        <v>309</v>
      </c>
      <c r="B38" s="43">
        <f>Summary!B39*0.8</f>
        <v>0</v>
      </c>
      <c r="C38" s="43">
        <f>Summary!C39*0.8</f>
        <v>0</v>
      </c>
      <c r="D38" s="43">
        <f>Summary!D39*0.8</f>
        <v>96000</v>
      </c>
      <c r="E38" s="43">
        <f>Summary!E39*0.8</f>
        <v>24921.600000000002</v>
      </c>
      <c r="F38" s="43">
        <f>Summary!F39*0.8</f>
        <v>0</v>
      </c>
      <c r="G38" s="43">
        <f>Summary!G39*0.8</f>
        <v>0</v>
      </c>
      <c r="H38" s="43">
        <f>Summary!H39*0.8</f>
        <v>96000</v>
      </c>
      <c r="I38" s="43">
        <f>Summary!I39*0.8</f>
        <v>0</v>
      </c>
      <c r="J38" s="43">
        <f>Summary!J39*0.8</f>
        <v>24921.600000000002</v>
      </c>
      <c r="K38" s="43">
        <f>Summary!K39*0.8</f>
        <v>0</v>
      </c>
      <c r="L38" s="43">
        <f>Summary!L39*0.8</f>
        <v>0</v>
      </c>
      <c r="M38" s="43">
        <f>Summary!M39*0.8</f>
        <v>120921.60000000001</v>
      </c>
      <c r="N38" s="45">
        <f t="shared" si="3"/>
        <v>362764.80000000005</v>
      </c>
      <c r="O38" s="45">
        <f>$N38*AVERAGE('Assumptions&amp;Calculations'!$B$3:$B$5)</f>
        <v>24325798.272000004</v>
      </c>
      <c r="P38" s="45">
        <f>$N38*AVERAGE('Assumptions&amp;Calculations'!$M$3:$M$5)</f>
        <v>9481549.0285714287</v>
      </c>
    </row>
    <row r="39" spans="1:17" s="46" customFormat="1" ht="28.8">
      <c r="A39" s="44" t="s">
        <v>311</v>
      </c>
      <c r="B39" s="45">
        <f>SUM(B23:B38)</f>
        <v>10785164.800000001</v>
      </c>
      <c r="C39" s="45">
        <f t="shared" ref="C39:N39" si="4">SUM(C23:C38)</f>
        <v>17551308.800000001</v>
      </c>
      <c r="D39" s="45">
        <f t="shared" si="4"/>
        <v>4558080</v>
      </c>
      <c r="E39" s="45">
        <f t="shared" si="4"/>
        <v>22271872.000000004</v>
      </c>
      <c r="F39" s="45">
        <f t="shared" si="4"/>
        <v>10430937.6</v>
      </c>
      <c r="G39" s="45">
        <f t="shared" si="4"/>
        <v>2065024.0000000002</v>
      </c>
      <c r="H39" s="45">
        <f t="shared" si="4"/>
        <v>11586214.400000002</v>
      </c>
      <c r="I39" s="45">
        <f t="shared" si="4"/>
        <v>10651404.800000001</v>
      </c>
      <c r="J39" s="45">
        <f t="shared" si="4"/>
        <v>6763814.3999999994</v>
      </c>
      <c r="K39" s="45">
        <f t="shared" si="4"/>
        <v>24643827.199999999</v>
      </c>
      <c r="L39" s="45">
        <f t="shared" si="4"/>
        <v>6013926.4000000004</v>
      </c>
      <c r="M39" s="45">
        <f t="shared" si="4"/>
        <v>3526617.6</v>
      </c>
      <c r="N39" s="45">
        <f t="shared" si="4"/>
        <v>130848191.99999999</v>
      </c>
      <c r="O39" s="45">
        <f>N39*AVERAGE('Assumptions&amp;Calculations'!$B$3:$B$5)</f>
        <v>8774243594.8799992</v>
      </c>
      <c r="P39" s="45">
        <f>$N39*AVERAGE('Assumptions&amp;Calculations'!$M$3:$M$5)</f>
        <v>3419966732.5714278</v>
      </c>
      <c r="Q39" s="326"/>
    </row>
    <row r="41" spans="1:17" s="3" customFormat="1" ht="43.2">
      <c r="A41" s="19" t="s">
        <v>266</v>
      </c>
      <c r="B41" s="19" t="s">
        <v>238</v>
      </c>
      <c r="C41" s="19" t="s">
        <v>239</v>
      </c>
      <c r="D41" s="19" t="s">
        <v>240</v>
      </c>
      <c r="E41" s="19" t="s">
        <v>241</v>
      </c>
      <c r="F41" s="19" t="s">
        <v>236</v>
      </c>
      <c r="G41" s="19" t="s">
        <v>237</v>
      </c>
      <c r="H41" s="19" t="s">
        <v>242</v>
      </c>
      <c r="I41" s="19" t="s">
        <v>243</v>
      </c>
      <c r="J41" s="19" t="s">
        <v>244</v>
      </c>
      <c r="K41" s="19" t="s">
        <v>245</v>
      </c>
      <c r="L41" s="19" t="s">
        <v>246</v>
      </c>
      <c r="M41" s="19" t="s">
        <v>247</v>
      </c>
      <c r="N41" s="327" t="s">
        <v>567</v>
      </c>
      <c r="O41" s="327" t="s">
        <v>569</v>
      </c>
      <c r="P41" s="327" t="s">
        <v>568</v>
      </c>
      <c r="Q41" s="32"/>
    </row>
    <row r="42" spans="1:17">
      <c r="A42" s="7" t="s">
        <v>294</v>
      </c>
      <c r="B42" s="43">
        <f>Summary!B43*0.8</f>
        <v>111528</v>
      </c>
      <c r="C42" s="43">
        <f>Summary!C43*0.8</f>
        <v>0</v>
      </c>
      <c r="D42" s="43">
        <f>Summary!D43*0.8</f>
        <v>0</v>
      </c>
      <c r="E42" s="43">
        <f>Summary!E43*0.8</f>
        <v>0</v>
      </c>
      <c r="F42" s="43">
        <f>Summary!F43*0.8</f>
        <v>207089.6</v>
      </c>
      <c r="G42" s="43">
        <f>Summary!G43*0.8</f>
        <v>122777.60000000001</v>
      </c>
      <c r="H42" s="43">
        <f>Summary!H43*0.8</f>
        <v>111528</v>
      </c>
      <c r="I42" s="43">
        <f>Summary!I43*0.8</f>
        <v>0</v>
      </c>
      <c r="J42" s="43">
        <f>Summary!J43*0.8</f>
        <v>6576</v>
      </c>
      <c r="K42" s="43">
        <f>Summary!K43*0.8</f>
        <v>19507.2</v>
      </c>
      <c r="L42" s="43">
        <f>Summary!L43*0.8</f>
        <v>225125.6</v>
      </c>
      <c r="M42" s="43">
        <f>Summary!M43*0.8</f>
        <v>122777.60000000001</v>
      </c>
      <c r="N42" s="45">
        <f>SUM(B42:M42)</f>
        <v>926909.59999999986</v>
      </c>
      <c r="O42" s="45">
        <f>$N42*AVERAGE('Assumptions&amp;Calculations'!$B$3:$B$5)</f>
        <v>62155468.077333331</v>
      </c>
      <c r="P42" s="45">
        <f>$N42*AVERAGE('Assumptions&amp;Calculations'!$M$3:$M$5)</f>
        <v>24226547.938095231</v>
      </c>
    </row>
    <row r="43" spans="1:17">
      <c r="A43" s="7" t="s">
        <v>295</v>
      </c>
      <c r="B43" s="43">
        <f>Summary!B44*0.8</f>
        <v>0</v>
      </c>
      <c r="C43" s="43">
        <f>Summary!C44*0.8</f>
        <v>0</v>
      </c>
      <c r="D43" s="43">
        <f>Summary!D44*0.8</f>
        <v>0</v>
      </c>
      <c r="E43" s="43">
        <f>Summary!E44*0.8</f>
        <v>0</v>
      </c>
      <c r="F43" s="43">
        <f>Summary!F44*0.8</f>
        <v>398964.80000000005</v>
      </c>
      <c r="G43" s="43">
        <f>Summary!G44*0.8</f>
        <v>298956.79999999999</v>
      </c>
      <c r="H43" s="43">
        <f>Summary!H44*0.8</f>
        <v>141336</v>
      </c>
      <c r="I43" s="43">
        <f>Summary!I44*0.8</f>
        <v>0</v>
      </c>
      <c r="J43" s="43">
        <f>Summary!J44*0.8</f>
        <v>0</v>
      </c>
      <c r="K43" s="43">
        <f>Summary!K44*0.8</f>
        <v>398964.80000000005</v>
      </c>
      <c r="L43" s="43">
        <f>Summary!L44*0.8</f>
        <v>298956.79999999999</v>
      </c>
      <c r="M43" s="43">
        <f>Summary!M44*0.8</f>
        <v>141336</v>
      </c>
      <c r="N43" s="45">
        <f t="shared" ref="N43:N57" si="5">SUM(B43:M43)</f>
        <v>1678515.2000000002</v>
      </c>
      <c r="O43" s="45">
        <f>$N43*AVERAGE('Assumptions&amp;Calculations'!$B$3:$B$5)</f>
        <v>112555634.26133336</v>
      </c>
      <c r="P43" s="45">
        <f>$N43*AVERAGE('Assumptions&amp;Calculations'!$M$3:$M$5)</f>
        <v>43871191.923809521</v>
      </c>
    </row>
    <row r="44" spans="1:17">
      <c r="A44" s="7" t="s">
        <v>296</v>
      </c>
      <c r="B44" s="43">
        <f>Summary!B45*0.8</f>
        <v>486996.80000000005</v>
      </c>
      <c r="C44" s="43">
        <f>Summary!C45*0.8</f>
        <v>12492.800000000001</v>
      </c>
      <c r="D44" s="43">
        <f>Summary!D45*0.8</f>
        <v>3499620.8000000003</v>
      </c>
      <c r="E44" s="43">
        <f>Summary!E45*0.8</f>
        <v>12492.800000000001</v>
      </c>
      <c r="F44" s="43">
        <f>Summary!F45*0.8</f>
        <v>3012624</v>
      </c>
      <c r="G44" s="43">
        <f>Summary!G45*0.8</f>
        <v>486996.80000000005</v>
      </c>
      <c r="H44" s="43">
        <f>Summary!H45*0.8</f>
        <v>12492.800000000001</v>
      </c>
      <c r="I44" s="43">
        <f>Summary!I45*0.8</f>
        <v>3012624</v>
      </c>
      <c r="J44" s="43">
        <f>Summary!J45*0.8</f>
        <v>0</v>
      </c>
      <c r="K44" s="43">
        <f>Summary!K45*0.8</f>
        <v>486996.80000000005</v>
      </c>
      <c r="L44" s="43">
        <f>Summary!L45*0.8</f>
        <v>12492.800000000001</v>
      </c>
      <c r="M44" s="43">
        <f>Summary!M45*0.8</f>
        <v>3012624</v>
      </c>
      <c r="N44" s="45">
        <f t="shared" si="5"/>
        <v>14048454.400000002</v>
      </c>
      <c r="O44" s="45">
        <f>$N44*AVERAGE('Assumptions&amp;Calculations'!$B$3:$B$5)</f>
        <v>942042523.88266695</v>
      </c>
      <c r="P44" s="45">
        <f>$N44*AVERAGE('Assumptions&amp;Calculations'!$M$3:$M$5)</f>
        <v>367183114.70476192</v>
      </c>
    </row>
    <row r="45" spans="1:17">
      <c r="A45" s="7" t="s">
        <v>297</v>
      </c>
      <c r="B45" s="43">
        <f>Summary!B46*0.8</f>
        <v>73792.800000000003</v>
      </c>
      <c r="C45" s="43">
        <f>Summary!C46*0.8</f>
        <v>55756.800000000003</v>
      </c>
      <c r="D45" s="43">
        <f>Summary!D46*0.8</f>
        <v>60400.800000000003</v>
      </c>
      <c r="E45" s="43">
        <f>Summary!E46*0.8</f>
        <v>55756.800000000003</v>
      </c>
      <c r="F45" s="43">
        <f>Summary!F46*0.8</f>
        <v>415914.4</v>
      </c>
      <c r="G45" s="43">
        <f>Summary!G46*0.8</f>
        <v>447491.2</v>
      </c>
      <c r="H45" s="43">
        <f>Summary!H46*0.8</f>
        <v>124156.8</v>
      </c>
      <c r="I45" s="43">
        <f>Summary!I46*0.8</f>
        <v>1620</v>
      </c>
      <c r="J45" s="43">
        <f>Summary!J46*0.8</f>
        <v>0</v>
      </c>
      <c r="K45" s="43">
        <f>Summary!K46*0.8</f>
        <v>391590.40000000002</v>
      </c>
      <c r="L45" s="43">
        <f>Summary!L46*0.8</f>
        <v>448691.20000000001</v>
      </c>
      <c r="M45" s="43">
        <f>Summary!M46*0.8</f>
        <v>132268.80000000002</v>
      </c>
      <c r="N45" s="45">
        <f t="shared" si="5"/>
        <v>2207440</v>
      </c>
      <c r="O45" s="45">
        <f>$N45*AVERAGE('Assumptions&amp;Calculations'!$B$3:$B$5)</f>
        <v>148023568.26666668</v>
      </c>
      <c r="P45" s="45">
        <f>$N45*AVERAGE('Assumptions&amp;Calculations'!$M$3:$M$5)</f>
        <v>57695649.047619045</v>
      </c>
    </row>
    <row r="46" spans="1:17">
      <c r="A46" s="7" t="s">
        <v>298</v>
      </c>
      <c r="B46" s="43">
        <f>Summary!B47*0.8</f>
        <v>333624</v>
      </c>
      <c r="C46" s="43">
        <f>Summary!C47*0.8</f>
        <v>244224</v>
      </c>
      <c r="D46" s="43">
        <f>Summary!D47*0.8</f>
        <v>352920</v>
      </c>
      <c r="E46" s="43">
        <f>Summary!E47*0.8</f>
        <v>244224</v>
      </c>
      <c r="F46" s="43">
        <f>Summary!F47*0.8</f>
        <v>512993.60000000003</v>
      </c>
      <c r="G46" s="43">
        <f>Summary!G47*0.8</f>
        <v>649241.60000000009</v>
      </c>
      <c r="H46" s="43">
        <f>Summary!H47*0.8</f>
        <v>376560</v>
      </c>
      <c r="I46" s="43">
        <f>Summary!I47*0.8</f>
        <v>90648</v>
      </c>
      <c r="J46" s="43">
        <f>Summary!J47*0.8</f>
        <v>0</v>
      </c>
      <c r="K46" s="43">
        <f>Summary!K47*0.8</f>
        <v>415321.60000000003</v>
      </c>
      <c r="L46" s="43">
        <f>Summary!L47*0.8</f>
        <v>645257.60000000009</v>
      </c>
      <c r="M46" s="43">
        <f>Summary!M47*0.8</f>
        <v>406864</v>
      </c>
      <c r="N46" s="45">
        <f t="shared" si="5"/>
        <v>4271878.4000000004</v>
      </c>
      <c r="O46" s="45">
        <f>$N46*AVERAGE('Assumptions&amp;Calculations'!$B$3:$B$5)</f>
        <v>286457925.90933341</v>
      </c>
      <c r="P46" s="45">
        <f>$N46*AVERAGE('Assumptions&amp;Calculations'!$M$3:$M$5)</f>
        <v>111653678.89523809</v>
      </c>
    </row>
    <row r="47" spans="1:17">
      <c r="A47" s="7" t="s">
        <v>299</v>
      </c>
      <c r="B47" s="43">
        <f>Summary!B48*0.8</f>
        <v>88380</v>
      </c>
      <c r="C47" s="43">
        <f>Summary!C48*0.8</f>
        <v>0</v>
      </c>
      <c r="D47" s="43">
        <f>Summary!D48*0.8</f>
        <v>0</v>
      </c>
      <c r="E47" s="43">
        <f>Summary!E48*0.8</f>
        <v>0</v>
      </c>
      <c r="F47" s="43">
        <f>Summary!F48*0.8</f>
        <v>51304</v>
      </c>
      <c r="G47" s="43">
        <f>Summary!G48*0.8</f>
        <v>1024</v>
      </c>
      <c r="H47" s="43">
        <f>Summary!H48*0.8</f>
        <v>162900</v>
      </c>
      <c r="I47" s="43">
        <f>Summary!I48*0.8</f>
        <v>0</v>
      </c>
      <c r="J47" s="43">
        <f>Summary!J48*0.8</f>
        <v>0</v>
      </c>
      <c r="K47" s="43">
        <f>Summary!K48*0.8</f>
        <v>28296</v>
      </c>
      <c r="L47" s="43">
        <f>Summary!L48*0.8</f>
        <v>23008</v>
      </c>
      <c r="M47" s="43">
        <f>Summary!M48*0.8</f>
        <v>75544</v>
      </c>
      <c r="N47" s="45">
        <f t="shared" si="5"/>
        <v>430456</v>
      </c>
      <c r="O47" s="45">
        <f>$N47*AVERAGE('Assumptions&amp;Calculations'!$B$3:$B$5)</f>
        <v>28864944.506666668</v>
      </c>
      <c r="P47" s="45">
        <f>$N47*AVERAGE('Assumptions&amp;Calculations'!$M$3:$M$5)</f>
        <v>11250787.476190476</v>
      </c>
    </row>
    <row r="48" spans="1:17">
      <c r="A48" s="7" t="s">
        <v>300</v>
      </c>
      <c r="B48" s="43">
        <f>Summary!B49*0.8</f>
        <v>162367.20000000001</v>
      </c>
      <c r="C48" s="43">
        <f>Summary!C49*0.8</f>
        <v>40243.200000000004</v>
      </c>
      <c r="D48" s="43">
        <f>Summary!D49*0.8</f>
        <v>85003.200000000012</v>
      </c>
      <c r="E48" s="43">
        <f>Summary!E49*0.8</f>
        <v>40243.200000000004</v>
      </c>
      <c r="F48" s="43">
        <f>Summary!F49*0.8</f>
        <v>161390.40000000002</v>
      </c>
      <c r="G48" s="43">
        <f>Summary!G49*0.8</f>
        <v>158745.60000000001</v>
      </c>
      <c r="H48" s="43">
        <f>Summary!H49*0.8</f>
        <v>158143.20000000001</v>
      </c>
      <c r="I48" s="43">
        <f>Summary!I49*0.8</f>
        <v>40536</v>
      </c>
      <c r="J48" s="43">
        <f>Summary!J49*0.8</f>
        <v>110211.20000000001</v>
      </c>
      <c r="K48" s="43">
        <f>Summary!K49*0.8</f>
        <v>149734.39999999999</v>
      </c>
      <c r="L48" s="43">
        <f>Summary!L49*0.8</f>
        <v>260349.6</v>
      </c>
      <c r="M48" s="43">
        <f>Summary!M49*0.8</f>
        <v>154814.39999999999</v>
      </c>
      <c r="N48" s="45">
        <f t="shared" si="5"/>
        <v>1521781.5999999999</v>
      </c>
      <c r="O48" s="45">
        <f>$N48*AVERAGE('Assumptions&amp;Calculations'!$B$3:$B$5)</f>
        <v>102045601.49066667</v>
      </c>
      <c r="P48" s="45">
        <f>$N48*AVERAGE('Assumptions&amp;Calculations'!$M$3:$M$5)</f>
        <v>39774660.74761904</v>
      </c>
    </row>
    <row r="49" spans="1:17">
      <c r="A49" s="7" t="s">
        <v>301</v>
      </c>
      <c r="B49" s="43">
        <f>Summary!B50*0.8</f>
        <v>69552</v>
      </c>
      <c r="C49" s="43">
        <f>Summary!C50*0.8</f>
        <v>0</v>
      </c>
      <c r="D49" s="43">
        <f>Summary!D50*0.8</f>
        <v>0</v>
      </c>
      <c r="E49" s="43">
        <f>Summary!E50*0.8</f>
        <v>0</v>
      </c>
      <c r="F49" s="43">
        <f>Summary!F50*0.8</f>
        <v>35105.599999999999</v>
      </c>
      <c r="G49" s="43">
        <f>Summary!G50*0.8</f>
        <v>17715.2</v>
      </c>
      <c r="H49" s="43">
        <f>Summary!H50*0.8</f>
        <v>156960</v>
      </c>
      <c r="I49" s="43">
        <f>Summary!I50*0.8</f>
        <v>0</v>
      </c>
      <c r="J49" s="43">
        <f>Summary!J50*0.8</f>
        <v>8212.8000000000011</v>
      </c>
      <c r="K49" s="43">
        <f>Summary!K50*0.8</f>
        <v>16387.2</v>
      </c>
      <c r="L49" s="43">
        <f>Summary!L50*0.8</f>
        <v>63963.200000000004</v>
      </c>
      <c r="M49" s="43">
        <f>Summary!M50*0.8</f>
        <v>95139.200000000012</v>
      </c>
      <c r="N49" s="45">
        <f t="shared" si="5"/>
        <v>463035.2</v>
      </c>
      <c r="O49" s="45">
        <f>$N49*AVERAGE('Assumptions&amp;Calculations'!$B$3:$B$5)</f>
        <v>31049597.061333336</v>
      </c>
      <c r="P49" s="45">
        <f>$N49*AVERAGE('Assumptions&amp;Calculations'!$M$3:$M$5)</f>
        <v>12102306.923809523</v>
      </c>
    </row>
    <row r="50" spans="1:17">
      <c r="A50" s="7" t="s">
        <v>302</v>
      </c>
      <c r="B50" s="43">
        <f>Summary!B52*0.8</f>
        <v>220104</v>
      </c>
      <c r="C50" s="43">
        <f>Summary!C52*0.8</f>
        <v>0</v>
      </c>
      <c r="D50" s="43">
        <f>Summary!D52*0.8</f>
        <v>0</v>
      </c>
      <c r="E50" s="43">
        <f>Summary!E52*0.8</f>
        <v>0</v>
      </c>
      <c r="F50" s="43">
        <f>Summary!F52*0.8</f>
        <v>30790.400000000001</v>
      </c>
      <c r="G50" s="43">
        <f>Summary!G52*0.8</f>
        <v>16486.400000000001</v>
      </c>
      <c r="H50" s="43">
        <f>Summary!H52*0.8</f>
        <v>220104</v>
      </c>
      <c r="I50" s="43">
        <f>Summary!I52*0.8</f>
        <v>0</v>
      </c>
      <c r="J50" s="43">
        <f>Summary!J52*0.8</f>
        <v>11065.6</v>
      </c>
      <c r="K50" s="43">
        <f>Summary!K52*0.8</f>
        <v>4249.6000000000004</v>
      </c>
      <c r="L50" s="43">
        <f>Summary!L52*0.8</f>
        <v>39214.400000000001</v>
      </c>
      <c r="M50" s="43">
        <f>Summary!M52*0.8</f>
        <v>16486.400000000001</v>
      </c>
      <c r="N50" s="45">
        <f t="shared" si="5"/>
        <v>558500.79999999993</v>
      </c>
      <c r="O50" s="45">
        <f>$N50*AVERAGE('Assumptions&amp;Calculations'!$B$3:$B$5)</f>
        <v>37451201.978666663</v>
      </c>
      <c r="P50" s="45">
        <f>$N50*AVERAGE('Assumptions&amp;Calculations'!$M$3:$M$5)</f>
        <v>14597482.219047615</v>
      </c>
    </row>
    <row r="51" spans="1:17">
      <c r="A51" s="7" t="s">
        <v>303</v>
      </c>
      <c r="B51" s="43">
        <f>Summary!B53*0.8</f>
        <v>227465.60000000001</v>
      </c>
      <c r="C51" s="43">
        <f>Summary!C53*0.8</f>
        <v>15257.6</v>
      </c>
      <c r="D51" s="43">
        <f>Summary!D53*0.8</f>
        <v>166085.6</v>
      </c>
      <c r="E51" s="43">
        <f>Summary!E53*0.8</f>
        <v>15257.6</v>
      </c>
      <c r="F51" s="43">
        <f>Summary!F53*0.8</f>
        <v>183596</v>
      </c>
      <c r="G51" s="43">
        <f>Summary!G53*0.8</f>
        <v>49417.600000000006</v>
      </c>
      <c r="H51" s="43">
        <f>Summary!H53*0.8</f>
        <v>214553.60000000001</v>
      </c>
      <c r="I51" s="43">
        <f>Summary!I53*0.8</f>
        <v>137916</v>
      </c>
      <c r="J51" s="43">
        <f>Summary!J53*0.8</f>
        <v>45680</v>
      </c>
      <c r="K51" s="43">
        <f>Summary!K53*0.8</f>
        <v>49417.600000000006</v>
      </c>
      <c r="L51" s="43">
        <f>Summary!L53*0.8</f>
        <v>260233.60000000001</v>
      </c>
      <c r="M51" s="43">
        <f>Summary!M53*0.8</f>
        <v>159164</v>
      </c>
      <c r="N51" s="45">
        <f t="shared" si="5"/>
        <v>1524044.8000000003</v>
      </c>
      <c r="O51" s="45">
        <f>$N51*AVERAGE('Assumptions&amp;Calculations'!$B$3:$B$5)</f>
        <v>102197364.13866669</v>
      </c>
      <c r="P51" s="45">
        <f>$N51*AVERAGE('Assumptions&amp;Calculations'!$M$3:$M$5)</f>
        <v>39833813.790476196</v>
      </c>
    </row>
    <row r="52" spans="1:17">
      <c r="A52" s="7" t="s">
        <v>304</v>
      </c>
      <c r="B52" s="43">
        <f>Summary!B54*0.8</f>
        <v>112140</v>
      </c>
      <c r="C52" s="43">
        <f>Summary!C54*0.8</f>
        <v>0</v>
      </c>
      <c r="D52" s="43">
        <f>Summary!D54*0.8</f>
        <v>0</v>
      </c>
      <c r="E52" s="43">
        <f>Summary!E54*0.8</f>
        <v>0</v>
      </c>
      <c r="F52" s="43">
        <f>Summary!F54*0.8</f>
        <v>80937.600000000006</v>
      </c>
      <c r="G52" s="43">
        <f>Summary!G54*0.8</f>
        <v>35481.599999999999</v>
      </c>
      <c r="H52" s="43">
        <f>Summary!H54*0.8</f>
        <v>112140</v>
      </c>
      <c r="I52" s="43">
        <f>Summary!I54*0.8</f>
        <v>0</v>
      </c>
      <c r="J52" s="43">
        <f>Summary!J54*0.8</f>
        <v>30681.600000000002</v>
      </c>
      <c r="K52" s="43">
        <f>Summary!K54*0.8</f>
        <v>14745.6</v>
      </c>
      <c r="L52" s="43">
        <f>Summary!L54*0.8</f>
        <v>119709.6</v>
      </c>
      <c r="M52" s="43">
        <f>Summary!M54*0.8</f>
        <v>35481.599999999999</v>
      </c>
      <c r="N52" s="45">
        <f t="shared" si="5"/>
        <v>541317.6</v>
      </c>
      <c r="O52" s="45">
        <f>$N52*AVERAGE('Assumptions&amp;Calculations'!$B$3:$B$5)</f>
        <v>36298953.864</v>
      </c>
      <c r="P52" s="45">
        <f>$N52*AVERAGE('Assumptions&amp;Calculations'!$M$3:$M$5)</f>
        <v>14148366.557142856</v>
      </c>
    </row>
    <row r="53" spans="1:17">
      <c r="A53" s="7" t="s">
        <v>305</v>
      </c>
      <c r="B53" s="43">
        <f>Summary!B55*0.8</f>
        <v>354348</v>
      </c>
      <c r="C53" s="43">
        <f>Summary!C55*0.8</f>
        <v>0</v>
      </c>
      <c r="D53" s="43">
        <f>Summary!D55*0.8</f>
        <v>0</v>
      </c>
      <c r="E53" s="43">
        <f>Summary!E55*0.8</f>
        <v>0</v>
      </c>
      <c r="F53" s="43">
        <f>Summary!F55*0.8</f>
        <v>112793.60000000001</v>
      </c>
      <c r="G53" s="43">
        <f>Summary!G55*0.8</f>
        <v>79769.600000000006</v>
      </c>
      <c r="H53" s="43">
        <f>Summary!H55*0.8</f>
        <v>354348</v>
      </c>
      <c r="I53" s="43">
        <f>Summary!I55*0.8</f>
        <v>0</v>
      </c>
      <c r="J53" s="43">
        <f>Summary!J55*0.8</f>
        <v>0</v>
      </c>
      <c r="K53" s="43">
        <f>Summary!K55*0.8</f>
        <v>0</v>
      </c>
      <c r="L53" s="43">
        <f>Summary!L55*0.8</f>
        <v>112793.60000000001</v>
      </c>
      <c r="M53" s="43">
        <f>Summary!M55*0.8</f>
        <v>79769.600000000006</v>
      </c>
      <c r="N53" s="45">
        <f t="shared" si="5"/>
        <v>1093822.3999999999</v>
      </c>
      <c r="O53" s="45">
        <f>$N53*AVERAGE('Assumptions&amp;Calculations'!$B$3:$B$5)</f>
        <v>73348084.06933333</v>
      </c>
      <c r="P53" s="45">
        <f>$N53*AVERAGE('Assumptions&amp;Calculations'!$M$3:$M$5)</f>
        <v>28589131.89523809</v>
      </c>
    </row>
    <row r="54" spans="1:17">
      <c r="A54" s="7" t="s">
        <v>306</v>
      </c>
      <c r="B54" s="43">
        <f>Summary!B56*0.8</f>
        <v>187236</v>
      </c>
      <c r="C54" s="43">
        <f>Summary!C56*0.8</f>
        <v>0</v>
      </c>
      <c r="D54" s="43">
        <f>Summary!D56*0.8</f>
        <v>0</v>
      </c>
      <c r="E54" s="43">
        <f>Summary!E56*0.8</f>
        <v>0</v>
      </c>
      <c r="F54" s="43">
        <f>Summary!F56*0.8</f>
        <v>98521.600000000006</v>
      </c>
      <c r="G54" s="43">
        <f>Summary!G56*0.8</f>
        <v>91033.600000000006</v>
      </c>
      <c r="H54" s="43">
        <f>Summary!H56*0.8</f>
        <v>187236</v>
      </c>
      <c r="I54" s="43">
        <f>Summary!I56*0.8</f>
        <v>0</v>
      </c>
      <c r="J54" s="43">
        <f>Summary!J56*0.8</f>
        <v>98521.600000000006</v>
      </c>
      <c r="K54" s="43">
        <f>Summary!K56*0.8</f>
        <v>91033.600000000006</v>
      </c>
      <c r="L54" s="43">
        <f>Summary!L56*0.8</f>
        <v>285757.60000000003</v>
      </c>
      <c r="M54" s="43">
        <f>Summary!M56*0.8</f>
        <v>91033.600000000006</v>
      </c>
      <c r="N54" s="45">
        <f t="shared" si="5"/>
        <v>1130373.6000000001</v>
      </c>
      <c r="O54" s="45">
        <f>$N54*AVERAGE('Assumptions&amp;Calculations'!$B$3:$B$5)</f>
        <v>75799085.704000011</v>
      </c>
      <c r="P54" s="45">
        <f>$N54*AVERAGE('Assumptions&amp;Calculations'!$M$3:$M$5)</f>
        <v>29544467.128571428</v>
      </c>
    </row>
    <row r="55" spans="1:17">
      <c r="A55" s="7" t="s">
        <v>307</v>
      </c>
      <c r="B55" s="43">
        <f>Summary!B57*0.8</f>
        <v>1212732</v>
      </c>
      <c r="C55" s="43">
        <f>Summary!C57*0.8</f>
        <v>0</v>
      </c>
      <c r="D55" s="43">
        <f>Summary!D57*0.8</f>
        <v>0</v>
      </c>
      <c r="E55" s="43">
        <f>Summary!E57*0.8</f>
        <v>0</v>
      </c>
      <c r="F55" s="43">
        <f>Summary!F57*0.8</f>
        <v>328691.20000000001</v>
      </c>
      <c r="G55" s="43">
        <f>Summary!G57*0.8</f>
        <v>244019.20000000001</v>
      </c>
      <c r="H55" s="43">
        <f>Summary!H57*0.8</f>
        <v>1212732</v>
      </c>
      <c r="I55" s="43">
        <f>Summary!I57*0.8</f>
        <v>0</v>
      </c>
      <c r="J55" s="43">
        <f>Summary!J57*0.8</f>
        <v>328691.20000000001</v>
      </c>
      <c r="K55" s="43">
        <f>Summary!K57*0.8</f>
        <v>244019.20000000001</v>
      </c>
      <c r="L55" s="43">
        <f>Summary!L57*0.8</f>
        <v>1541423.2000000002</v>
      </c>
      <c r="M55" s="43">
        <f>Summary!M57*0.8</f>
        <v>244019.20000000001</v>
      </c>
      <c r="N55" s="45">
        <f t="shared" si="5"/>
        <v>5356327.2</v>
      </c>
      <c r="O55" s="45">
        <f>$N55*AVERAGE('Assumptions&amp;Calculations'!$B$3:$B$5)</f>
        <v>359177447.60800004</v>
      </c>
      <c r="P55" s="45">
        <f>$N55*AVERAGE('Assumptions&amp;Calculations'!$M$3:$M$5)</f>
        <v>139997813.89999998</v>
      </c>
    </row>
    <row r="56" spans="1:17">
      <c r="A56" s="7" t="s">
        <v>308</v>
      </c>
      <c r="B56" s="43">
        <f>Summary!B58*0.8</f>
        <v>633291.20000000007</v>
      </c>
      <c r="C56" s="43">
        <f>Summary!C58*0.8</f>
        <v>94515.200000000012</v>
      </c>
      <c r="D56" s="43">
        <f>Summary!D58*0.8</f>
        <v>436587.2</v>
      </c>
      <c r="E56" s="43">
        <f>Summary!E58*0.8</f>
        <v>94515.200000000012</v>
      </c>
      <c r="F56" s="43">
        <f>Summary!F58*0.8</f>
        <v>536916.80000000005</v>
      </c>
      <c r="G56" s="43">
        <f>Summary!G58*0.8</f>
        <v>310936</v>
      </c>
      <c r="H56" s="43">
        <f>Summary!H58*0.8</f>
        <v>599091.20000000007</v>
      </c>
      <c r="I56" s="43">
        <f>Summary!I58*0.8</f>
        <v>307872</v>
      </c>
      <c r="J56" s="43">
        <f>Summary!J58*0.8</f>
        <v>229044.80000000002</v>
      </c>
      <c r="K56" s="43">
        <f>Summary!K58*0.8</f>
        <v>310936</v>
      </c>
      <c r="L56" s="43">
        <f>Summary!L58*0.8</f>
        <v>828136</v>
      </c>
      <c r="M56" s="43">
        <f>Summary!M58*0.8</f>
        <v>490092.80000000005</v>
      </c>
      <c r="N56" s="45">
        <f t="shared" si="5"/>
        <v>4871934.3999999994</v>
      </c>
      <c r="O56" s="45">
        <f>$N56*AVERAGE('Assumptions&amp;Calculations'!$B$3:$B$5)</f>
        <v>326695681.08266664</v>
      </c>
      <c r="P56" s="45">
        <f>$N56*AVERAGE('Assumptions&amp;Calculations'!$M$3:$M$5)</f>
        <v>127337285.41904759</v>
      </c>
    </row>
    <row r="57" spans="1:17">
      <c r="A57" s="7" t="s">
        <v>309</v>
      </c>
      <c r="B57" s="43">
        <f>Summary!B59*0.8</f>
        <v>992</v>
      </c>
      <c r="C57" s="43">
        <f>Summary!C59*0.8</f>
        <v>512</v>
      </c>
      <c r="D57" s="43">
        <f>Summary!D59*0.8</f>
        <v>4772</v>
      </c>
      <c r="E57" s="43">
        <f>Summary!E59*0.8</f>
        <v>512</v>
      </c>
      <c r="F57" s="43">
        <f>Summary!F59*0.8</f>
        <v>3780</v>
      </c>
      <c r="G57" s="43">
        <f>Summary!G59*0.8</f>
        <v>992</v>
      </c>
      <c r="H57" s="43">
        <f>Summary!H59*0.8</f>
        <v>512</v>
      </c>
      <c r="I57" s="43">
        <f>Summary!I59*0.8</f>
        <v>3780</v>
      </c>
      <c r="J57" s="43">
        <f>Summary!J59*0.8</f>
        <v>0</v>
      </c>
      <c r="K57" s="43">
        <f>Summary!K59*0.8</f>
        <v>992</v>
      </c>
      <c r="L57" s="43">
        <f>Summary!L59*0.8</f>
        <v>512</v>
      </c>
      <c r="M57" s="43">
        <f>Summary!M59*0.8</f>
        <v>3780</v>
      </c>
      <c r="N57" s="45">
        <f t="shared" si="5"/>
        <v>21136</v>
      </c>
      <c r="O57" s="45">
        <f>$N57*AVERAGE('Assumptions&amp;Calculations'!$B$3:$B$5)</f>
        <v>1417309.7066666668</v>
      </c>
      <c r="P57" s="45">
        <f>$N57*AVERAGE('Assumptions&amp;Calculations'!$M$3:$M$5)</f>
        <v>552429.61904761894</v>
      </c>
    </row>
    <row r="58" spans="1:17" s="46" customFormat="1" ht="28.8">
      <c r="A58" s="44" t="s">
        <v>311</v>
      </c>
      <c r="B58" s="45">
        <f t="shared" ref="B58:N58" si="6">SUM(B42:B57)</f>
        <v>4274549.6000000006</v>
      </c>
      <c r="C58" s="45">
        <f t="shared" si="6"/>
        <v>463001.59999999998</v>
      </c>
      <c r="D58" s="45">
        <f t="shared" si="6"/>
        <v>4605389.6000000006</v>
      </c>
      <c r="E58" s="45">
        <f t="shared" si="6"/>
        <v>463001.59999999998</v>
      </c>
      <c r="F58" s="45">
        <f t="shared" si="6"/>
        <v>6171413.5999999987</v>
      </c>
      <c r="G58" s="45">
        <f t="shared" si="6"/>
        <v>3011084.8000000007</v>
      </c>
      <c r="H58" s="45">
        <f t="shared" si="6"/>
        <v>4144793.6000000006</v>
      </c>
      <c r="I58" s="45">
        <f t="shared" si="6"/>
        <v>3594996</v>
      </c>
      <c r="J58" s="45">
        <f t="shared" si="6"/>
        <v>868684.80000000005</v>
      </c>
      <c r="K58" s="45">
        <f t="shared" si="6"/>
        <v>2622192.0000000005</v>
      </c>
      <c r="L58" s="45">
        <f t="shared" si="6"/>
        <v>5165624.8000000007</v>
      </c>
      <c r="M58" s="45">
        <f t="shared" si="6"/>
        <v>5261195.1999999993</v>
      </c>
      <c r="N58" s="45">
        <f t="shared" si="6"/>
        <v>40645927.200000003</v>
      </c>
      <c r="O58" s="45">
        <f>$N58*AVERAGE('Assumptions&amp;Calculations'!$B$3:$B$5)</f>
        <v>2725580391.6080003</v>
      </c>
      <c r="P58" s="45">
        <f>$N58*AVERAGE('Assumptions&amp;Calculations'!$M$3:$M$5)</f>
        <v>1062358728.1857142</v>
      </c>
      <c r="Q58" s="326"/>
    </row>
    <row r="60" spans="1:17" s="31" customFormat="1" ht="43.2">
      <c r="A60" s="19" t="s">
        <v>572</v>
      </c>
      <c r="B60" s="19" t="s">
        <v>238</v>
      </c>
      <c r="C60" s="19" t="s">
        <v>239</v>
      </c>
      <c r="D60" s="19" t="s">
        <v>240</v>
      </c>
      <c r="E60" s="19" t="s">
        <v>241</v>
      </c>
      <c r="F60" s="19" t="s">
        <v>236</v>
      </c>
      <c r="G60" s="19" t="s">
        <v>237</v>
      </c>
      <c r="H60" s="19" t="s">
        <v>242</v>
      </c>
      <c r="I60" s="19" t="s">
        <v>243</v>
      </c>
      <c r="J60" s="19" t="s">
        <v>244</v>
      </c>
      <c r="K60" s="19" t="s">
        <v>245</v>
      </c>
      <c r="L60" s="19" t="s">
        <v>246</v>
      </c>
      <c r="M60" s="19" t="s">
        <v>247</v>
      </c>
      <c r="N60" s="327" t="s">
        <v>567</v>
      </c>
      <c r="O60" s="327" t="s">
        <v>569</v>
      </c>
      <c r="P60" s="327" t="s">
        <v>568</v>
      </c>
    </row>
    <row r="61" spans="1:17">
      <c r="A61" s="7" t="s">
        <v>294</v>
      </c>
      <c r="B61" s="43">
        <f>Summary!B63*0.8</f>
        <v>0</v>
      </c>
      <c r="C61" s="43">
        <f>Summary!C63*0.8</f>
        <v>0</v>
      </c>
      <c r="D61" s="43">
        <f>Summary!D63*0.8</f>
        <v>0</v>
      </c>
      <c r="E61" s="43">
        <f>Summary!E63*0.8</f>
        <v>0</v>
      </c>
      <c r="F61" s="43">
        <f>Summary!F63*0.8</f>
        <v>0</v>
      </c>
      <c r="G61" s="43">
        <f>Summary!G63*0.8</f>
        <v>0</v>
      </c>
      <c r="H61" s="43">
        <f>Summary!H63*0.8</f>
        <v>0</v>
      </c>
      <c r="I61" s="43">
        <f>Summary!I63*0.8</f>
        <v>0</v>
      </c>
      <c r="J61" s="43">
        <f>Summary!J63*0.8</f>
        <v>0</v>
      </c>
      <c r="K61" s="43">
        <f>Summary!K63*0.8</f>
        <v>0</v>
      </c>
      <c r="L61" s="43">
        <f>Summary!L63*0.8</f>
        <v>0</v>
      </c>
      <c r="M61" s="43">
        <f>Summary!M63*0.8</f>
        <v>0</v>
      </c>
      <c r="N61" s="45">
        <f>SUM(B61:M61)</f>
        <v>0</v>
      </c>
      <c r="O61" s="45">
        <f>$N61*AVERAGE('Assumptions&amp;Calculations'!$B$3:$B$5)</f>
        <v>0</v>
      </c>
      <c r="P61" s="45">
        <f>$N61*AVERAGE('Assumptions&amp;Calculations'!$M$3:$M$5)</f>
        <v>0</v>
      </c>
    </row>
    <row r="62" spans="1:17">
      <c r="A62" s="7" t="s">
        <v>295</v>
      </c>
      <c r="B62" s="43">
        <f>Summary!B64*0.8</f>
        <v>0</v>
      </c>
      <c r="C62" s="43">
        <f>Summary!C64*0.8</f>
        <v>0</v>
      </c>
      <c r="D62" s="43">
        <f>Summary!D64*0.8</f>
        <v>0</v>
      </c>
      <c r="E62" s="43">
        <f>Summary!E64*0.8</f>
        <v>0</v>
      </c>
      <c r="F62" s="43">
        <f>Summary!F64*0.8</f>
        <v>0</v>
      </c>
      <c r="G62" s="43">
        <f>Summary!G64*0.8</f>
        <v>0</v>
      </c>
      <c r="H62" s="43">
        <f>Summary!H64*0.8</f>
        <v>0</v>
      </c>
      <c r="I62" s="43">
        <f>Summary!I64*0.8</f>
        <v>0</v>
      </c>
      <c r="J62" s="43">
        <f>Summary!J64*0.8</f>
        <v>0</v>
      </c>
      <c r="K62" s="43">
        <f>Summary!K64*0.8</f>
        <v>0</v>
      </c>
      <c r="L62" s="43">
        <f>Summary!L64*0.8</f>
        <v>0</v>
      </c>
      <c r="M62" s="43">
        <f>Summary!M64*0.8</f>
        <v>0</v>
      </c>
      <c r="N62" s="45">
        <f t="shared" ref="N62:N76" si="7">SUM(B62:M62)</f>
        <v>0</v>
      </c>
      <c r="O62" s="45">
        <f>N62*AVERAGE('Assumptions&amp;Calculations'!$B$3:$B$5)</f>
        <v>0</v>
      </c>
      <c r="P62" s="45">
        <f>$N62*AVERAGE('Assumptions&amp;Calculations'!$M$3:$M$5)</f>
        <v>0</v>
      </c>
    </row>
    <row r="63" spans="1:17">
      <c r="A63" s="7" t="s">
        <v>296</v>
      </c>
      <c r="B63" s="43">
        <f>Summary!B65*0.8</f>
        <v>29431.438933333338</v>
      </c>
      <c r="C63" s="43">
        <f>Summary!C65*0.8</f>
        <v>66264.059733333343</v>
      </c>
      <c r="D63" s="43">
        <f>Summary!D65*0.8</f>
        <v>66264.059733333343</v>
      </c>
      <c r="E63" s="43">
        <f>Summary!E65*0.8</f>
        <v>47490.7264</v>
      </c>
      <c r="F63" s="43">
        <f>Summary!F65*0.8</f>
        <v>47490.7264</v>
      </c>
      <c r="G63" s="43">
        <f>Summary!G65*0.8</f>
        <v>47490.7264</v>
      </c>
      <c r="H63" s="43">
        <f>Summary!H65*0.8</f>
        <v>0</v>
      </c>
      <c r="I63" s="43">
        <f>Summary!I65*0.8</f>
        <v>0</v>
      </c>
      <c r="J63" s="43">
        <f>Summary!J65*0.8</f>
        <v>0</v>
      </c>
      <c r="K63" s="43">
        <f>Summary!K65*0.8</f>
        <v>0</v>
      </c>
      <c r="L63" s="43">
        <f>Summary!L65*0.8</f>
        <v>0</v>
      </c>
      <c r="M63" s="43">
        <f>Summary!M65*0.8</f>
        <v>0</v>
      </c>
      <c r="N63" s="45">
        <f t="shared" si="7"/>
        <v>304431.73759999999</v>
      </c>
      <c r="O63" s="45">
        <f>N63*AVERAGE('Assumptions&amp;Calculations'!$B$3:$B$5)</f>
        <v>20414177.550997335</v>
      </c>
      <c r="P63" s="45">
        <f>$N63*AVERAGE('Assumptions&amp;Calculations'!$M$3:$M$5)</f>
        <v>7956903.3321523797</v>
      </c>
    </row>
    <row r="64" spans="1:17">
      <c r="A64" s="7" t="s">
        <v>297</v>
      </c>
      <c r="B64" s="43">
        <f>Summary!B66*0.8</f>
        <v>212326.05866666671</v>
      </c>
      <c r="C64" s="43">
        <f>Summary!C66*0.8</f>
        <v>212326.05866666671</v>
      </c>
      <c r="D64" s="43">
        <f>Summary!D66*0.8</f>
        <v>24391.680000000004</v>
      </c>
      <c r="E64" s="43">
        <f>Summary!E66*0.8</f>
        <v>0</v>
      </c>
      <c r="F64" s="43">
        <f>Summary!F66*0.8</f>
        <v>0</v>
      </c>
      <c r="G64" s="43">
        <f>Summary!G66*0.8</f>
        <v>0</v>
      </c>
      <c r="H64" s="43">
        <f>Summary!H66*0.8</f>
        <v>0</v>
      </c>
      <c r="I64" s="43">
        <f>Summary!I66*0.8</f>
        <v>0</v>
      </c>
      <c r="J64" s="43">
        <f>Summary!J66*0.8</f>
        <v>0</v>
      </c>
      <c r="K64" s="43">
        <f>Summary!K66*0.8</f>
        <v>0</v>
      </c>
      <c r="L64" s="43">
        <f>Summary!L66*0.8</f>
        <v>24391.680000000004</v>
      </c>
      <c r="M64" s="43">
        <f>Summary!M66*0.8</f>
        <v>212326.05866666671</v>
      </c>
      <c r="N64" s="45">
        <f t="shared" si="7"/>
        <v>685761.53600000008</v>
      </c>
      <c r="O64" s="45">
        <f>N64*AVERAGE('Assumptions&amp;Calculations'!$B$3:$B$5)</f>
        <v>45984882.732373342</v>
      </c>
      <c r="P64" s="45">
        <f>$N64*AVERAGE('Assumptions&amp;Calculations'!$M$3:$M$5)</f>
        <v>17923683.955809522</v>
      </c>
    </row>
    <row r="65" spans="1:16">
      <c r="A65" s="7" t="s">
        <v>298</v>
      </c>
      <c r="B65" s="43">
        <f>Summary!B67*0.8</f>
        <v>386537.65409523807</v>
      </c>
      <c r="C65" s="43">
        <f>Summary!C67*0.8</f>
        <v>386537.65409523807</v>
      </c>
      <c r="D65" s="43">
        <f>Summary!D67*0.8</f>
        <v>386537.65409523807</v>
      </c>
      <c r="E65" s="43">
        <f>Summary!E67*0.8</f>
        <v>386537.65409523807</v>
      </c>
      <c r="F65" s="43">
        <f>Summary!F67*0.8</f>
        <v>44996.827428571436</v>
      </c>
      <c r="G65" s="43">
        <f>Summary!G67*0.8</f>
        <v>0</v>
      </c>
      <c r="H65" s="43">
        <f>Summary!H67*0.8</f>
        <v>0</v>
      </c>
      <c r="I65" s="43">
        <f>Summary!I67*0.8</f>
        <v>0</v>
      </c>
      <c r="J65" s="43">
        <f>Summary!J67*0.8</f>
        <v>0</v>
      </c>
      <c r="K65" s="43">
        <f>Summary!K67*0.8</f>
        <v>0</v>
      </c>
      <c r="L65" s="43">
        <f>Summary!L67*0.8</f>
        <v>203757.40609523814</v>
      </c>
      <c r="M65" s="43">
        <f>Summary!M67*0.8</f>
        <v>203757.40609523814</v>
      </c>
      <c r="N65" s="45">
        <f t="shared" si="7"/>
        <v>1998662.2560000001</v>
      </c>
      <c r="O65" s="45">
        <f>N65*AVERAGE('Assumptions&amp;Calculations'!$B$3:$B$5)</f>
        <v>134023628.67984001</v>
      </c>
      <c r="P65" s="45">
        <f>$N65*AVERAGE('Assumptions&amp;Calculations'!$M$3:$M$5)</f>
        <v>52238845.036285713</v>
      </c>
    </row>
    <row r="66" spans="1:16">
      <c r="A66" s="7" t="s">
        <v>299</v>
      </c>
      <c r="B66" s="43">
        <f>Summary!B68*0.8</f>
        <v>0</v>
      </c>
      <c r="C66" s="43">
        <f>Summary!C68*0.8</f>
        <v>0</v>
      </c>
      <c r="D66" s="43">
        <f>Summary!D68*0.8</f>
        <v>0</v>
      </c>
      <c r="E66" s="43">
        <f>Summary!E68*0.8</f>
        <v>0</v>
      </c>
      <c r="F66" s="43">
        <f>Summary!F68*0.8</f>
        <v>0</v>
      </c>
      <c r="G66" s="43">
        <f>Summary!G68*0.8</f>
        <v>0</v>
      </c>
      <c r="H66" s="43">
        <f>Summary!H68*0.8</f>
        <v>0</v>
      </c>
      <c r="I66" s="43">
        <f>Summary!I68*0.8</f>
        <v>0</v>
      </c>
      <c r="J66" s="43">
        <f>Summary!J68*0.8</f>
        <v>0</v>
      </c>
      <c r="K66" s="43">
        <f>Summary!K68*0.8</f>
        <v>0</v>
      </c>
      <c r="L66" s="43">
        <f>Summary!L68*0.8</f>
        <v>0</v>
      </c>
      <c r="M66" s="43">
        <f>Summary!M68*0.8</f>
        <v>0</v>
      </c>
      <c r="N66" s="45">
        <f t="shared" si="7"/>
        <v>0</v>
      </c>
      <c r="O66" s="45">
        <f>N66*AVERAGE('Assumptions&amp;Calculations'!$B$3:$B$5)</f>
        <v>0</v>
      </c>
      <c r="P66" s="45">
        <f>$N66*AVERAGE('Assumptions&amp;Calculations'!$M$3:$M$5)</f>
        <v>0</v>
      </c>
    </row>
    <row r="67" spans="1:16">
      <c r="A67" s="7" t="s">
        <v>300</v>
      </c>
      <c r="B67" s="43">
        <f>Summary!B69*0.8</f>
        <v>46401.143466666676</v>
      </c>
      <c r="C67" s="43">
        <f>Summary!C69*0.8</f>
        <v>46401.143466666676</v>
      </c>
      <c r="D67" s="43">
        <f>Summary!D69*0.8</f>
        <v>46401.143466666676</v>
      </c>
      <c r="E67" s="43">
        <f>Summary!E69*0.8</f>
        <v>33494.476800000004</v>
      </c>
      <c r="F67" s="43">
        <f>Summary!F69*0.8</f>
        <v>33494.476800000004</v>
      </c>
      <c r="G67" s="43">
        <f>Summary!G69*0.8</f>
        <v>0</v>
      </c>
      <c r="H67" s="43">
        <f>Summary!H69*0.8</f>
        <v>0</v>
      </c>
      <c r="I67" s="43">
        <f>Summary!I69*0.8</f>
        <v>0</v>
      </c>
      <c r="J67" s="43">
        <f>Summary!J69*0.8</f>
        <v>0</v>
      </c>
      <c r="K67" s="43">
        <f>Summary!K69*0.8</f>
        <v>0</v>
      </c>
      <c r="L67" s="43">
        <f>Summary!L69*0.8</f>
        <v>0</v>
      </c>
      <c r="M67" s="43">
        <f>Summary!M69*0.8</f>
        <v>0</v>
      </c>
      <c r="N67" s="45">
        <f t="shared" si="7"/>
        <v>206192.38400000002</v>
      </c>
      <c r="O67" s="45">
        <f>N67*AVERAGE('Assumptions&amp;Calculations'!$B$3:$B$5)</f>
        <v>13826573.963093337</v>
      </c>
      <c r="P67" s="45">
        <f>$N67*AVERAGE('Assumptions&amp;Calculations'!$M$3:$M$5)</f>
        <v>5389230.7032380952</v>
      </c>
    </row>
    <row r="68" spans="1:16">
      <c r="A68" s="7" t="s">
        <v>301</v>
      </c>
      <c r="B68" s="43">
        <f>Summary!B70*0.8</f>
        <v>389544.4</v>
      </c>
      <c r="C68" s="43">
        <f>Summary!C70*0.8</f>
        <v>389544.4</v>
      </c>
      <c r="D68" s="43">
        <f>Summary!D70*0.8</f>
        <v>389544.4</v>
      </c>
      <c r="E68" s="43">
        <f>Summary!E70*0.8</f>
        <v>306792.40000000002</v>
      </c>
      <c r="F68" s="43">
        <f>Summary!F70*0.8</f>
        <v>306792.40000000002</v>
      </c>
      <c r="G68" s="43">
        <f>Summary!G70*0.8</f>
        <v>0</v>
      </c>
      <c r="H68" s="43">
        <f>Summary!H70*0.8</f>
        <v>0</v>
      </c>
      <c r="I68" s="43">
        <f>Summary!I70*0.8</f>
        <v>0</v>
      </c>
      <c r="J68" s="43">
        <f>Summary!J70*0.8</f>
        <v>0</v>
      </c>
      <c r="K68" s="43">
        <f>Summary!K70*0.8</f>
        <v>306792.40000000002</v>
      </c>
      <c r="L68" s="43">
        <f>Summary!L70*0.8</f>
        <v>389544.4</v>
      </c>
      <c r="M68" s="43">
        <f>Summary!M70*0.8</f>
        <v>389544.4</v>
      </c>
      <c r="N68" s="45">
        <f t="shared" si="7"/>
        <v>2868099.1999999997</v>
      </c>
      <c r="O68" s="45">
        <f>N68*AVERAGE('Assumptions&amp;Calculations'!$B$3:$B$5)</f>
        <v>192325172.02133334</v>
      </c>
      <c r="P68" s="45">
        <f>$N68*AVERAGE('Assumptions&amp;Calculations'!$M$3:$M$5)</f>
        <v>74963235.63809523</v>
      </c>
    </row>
    <row r="69" spans="1:16">
      <c r="A69" s="7" t="s">
        <v>302</v>
      </c>
      <c r="B69" s="43">
        <f>Summary!B72*0.8</f>
        <v>65463.215999999993</v>
      </c>
      <c r="C69" s="43">
        <f>Summary!C72*0.8</f>
        <v>65463.215999999993</v>
      </c>
      <c r="D69" s="43">
        <f>Summary!D72*0.8</f>
        <v>65463.215999999993</v>
      </c>
      <c r="E69" s="43">
        <f>Summary!E72*0.8</f>
        <v>65463.215999999993</v>
      </c>
      <c r="F69" s="43">
        <f>Summary!F72*0.8</f>
        <v>0</v>
      </c>
      <c r="G69" s="43">
        <f>Summary!G72*0.8</f>
        <v>0</v>
      </c>
      <c r="H69" s="43">
        <f>Summary!H72*0.8</f>
        <v>0</v>
      </c>
      <c r="I69" s="43">
        <f>Summary!I72*0.8</f>
        <v>0</v>
      </c>
      <c r="J69" s="43">
        <f>Summary!J72*0.8</f>
        <v>0</v>
      </c>
      <c r="K69" s="43">
        <f>Summary!K72*0.8</f>
        <v>0</v>
      </c>
      <c r="L69" s="43">
        <f>Summary!L72*0.8</f>
        <v>0</v>
      </c>
      <c r="M69" s="43">
        <f>Summary!M72*0.8</f>
        <v>49175.216</v>
      </c>
      <c r="N69" s="45">
        <f t="shared" si="7"/>
        <v>311028.07999999996</v>
      </c>
      <c r="O69" s="45">
        <f>N69*AVERAGE('Assumptions&amp;Calculations'!$B$3:$B$5)</f>
        <v>20856506.284533333</v>
      </c>
      <c r="P69" s="45">
        <f>$N69*AVERAGE('Assumptions&amp;Calculations'!$M$3:$M$5)</f>
        <v>8129311.3052380932</v>
      </c>
    </row>
    <row r="70" spans="1:16">
      <c r="A70" s="7" t="s">
        <v>303</v>
      </c>
      <c r="B70" s="43">
        <f>Summary!B73*0.8</f>
        <v>97784.620800000004</v>
      </c>
      <c r="C70" s="43">
        <f>Summary!C73*0.8</f>
        <v>97784.620800000004</v>
      </c>
      <c r="D70" s="43">
        <f>Summary!D73*0.8</f>
        <v>97784.620800000004</v>
      </c>
      <c r="E70" s="43">
        <f>Summary!E73*0.8</f>
        <v>97784.620800000004</v>
      </c>
      <c r="F70" s="43">
        <f>Summary!F73*0.8</f>
        <v>84984.620800000004</v>
      </c>
      <c r="G70" s="43">
        <f>Summary!G73*0.8</f>
        <v>0</v>
      </c>
      <c r="H70" s="43">
        <f>Summary!H73*0.8</f>
        <v>0</v>
      </c>
      <c r="I70" s="43">
        <f>Summary!I73*0.8</f>
        <v>0</v>
      </c>
      <c r="J70" s="43">
        <f>Summary!J73*0.8</f>
        <v>0</v>
      </c>
      <c r="K70" s="43">
        <f>Summary!K73*0.8</f>
        <v>0</v>
      </c>
      <c r="L70" s="43">
        <f>Summary!L73*0.8</f>
        <v>12800</v>
      </c>
      <c r="M70" s="43">
        <f>Summary!M73*0.8</f>
        <v>12800</v>
      </c>
      <c r="N70" s="45">
        <f t="shared" si="7"/>
        <v>501723.10400000005</v>
      </c>
      <c r="O70" s="45">
        <f>N70*AVERAGE('Assumptions&amp;Calculations'!$B$3:$B$5)</f>
        <v>33643878.943893336</v>
      </c>
      <c r="P70" s="45">
        <f>$N70*AVERAGE('Assumptions&amp;Calculations'!$M$3:$M$5)</f>
        <v>13113488.986095238</v>
      </c>
    </row>
    <row r="71" spans="1:16">
      <c r="A71" s="7" t="s">
        <v>304</v>
      </c>
      <c r="B71" s="43">
        <f>Summary!B74*0.8</f>
        <v>0</v>
      </c>
      <c r="C71" s="43">
        <f>Summary!C74*0.8</f>
        <v>0</v>
      </c>
      <c r="D71" s="43">
        <f>Summary!D74*0.8</f>
        <v>0</v>
      </c>
      <c r="E71" s="43">
        <f>Summary!E74*0.8</f>
        <v>0</v>
      </c>
      <c r="F71" s="43">
        <f>Summary!F74*0.8</f>
        <v>0</v>
      </c>
      <c r="G71" s="43">
        <f>Summary!G74*0.8</f>
        <v>0</v>
      </c>
      <c r="H71" s="43">
        <f>Summary!H74*0.8</f>
        <v>0</v>
      </c>
      <c r="I71" s="43">
        <f>Summary!I74*0.8</f>
        <v>0</v>
      </c>
      <c r="J71" s="43">
        <f>Summary!J74*0.8</f>
        <v>0</v>
      </c>
      <c r="K71" s="43">
        <f>Summary!K74*0.8</f>
        <v>0</v>
      </c>
      <c r="L71" s="43">
        <f>Summary!L74*0.8</f>
        <v>0</v>
      </c>
      <c r="M71" s="43">
        <f>Summary!M74*0.8</f>
        <v>0</v>
      </c>
      <c r="N71" s="45">
        <f t="shared" si="7"/>
        <v>0</v>
      </c>
      <c r="O71" s="45">
        <f>N71*AVERAGE('Assumptions&amp;Calculations'!$B$3:$B$5)</f>
        <v>0</v>
      </c>
      <c r="P71" s="45">
        <f>$N71*AVERAGE('Assumptions&amp;Calculations'!$M$3:$M$5)</f>
        <v>0</v>
      </c>
    </row>
    <row r="72" spans="1:16">
      <c r="A72" s="7" t="s">
        <v>305</v>
      </c>
      <c r="B72" s="43">
        <f>Summary!B75*0.8</f>
        <v>770893.73800000001</v>
      </c>
      <c r="C72" s="43">
        <f>Summary!C75*0.8</f>
        <v>770893.73800000001</v>
      </c>
      <c r="D72" s="43">
        <f>Summary!D75*0.8</f>
        <v>770893.73800000001</v>
      </c>
      <c r="E72" s="43">
        <f>Summary!E75*0.8</f>
        <v>770893.73800000001</v>
      </c>
      <c r="F72" s="43">
        <f>Summary!F75*0.8</f>
        <v>770893.73800000001</v>
      </c>
      <c r="G72" s="43">
        <f>Summary!G75*0.8</f>
        <v>671810.53800000006</v>
      </c>
      <c r="H72" s="43">
        <f>Summary!H75*0.8</f>
        <v>0</v>
      </c>
      <c r="I72" s="43">
        <f>Summary!I75*0.8</f>
        <v>0</v>
      </c>
      <c r="J72" s="43">
        <f>Summary!J75*0.8</f>
        <v>0</v>
      </c>
      <c r="K72" s="43">
        <f>Summary!K75*0.8</f>
        <v>99083.200000000012</v>
      </c>
      <c r="L72" s="43">
        <f>Summary!L75*0.8</f>
        <v>770893.73800000001</v>
      </c>
      <c r="M72" s="43">
        <f>Summary!M75*0.8</f>
        <v>770893.73800000001</v>
      </c>
      <c r="N72" s="45">
        <f t="shared" si="7"/>
        <v>6167149.9040000001</v>
      </c>
      <c r="O72" s="45">
        <f>N72*AVERAGE('Assumptions&amp;Calculations'!$B$3:$B$5)</f>
        <v>413548515.39589339</v>
      </c>
      <c r="P72" s="45">
        <f>$N72*AVERAGE('Assumptions&amp;Calculations'!$M$3:$M$5)</f>
        <v>161190209.69323808</v>
      </c>
    </row>
    <row r="73" spans="1:16">
      <c r="A73" s="7" t="s">
        <v>306</v>
      </c>
      <c r="B73" s="43">
        <f>Summary!B76*0.8</f>
        <v>112377.89439999999</v>
      </c>
      <c r="C73" s="43">
        <f>Summary!C76*0.8</f>
        <v>112377.89439999999</v>
      </c>
      <c r="D73" s="43">
        <f>Summary!D76*0.8</f>
        <v>112377.89439999999</v>
      </c>
      <c r="E73" s="43">
        <f>Summary!E76*0.8</f>
        <v>85081.89439999999</v>
      </c>
      <c r="F73" s="43">
        <f>Summary!F76*0.8</f>
        <v>85081.89439999999</v>
      </c>
      <c r="G73" s="43">
        <f>Summary!G76*0.8</f>
        <v>0</v>
      </c>
      <c r="H73" s="43">
        <f>Summary!H76*0.8</f>
        <v>0</v>
      </c>
      <c r="I73" s="43">
        <f>Summary!I76*0.8</f>
        <v>0</v>
      </c>
      <c r="J73" s="43">
        <f>Summary!J76*0.8</f>
        <v>0</v>
      </c>
      <c r="K73" s="43">
        <f>Summary!K76*0.8</f>
        <v>0</v>
      </c>
      <c r="L73" s="43">
        <f>Summary!L76*0.8</f>
        <v>0</v>
      </c>
      <c r="M73" s="43">
        <f>Summary!M76*0.8</f>
        <v>27296</v>
      </c>
      <c r="N73" s="45">
        <f t="shared" si="7"/>
        <v>534593.47199999995</v>
      </c>
      <c r="O73" s="45">
        <f>N73*AVERAGE('Assumptions&amp;Calculations'!$B$3:$B$5)</f>
        <v>35848056.254079998</v>
      </c>
      <c r="P73" s="45">
        <f>$N73*AVERAGE('Assumptions&amp;Calculations'!$M$3:$M$5)</f>
        <v>13972618.663999997</v>
      </c>
    </row>
    <row r="74" spans="1:16">
      <c r="A74" s="7" t="s">
        <v>307</v>
      </c>
      <c r="B74" s="43">
        <f>Summary!B77*0.8</f>
        <v>174509.48571428572</v>
      </c>
      <c r="C74" s="43">
        <f>Summary!C77*0.8</f>
        <v>174509.48571428572</v>
      </c>
      <c r="D74" s="43">
        <f>Summary!D77*0.8</f>
        <v>174509.48571428572</v>
      </c>
      <c r="E74" s="43">
        <f>Summary!E77*0.8</f>
        <v>131629.48571428572</v>
      </c>
      <c r="F74" s="43">
        <f>Summary!F77*0.8</f>
        <v>131629.48571428572</v>
      </c>
      <c r="G74" s="43">
        <f>Summary!G77*0.8</f>
        <v>0</v>
      </c>
      <c r="H74" s="43">
        <f>Summary!H77*0.8</f>
        <v>0</v>
      </c>
      <c r="I74" s="43">
        <f>Summary!I77*0.8</f>
        <v>0</v>
      </c>
      <c r="J74" s="43">
        <f>Summary!J77*0.8</f>
        <v>0</v>
      </c>
      <c r="K74" s="43">
        <f>Summary!K77*0.8</f>
        <v>0</v>
      </c>
      <c r="L74" s="43">
        <f>Summary!L77*0.8</f>
        <v>131629.48571428572</v>
      </c>
      <c r="M74" s="43">
        <f>Summary!M77*0.8</f>
        <v>174509.48571428572</v>
      </c>
      <c r="N74" s="45">
        <f t="shared" si="7"/>
        <v>1092926.4000000001</v>
      </c>
      <c r="O74" s="45">
        <f>N74*AVERAGE('Assumptions&amp;Calculations'!$B$3:$B$5)</f>
        <v>73288001.296000019</v>
      </c>
      <c r="P74" s="45">
        <f>$N74*AVERAGE('Assumptions&amp;Calculations'!$M$3:$M$5)</f>
        <v>28565713.22857143</v>
      </c>
    </row>
    <row r="75" spans="1:16">
      <c r="A75" s="7" t="s">
        <v>308</v>
      </c>
      <c r="B75" s="43">
        <f>Summary!B78*0.8</f>
        <v>0</v>
      </c>
      <c r="C75" s="43">
        <f>Summary!C78*0.8</f>
        <v>0</v>
      </c>
      <c r="D75" s="43">
        <f>Summary!D78*0.8</f>
        <v>0</v>
      </c>
      <c r="E75" s="43">
        <f>Summary!E78*0.8</f>
        <v>0</v>
      </c>
      <c r="F75" s="43">
        <f>Summary!F78*0.8</f>
        <v>0</v>
      </c>
      <c r="G75" s="43">
        <f>Summary!G78*0.8</f>
        <v>0</v>
      </c>
      <c r="H75" s="43">
        <f>Summary!H78*0.8</f>
        <v>0</v>
      </c>
      <c r="I75" s="43">
        <f>Summary!I78*0.8</f>
        <v>0</v>
      </c>
      <c r="J75" s="43">
        <f>Summary!J78*0.8</f>
        <v>0</v>
      </c>
      <c r="K75" s="43">
        <f>Summary!K78*0.8</f>
        <v>0</v>
      </c>
      <c r="L75" s="43">
        <f>Summary!L78*0.8</f>
        <v>0</v>
      </c>
      <c r="M75" s="43">
        <f>Summary!M78*0.8</f>
        <v>0</v>
      </c>
      <c r="N75" s="45">
        <f t="shared" si="7"/>
        <v>0</v>
      </c>
      <c r="O75" s="45">
        <f>N75*AVERAGE('Assumptions&amp;Calculations'!$B$3:$B$5)</f>
        <v>0</v>
      </c>
      <c r="P75" s="45">
        <f>$N75*AVERAGE('Assumptions&amp;Calculations'!$M$3:$M$5)</f>
        <v>0</v>
      </c>
    </row>
    <row r="76" spans="1:16">
      <c r="A76" s="7" t="s">
        <v>309</v>
      </c>
      <c r="B76" s="43">
        <f>Summary!B79*0.8</f>
        <v>0</v>
      </c>
      <c r="C76" s="43">
        <f>Summary!C79*0.8</f>
        <v>0</v>
      </c>
      <c r="D76" s="43">
        <f>Summary!D79*0.8</f>
        <v>0</v>
      </c>
      <c r="E76" s="43">
        <f>Summary!E79*0.8</f>
        <v>0</v>
      </c>
      <c r="F76" s="43">
        <f>Summary!F79*0.8</f>
        <v>0</v>
      </c>
      <c r="G76" s="43">
        <f>Summary!G79*0.8</f>
        <v>0</v>
      </c>
      <c r="H76" s="43">
        <f>Summary!H79*0.8</f>
        <v>0</v>
      </c>
      <c r="I76" s="43">
        <f>Summary!I79*0.8</f>
        <v>0</v>
      </c>
      <c r="J76" s="43">
        <f>Summary!J79*0.8</f>
        <v>0</v>
      </c>
      <c r="K76" s="43">
        <f>Summary!K79*0.8</f>
        <v>0</v>
      </c>
      <c r="L76" s="43">
        <f>Summary!L79*0.8</f>
        <v>0</v>
      </c>
      <c r="M76" s="43">
        <f>Summary!M79*0.8</f>
        <v>0</v>
      </c>
      <c r="N76" s="45">
        <f t="shared" si="7"/>
        <v>0</v>
      </c>
      <c r="O76" s="45">
        <f>N76*AVERAGE('Assumptions&amp;Calculations'!$B$3:$B$5)</f>
        <v>0</v>
      </c>
      <c r="P76" s="45">
        <f>$N76*AVERAGE('Assumptions&amp;Calculations'!$M$3:$M$5)</f>
        <v>0</v>
      </c>
    </row>
    <row r="77" spans="1:16" ht="28.8">
      <c r="A77" s="44" t="s">
        <v>311</v>
      </c>
      <c r="B77" s="45">
        <f t="shared" ref="B77:N77" si="8">SUM(B61:B76)</f>
        <v>2285269.6500761905</v>
      </c>
      <c r="C77" s="45">
        <f t="shared" si="8"/>
        <v>2322102.2708761906</v>
      </c>
      <c r="D77" s="45">
        <f t="shared" si="8"/>
        <v>2134167.8922095238</v>
      </c>
      <c r="E77" s="45">
        <f t="shared" si="8"/>
        <v>1925168.2122095237</v>
      </c>
      <c r="F77" s="45">
        <f t="shared" si="8"/>
        <v>1505364.169542857</v>
      </c>
      <c r="G77" s="45">
        <f t="shared" si="8"/>
        <v>719301.2644000001</v>
      </c>
      <c r="H77" s="45">
        <f t="shared" si="8"/>
        <v>0</v>
      </c>
      <c r="I77" s="45">
        <f t="shared" si="8"/>
        <v>0</v>
      </c>
      <c r="J77" s="45">
        <f t="shared" si="8"/>
        <v>0</v>
      </c>
      <c r="K77" s="45">
        <f t="shared" si="8"/>
        <v>405875.60000000003</v>
      </c>
      <c r="L77" s="45">
        <f t="shared" si="8"/>
        <v>1533016.7098095238</v>
      </c>
      <c r="M77" s="45">
        <f t="shared" si="8"/>
        <v>1840302.3044761904</v>
      </c>
      <c r="N77" s="45">
        <f t="shared" si="8"/>
        <v>14670568.0736</v>
      </c>
      <c r="O77" s="45">
        <f>N77*AVERAGE('Assumptions&amp;Calculations'!$B$3:$B$5)</f>
        <v>983759393.12203741</v>
      </c>
      <c r="P77" s="45">
        <f>$N77*AVERAGE('Assumptions&amp;Calculations'!$M$3:$M$5)</f>
        <v>383443240.54272377</v>
      </c>
    </row>
    <row r="79" spans="1:16" ht="43.2">
      <c r="A79" s="16" t="s">
        <v>584</v>
      </c>
      <c r="B79" s="19" t="s">
        <v>238</v>
      </c>
      <c r="C79" s="19" t="s">
        <v>239</v>
      </c>
      <c r="D79" s="19" t="s">
        <v>240</v>
      </c>
      <c r="E79" s="19" t="s">
        <v>241</v>
      </c>
      <c r="F79" s="19" t="s">
        <v>236</v>
      </c>
      <c r="G79" s="19" t="s">
        <v>237</v>
      </c>
      <c r="H79" s="19" t="s">
        <v>242</v>
      </c>
      <c r="I79" s="19" t="s">
        <v>243</v>
      </c>
      <c r="J79" s="19" t="s">
        <v>244</v>
      </c>
      <c r="K79" s="19" t="s">
        <v>245</v>
      </c>
      <c r="L79" s="19" t="s">
        <v>246</v>
      </c>
      <c r="M79" s="19" t="s">
        <v>247</v>
      </c>
      <c r="N79" s="327" t="s">
        <v>567</v>
      </c>
      <c r="O79" s="327" t="s">
        <v>569</v>
      </c>
      <c r="P79" s="327" t="s">
        <v>568</v>
      </c>
    </row>
    <row r="80" spans="1:16">
      <c r="A80" s="7" t="s">
        <v>294</v>
      </c>
      <c r="B80" s="43">
        <f>Summary!B84*0.8</f>
        <v>44774.400000000001</v>
      </c>
      <c r="C80" s="43">
        <f>Summary!C84*0.8</f>
        <v>44774.400000000001</v>
      </c>
      <c r="D80" s="43">
        <f>Summary!D84*0.8</f>
        <v>55968</v>
      </c>
      <c r="E80" s="43">
        <f>Summary!E84*0.8</f>
        <v>55968</v>
      </c>
      <c r="F80" s="43">
        <f>Summary!F84*0.8</f>
        <v>55968</v>
      </c>
      <c r="G80" s="43">
        <f>Summary!G84*0.8</f>
        <v>55968</v>
      </c>
      <c r="H80" s="43">
        <f>Summary!H84*0.8</f>
        <v>55968</v>
      </c>
      <c r="I80" s="43">
        <f>Summary!I84*0.8</f>
        <v>55968</v>
      </c>
      <c r="J80" s="43">
        <f>Summary!J84*0.8</f>
        <v>44774.400000000001</v>
      </c>
      <c r="K80" s="43">
        <f>Summary!K84*0.8</f>
        <v>44774.400000000001</v>
      </c>
      <c r="L80" s="43">
        <f>Summary!L84*0.8</f>
        <v>44774.400000000001</v>
      </c>
      <c r="M80" s="43">
        <f>Summary!M84*0.8</f>
        <v>44774.400000000001</v>
      </c>
      <c r="N80" s="45">
        <f>SUM(B80:M80)</f>
        <v>604454.40000000002</v>
      </c>
      <c r="O80" s="45">
        <f>$N80*AVERAGE('Assumptions&amp;Calculations'!$B$3:$B$5)</f>
        <v>40532697.216000006</v>
      </c>
      <c r="P80" s="45">
        <f>$N80*AVERAGE('Assumptions&amp;Calculations'!$M$3:$M$5)</f>
        <v>15798567.085714284</v>
      </c>
    </row>
    <row r="81" spans="1:18">
      <c r="A81" s="7" t="s">
        <v>583</v>
      </c>
      <c r="B81" s="43">
        <f>Summary!B83*0.8</f>
        <v>6757676.8000000007</v>
      </c>
      <c r="C81" s="43">
        <f>Summary!C83*0.8</f>
        <v>6757676.8000000007</v>
      </c>
      <c r="D81" s="43">
        <f>Summary!D83*0.8</f>
        <v>8447096</v>
      </c>
      <c r="E81" s="43">
        <f>Summary!E83*0.8</f>
        <v>8447096</v>
      </c>
      <c r="F81" s="43">
        <f>Summary!F83*0.8</f>
        <v>8447096</v>
      </c>
      <c r="G81" s="43">
        <f>Summary!G83*0.8</f>
        <v>8447096</v>
      </c>
      <c r="H81" s="43">
        <f>Summary!H83*0.8</f>
        <v>8447096</v>
      </c>
      <c r="I81" s="43">
        <f>Summary!I83*0.8</f>
        <v>8447096</v>
      </c>
      <c r="J81" s="43">
        <f>Summary!J83*0.8</f>
        <v>6757676.8000000007</v>
      </c>
      <c r="K81" s="43">
        <f>Summary!K83*0.8</f>
        <v>6757676.8000000007</v>
      </c>
      <c r="L81" s="43">
        <f>Summary!L83*0.8</f>
        <v>6757676.8000000007</v>
      </c>
      <c r="M81" s="43">
        <f>Summary!M83*0.8</f>
        <v>6757676.8000000007</v>
      </c>
      <c r="N81" s="45">
        <f t="shared" ref="N81:N96" si="9">SUM(B81:M81)</f>
        <v>91228636.799999997</v>
      </c>
      <c r="O81" s="45">
        <f>$N81*AVERAGE('Assumptions&amp;Calculations'!$B$3:$B$5)</f>
        <v>6117488288.3520002</v>
      </c>
      <c r="P81" s="45">
        <f>$N81*AVERAGE('Assumptions&amp;Calculations'!$M$3:$M$5)</f>
        <v>2384434191.5999999</v>
      </c>
    </row>
    <row r="82" spans="1:18">
      <c r="A82" s="7" t="s">
        <v>295</v>
      </c>
      <c r="B82" s="43">
        <f>Summary!B85*0.8</f>
        <v>4345209.6000000006</v>
      </c>
      <c r="C82" s="43">
        <f>Summary!C85*0.8</f>
        <v>4345209.6000000006</v>
      </c>
      <c r="D82" s="43">
        <f>Summary!D85*0.8</f>
        <v>5431512</v>
      </c>
      <c r="E82" s="43">
        <f>Summary!E85*0.8</f>
        <v>5431512</v>
      </c>
      <c r="F82" s="43">
        <f>Summary!F85*0.8</f>
        <v>5431512</v>
      </c>
      <c r="G82" s="43">
        <f>Summary!G85*0.8</f>
        <v>5431512</v>
      </c>
      <c r="H82" s="43">
        <f>Summary!H85*0.8</f>
        <v>5431512</v>
      </c>
      <c r="I82" s="43">
        <f>Summary!I85*0.8</f>
        <v>5431512</v>
      </c>
      <c r="J82" s="43">
        <f>Summary!J85*0.8</f>
        <v>4345209.6000000006</v>
      </c>
      <c r="K82" s="43">
        <f>Summary!K85*0.8</f>
        <v>4345209.6000000006</v>
      </c>
      <c r="L82" s="43">
        <f>Summary!L85*0.8</f>
        <v>4345209.6000000006</v>
      </c>
      <c r="M82" s="43">
        <f>Summary!M85*0.8</f>
        <v>4345209.6000000006</v>
      </c>
      <c r="N82" s="45">
        <f t="shared" si="9"/>
        <v>58660329.600000009</v>
      </c>
      <c r="O82" s="45">
        <f>$N82*AVERAGE('Assumptions&amp;Calculations'!$B$3:$B$5)</f>
        <v>3933566168.5440011</v>
      </c>
      <c r="P82" s="45">
        <f>$N82*AVERAGE('Assumptions&amp;Calculations'!$M$3:$M$5)</f>
        <v>1533199448.057143</v>
      </c>
      <c r="R82">
        <v>4313587337.1359997</v>
      </c>
    </row>
    <row r="83" spans="1:18">
      <c r="A83" s="7" t="s">
        <v>296</v>
      </c>
      <c r="B83" s="43">
        <f>Summary!B86*0.8</f>
        <v>1375462.4000000001</v>
      </c>
      <c r="C83" s="43">
        <f>Summary!C86*0.8</f>
        <v>1375462.4000000001</v>
      </c>
      <c r="D83" s="43">
        <f>Summary!D86*0.8</f>
        <v>1719328</v>
      </c>
      <c r="E83" s="43">
        <f>Summary!E86*0.8</f>
        <v>1719328</v>
      </c>
      <c r="F83" s="43">
        <f>Summary!F86*0.8</f>
        <v>1719328</v>
      </c>
      <c r="G83" s="43">
        <f>Summary!G86*0.8</f>
        <v>1716928</v>
      </c>
      <c r="H83" s="43">
        <f>Summary!H86*0.8</f>
        <v>1716928</v>
      </c>
      <c r="I83" s="43">
        <f>Summary!I86*0.8</f>
        <v>1716928</v>
      </c>
      <c r="J83" s="43">
        <f>Summary!J86*0.8</f>
        <v>1375462.4000000001</v>
      </c>
      <c r="K83" s="43">
        <f>Summary!K86*0.8</f>
        <v>1375462.4000000001</v>
      </c>
      <c r="L83" s="43">
        <f>Summary!L86*0.8</f>
        <v>1375462.4000000001</v>
      </c>
      <c r="M83" s="43">
        <f>Summary!M86*0.8</f>
        <v>1375462.4000000001</v>
      </c>
      <c r="N83" s="45">
        <f t="shared" si="9"/>
        <v>18561542.399999999</v>
      </c>
      <c r="O83" s="45">
        <f>$N83*AVERAGE('Assumptions&amp;Calculations'!$B$3:$B$5)</f>
        <v>1244675161.536</v>
      </c>
      <c r="P83" s="45">
        <f>$N83*AVERAGE('Assumptions&amp;Calculations'!$M$3:$M$5)</f>
        <v>485141265.94285703</v>
      </c>
      <c r="R83">
        <v>1364923020.3839998</v>
      </c>
    </row>
    <row r="84" spans="1:18">
      <c r="A84" s="7" t="s">
        <v>297</v>
      </c>
      <c r="B84" s="43">
        <f>Summary!B87*0.8</f>
        <v>2719763.2</v>
      </c>
      <c r="C84" s="43">
        <f>Summary!C87*0.8</f>
        <v>2719763.2</v>
      </c>
      <c r="D84" s="43">
        <f>Summary!D87*0.8</f>
        <v>3399704</v>
      </c>
      <c r="E84" s="43">
        <f>Summary!E87*0.8</f>
        <v>3399704</v>
      </c>
      <c r="F84" s="43">
        <f>Summary!F87*0.8</f>
        <v>3399704</v>
      </c>
      <c r="G84" s="43">
        <f>Summary!G87*0.8</f>
        <v>3392504</v>
      </c>
      <c r="H84" s="43">
        <f>Summary!H87*0.8</f>
        <v>3392504</v>
      </c>
      <c r="I84" s="43">
        <f>Summary!I87*0.8</f>
        <v>3392504</v>
      </c>
      <c r="J84" s="43">
        <f>Summary!J87*0.8</f>
        <v>2719763.2</v>
      </c>
      <c r="K84" s="43">
        <f>Summary!K87*0.8</f>
        <v>2719763.2</v>
      </c>
      <c r="L84" s="43">
        <f>Summary!L87*0.8</f>
        <v>2719763.2</v>
      </c>
      <c r="M84" s="43">
        <f>Summary!M87*0.8</f>
        <v>2719763.2</v>
      </c>
      <c r="N84" s="45">
        <f t="shared" si="9"/>
        <v>36695203.200000003</v>
      </c>
      <c r="O84" s="45">
        <f>$N84*AVERAGE('Assumptions&amp;Calculations'!$B$3:$B$5)</f>
        <v>2460658009.2480006</v>
      </c>
      <c r="P84" s="45">
        <f>$N84*AVERAGE('Assumptions&amp;Calculations'!$M$3:$M$5)</f>
        <v>959099031.25714278</v>
      </c>
      <c r="R84">
        <v>2698381767.3120003</v>
      </c>
    </row>
    <row r="85" spans="1:18">
      <c r="A85" s="7" t="s">
        <v>298</v>
      </c>
      <c r="B85" s="43">
        <f>Summary!B88*0.8</f>
        <v>2565753.6</v>
      </c>
      <c r="C85" s="43">
        <f>Summary!C88*0.8</f>
        <v>2565753.6</v>
      </c>
      <c r="D85" s="43">
        <f>Summary!D88*0.8</f>
        <v>3207192</v>
      </c>
      <c r="E85" s="43">
        <f>Summary!E88*0.8</f>
        <v>3207192</v>
      </c>
      <c r="F85" s="43">
        <f>Summary!F88*0.8</f>
        <v>3207192</v>
      </c>
      <c r="G85" s="43">
        <f>Summary!G88*0.8</f>
        <v>2029544</v>
      </c>
      <c r="H85" s="43">
        <f>Summary!H88*0.8</f>
        <v>2029544</v>
      </c>
      <c r="I85" s="43">
        <f>Summary!I88*0.8</f>
        <v>2029544</v>
      </c>
      <c r="J85" s="43">
        <f>Summary!J88*0.8</f>
        <v>2565753.6</v>
      </c>
      <c r="K85" s="43">
        <f>Summary!K88*0.8</f>
        <v>2565753.6</v>
      </c>
      <c r="L85" s="43">
        <f>Summary!L88*0.8</f>
        <v>2565753.6</v>
      </c>
      <c r="M85" s="43">
        <f>Summary!M88*0.8</f>
        <v>2565753.6</v>
      </c>
      <c r="N85" s="45">
        <f t="shared" si="9"/>
        <v>31104729.600000005</v>
      </c>
      <c r="O85" s="45">
        <f>$N85*AVERAGE('Assumptions&amp;Calculations'!$B$3:$B$5)</f>
        <v>2085779484.5440006</v>
      </c>
      <c r="P85" s="45">
        <f>$N85*AVERAGE('Assumptions&amp;Calculations'!$M$3:$M$5)</f>
        <v>812981355.20000005</v>
      </c>
      <c r="R85">
        <v>2287286291.1360002</v>
      </c>
    </row>
    <row r="86" spans="1:18">
      <c r="A86" s="7" t="s">
        <v>299</v>
      </c>
      <c r="B86" s="43">
        <f>Summary!B89*0.8</f>
        <v>3654745.6</v>
      </c>
      <c r="C86" s="43">
        <f>Summary!C89*0.8</f>
        <v>3654745.6</v>
      </c>
      <c r="D86" s="43">
        <f>Summary!D89*0.8</f>
        <v>4568432</v>
      </c>
      <c r="E86" s="43">
        <f>Summary!E89*0.8</f>
        <v>4568432</v>
      </c>
      <c r="F86" s="43">
        <f>Summary!F89*0.8</f>
        <v>4568432</v>
      </c>
      <c r="G86" s="43">
        <f>Summary!G89*0.8</f>
        <v>3538032</v>
      </c>
      <c r="H86" s="43">
        <f>Summary!H89*0.8</f>
        <v>3538032</v>
      </c>
      <c r="I86" s="43">
        <f>Summary!I89*0.8</f>
        <v>3538032</v>
      </c>
      <c r="J86" s="43">
        <f>Summary!J89*0.8</f>
        <v>3654745.6</v>
      </c>
      <c r="K86" s="43">
        <f>Summary!K89*0.8</f>
        <v>3654745.6</v>
      </c>
      <c r="L86" s="43">
        <f>Summary!L89*0.8</f>
        <v>3654745.6</v>
      </c>
      <c r="M86" s="43">
        <f>Summary!M89*0.8</f>
        <v>3654745.6</v>
      </c>
      <c r="N86" s="45">
        <f t="shared" si="9"/>
        <v>46247865.600000001</v>
      </c>
      <c r="O86" s="45">
        <f>$N86*AVERAGE('Assumptions&amp;Calculations'!$B$3:$B$5)</f>
        <v>3101227707.5840001</v>
      </c>
      <c r="P86" s="45">
        <f>$N86*AVERAGE('Assumptions&amp;Calculations'!$M$3:$M$5)</f>
        <v>1208776058.6285713</v>
      </c>
      <c r="R86">
        <v>3400836796.8959999</v>
      </c>
    </row>
    <row r="87" spans="1:18">
      <c r="A87" s="7" t="s">
        <v>300</v>
      </c>
      <c r="B87" s="43">
        <f>Summary!B90*0.8</f>
        <v>3798617.6</v>
      </c>
      <c r="C87" s="43">
        <f>Summary!C90*0.8</f>
        <v>3798617.6</v>
      </c>
      <c r="D87" s="43">
        <f>Summary!D90*0.8</f>
        <v>4753472</v>
      </c>
      <c r="E87" s="43">
        <f>Summary!E90*0.8</f>
        <v>4753472</v>
      </c>
      <c r="F87" s="43">
        <f>Summary!F90*0.8</f>
        <v>4753472</v>
      </c>
      <c r="G87" s="43">
        <f>Summary!G90*0.8</f>
        <v>4753472</v>
      </c>
      <c r="H87" s="43">
        <f>Summary!H90*0.8</f>
        <v>4753472</v>
      </c>
      <c r="I87" s="43">
        <f>Summary!I90*0.8</f>
        <v>4753472</v>
      </c>
      <c r="J87" s="43">
        <f>Summary!J90*0.8</f>
        <v>3802777.6000000001</v>
      </c>
      <c r="K87" s="43">
        <f>Summary!K90*0.8</f>
        <v>3802777.6000000001</v>
      </c>
      <c r="L87" s="43">
        <f>Summary!L90*0.8</f>
        <v>3802777.6000000001</v>
      </c>
      <c r="M87" s="43">
        <f>Summary!M90*0.8</f>
        <v>3798617.6</v>
      </c>
      <c r="N87" s="45">
        <f t="shared" si="9"/>
        <v>51325017.600000009</v>
      </c>
      <c r="O87" s="45">
        <f>$N87*AVERAGE('Assumptions&amp;Calculations'!$B$3:$B$5)</f>
        <v>3441684596.8640008</v>
      </c>
      <c r="P87" s="45">
        <f>$N87*AVERAGE('Assumptions&amp;Calculations'!$M$3:$M$5)</f>
        <v>1341477096.9142859</v>
      </c>
      <c r="R87">
        <v>3774185169.2160006</v>
      </c>
    </row>
    <row r="88" spans="1:18">
      <c r="A88" s="7" t="s">
        <v>301</v>
      </c>
      <c r="B88" s="43">
        <f>Summary!B91*0.8</f>
        <v>4818777.6000000006</v>
      </c>
      <c r="C88" s="43">
        <f>Summary!C91*0.8</f>
        <v>4818777.6000000006</v>
      </c>
      <c r="D88" s="43">
        <f>Summary!D91*0.8</f>
        <v>6354112</v>
      </c>
      <c r="E88" s="43">
        <f>Summary!E91*0.8</f>
        <v>6354112</v>
      </c>
      <c r="F88" s="43">
        <f>Summary!F91*0.8</f>
        <v>6354112</v>
      </c>
      <c r="G88" s="43">
        <f>Summary!G91*0.8</f>
        <v>6354112</v>
      </c>
      <c r="H88" s="43">
        <f>Summary!H91*0.8</f>
        <v>6354112</v>
      </c>
      <c r="I88" s="43">
        <f>Summary!I91*0.8</f>
        <v>6354112</v>
      </c>
      <c r="J88" s="43">
        <f>Summary!J91*0.8</f>
        <v>5083289.6000000006</v>
      </c>
      <c r="K88" s="43">
        <f>Summary!K91*0.8</f>
        <v>5083289.6000000006</v>
      </c>
      <c r="L88" s="43">
        <f>Summary!L91*0.8</f>
        <v>5083289.6000000006</v>
      </c>
      <c r="M88" s="43">
        <f>Summary!M91*0.8</f>
        <v>4818777.6000000006</v>
      </c>
      <c r="N88" s="45">
        <f t="shared" si="9"/>
        <v>67830873.600000009</v>
      </c>
      <c r="O88" s="45">
        <f>$N88*AVERAGE('Assumptions&amp;Calculations'!$B$3:$B$5)</f>
        <v>4548512280.7040014</v>
      </c>
      <c r="P88" s="45">
        <f>$N88*AVERAGE('Assumptions&amp;Calculations'!$M$3:$M$5)</f>
        <v>1772889083.2</v>
      </c>
      <c r="R88">
        <v>4987943290.1760006</v>
      </c>
    </row>
    <row r="89" spans="1:18">
      <c r="A89" s="7" t="s">
        <v>302</v>
      </c>
      <c r="B89" s="43">
        <f>Summary!B93*0.8</f>
        <v>3674969.6</v>
      </c>
      <c r="C89" s="43">
        <f>Summary!C93*0.8</f>
        <v>3674969.6</v>
      </c>
      <c r="D89" s="43">
        <f>Summary!D93*0.8</f>
        <v>4593712</v>
      </c>
      <c r="E89" s="43">
        <f>Summary!E93*0.8</f>
        <v>4593712</v>
      </c>
      <c r="F89" s="43">
        <f>Summary!F93*0.8</f>
        <v>4593712</v>
      </c>
      <c r="G89" s="43">
        <f>Summary!G93*0.8</f>
        <v>4593712</v>
      </c>
      <c r="H89" s="43">
        <f>Summary!H93*0.8</f>
        <v>4593712</v>
      </c>
      <c r="I89" s="43">
        <f>Summary!I93*0.8</f>
        <v>4593712</v>
      </c>
      <c r="J89" s="43">
        <f>Summary!J93*0.8</f>
        <v>3674969.6</v>
      </c>
      <c r="K89" s="43">
        <f>Summary!K93*0.8</f>
        <v>3674969.6</v>
      </c>
      <c r="L89" s="43">
        <f>Summary!L93*0.8</f>
        <v>3674969.6</v>
      </c>
      <c r="M89" s="43">
        <f>Summary!M93*0.8</f>
        <v>3674969.6</v>
      </c>
      <c r="N89" s="45">
        <f t="shared" si="9"/>
        <v>49612089.600000009</v>
      </c>
      <c r="O89" s="45">
        <f>$N89*AVERAGE('Assumptions&amp;Calculations'!$B$3:$B$5)</f>
        <v>3326821354.9440007</v>
      </c>
      <c r="P89" s="45">
        <f>$N89*AVERAGE('Assumptions&amp;Calculations'!$M$3:$M$5)</f>
        <v>1296706460.9142859</v>
      </c>
      <c r="R89">
        <v>3648225008.7360005</v>
      </c>
    </row>
    <row r="90" spans="1:18">
      <c r="A90" s="7" t="s">
        <v>303</v>
      </c>
      <c r="B90" s="43">
        <f>Summary!B94*0.8</f>
        <v>2266406.4</v>
      </c>
      <c r="C90" s="43">
        <f>Summary!C94*0.8</f>
        <v>2266406.4</v>
      </c>
      <c r="D90" s="43">
        <f>Summary!D94*0.8</f>
        <v>3773808</v>
      </c>
      <c r="E90" s="43">
        <f>Summary!E94*0.8</f>
        <v>3773808</v>
      </c>
      <c r="F90" s="43">
        <f>Summary!F94*0.8</f>
        <v>3773808</v>
      </c>
      <c r="G90" s="43">
        <f>Summary!G94*0.8</f>
        <v>3773808</v>
      </c>
      <c r="H90" s="43">
        <f>Summary!H94*0.8</f>
        <v>3773808</v>
      </c>
      <c r="I90" s="43">
        <f>Summary!I94*0.8</f>
        <v>3773808</v>
      </c>
      <c r="J90" s="43">
        <f>Summary!J94*0.8</f>
        <v>3019046.4000000004</v>
      </c>
      <c r="K90" s="43">
        <f>Summary!K94*0.8</f>
        <v>3019046.4000000004</v>
      </c>
      <c r="L90" s="43">
        <f>Summary!L94*0.8</f>
        <v>3019046.4000000004</v>
      </c>
      <c r="M90" s="43">
        <f>Summary!M94*0.8</f>
        <v>2266406.4</v>
      </c>
      <c r="N90" s="45">
        <f t="shared" si="9"/>
        <v>38499206.399999999</v>
      </c>
      <c r="O90" s="45">
        <f>$N90*AVERAGE('Assumptions&amp;Calculations'!$B$3:$B$5)</f>
        <v>2581628450.4960003</v>
      </c>
      <c r="P90" s="45">
        <f>$N90*AVERAGE('Assumptions&amp;Calculations'!$M$3:$M$5)</f>
        <v>1006250091.0857141</v>
      </c>
      <c r="R90">
        <v>2831039142.6239996</v>
      </c>
    </row>
    <row r="91" spans="1:18">
      <c r="A91" s="7" t="s">
        <v>304</v>
      </c>
      <c r="B91" s="43">
        <f>Summary!B95*0.8</f>
        <v>4724160</v>
      </c>
      <c r="C91" s="43">
        <f>Summary!C95*0.8</f>
        <v>4724160</v>
      </c>
      <c r="D91" s="43">
        <f>Summary!D95*0.8</f>
        <v>6846000</v>
      </c>
      <c r="E91" s="43">
        <f>Summary!E95*0.8</f>
        <v>6846000</v>
      </c>
      <c r="F91" s="43">
        <f>Summary!F95*0.8</f>
        <v>6846000</v>
      </c>
      <c r="G91" s="43">
        <f>Summary!G95*0.8</f>
        <v>6814800</v>
      </c>
      <c r="H91" s="43">
        <f>Summary!H95*0.8</f>
        <v>6814800</v>
      </c>
      <c r="I91" s="43">
        <f>Summary!I95*0.8</f>
        <v>6814800</v>
      </c>
      <c r="J91" s="43">
        <f>Summary!J95*0.8</f>
        <v>5476800</v>
      </c>
      <c r="K91" s="43">
        <f>Summary!K95*0.8</f>
        <v>5476800</v>
      </c>
      <c r="L91" s="43">
        <f>Summary!L95*0.8</f>
        <v>5476800</v>
      </c>
      <c r="M91" s="43">
        <f>Summary!M95*0.8</f>
        <v>4724160</v>
      </c>
      <c r="N91" s="45">
        <f t="shared" si="9"/>
        <v>71585280</v>
      </c>
      <c r="O91" s="45">
        <f>$N91*AVERAGE('Assumptions&amp;Calculations'!$B$3:$B$5)</f>
        <v>4800270259.2000008</v>
      </c>
      <c r="P91" s="45">
        <f>$N91*AVERAGE('Assumptions&amp;Calculations'!$M$3:$M$5)</f>
        <v>1871017645.7142856</v>
      </c>
      <c r="R91">
        <v>5264023564.8000002</v>
      </c>
    </row>
    <row r="92" spans="1:18">
      <c r="A92" s="7" t="s">
        <v>305</v>
      </c>
      <c r="B92" s="43">
        <f>Summary!B96*0.8</f>
        <v>2749606.4000000004</v>
      </c>
      <c r="C92" s="43">
        <f>Summary!C96*0.8</f>
        <v>2749606.4000000004</v>
      </c>
      <c r="D92" s="43">
        <f>Summary!D96*0.8</f>
        <v>4377808</v>
      </c>
      <c r="E92" s="43">
        <f>Summary!E96*0.8</f>
        <v>4377808</v>
      </c>
      <c r="F92" s="43">
        <f>Summary!F96*0.8</f>
        <v>4377808</v>
      </c>
      <c r="G92" s="43">
        <f>Summary!G96*0.8</f>
        <v>4346608</v>
      </c>
      <c r="H92" s="43">
        <f>Summary!H96*0.8</f>
        <v>4346608</v>
      </c>
      <c r="I92" s="43">
        <f>Summary!I96*0.8</f>
        <v>4346608</v>
      </c>
      <c r="J92" s="43">
        <f>Summary!J96*0.8</f>
        <v>3502246.4000000004</v>
      </c>
      <c r="K92" s="43">
        <f>Summary!K96*0.8</f>
        <v>3502246.4000000004</v>
      </c>
      <c r="L92" s="43">
        <f>Summary!L96*0.8</f>
        <v>3502246.4000000004</v>
      </c>
      <c r="M92" s="43">
        <f>Summary!M96*0.8</f>
        <v>2749606.4000000004</v>
      </c>
      <c r="N92" s="45">
        <f t="shared" si="9"/>
        <v>44928806.399999999</v>
      </c>
      <c r="O92" s="45">
        <f>$N92*AVERAGE('Assumptions&amp;Calculations'!$B$3:$B$5)</f>
        <v>3012775994.4960003</v>
      </c>
      <c r="P92" s="45">
        <f>$N92*AVERAGE('Assumptions&amp;Calculations'!$M$3:$M$5)</f>
        <v>1174299933.942857</v>
      </c>
      <c r="R92">
        <v>3303839778.6239996</v>
      </c>
    </row>
    <row r="93" spans="1:18">
      <c r="A93" s="7" t="s">
        <v>306</v>
      </c>
      <c r="B93" s="43">
        <f>Summary!B97*0.8</f>
        <v>2744422.4000000004</v>
      </c>
      <c r="C93" s="43">
        <f>Summary!C97*0.8</f>
        <v>2744422.4000000004</v>
      </c>
      <c r="D93" s="43">
        <f>Summary!D97*0.8</f>
        <v>4380928</v>
      </c>
      <c r="E93" s="43">
        <f>Summary!E97*0.8</f>
        <v>4380928</v>
      </c>
      <c r="F93" s="43">
        <f>Summary!F97*0.8</f>
        <v>4380928</v>
      </c>
      <c r="G93" s="43">
        <f>Summary!G97*0.8</f>
        <v>4355328</v>
      </c>
      <c r="H93" s="43">
        <f>Summary!H97*0.8</f>
        <v>4355328</v>
      </c>
      <c r="I93" s="43">
        <f>Summary!I97*0.8</f>
        <v>4355328</v>
      </c>
      <c r="J93" s="43">
        <f>Summary!J97*0.8</f>
        <v>3504742.4000000004</v>
      </c>
      <c r="K93" s="43">
        <f>Summary!K97*0.8</f>
        <v>3504742.4000000004</v>
      </c>
      <c r="L93" s="43">
        <f>Summary!L97*0.8</f>
        <v>3504742.4000000004</v>
      </c>
      <c r="M93" s="43">
        <f>Summary!M97*0.8</f>
        <v>2744422.4000000004</v>
      </c>
      <c r="N93" s="45">
        <f t="shared" si="9"/>
        <v>44956262.399999999</v>
      </c>
      <c r="O93" s="45">
        <f>$N93*AVERAGE('Assumptions&amp;Calculations'!$B$3:$B$5)</f>
        <v>3014617102.336</v>
      </c>
      <c r="P93" s="45">
        <f>$N93*AVERAGE('Assumptions&amp;Calculations'!$M$3:$M$5)</f>
        <v>1175017548.8</v>
      </c>
      <c r="R93">
        <v>3305858755.5839996</v>
      </c>
    </row>
    <row r="94" spans="1:18">
      <c r="A94" s="7" t="s">
        <v>307</v>
      </c>
      <c r="B94" s="43">
        <f>Summary!B98*0.8</f>
        <v>3507161.6</v>
      </c>
      <c r="C94" s="43">
        <f>Summary!C98*0.8</f>
        <v>3507161.6</v>
      </c>
      <c r="D94" s="43">
        <f>Summary!D98*0.8</f>
        <v>4393552</v>
      </c>
      <c r="E94" s="43">
        <f>Summary!E98*0.8</f>
        <v>4393552</v>
      </c>
      <c r="F94" s="43">
        <f>Summary!F98*0.8</f>
        <v>4393552</v>
      </c>
      <c r="G94" s="43">
        <f>Summary!G98*0.8</f>
        <v>4367952</v>
      </c>
      <c r="H94" s="43">
        <f>Summary!H98*0.8</f>
        <v>4367952</v>
      </c>
      <c r="I94" s="43">
        <f>Summary!I98*0.8</f>
        <v>4367952</v>
      </c>
      <c r="J94" s="43">
        <f>Summary!J98*0.8</f>
        <v>3514841.6</v>
      </c>
      <c r="K94" s="43">
        <f>Summary!K98*0.8</f>
        <v>3514841.6</v>
      </c>
      <c r="L94" s="43">
        <f>Summary!L98*0.8</f>
        <v>3514841.6</v>
      </c>
      <c r="M94" s="43">
        <f>Summary!M98*0.8</f>
        <v>3507161.6</v>
      </c>
      <c r="N94" s="45">
        <f t="shared" si="9"/>
        <v>47350521.600000001</v>
      </c>
      <c r="O94" s="45">
        <f>$N94*AVERAGE('Assumptions&amp;Calculations'!$B$3:$B$5)</f>
        <v>3175168143.4240003</v>
      </c>
      <c r="P94" s="45">
        <f>$N94*AVERAGE('Assumptions&amp;Calculations'!$M$3:$M$5)</f>
        <v>1237596073.4857142</v>
      </c>
      <c r="R94">
        <v>3481920605.8559999</v>
      </c>
    </row>
    <row r="95" spans="1:18">
      <c r="A95" s="7" t="s">
        <v>308</v>
      </c>
      <c r="B95" s="43">
        <f>Summary!B99*0.8</f>
        <v>7052556.8000000007</v>
      </c>
      <c r="C95" s="43">
        <f>Summary!C99*0.8</f>
        <v>7052556.8000000007</v>
      </c>
      <c r="D95" s="43">
        <f>Summary!D99*0.8</f>
        <v>8825296</v>
      </c>
      <c r="E95" s="43">
        <f>Summary!E99*0.8</f>
        <v>8825296</v>
      </c>
      <c r="F95" s="43">
        <f>Summary!F99*0.8</f>
        <v>8825296</v>
      </c>
      <c r="G95" s="43">
        <f>Summary!G99*0.8</f>
        <v>8799696</v>
      </c>
      <c r="H95" s="43">
        <f>Summary!H99*0.8</f>
        <v>8799696</v>
      </c>
      <c r="I95" s="43">
        <f>Summary!I99*0.8</f>
        <v>8799696</v>
      </c>
      <c r="J95" s="43">
        <f>Summary!J99*0.8</f>
        <v>7060236.8000000007</v>
      </c>
      <c r="K95" s="43">
        <f>Summary!K99*0.8</f>
        <v>7060236.8000000007</v>
      </c>
      <c r="L95" s="43">
        <f>Summary!L99*0.8</f>
        <v>7060236.8000000007</v>
      </c>
      <c r="M95" s="43">
        <f>Summary!M99*0.8</f>
        <v>7052556.8000000007</v>
      </c>
      <c r="N95" s="45">
        <f t="shared" si="9"/>
        <v>95213356.799999997</v>
      </c>
      <c r="O95" s="45">
        <f>$N95*AVERAGE('Assumptions&amp;Calculations'!$B$3:$B$5)</f>
        <v>6384690329.1520004</v>
      </c>
      <c r="P95" s="45">
        <f>$N95*AVERAGE('Assumptions&amp;Calculations'!$M$3:$M$5)</f>
        <v>2488582438.742857</v>
      </c>
      <c r="R95">
        <v>7001514192.2879992</v>
      </c>
    </row>
    <row r="96" spans="1:18">
      <c r="A96" s="7" t="s">
        <v>309</v>
      </c>
      <c r="B96" s="43">
        <f>Summary!B100*0.8</f>
        <v>1338214.4000000001</v>
      </c>
      <c r="C96" s="43">
        <f>Summary!C100*0.8</f>
        <v>1338214.4000000001</v>
      </c>
      <c r="D96" s="43">
        <f>Summary!D100*0.8</f>
        <v>1682368</v>
      </c>
      <c r="E96" s="43">
        <f>Summary!E100*0.8</f>
        <v>1682368</v>
      </c>
      <c r="F96" s="43">
        <f>Summary!F100*0.8</f>
        <v>1682368</v>
      </c>
      <c r="G96" s="43">
        <f>Summary!G100*0.8</f>
        <v>1656768</v>
      </c>
      <c r="H96" s="43">
        <f>Summary!H100*0.8</f>
        <v>1656768</v>
      </c>
      <c r="I96" s="43">
        <f>Summary!I100*0.8</f>
        <v>1656768</v>
      </c>
      <c r="J96" s="43">
        <f>Summary!J100*0.8</f>
        <v>1345894.4000000001</v>
      </c>
      <c r="K96" s="43">
        <f>Summary!K100*0.8</f>
        <v>1345894.4000000001</v>
      </c>
      <c r="L96" s="43">
        <f>Summary!L100*0.8</f>
        <v>1345894.4000000001</v>
      </c>
      <c r="M96" s="43">
        <f>Summary!M100*0.8</f>
        <v>1338214.4000000001</v>
      </c>
      <c r="N96" s="45">
        <f t="shared" si="9"/>
        <v>18069734.400000002</v>
      </c>
      <c r="O96" s="45">
        <f>$N96*AVERAGE('Assumptions&amp;Calculations'!$B$3:$B$5)</f>
        <v>1211696156.4160001</v>
      </c>
      <c r="P96" s="45">
        <f>$N96*AVERAGE('Assumptions&amp;Calculations'!$M$3:$M$5)</f>
        <v>472286927.08571428</v>
      </c>
      <c r="R96">
        <v>58416511082.159996</v>
      </c>
    </row>
    <row r="97" spans="1:18" ht="28.8">
      <c r="A97" s="44" t="s">
        <v>311</v>
      </c>
      <c r="B97" s="45">
        <f>SUM(B80:B96)</f>
        <v>58138278.399999999</v>
      </c>
      <c r="C97" s="45">
        <f t="shared" ref="C97:M97" si="10">SUM(C80:C96)</f>
        <v>58138278.399999999</v>
      </c>
      <c r="D97" s="45">
        <f t="shared" si="10"/>
        <v>76810288</v>
      </c>
      <c r="E97" s="45">
        <f t="shared" si="10"/>
        <v>76810288</v>
      </c>
      <c r="F97" s="45">
        <f t="shared" si="10"/>
        <v>76810288</v>
      </c>
      <c r="G97" s="45">
        <f t="shared" si="10"/>
        <v>74427840</v>
      </c>
      <c r="H97" s="45">
        <f t="shared" si="10"/>
        <v>74427840</v>
      </c>
      <c r="I97" s="45">
        <f t="shared" si="10"/>
        <v>74427840</v>
      </c>
      <c r="J97" s="45">
        <f t="shared" si="10"/>
        <v>61448230.399999999</v>
      </c>
      <c r="K97" s="45">
        <f t="shared" si="10"/>
        <v>61448230.399999999</v>
      </c>
      <c r="L97" s="45">
        <f t="shared" si="10"/>
        <v>61448230.399999999</v>
      </c>
      <c r="M97" s="45">
        <f t="shared" si="10"/>
        <v>58138278.399999999</v>
      </c>
      <c r="N97" s="45">
        <f>SUM(N80:N96)</f>
        <v>812473910.39999998</v>
      </c>
      <c r="O97" s="45">
        <f>SUM(O80:O96)</f>
        <v>54481792185.056015</v>
      </c>
      <c r="P97" s="45">
        <f>SUM(P80:P96)</f>
        <v>21235553217.657139</v>
      </c>
      <c r="R97">
        <v>116833022164.32001</v>
      </c>
    </row>
    <row r="99" spans="1:18" ht="43.2">
      <c r="A99" s="16" t="s">
        <v>586</v>
      </c>
      <c r="B99" s="19" t="s">
        <v>238</v>
      </c>
      <c r="C99" s="19" t="s">
        <v>239</v>
      </c>
      <c r="D99" s="19" t="s">
        <v>240</v>
      </c>
      <c r="E99" s="19" t="s">
        <v>241</v>
      </c>
      <c r="F99" s="19" t="s">
        <v>236</v>
      </c>
      <c r="G99" s="19" t="s">
        <v>237</v>
      </c>
      <c r="H99" s="19" t="s">
        <v>242</v>
      </c>
      <c r="I99" s="19" t="s">
        <v>243</v>
      </c>
      <c r="J99" s="19" t="s">
        <v>244</v>
      </c>
      <c r="K99" s="19" t="s">
        <v>245</v>
      </c>
      <c r="L99" s="19" t="s">
        <v>246</v>
      </c>
      <c r="M99" s="19" t="s">
        <v>247</v>
      </c>
      <c r="N99" s="327" t="s">
        <v>567</v>
      </c>
      <c r="O99" s="327" t="s">
        <v>569</v>
      </c>
      <c r="P99" s="327" t="s">
        <v>568</v>
      </c>
    </row>
    <row r="100" spans="1:18">
      <c r="A100" s="19" t="s">
        <v>583</v>
      </c>
      <c r="B100" s="43">
        <f>Summary!B104*0.8</f>
        <v>137026.20800000001</v>
      </c>
      <c r="C100" s="43">
        <f>Summary!C104*0.8</f>
        <v>137026.20800000001</v>
      </c>
      <c r="D100" s="43">
        <f>Summary!D104*0.8</f>
        <v>137026.20800000001</v>
      </c>
      <c r="E100" s="43">
        <f>Summary!E104*0.8</f>
        <v>137026.20800000001</v>
      </c>
      <c r="F100" s="43">
        <f>Summary!F104*0.8</f>
        <v>137026.20800000001</v>
      </c>
      <c r="G100" s="43">
        <f>Summary!G104*0.8</f>
        <v>137026.20800000001</v>
      </c>
      <c r="H100" s="43">
        <f>Summary!H104*0.8</f>
        <v>137026.20800000001</v>
      </c>
      <c r="I100" s="43">
        <f>Summary!I104*0.8</f>
        <v>137026.20800000001</v>
      </c>
      <c r="J100" s="43">
        <f>Summary!J104*0.8</f>
        <v>137026.20800000001</v>
      </c>
      <c r="K100" s="43">
        <f>Summary!K104*0.8</f>
        <v>137026.20800000001</v>
      </c>
      <c r="L100" s="43">
        <f>Summary!L104*0.8</f>
        <v>137026.20800000001</v>
      </c>
      <c r="M100" s="43">
        <f>Summary!M104*0.8</f>
        <v>137026.20800000001</v>
      </c>
      <c r="N100" s="45">
        <f>SUM(B100:M100)</f>
        <v>1644314.4960000005</v>
      </c>
      <c r="O100" s="45">
        <f>$N100*AVERAGE('Assumptions&amp;Calculations'!$B$3:$B$5)</f>
        <v>110262249.05344005</v>
      </c>
      <c r="P100" s="45">
        <f>$N100*AVERAGE('Assumptions&amp;Calculations'!$M$3:$M$5)</f>
        <v>42977291.38057144</v>
      </c>
      <c r="Q100" s="332">
        <f>O80+O100</f>
        <v>150794946.26944005</v>
      </c>
    </row>
    <row r="101" spans="1:18">
      <c r="A101" s="7" t="s">
        <v>294</v>
      </c>
      <c r="B101" s="43">
        <f>Summary!B105*0.8</f>
        <v>60816</v>
      </c>
      <c r="C101" s="43">
        <f>Summary!C105*0.8</f>
        <v>60816</v>
      </c>
      <c r="D101" s="43">
        <f>Summary!D105*0.8</f>
        <v>60816</v>
      </c>
      <c r="E101" s="43">
        <f>Summary!E105*0.8</f>
        <v>60816</v>
      </c>
      <c r="F101" s="43">
        <f>Summary!F105*0.8</f>
        <v>60816</v>
      </c>
      <c r="G101" s="43">
        <f>Summary!G105*0.8</f>
        <v>60816</v>
      </c>
      <c r="H101" s="43">
        <f>Summary!H105*0.8</f>
        <v>60816</v>
      </c>
      <c r="I101" s="43">
        <f>Summary!I105*0.8</f>
        <v>60816</v>
      </c>
      <c r="J101" s="43">
        <f>Summary!J105*0.8</f>
        <v>60816</v>
      </c>
      <c r="K101" s="43">
        <f>Summary!K105*0.8</f>
        <v>60816</v>
      </c>
      <c r="L101" s="43">
        <f>Summary!L105*0.8</f>
        <v>60816</v>
      </c>
      <c r="M101" s="43">
        <f>Summary!M105*0.8</f>
        <v>60816</v>
      </c>
      <c r="N101" s="45">
        <f t="shared" ref="N101:N115" si="11">SUM(B101:M101)</f>
        <v>729792</v>
      </c>
      <c r="O101" s="45">
        <f>$N101*AVERAGE('Assumptions&amp;Calculations'!$B$3:$B$5)</f>
        <v>48937418.880000003</v>
      </c>
      <c r="P101" s="45">
        <f>$N101*AVERAGE('Assumptions&amp;Calculations'!$M$3:$M$5)</f>
        <v>19074503.999999996</v>
      </c>
      <c r="Q101" s="332">
        <f t="shared" ref="Q101:Q115" si="12">O81+O101</f>
        <v>6166425707.2320004</v>
      </c>
    </row>
    <row r="102" spans="1:18">
      <c r="A102" s="7" t="s">
        <v>295</v>
      </c>
      <c r="B102" s="43">
        <f>Summary!B106*0.8</f>
        <v>144824.432</v>
      </c>
      <c r="C102" s="43">
        <f>Summary!C106*0.8</f>
        <v>144824.432</v>
      </c>
      <c r="D102" s="43">
        <f>Summary!D106*0.8</f>
        <v>144824.432</v>
      </c>
      <c r="E102" s="43">
        <f>Summary!E106*0.8</f>
        <v>144824.432</v>
      </c>
      <c r="F102" s="43">
        <f>Summary!F106*0.8</f>
        <v>144824.432</v>
      </c>
      <c r="G102" s="43">
        <f>Summary!G106*0.8</f>
        <v>144824.432</v>
      </c>
      <c r="H102" s="43">
        <f>Summary!H106*0.8</f>
        <v>144824.432</v>
      </c>
      <c r="I102" s="43">
        <f>Summary!I106*0.8</f>
        <v>144824.432</v>
      </c>
      <c r="J102" s="43">
        <f>Summary!J106*0.8</f>
        <v>144824.432</v>
      </c>
      <c r="K102" s="43">
        <f>Summary!K106*0.8</f>
        <v>144824.432</v>
      </c>
      <c r="L102" s="43">
        <f>Summary!L106*0.8</f>
        <v>144824.432</v>
      </c>
      <c r="M102" s="43">
        <f>Summary!M106*0.8</f>
        <v>144824.432</v>
      </c>
      <c r="N102" s="45">
        <f t="shared" si="11"/>
        <v>1737893.1840000001</v>
      </c>
      <c r="O102" s="45">
        <f>$N102*AVERAGE('Assumptions&amp;Calculations'!$B$3:$B$5)</f>
        <v>116537323.94176002</v>
      </c>
      <c r="P102" s="45">
        <f>$N102*AVERAGE('Assumptions&amp;Calculations'!$M$3:$M$5)</f>
        <v>45423148.63657143</v>
      </c>
      <c r="Q102" s="332">
        <f t="shared" si="12"/>
        <v>4050103492.4857612</v>
      </c>
    </row>
    <row r="103" spans="1:18">
      <c r="A103" s="7" t="s">
        <v>296</v>
      </c>
      <c r="B103" s="43">
        <f>Summary!B107*0.8</f>
        <v>468801.60000000003</v>
      </c>
      <c r="C103" s="43">
        <f>Summary!C107*0.8</f>
        <v>468801.60000000003</v>
      </c>
      <c r="D103" s="43">
        <f>Summary!D107*0.8</f>
        <v>468801.60000000003</v>
      </c>
      <c r="E103" s="43">
        <f>Summary!E107*0.8</f>
        <v>468801.60000000003</v>
      </c>
      <c r="F103" s="43">
        <f>Summary!F107*0.8</f>
        <v>468801.60000000003</v>
      </c>
      <c r="G103" s="43">
        <f>Summary!G107*0.8</f>
        <v>468801.60000000003</v>
      </c>
      <c r="H103" s="43">
        <f>Summary!H107*0.8</f>
        <v>468801.60000000003</v>
      </c>
      <c r="I103" s="43">
        <f>Summary!I107*0.8</f>
        <v>468801.60000000003</v>
      </c>
      <c r="J103" s="43">
        <f>Summary!J107*0.8</f>
        <v>468801.60000000003</v>
      </c>
      <c r="K103" s="43">
        <f>Summary!K107*0.8</f>
        <v>468801.60000000003</v>
      </c>
      <c r="L103" s="43">
        <f>Summary!L107*0.8</f>
        <v>468801.60000000003</v>
      </c>
      <c r="M103" s="43">
        <f>Summary!M107*0.8</f>
        <v>468801.60000000003</v>
      </c>
      <c r="N103" s="45">
        <f t="shared" si="11"/>
        <v>5625619.1999999993</v>
      </c>
      <c r="O103" s="45">
        <f>$N103*AVERAGE('Assumptions&amp;Calculations'!$B$3:$B$5)</f>
        <v>377235271.48799998</v>
      </c>
      <c r="P103" s="45">
        <f>$N103*AVERAGE('Assumptions&amp;Calculations'!$M$3:$M$5)</f>
        <v>147036273.25714281</v>
      </c>
      <c r="Q103" s="332">
        <f t="shared" si="12"/>
        <v>1621910433.0239999</v>
      </c>
    </row>
    <row r="104" spans="1:18">
      <c r="A104" s="7" t="s">
        <v>297</v>
      </c>
      <c r="B104" s="43">
        <f>Summary!B108*0.8</f>
        <v>493.12</v>
      </c>
      <c r="C104" s="43">
        <f>Summary!C108*0.8</f>
        <v>493.12</v>
      </c>
      <c r="D104" s="43">
        <f>Summary!D108*0.8</f>
        <v>493.12</v>
      </c>
      <c r="E104" s="43">
        <f>Summary!E108*0.8</f>
        <v>493.12</v>
      </c>
      <c r="F104" s="43">
        <f>Summary!F108*0.8</f>
        <v>493.12</v>
      </c>
      <c r="G104" s="43">
        <f>Summary!G108*0.8</f>
        <v>493.12</v>
      </c>
      <c r="H104" s="43">
        <f>Summary!H108*0.8</f>
        <v>493.12</v>
      </c>
      <c r="I104" s="43">
        <f>Summary!I108*0.8</f>
        <v>493.12</v>
      </c>
      <c r="J104" s="43">
        <f>Summary!J108*0.8</f>
        <v>493.12</v>
      </c>
      <c r="K104" s="43">
        <f>Summary!K108*0.8</f>
        <v>493.12</v>
      </c>
      <c r="L104" s="43">
        <f>Summary!L108*0.8</f>
        <v>493.12</v>
      </c>
      <c r="M104" s="43">
        <f>Summary!M108*0.8</f>
        <v>493.12</v>
      </c>
      <c r="N104" s="45">
        <f t="shared" si="11"/>
        <v>5917.44</v>
      </c>
      <c r="O104" s="45">
        <f>$N104*AVERAGE('Assumptions&amp;Calculations'!$B$3:$B$5)</f>
        <v>396803.80160000001</v>
      </c>
      <c r="P104" s="45">
        <f>$N104*AVERAGE('Assumptions&amp;Calculations'!$M$3:$M$5)</f>
        <v>154663.56571428568</v>
      </c>
      <c r="Q104" s="332">
        <f t="shared" si="12"/>
        <v>2461054813.0496006</v>
      </c>
    </row>
    <row r="105" spans="1:18">
      <c r="A105" s="7" t="s">
        <v>298</v>
      </c>
      <c r="B105" s="43">
        <f>Summary!B109*0.8</f>
        <v>4666572.7999999998</v>
      </c>
      <c r="C105" s="43">
        <f>Summary!C109*0.8</f>
        <v>4666572.7999999998</v>
      </c>
      <c r="D105" s="43">
        <f>Summary!D109*0.8</f>
        <v>4666572.7999999998</v>
      </c>
      <c r="E105" s="43">
        <f>Summary!E109*0.8</f>
        <v>4666572.7999999998</v>
      </c>
      <c r="F105" s="43">
        <f>Summary!F109*0.8</f>
        <v>4666572.7999999998</v>
      </c>
      <c r="G105" s="43">
        <f>Summary!G109*0.8</f>
        <v>4666572.7999999998</v>
      </c>
      <c r="H105" s="43">
        <f>Summary!H109*0.8</f>
        <v>4666572.7999999998</v>
      </c>
      <c r="I105" s="43">
        <f>Summary!I109*0.8</f>
        <v>4666572.7999999998</v>
      </c>
      <c r="J105" s="43">
        <f>Summary!J109*0.8</f>
        <v>4666572.7999999998</v>
      </c>
      <c r="K105" s="43">
        <f>Summary!K109*0.8</f>
        <v>4666572.7999999998</v>
      </c>
      <c r="L105" s="43">
        <f>Summary!L109*0.8</f>
        <v>4666572.7999999998</v>
      </c>
      <c r="M105" s="43">
        <f>Summary!M109*0.8</f>
        <v>4666572.7999999998</v>
      </c>
      <c r="N105" s="45">
        <f t="shared" si="11"/>
        <v>55998873.599999987</v>
      </c>
      <c r="O105" s="45">
        <f>$N105*AVERAGE('Assumptions&amp;Calculations'!$B$3:$B$5)</f>
        <v>3755097800.7039995</v>
      </c>
      <c r="P105" s="45">
        <f>$N105*AVERAGE('Assumptions&amp;Calculations'!$M$3:$M$5)</f>
        <v>1463637226.0571423</v>
      </c>
      <c r="Q105" s="332">
        <f t="shared" si="12"/>
        <v>5840877285.2480001</v>
      </c>
    </row>
    <row r="106" spans="1:18">
      <c r="A106" s="7" t="s">
        <v>299</v>
      </c>
      <c r="B106" s="43">
        <f>Summary!B110*0.8</f>
        <v>235630.01600000003</v>
      </c>
      <c r="C106" s="43">
        <f>Summary!C110*0.8</f>
        <v>235630.01600000003</v>
      </c>
      <c r="D106" s="43">
        <f>Summary!D110*0.8</f>
        <v>235630.01600000003</v>
      </c>
      <c r="E106" s="43">
        <f>Summary!E110*0.8</f>
        <v>235630.01600000003</v>
      </c>
      <c r="F106" s="43">
        <f>Summary!F110*0.8</f>
        <v>235630.01600000003</v>
      </c>
      <c r="G106" s="43">
        <f>Summary!G110*0.8</f>
        <v>235630.01600000003</v>
      </c>
      <c r="H106" s="43">
        <f>Summary!H110*0.8</f>
        <v>235630.01600000003</v>
      </c>
      <c r="I106" s="43">
        <f>Summary!I110*0.8</f>
        <v>235630.01600000003</v>
      </c>
      <c r="J106" s="43">
        <f>Summary!J110*0.8</f>
        <v>235630.01600000003</v>
      </c>
      <c r="K106" s="43">
        <f>Summary!K110*0.8</f>
        <v>235630.01600000003</v>
      </c>
      <c r="L106" s="43">
        <f>Summary!L110*0.8</f>
        <v>235630.01600000003</v>
      </c>
      <c r="M106" s="43">
        <f>Summary!M110*0.8</f>
        <v>235630.01600000003</v>
      </c>
      <c r="N106" s="45">
        <f t="shared" si="11"/>
        <v>2827560.1919999998</v>
      </c>
      <c r="O106" s="45">
        <f>$N106*AVERAGE('Assumptions&amp;Calculations'!$B$3:$B$5)</f>
        <v>189606761.27487999</v>
      </c>
      <c r="P106" s="45">
        <f>$N106*AVERAGE('Assumptions&amp;Calculations'!$M$3:$M$5)</f>
        <v>73903671.446857125</v>
      </c>
      <c r="Q106" s="332">
        <f t="shared" si="12"/>
        <v>3290834468.85888</v>
      </c>
    </row>
    <row r="107" spans="1:18">
      <c r="A107" s="7" t="s">
        <v>300</v>
      </c>
      <c r="B107" s="43">
        <f>Summary!B111*0.8</f>
        <v>368591.29920000001</v>
      </c>
      <c r="C107" s="43">
        <f>Summary!C111*0.8</f>
        <v>368591.29920000001</v>
      </c>
      <c r="D107" s="43">
        <f>Summary!D111*0.8</f>
        <v>368591.29920000001</v>
      </c>
      <c r="E107" s="43">
        <f>Summary!E111*0.8</f>
        <v>368591.29920000001</v>
      </c>
      <c r="F107" s="43">
        <f>Summary!F111*0.8</f>
        <v>368591.29920000001</v>
      </c>
      <c r="G107" s="43">
        <f>Summary!G111*0.8</f>
        <v>368591.29920000001</v>
      </c>
      <c r="H107" s="43">
        <f>Summary!H111*0.8</f>
        <v>368591.29920000001</v>
      </c>
      <c r="I107" s="43">
        <f>Summary!I111*0.8</f>
        <v>368591.29920000001</v>
      </c>
      <c r="J107" s="43">
        <f>Summary!J111*0.8</f>
        <v>368591.29920000001</v>
      </c>
      <c r="K107" s="43">
        <f>Summary!K111*0.8</f>
        <v>368591.29920000001</v>
      </c>
      <c r="L107" s="43">
        <f>Summary!L111*0.8</f>
        <v>368591.29920000001</v>
      </c>
      <c r="M107" s="43">
        <f>Summary!M111*0.8</f>
        <v>368591.29920000001</v>
      </c>
      <c r="N107" s="45">
        <f t="shared" si="11"/>
        <v>4423095.590400001</v>
      </c>
      <c r="O107" s="45">
        <f>$N107*AVERAGE('Assumptions&amp;Calculations'!$B$3:$B$5)</f>
        <v>296598046.64025611</v>
      </c>
      <c r="P107" s="45">
        <f>$N107*AVERAGE('Assumptions&amp;Calculations'!$M$3:$M$5)</f>
        <v>115606028.19908573</v>
      </c>
      <c r="Q107" s="332">
        <f t="shared" si="12"/>
        <v>3738282643.5042567</v>
      </c>
    </row>
    <row r="108" spans="1:18">
      <c r="A108" s="7" t="s">
        <v>301</v>
      </c>
      <c r="B108" s="43">
        <f>Summary!B112*0.8</f>
        <v>1237690.736</v>
      </c>
      <c r="C108" s="43">
        <f>Summary!C112*0.8</f>
        <v>1237690.736</v>
      </c>
      <c r="D108" s="43">
        <f>Summary!D112*0.8</f>
        <v>1237690.736</v>
      </c>
      <c r="E108" s="43">
        <f>Summary!E112*0.8</f>
        <v>1237690.736</v>
      </c>
      <c r="F108" s="43">
        <f>Summary!F112*0.8</f>
        <v>1237690.736</v>
      </c>
      <c r="G108" s="43">
        <f>Summary!G112*0.8</f>
        <v>1237690.736</v>
      </c>
      <c r="H108" s="43">
        <f>Summary!H112*0.8</f>
        <v>1237690.736</v>
      </c>
      <c r="I108" s="43">
        <f>Summary!I112*0.8</f>
        <v>1237690.736</v>
      </c>
      <c r="J108" s="43">
        <f>Summary!J112*0.8</f>
        <v>1237690.736</v>
      </c>
      <c r="K108" s="43">
        <f>Summary!K112*0.8</f>
        <v>1237690.736</v>
      </c>
      <c r="L108" s="43">
        <f>Summary!L112*0.8</f>
        <v>1237690.736</v>
      </c>
      <c r="M108" s="43">
        <f>Summary!M112*0.8</f>
        <v>1237690.736</v>
      </c>
      <c r="N108" s="45">
        <f t="shared" si="11"/>
        <v>14852288.831999997</v>
      </c>
      <c r="O108" s="45">
        <f>$N108*AVERAGE('Assumptions&amp;Calculations'!$B$3:$B$5)</f>
        <v>995944981.44447982</v>
      </c>
      <c r="P108" s="45">
        <f>$N108*AVERAGE('Assumptions&amp;Calculations'!$M$3:$M$5)</f>
        <v>388192858.69828558</v>
      </c>
      <c r="Q108" s="332">
        <f t="shared" si="12"/>
        <v>5544457262.1484814</v>
      </c>
    </row>
    <row r="109" spans="1:18">
      <c r="A109" s="7" t="s">
        <v>302</v>
      </c>
      <c r="B109" s="43">
        <f>Summary!B114*0.8</f>
        <v>224199.77280000004</v>
      </c>
      <c r="C109" s="43">
        <f>Summary!C114*0.8</f>
        <v>224199.77280000004</v>
      </c>
      <c r="D109" s="43">
        <f>Summary!D114*0.8</f>
        <v>224199.77280000004</v>
      </c>
      <c r="E109" s="43">
        <f>Summary!E114*0.8</f>
        <v>224199.77280000004</v>
      </c>
      <c r="F109" s="43">
        <f>Summary!F114*0.8</f>
        <v>224199.77280000004</v>
      </c>
      <c r="G109" s="43">
        <f>Summary!G114*0.8</f>
        <v>224199.77280000004</v>
      </c>
      <c r="H109" s="43">
        <f>Summary!H114*0.8</f>
        <v>224199.77280000004</v>
      </c>
      <c r="I109" s="43">
        <f>Summary!I114*0.8</f>
        <v>224199.77280000004</v>
      </c>
      <c r="J109" s="43">
        <f>Summary!J114*0.8</f>
        <v>224199.77280000004</v>
      </c>
      <c r="K109" s="43">
        <f>Summary!K114*0.8</f>
        <v>224199.77280000004</v>
      </c>
      <c r="L109" s="43">
        <f>Summary!L114*0.8</f>
        <v>224199.77280000004</v>
      </c>
      <c r="M109" s="43">
        <f>Summary!M114*0.8</f>
        <v>224199.77280000004</v>
      </c>
      <c r="N109" s="45">
        <f t="shared" si="11"/>
        <v>2690397.2735999995</v>
      </c>
      <c r="O109" s="45">
        <f>$N109*AVERAGE('Assumptions&amp;Calculations'!$B$3:$B$5)</f>
        <v>180409073.17670399</v>
      </c>
      <c r="P109" s="45">
        <f>$N109*AVERAGE('Assumptions&amp;Calculations'!$M$3:$M$5)</f>
        <v>70318657.311771408</v>
      </c>
      <c r="Q109" s="332">
        <f t="shared" si="12"/>
        <v>3507230428.1207047</v>
      </c>
    </row>
    <row r="110" spans="1:18">
      <c r="A110" s="7" t="s">
        <v>303</v>
      </c>
      <c r="B110" s="43">
        <f>Summary!B115*0.8</f>
        <v>45075.900800000003</v>
      </c>
      <c r="C110" s="43">
        <f>Summary!C115*0.8</f>
        <v>45075.900800000003</v>
      </c>
      <c r="D110" s="43">
        <f>Summary!D115*0.8</f>
        <v>45075.900800000003</v>
      </c>
      <c r="E110" s="43">
        <f>Summary!E115*0.8</f>
        <v>45075.900800000003</v>
      </c>
      <c r="F110" s="43">
        <f>Summary!F115*0.8</f>
        <v>45075.900800000003</v>
      </c>
      <c r="G110" s="43">
        <f>Summary!G115*0.8</f>
        <v>45075.900800000003</v>
      </c>
      <c r="H110" s="43">
        <f>Summary!H115*0.8</f>
        <v>45075.900800000003</v>
      </c>
      <c r="I110" s="43">
        <f>Summary!I115*0.8</f>
        <v>45075.900800000003</v>
      </c>
      <c r="J110" s="43">
        <f>Summary!J115*0.8</f>
        <v>45075.900800000003</v>
      </c>
      <c r="K110" s="43">
        <f>Summary!K115*0.8</f>
        <v>45075.900800000003</v>
      </c>
      <c r="L110" s="43">
        <f>Summary!L115*0.8</f>
        <v>45075.900800000003</v>
      </c>
      <c r="M110" s="43">
        <f>Summary!M115*0.8</f>
        <v>45075.900800000003</v>
      </c>
      <c r="N110" s="45">
        <f t="shared" si="11"/>
        <v>540910.80960000004</v>
      </c>
      <c r="O110" s="45">
        <f>$N110*AVERAGE('Assumptions&amp;Calculations'!$B$3:$B$5)</f>
        <v>36271675.855744004</v>
      </c>
      <c r="P110" s="45">
        <f>$N110*AVERAGE('Assumptions&amp;Calculations'!$M$3:$M$5)</f>
        <v>14137734.315199999</v>
      </c>
      <c r="Q110" s="332">
        <f t="shared" si="12"/>
        <v>2617900126.3517442</v>
      </c>
    </row>
    <row r="111" spans="1:18">
      <c r="A111" s="7" t="s">
        <v>304</v>
      </c>
      <c r="B111" s="43">
        <f>Summary!B116*0.8</f>
        <v>414696</v>
      </c>
      <c r="C111" s="43">
        <f>Summary!C116*0.8</f>
        <v>414696</v>
      </c>
      <c r="D111" s="43">
        <f>Summary!D116*0.8</f>
        <v>414696</v>
      </c>
      <c r="E111" s="43">
        <f>Summary!E116*0.8</f>
        <v>414696</v>
      </c>
      <c r="F111" s="43">
        <f>Summary!F116*0.8</f>
        <v>414696</v>
      </c>
      <c r="G111" s="43">
        <f>Summary!G116*0.8</f>
        <v>414696</v>
      </c>
      <c r="H111" s="43">
        <f>Summary!H116*0.8</f>
        <v>414696</v>
      </c>
      <c r="I111" s="43">
        <f>Summary!I116*0.8</f>
        <v>414696</v>
      </c>
      <c r="J111" s="43">
        <f>Summary!J116*0.8</f>
        <v>414696</v>
      </c>
      <c r="K111" s="43">
        <f>Summary!K116*0.8</f>
        <v>414696</v>
      </c>
      <c r="L111" s="43">
        <f>Summary!L116*0.8</f>
        <v>414696</v>
      </c>
      <c r="M111" s="43">
        <f>Summary!M116*0.8</f>
        <v>414696</v>
      </c>
      <c r="N111" s="45">
        <f t="shared" si="11"/>
        <v>4976352</v>
      </c>
      <c r="O111" s="45">
        <f>$N111*AVERAGE('Assumptions&amp;Calculations'!$B$3:$B$5)</f>
        <v>333697577.28000003</v>
      </c>
      <c r="P111" s="45">
        <f>$N111*AVERAGE('Assumptions&amp;Calculations'!$M$3:$M$5)</f>
        <v>130066438.28571427</v>
      </c>
      <c r="Q111" s="332">
        <f t="shared" si="12"/>
        <v>5133967836.4800005</v>
      </c>
    </row>
    <row r="112" spans="1:18">
      <c r="A112" s="7" t="s">
        <v>305</v>
      </c>
      <c r="B112" s="43">
        <f>Summary!B117*0.8</f>
        <v>125072.0672</v>
      </c>
      <c r="C112" s="43">
        <f>Summary!C117*0.8</f>
        <v>125072.0672</v>
      </c>
      <c r="D112" s="43">
        <f>Summary!D117*0.8</f>
        <v>125072.0672</v>
      </c>
      <c r="E112" s="43">
        <f>Summary!E117*0.8</f>
        <v>125072.0672</v>
      </c>
      <c r="F112" s="43">
        <f>Summary!F117*0.8</f>
        <v>125072.0672</v>
      </c>
      <c r="G112" s="43">
        <f>Summary!G117*0.8</f>
        <v>125072.0672</v>
      </c>
      <c r="H112" s="43">
        <f>Summary!H117*0.8</f>
        <v>125072.0672</v>
      </c>
      <c r="I112" s="43">
        <f>Summary!I117*0.8</f>
        <v>125072.0672</v>
      </c>
      <c r="J112" s="43">
        <f>Summary!J117*0.8</f>
        <v>125072.0672</v>
      </c>
      <c r="K112" s="43">
        <f>Summary!K117*0.8</f>
        <v>125072.0672</v>
      </c>
      <c r="L112" s="43">
        <f>Summary!L117*0.8</f>
        <v>125072.0672</v>
      </c>
      <c r="M112" s="43">
        <f>Summary!M117*0.8</f>
        <v>125072.0672</v>
      </c>
      <c r="N112" s="45">
        <f t="shared" si="11"/>
        <v>1500864.8063999999</v>
      </c>
      <c r="O112" s="45">
        <f>$N112*AVERAGE('Assumptions&amp;Calculations'!$B$3:$B$5)</f>
        <v>100642991.03449599</v>
      </c>
      <c r="P112" s="45">
        <f>$N112*AVERAGE('Assumptions&amp;Calculations'!$M$3:$M$5)</f>
        <v>39227960.505371422</v>
      </c>
      <c r="Q112" s="332">
        <f t="shared" si="12"/>
        <v>3113418985.5304961</v>
      </c>
    </row>
    <row r="113" spans="1:17">
      <c r="A113" s="7" t="s">
        <v>306</v>
      </c>
      <c r="B113" s="43">
        <f>Summary!B118*0.8</f>
        <v>147144</v>
      </c>
      <c r="C113" s="43">
        <f>Summary!C118*0.8</f>
        <v>147144</v>
      </c>
      <c r="D113" s="43">
        <f>Summary!D118*0.8</f>
        <v>147144</v>
      </c>
      <c r="E113" s="43">
        <f>Summary!E118*0.8</f>
        <v>147144</v>
      </c>
      <c r="F113" s="43">
        <f>Summary!F118*0.8</f>
        <v>147144</v>
      </c>
      <c r="G113" s="43">
        <f>Summary!G118*0.8</f>
        <v>147144</v>
      </c>
      <c r="H113" s="43">
        <f>Summary!H118*0.8</f>
        <v>147144</v>
      </c>
      <c r="I113" s="43">
        <f>Summary!I118*0.8</f>
        <v>147144</v>
      </c>
      <c r="J113" s="43">
        <f>Summary!J118*0.8</f>
        <v>147144</v>
      </c>
      <c r="K113" s="43">
        <f>Summary!K118*0.8</f>
        <v>147144</v>
      </c>
      <c r="L113" s="43">
        <f>Summary!L118*0.8</f>
        <v>147144</v>
      </c>
      <c r="M113" s="43">
        <f>Summary!M118*0.8</f>
        <v>147144</v>
      </c>
      <c r="N113" s="45">
        <f t="shared" si="11"/>
        <v>1765728</v>
      </c>
      <c r="O113" s="45">
        <f>$N113*AVERAGE('Assumptions&amp;Calculations'!$B$3:$B$5)</f>
        <v>118403833.92000002</v>
      </c>
      <c r="P113" s="45">
        <f>$N113*AVERAGE('Assumptions&amp;Calculations'!$M$3:$M$5)</f>
        <v>46150664.571428567</v>
      </c>
      <c r="Q113" s="332">
        <f t="shared" si="12"/>
        <v>3133020936.256</v>
      </c>
    </row>
    <row r="114" spans="1:17">
      <c r="A114" s="7" t="s">
        <v>307</v>
      </c>
      <c r="B114" s="43">
        <f>Summary!B119*0.8</f>
        <v>96758.102400000003</v>
      </c>
      <c r="C114" s="43">
        <f>Summary!C119*0.8</f>
        <v>96758.102400000003</v>
      </c>
      <c r="D114" s="43">
        <f>Summary!D119*0.8</f>
        <v>96758.102400000003</v>
      </c>
      <c r="E114" s="43">
        <f>Summary!E119*0.8</f>
        <v>96758.102400000003</v>
      </c>
      <c r="F114" s="43">
        <f>Summary!F119*0.8</f>
        <v>96758.102400000003</v>
      </c>
      <c r="G114" s="43">
        <f>Summary!G119*0.8</f>
        <v>96758.102400000003</v>
      </c>
      <c r="H114" s="43">
        <f>Summary!H119*0.8</f>
        <v>96758.102400000003</v>
      </c>
      <c r="I114" s="43">
        <f>Summary!I119*0.8</f>
        <v>96758.102400000003</v>
      </c>
      <c r="J114" s="43">
        <f>Summary!J119*0.8</f>
        <v>96758.102400000003</v>
      </c>
      <c r="K114" s="43">
        <f>Summary!K119*0.8</f>
        <v>96758.102400000003</v>
      </c>
      <c r="L114" s="43">
        <f>Summary!L119*0.8</f>
        <v>96758.102400000003</v>
      </c>
      <c r="M114" s="43">
        <f>Summary!M119*0.8</f>
        <v>96758.102400000003</v>
      </c>
      <c r="N114" s="45">
        <f t="shared" si="11"/>
        <v>1161097.2287999999</v>
      </c>
      <c r="O114" s="45">
        <f>$N114*AVERAGE('Assumptions&amp;Calculations'!$B$3:$B$5)</f>
        <v>77859309.839231998</v>
      </c>
      <c r="P114" s="45">
        <f>$N114*AVERAGE('Assumptions&amp;Calculations'!$M$3:$M$5)</f>
        <v>30347487.688457139</v>
      </c>
      <c r="Q114" s="332">
        <f t="shared" si="12"/>
        <v>3253027453.2632322</v>
      </c>
    </row>
    <row r="115" spans="1:17">
      <c r="A115" s="7" t="s">
        <v>308</v>
      </c>
      <c r="B115" s="43">
        <f>Summary!B120*0.8</f>
        <v>94546.400000000009</v>
      </c>
      <c r="C115" s="43">
        <f>Summary!C120*0.8</f>
        <v>94546.400000000009</v>
      </c>
      <c r="D115" s="43">
        <f>Summary!D120*0.8</f>
        <v>94546.400000000009</v>
      </c>
      <c r="E115" s="43">
        <f>Summary!E120*0.8</f>
        <v>94546.400000000009</v>
      </c>
      <c r="F115" s="43">
        <f>Summary!F120*0.8</f>
        <v>94546.400000000009</v>
      </c>
      <c r="G115" s="43">
        <f>Summary!G120*0.8</f>
        <v>94546.400000000009</v>
      </c>
      <c r="H115" s="43">
        <f>Summary!H120*0.8</f>
        <v>94546.400000000009</v>
      </c>
      <c r="I115" s="43">
        <f>Summary!I120*0.8</f>
        <v>94546.400000000009</v>
      </c>
      <c r="J115" s="43">
        <f>Summary!J120*0.8</f>
        <v>94546.400000000009</v>
      </c>
      <c r="K115" s="43">
        <f>Summary!K120*0.8</f>
        <v>94546.400000000009</v>
      </c>
      <c r="L115" s="43">
        <f>Summary!L120*0.8</f>
        <v>94546.400000000009</v>
      </c>
      <c r="M115" s="43">
        <f>Summary!M120*0.8</f>
        <v>94546.400000000009</v>
      </c>
      <c r="N115" s="45">
        <f t="shared" si="11"/>
        <v>1134556.8</v>
      </c>
      <c r="O115" s="45">
        <f>$N115*AVERAGE('Assumptions&amp;Calculations'!$B$3:$B$5)</f>
        <v>76079597.15200001</v>
      </c>
      <c r="P115" s="45">
        <f>$N115*AVERAGE('Assumptions&amp;Calculations'!$M$3:$M$5)</f>
        <v>29653803.028571427</v>
      </c>
      <c r="Q115" s="332">
        <f t="shared" si="12"/>
        <v>6460769926.3040009</v>
      </c>
    </row>
    <row r="116" spans="1:17" ht="28.8">
      <c r="A116" s="44" t="s">
        <v>311</v>
      </c>
      <c r="B116" s="45">
        <f t="shared" ref="B116:M116" si="13">SUM(B100:B115)</f>
        <v>8467938.4544000011</v>
      </c>
      <c r="C116" s="45">
        <f t="shared" si="13"/>
        <v>8467938.4544000011</v>
      </c>
      <c r="D116" s="45">
        <f t="shared" si="13"/>
        <v>8467938.4544000011</v>
      </c>
      <c r="E116" s="45">
        <f t="shared" si="13"/>
        <v>8467938.4544000011</v>
      </c>
      <c r="F116" s="45">
        <f t="shared" si="13"/>
        <v>8467938.4544000011</v>
      </c>
      <c r="G116" s="45">
        <f t="shared" si="13"/>
        <v>8467938.4544000011</v>
      </c>
      <c r="H116" s="45">
        <f t="shared" si="13"/>
        <v>8467938.4544000011</v>
      </c>
      <c r="I116" s="45">
        <f t="shared" si="13"/>
        <v>8467938.4544000011</v>
      </c>
      <c r="J116" s="45">
        <f t="shared" si="13"/>
        <v>8467938.4544000011</v>
      </c>
      <c r="K116" s="45">
        <f t="shared" si="13"/>
        <v>8467938.4544000011</v>
      </c>
      <c r="L116" s="45">
        <f t="shared" si="13"/>
        <v>8467938.4544000011</v>
      </c>
      <c r="M116" s="45">
        <f t="shared" si="13"/>
        <v>8467938.4544000011</v>
      </c>
      <c r="N116" s="45">
        <f>SUM(N100:N115)</f>
        <v>101615261.45279998</v>
      </c>
      <c r="O116" s="45">
        <f>$N116*AVERAGE('Assumptions&amp;Calculations'!$B$3:$B$5)</f>
        <v>6813980715.4865913</v>
      </c>
      <c r="P116" s="45">
        <f>$N116*AVERAGE('Assumptions&amp;Calculations'!$M$3:$M$5)</f>
        <v>2655908410.947885</v>
      </c>
      <c r="Q116" s="332">
        <f>O96+O117</f>
        <v>1211696156.4160001</v>
      </c>
    </row>
    <row r="118" spans="1:17">
      <c r="Q118" s="332">
        <f>SUM(Q100:Q116)</f>
        <v>61295772900.542595</v>
      </c>
    </row>
  </sheetData>
  <mergeCells count="1">
    <mergeCell ref="A1:M1"/>
  </mergeCells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B662-0722-46FE-8D68-069F0427AD46}">
  <dimension ref="B2:AL330"/>
  <sheetViews>
    <sheetView showGridLines="0" zoomScale="132" workbookViewId="0">
      <pane xSplit="4" ySplit="5" topLeftCell="T43" activePane="bottomRight" state="frozen"/>
      <selection activeCell="Z11" sqref="Z11:Z223"/>
      <selection pane="topRight" activeCell="Z11" sqref="Z11:Z223"/>
      <selection pane="bottomLeft" activeCell="Z11" sqref="Z11:Z223"/>
      <selection pane="bottomRight" activeCell="E1" sqref="D1:E1048576"/>
    </sheetView>
  </sheetViews>
  <sheetFormatPr defaultColWidth="11.5546875" defaultRowHeight="13.2"/>
  <cols>
    <col min="1" max="1" width="2.44140625" style="334" customWidth="1"/>
    <col min="2" max="2" width="3.6640625" style="334" customWidth="1"/>
    <col min="3" max="3" width="42.88671875" style="334" bestFit="1" customWidth="1"/>
    <col min="4" max="4" width="9.5546875" style="334" bestFit="1" customWidth="1"/>
    <col min="5" max="5" width="14.77734375" style="334" bestFit="1" customWidth="1"/>
    <col min="6" max="6" width="9.6640625" style="334" customWidth="1"/>
    <col min="7" max="8" width="10" style="334" customWidth="1"/>
    <col min="9" max="9" width="9.33203125" style="334" customWidth="1"/>
    <col min="10" max="10" width="10.77734375" style="334" customWidth="1"/>
    <col min="11" max="11" width="14.6640625" style="334" bestFit="1" customWidth="1"/>
    <col min="12" max="22" width="10.77734375" style="334" customWidth="1"/>
    <col min="23" max="23" width="32.44140625" style="334" customWidth="1"/>
    <col min="24" max="25" width="5.5546875" style="334" customWidth="1"/>
    <col min="26" max="37" width="10.77734375" style="335" customWidth="1"/>
    <col min="38" max="38" width="15.109375" style="334" bestFit="1" customWidth="1"/>
    <col min="39" max="16384" width="11.5546875" style="334"/>
  </cols>
  <sheetData>
    <row r="2" spans="2:37" ht="42" customHeight="1">
      <c r="B2" s="682" t="s">
        <v>588</v>
      </c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  <c r="Q2" s="682"/>
      <c r="R2" s="682"/>
      <c r="S2" s="682"/>
      <c r="T2" s="682"/>
      <c r="U2" s="682"/>
      <c r="V2" s="682"/>
      <c r="W2" s="682"/>
      <c r="X2" s="333">
        <v>7</v>
      </c>
    </row>
    <row r="3" spans="2:37" ht="13.8" thickBot="1"/>
    <row r="4" spans="2:37" ht="60" customHeight="1">
      <c r="B4" s="683" t="s">
        <v>589</v>
      </c>
      <c r="C4" s="685" t="s">
        <v>590</v>
      </c>
      <c r="D4" s="687" t="s">
        <v>339</v>
      </c>
      <c r="E4" s="687" t="s">
        <v>591</v>
      </c>
      <c r="F4" s="689" t="s">
        <v>592</v>
      </c>
      <c r="G4" s="690"/>
      <c r="H4" s="689" t="s">
        <v>593</v>
      </c>
      <c r="I4" s="690"/>
      <c r="J4" s="689" t="s">
        <v>594</v>
      </c>
      <c r="K4" s="690"/>
      <c r="L4" s="689" t="s">
        <v>595</v>
      </c>
      <c r="M4" s="690"/>
      <c r="N4" s="689" t="s">
        <v>596</v>
      </c>
      <c r="O4" s="690"/>
      <c r="P4" s="689" t="s">
        <v>597</v>
      </c>
      <c r="Q4" s="690"/>
      <c r="R4" s="691" t="s">
        <v>598</v>
      </c>
      <c r="S4" s="692"/>
      <c r="T4" s="691" t="s">
        <v>599</v>
      </c>
      <c r="U4" s="692"/>
      <c r="V4" s="693" t="s">
        <v>600</v>
      </c>
      <c r="W4" s="694"/>
    </row>
    <row r="5" spans="2:37" ht="18.600000000000001" customHeight="1" thickBot="1">
      <c r="B5" s="684"/>
      <c r="C5" s="686"/>
      <c r="D5" s="688"/>
      <c r="E5" s="688"/>
      <c r="F5" s="336" t="s">
        <v>601</v>
      </c>
      <c r="G5" s="336" t="s">
        <v>602</v>
      </c>
      <c r="H5" s="336" t="s">
        <v>601</v>
      </c>
      <c r="I5" s="336" t="s">
        <v>602</v>
      </c>
      <c r="J5" s="336" t="s">
        <v>601</v>
      </c>
      <c r="K5" s="337" t="s">
        <v>602</v>
      </c>
      <c r="L5" s="336" t="s">
        <v>601</v>
      </c>
      <c r="M5" s="337" t="s">
        <v>602</v>
      </c>
      <c r="N5" s="336" t="s">
        <v>601</v>
      </c>
      <c r="O5" s="337" t="s">
        <v>602</v>
      </c>
      <c r="P5" s="336" t="s">
        <v>601</v>
      </c>
      <c r="Q5" s="337" t="s">
        <v>602</v>
      </c>
      <c r="R5" s="338" t="s">
        <v>603</v>
      </c>
      <c r="S5" s="339" t="s">
        <v>604</v>
      </c>
      <c r="T5" s="338" t="s">
        <v>605</v>
      </c>
      <c r="U5" s="339" t="s">
        <v>606</v>
      </c>
      <c r="V5" s="338" t="s">
        <v>607</v>
      </c>
      <c r="W5" s="340" t="s">
        <v>608</v>
      </c>
      <c r="Z5" s="335" t="s">
        <v>238</v>
      </c>
      <c r="AA5" s="335" t="s">
        <v>239</v>
      </c>
      <c r="AB5" s="335" t="s">
        <v>240</v>
      </c>
      <c r="AC5" s="335" t="s">
        <v>241</v>
      </c>
      <c r="AD5" s="335" t="s">
        <v>236</v>
      </c>
      <c r="AE5" s="335" t="s">
        <v>237</v>
      </c>
      <c r="AF5" s="335" t="s">
        <v>242</v>
      </c>
      <c r="AG5" s="335" t="s">
        <v>243</v>
      </c>
      <c r="AH5" s="335" t="s">
        <v>244</v>
      </c>
      <c r="AI5" s="335" t="s">
        <v>245</v>
      </c>
      <c r="AJ5" s="335" t="s">
        <v>246</v>
      </c>
      <c r="AK5" s="335" t="s">
        <v>247</v>
      </c>
    </row>
    <row r="6" spans="2:37" ht="33" customHeight="1" thickTop="1">
      <c r="B6" s="695" t="s">
        <v>609</v>
      </c>
      <c r="C6" s="697" t="s">
        <v>610</v>
      </c>
      <c r="D6" s="341" t="s">
        <v>294</v>
      </c>
      <c r="E6" s="342">
        <v>318</v>
      </c>
      <c r="F6" s="343" t="s">
        <v>611</v>
      </c>
      <c r="G6" s="344">
        <v>220</v>
      </c>
      <c r="H6" s="344" t="s">
        <v>611</v>
      </c>
      <c r="I6" s="344" t="s">
        <v>611</v>
      </c>
      <c r="J6" s="345">
        <v>0</v>
      </c>
      <c r="K6" s="346">
        <f>E6*G6</f>
        <v>69960</v>
      </c>
      <c r="L6" s="346">
        <v>0</v>
      </c>
      <c r="M6" s="346">
        <v>0</v>
      </c>
      <c r="N6" s="347" t="s">
        <v>611</v>
      </c>
      <c r="O6" s="348">
        <f>E6*G6*$X$2</f>
        <v>489720</v>
      </c>
      <c r="P6" s="348" t="s">
        <v>611</v>
      </c>
      <c r="Q6" s="348" t="s">
        <v>611</v>
      </c>
      <c r="R6" s="348"/>
      <c r="S6" s="348">
        <f>O6*77</f>
        <v>37708440</v>
      </c>
      <c r="T6" s="348" t="s">
        <v>611</v>
      </c>
      <c r="U6" s="348">
        <f>O6*14</f>
        <v>6856080</v>
      </c>
      <c r="V6" s="349" t="s">
        <v>612</v>
      </c>
      <c r="W6" s="350" t="s">
        <v>613</v>
      </c>
      <c r="X6" s="334">
        <v>1</v>
      </c>
      <c r="Y6" s="334">
        <v>0.8</v>
      </c>
      <c r="Z6" s="351">
        <f>($J6+$K6+$L6+$M6)*$Y6</f>
        <v>55968</v>
      </c>
      <c r="AA6" s="351">
        <f>($J6+$K6+$L6+$M6)*$Y6</f>
        <v>55968</v>
      </c>
      <c r="AB6" s="351">
        <f>($J6+$K6+$L6+$M6)*$X6</f>
        <v>69960</v>
      </c>
      <c r="AC6" s="351">
        <f t="shared" ref="AC6:AG21" si="0">($J6+$K6+$L6+$M6)*$X6</f>
        <v>69960</v>
      </c>
      <c r="AD6" s="351">
        <f t="shared" si="0"/>
        <v>69960</v>
      </c>
      <c r="AE6" s="351">
        <f t="shared" si="0"/>
        <v>69960</v>
      </c>
      <c r="AF6" s="351">
        <f t="shared" si="0"/>
        <v>69960</v>
      </c>
      <c r="AG6" s="351">
        <f t="shared" si="0"/>
        <v>69960</v>
      </c>
      <c r="AH6" s="351">
        <f>($J6+$K6+$L6+$M6)*$Y6</f>
        <v>55968</v>
      </c>
      <c r="AI6" s="351">
        <f>($J6+$K6+$L6+$M6)*$Y6</f>
        <v>55968</v>
      </c>
      <c r="AJ6" s="351">
        <f>($J6+$K6+$L6+$M6)*$Y6</f>
        <v>55968</v>
      </c>
      <c r="AK6" s="351">
        <f>($J6+$K6+$L6+$M6)*$Y6</f>
        <v>55968</v>
      </c>
    </row>
    <row r="7" spans="2:37">
      <c r="B7" s="696"/>
      <c r="C7" s="698"/>
      <c r="D7" s="352" t="s">
        <v>583</v>
      </c>
      <c r="E7" s="353">
        <v>718</v>
      </c>
      <c r="F7" s="354" t="s">
        <v>611</v>
      </c>
      <c r="G7" s="355">
        <v>220</v>
      </c>
      <c r="H7" s="344" t="s">
        <v>611</v>
      </c>
      <c r="I7" s="344" t="s">
        <v>611</v>
      </c>
      <c r="J7" s="356">
        <v>0</v>
      </c>
      <c r="K7" s="357">
        <f t="shared" ref="K7:K22" si="1">E7*G7</f>
        <v>157960</v>
      </c>
      <c r="L7" s="346">
        <v>0</v>
      </c>
      <c r="M7" s="346">
        <v>0</v>
      </c>
      <c r="N7" s="348" t="s">
        <v>611</v>
      </c>
      <c r="O7" s="348">
        <f t="shared" ref="O7:O22" si="2">E7*G7*$X$2</f>
        <v>1105720</v>
      </c>
      <c r="P7" s="348" t="s">
        <v>611</v>
      </c>
      <c r="Q7" s="348" t="s">
        <v>611</v>
      </c>
      <c r="R7" s="348"/>
      <c r="S7" s="348">
        <f t="shared" ref="S7:S22" si="3">O7*77</f>
        <v>85140440</v>
      </c>
      <c r="T7" s="348" t="s">
        <v>611</v>
      </c>
      <c r="U7" s="348">
        <f t="shared" ref="U7:U22" si="4">O7*14</f>
        <v>15480080</v>
      </c>
      <c r="V7" s="349" t="s">
        <v>612</v>
      </c>
      <c r="W7" s="350" t="s">
        <v>613</v>
      </c>
      <c r="X7" s="334">
        <v>1</v>
      </c>
      <c r="Y7" s="334">
        <v>0.8</v>
      </c>
      <c r="Z7" s="351">
        <f t="shared" ref="Z7:AA70" si="5">($J7+$K7+$L7+$M7)*$Y7</f>
        <v>126368</v>
      </c>
      <c r="AA7" s="351">
        <f t="shared" si="5"/>
        <v>126368</v>
      </c>
      <c r="AB7" s="351">
        <f t="shared" ref="AB7:AG62" si="6">($J7+$K7+$L7+$M7)*$X7</f>
        <v>157960</v>
      </c>
      <c r="AC7" s="351">
        <f t="shared" si="0"/>
        <v>157960</v>
      </c>
      <c r="AD7" s="351">
        <f t="shared" si="0"/>
        <v>157960</v>
      </c>
      <c r="AE7" s="351">
        <f t="shared" si="0"/>
        <v>157960</v>
      </c>
      <c r="AF7" s="351">
        <f t="shared" si="0"/>
        <v>157960</v>
      </c>
      <c r="AG7" s="351">
        <f t="shared" si="0"/>
        <v>157960</v>
      </c>
      <c r="AH7" s="351">
        <f t="shared" ref="AH7:AK70" si="7">($J7+$K7+$L7+$M7)*$Y7</f>
        <v>126368</v>
      </c>
      <c r="AI7" s="351">
        <f t="shared" si="7"/>
        <v>126368</v>
      </c>
      <c r="AJ7" s="351">
        <f t="shared" si="7"/>
        <v>126368</v>
      </c>
      <c r="AK7" s="351">
        <f t="shared" si="7"/>
        <v>126368</v>
      </c>
    </row>
    <row r="8" spans="2:37">
      <c r="B8" s="696"/>
      <c r="C8" s="698"/>
      <c r="D8" s="352" t="s">
        <v>614</v>
      </c>
      <c r="E8" s="353">
        <v>9498</v>
      </c>
      <c r="F8" s="354" t="s">
        <v>611</v>
      </c>
      <c r="G8" s="355">
        <v>220</v>
      </c>
      <c r="H8" s="344" t="s">
        <v>611</v>
      </c>
      <c r="I8" s="344" t="s">
        <v>611</v>
      </c>
      <c r="J8" s="356">
        <v>0</v>
      </c>
      <c r="K8" s="357">
        <f>E8*G8</f>
        <v>2089560</v>
      </c>
      <c r="L8" s="346">
        <v>0</v>
      </c>
      <c r="M8" s="346">
        <v>0</v>
      </c>
      <c r="N8" s="348" t="s">
        <v>611</v>
      </c>
      <c r="O8" s="348">
        <f t="shared" si="2"/>
        <v>14626920</v>
      </c>
      <c r="P8" s="348" t="s">
        <v>611</v>
      </c>
      <c r="Q8" s="348" t="s">
        <v>611</v>
      </c>
      <c r="R8" s="348"/>
      <c r="S8" s="348">
        <f t="shared" si="3"/>
        <v>1126272840</v>
      </c>
      <c r="T8" s="348" t="s">
        <v>611</v>
      </c>
      <c r="U8" s="348">
        <f t="shared" si="4"/>
        <v>204776880</v>
      </c>
      <c r="V8" s="349" t="s">
        <v>612</v>
      </c>
      <c r="W8" s="350" t="s">
        <v>613</v>
      </c>
      <c r="X8" s="334">
        <v>1</v>
      </c>
      <c r="Y8" s="334">
        <v>0.8</v>
      </c>
      <c r="Z8" s="351">
        <f t="shared" si="5"/>
        <v>1671648</v>
      </c>
      <c r="AA8" s="351">
        <f t="shared" si="5"/>
        <v>1671648</v>
      </c>
      <c r="AB8" s="351">
        <f t="shared" si="6"/>
        <v>2089560</v>
      </c>
      <c r="AC8" s="351">
        <f t="shared" si="0"/>
        <v>2089560</v>
      </c>
      <c r="AD8" s="351">
        <f t="shared" si="0"/>
        <v>2089560</v>
      </c>
      <c r="AE8" s="351">
        <f t="shared" si="0"/>
        <v>2089560</v>
      </c>
      <c r="AF8" s="351">
        <f t="shared" si="0"/>
        <v>2089560</v>
      </c>
      <c r="AG8" s="351">
        <f t="shared" si="0"/>
        <v>2089560</v>
      </c>
      <c r="AH8" s="351">
        <f t="shared" si="7"/>
        <v>1671648</v>
      </c>
      <c r="AI8" s="351">
        <f t="shared" si="7"/>
        <v>1671648</v>
      </c>
      <c r="AJ8" s="351">
        <f t="shared" si="7"/>
        <v>1671648</v>
      </c>
      <c r="AK8" s="351">
        <f t="shared" si="7"/>
        <v>1671648</v>
      </c>
    </row>
    <row r="9" spans="2:37">
      <c r="B9" s="696"/>
      <c r="C9" s="698"/>
      <c r="D9" s="352" t="s">
        <v>615</v>
      </c>
      <c r="E9" s="353">
        <v>10330</v>
      </c>
      <c r="F9" s="354" t="s">
        <v>611</v>
      </c>
      <c r="G9" s="355">
        <v>220</v>
      </c>
      <c r="H9" s="344" t="s">
        <v>611</v>
      </c>
      <c r="I9" s="344" t="s">
        <v>611</v>
      </c>
      <c r="J9" s="356">
        <v>0</v>
      </c>
      <c r="K9" s="357">
        <f t="shared" si="1"/>
        <v>2272600</v>
      </c>
      <c r="L9" s="346">
        <v>0</v>
      </c>
      <c r="M9" s="346">
        <v>0</v>
      </c>
      <c r="N9" s="348" t="s">
        <v>611</v>
      </c>
      <c r="O9" s="348">
        <f t="shared" si="2"/>
        <v>15908200</v>
      </c>
      <c r="P9" s="348" t="s">
        <v>611</v>
      </c>
      <c r="Q9" s="348" t="s">
        <v>611</v>
      </c>
      <c r="R9" s="348"/>
      <c r="S9" s="348">
        <f t="shared" si="3"/>
        <v>1224931400</v>
      </c>
      <c r="T9" s="348" t="s">
        <v>611</v>
      </c>
      <c r="U9" s="348">
        <f t="shared" si="4"/>
        <v>222714800</v>
      </c>
      <c r="V9" s="349" t="s">
        <v>612</v>
      </c>
      <c r="W9" s="350" t="s">
        <v>613</v>
      </c>
      <c r="X9" s="334">
        <v>1</v>
      </c>
      <c r="Y9" s="334">
        <v>0.8</v>
      </c>
      <c r="Z9" s="351">
        <f t="shared" si="5"/>
        <v>1818080</v>
      </c>
      <c r="AA9" s="351">
        <f t="shared" si="5"/>
        <v>1818080</v>
      </c>
      <c r="AB9" s="351">
        <f t="shared" si="6"/>
        <v>2272600</v>
      </c>
      <c r="AC9" s="351">
        <f t="shared" si="0"/>
        <v>2272600</v>
      </c>
      <c r="AD9" s="351">
        <f t="shared" si="0"/>
        <v>2272600</v>
      </c>
      <c r="AE9" s="351">
        <f t="shared" si="0"/>
        <v>2272600</v>
      </c>
      <c r="AF9" s="351">
        <f t="shared" si="0"/>
        <v>2272600</v>
      </c>
      <c r="AG9" s="351">
        <f t="shared" si="0"/>
        <v>2272600</v>
      </c>
      <c r="AH9" s="351">
        <f t="shared" si="7"/>
        <v>1818080</v>
      </c>
      <c r="AI9" s="351">
        <f t="shared" si="7"/>
        <v>1818080</v>
      </c>
      <c r="AJ9" s="351">
        <f t="shared" si="7"/>
        <v>1818080</v>
      </c>
      <c r="AK9" s="351">
        <f t="shared" si="7"/>
        <v>1818080</v>
      </c>
    </row>
    <row r="10" spans="2:37">
      <c r="B10" s="696"/>
      <c r="C10" s="698"/>
      <c r="D10" s="352" t="s">
        <v>616</v>
      </c>
      <c r="E10" s="353">
        <v>9230</v>
      </c>
      <c r="F10" s="354" t="s">
        <v>611</v>
      </c>
      <c r="G10" s="355">
        <v>220</v>
      </c>
      <c r="H10" s="344" t="s">
        <v>611</v>
      </c>
      <c r="I10" s="344" t="s">
        <v>611</v>
      </c>
      <c r="J10" s="356">
        <v>0</v>
      </c>
      <c r="K10" s="357">
        <f t="shared" si="1"/>
        <v>2030600</v>
      </c>
      <c r="L10" s="346">
        <v>0</v>
      </c>
      <c r="M10" s="346">
        <v>0</v>
      </c>
      <c r="N10" s="348" t="s">
        <v>611</v>
      </c>
      <c r="O10" s="348">
        <f t="shared" si="2"/>
        <v>14214200</v>
      </c>
      <c r="P10" s="348" t="s">
        <v>611</v>
      </c>
      <c r="Q10" s="348" t="s">
        <v>611</v>
      </c>
      <c r="R10" s="348"/>
      <c r="S10" s="348">
        <f t="shared" si="3"/>
        <v>1094493400</v>
      </c>
      <c r="T10" s="348" t="s">
        <v>611</v>
      </c>
      <c r="U10" s="348">
        <f t="shared" si="4"/>
        <v>198998800</v>
      </c>
      <c r="V10" s="349" t="s">
        <v>612</v>
      </c>
      <c r="W10" s="350" t="s">
        <v>613</v>
      </c>
      <c r="X10" s="334">
        <v>1</v>
      </c>
      <c r="Y10" s="334">
        <v>0.8</v>
      </c>
      <c r="Z10" s="351">
        <f t="shared" si="5"/>
        <v>1624480</v>
      </c>
      <c r="AA10" s="351">
        <f t="shared" si="5"/>
        <v>1624480</v>
      </c>
      <c r="AB10" s="351">
        <f t="shared" si="6"/>
        <v>2030600</v>
      </c>
      <c r="AC10" s="351">
        <f t="shared" si="0"/>
        <v>2030600</v>
      </c>
      <c r="AD10" s="351">
        <f t="shared" si="0"/>
        <v>2030600</v>
      </c>
      <c r="AE10" s="351">
        <f t="shared" si="0"/>
        <v>2030600</v>
      </c>
      <c r="AF10" s="351">
        <f t="shared" si="0"/>
        <v>2030600</v>
      </c>
      <c r="AG10" s="351">
        <f t="shared" si="0"/>
        <v>2030600</v>
      </c>
      <c r="AH10" s="351">
        <f t="shared" si="7"/>
        <v>1624480</v>
      </c>
      <c r="AI10" s="351">
        <f t="shared" si="7"/>
        <v>1624480</v>
      </c>
      <c r="AJ10" s="351">
        <f t="shared" si="7"/>
        <v>1624480</v>
      </c>
      <c r="AK10" s="351">
        <f t="shared" si="7"/>
        <v>1624480</v>
      </c>
    </row>
    <row r="11" spans="2:37">
      <c r="B11" s="696"/>
      <c r="C11" s="698"/>
      <c r="D11" s="352" t="s">
        <v>617</v>
      </c>
      <c r="E11" s="353">
        <v>13197</v>
      </c>
      <c r="F11" s="354" t="s">
        <v>611</v>
      </c>
      <c r="G11" s="355">
        <v>220</v>
      </c>
      <c r="H11" s="344" t="s">
        <v>611</v>
      </c>
      <c r="I11" s="344" t="s">
        <v>611</v>
      </c>
      <c r="J11" s="356">
        <v>0</v>
      </c>
      <c r="K11" s="357">
        <f t="shared" si="1"/>
        <v>2903340</v>
      </c>
      <c r="L11" s="346">
        <v>0</v>
      </c>
      <c r="M11" s="346">
        <v>0</v>
      </c>
      <c r="N11" s="348" t="s">
        <v>611</v>
      </c>
      <c r="O11" s="348">
        <f t="shared" si="2"/>
        <v>20323380</v>
      </c>
      <c r="P11" s="348" t="s">
        <v>611</v>
      </c>
      <c r="Q11" s="348" t="s">
        <v>611</v>
      </c>
      <c r="R11" s="348"/>
      <c r="S11" s="348">
        <f t="shared" si="3"/>
        <v>1564900260</v>
      </c>
      <c r="T11" s="348" t="s">
        <v>611</v>
      </c>
      <c r="U11" s="348">
        <f t="shared" si="4"/>
        <v>284527320</v>
      </c>
      <c r="V11" s="349" t="s">
        <v>612</v>
      </c>
      <c r="W11" s="350" t="s">
        <v>613</v>
      </c>
      <c r="X11" s="334">
        <v>1</v>
      </c>
      <c r="Y11" s="334">
        <v>0.8</v>
      </c>
      <c r="Z11" s="351">
        <f t="shared" si="5"/>
        <v>2322672</v>
      </c>
      <c r="AA11" s="351">
        <f t="shared" si="5"/>
        <v>2322672</v>
      </c>
      <c r="AB11" s="351">
        <f t="shared" si="6"/>
        <v>2903340</v>
      </c>
      <c r="AC11" s="351">
        <f t="shared" si="0"/>
        <v>2903340</v>
      </c>
      <c r="AD11" s="351">
        <f t="shared" si="0"/>
        <v>2903340</v>
      </c>
      <c r="AE11" s="351">
        <f t="shared" si="0"/>
        <v>2903340</v>
      </c>
      <c r="AF11" s="351">
        <f t="shared" si="0"/>
        <v>2903340</v>
      </c>
      <c r="AG11" s="351">
        <f t="shared" si="0"/>
        <v>2903340</v>
      </c>
      <c r="AH11" s="351">
        <f t="shared" si="7"/>
        <v>2322672</v>
      </c>
      <c r="AI11" s="351">
        <f t="shared" si="7"/>
        <v>2322672</v>
      </c>
      <c r="AJ11" s="351">
        <f t="shared" si="7"/>
        <v>2322672</v>
      </c>
      <c r="AK11" s="351">
        <f t="shared" si="7"/>
        <v>2322672</v>
      </c>
    </row>
    <row r="12" spans="2:37">
      <c r="B12" s="696"/>
      <c r="C12" s="698"/>
      <c r="D12" s="352" t="s">
        <v>618</v>
      </c>
      <c r="E12" s="353">
        <v>29610</v>
      </c>
      <c r="F12" s="354" t="s">
        <v>611</v>
      </c>
      <c r="G12" s="355">
        <v>220</v>
      </c>
      <c r="H12" s="344" t="s">
        <v>611</v>
      </c>
      <c r="I12" s="344" t="s">
        <v>611</v>
      </c>
      <c r="J12" s="356">
        <v>0</v>
      </c>
      <c r="K12" s="357">
        <f t="shared" si="1"/>
        <v>6514200</v>
      </c>
      <c r="L12" s="346">
        <v>0</v>
      </c>
      <c r="M12" s="346">
        <v>0</v>
      </c>
      <c r="N12" s="348" t="s">
        <v>611</v>
      </c>
      <c r="O12" s="348">
        <f t="shared" si="2"/>
        <v>45599400</v>
      </c>
      <c r="P12" s="348" t="s">
        <v>611</v>
      </c>
      <c r="Q12" s="348" t="s">
        <v>611</v>
      </c>
      <c r="R12" s="348"/>
      <c r="S12" s="348">
        <f t="shared" si="3"/>
        <v>3511153800</v>
      </c>
      <c r="T12" s="348" t="s">
        <v>611</v>
      </c>
      <c r="U12" s="348">
        <f t="shared" si="4"/>
        <v>638391600</v>
      </c>
      <c r="V12" s="349" t="s">
        <v>612</v>
      </c>
      <c r="W12" s="350" t="s">
        <v>613</v>
      </c>
      <c r="X12" s="334">
        <v>1</v>
      </c>
      <c r="Y12" s="334">
        <v>0.8</v>
      </c>
      <c r="Z12" s="351">
        <f t="shared" si="5"/>
        <v>5211360</v>
      </c>
      <c r="AA12" s="351">
        <f t="shared" si="5"/>
        <v>5211360</v>
      </c>
      <c r="AB12" s="351">
        <f t="shared" si="6"/>
        <v>6514200</v>
      </c>
      <c r="AC12" s="351">
        <f t="shared" si="0"/>
        <v>6514200</v>
      </c>
      <c r="AD12" s="351">
        <f t="shared" si="0"/>
        <v>6514200</v>
      </c>
      <c r="AE12" s="351">
        <f t="shared" si="0"/>
        <v>6514200</v>
      </c>
      <c r="AF12" s="351">
        <f t="shared" si="0"/>
        <v>6514200</v>
      </c>
      <c r="AG12" s="351">
        <f t="shared" si="0"/>
        <v>6514200</v>
      </c>
      <c r="AH12" s="351">
        <f t="shared" si="7"/>
        <v>5211360</v>
      </c>
      <c r="AI12" s="351">
        <f t="shared" si="7"/>
        <v>5211360</v>
      </c>
      <c r="AJ12" s="351">
        <f t="shared" si="7"/>
        <v>5211360</v>
      </c>
      <c r="AK12" s="351">
        <f t="shared" si="7"/>
        <v>5211360</v>
      </c>
    </row>
    <row r="13" spans="2:37">
      <c r="B13" s="696"/>
      <c r="C13" s="698"/>
      <c r="D13" s="352" t="s">
        <v>619</v>
      </c>
      <c r="E13" s="353">
        <v>21875</v>
      </c>
      <c r="F13" s="354" t="s">
        <v>611</v>
      </c>
      <c r="G13" s="355">
        <v>220</v>
      </c>
      <c r="H13" s="344" t="s">
        <v>611</v>
      </c>
      <c r="I13" s="344" t="s">
        <v>611</v>
      </c>
      <c r="J13" s="356">
        <v>0</v>
      </c>
      <c r="K13" s="357">
        <f t="shared" si="1"/>
        <v>4812500</v>
      </c>
      <c r="L13" s="346">
        <v>0</v>
      </c>
      <c r="M13" s="346">
        <v>0</v>
      </c>
      <c r="N13" s="348" t="s">
        <v>611</v>
      </c>
      <c r="O13" s="348">
        <f t="shared" si="2"/>
        <v>33687500</v>
      </c>
      <c r="P13" s="348" t="s">
        <v>611</v>
      </c>
      <c r="Q13" s="348" t="s">
        <v>611</v>
      </c>
      <c r="R13" s="348"/>
      <c r="S13" s="348">
        <f t="shared" si="3"/>
        <v>2593937500</v>
      </c>
      <c r="T13" s="348" t="s">
        <v>611</v>
      </c>
      <c r="U13" s="348">
        <f t="shared" si="4"/>
        <v>471625000</v>
      </c>
      <c r="V13" s="349" t="s">
        <v>612</v>
      </c>
      <c r="W13" s="350" t="s">
        <v>613</v>
      </c>
      <c r="X13" s="334">
        <v>1</v>
      </c>
      <c r="Y13" s="334">
        <v>0.8</v>
      </c>
      <c r="Z13" s="351">
        <f t="shared" si="5"/>
        <v>3850000</v>
      </c>
      <c r="AA13" s="351">
        <f t="shared" si="5"/>
        <v>3850000</v>
      </c>
      <c r="AB13" s="351">
        <f t="shared" si="6"/>
        <v>4812500</v>
      </c>
      <c r="AC13" s="351">
        <f t="shared" si="0"/>
        <v>4812500</v>
      </c>
      <c r="AD13" s="351">
        <f t="shared" si="0"/>
        <v>4812500</v>
      </c>
      <c r="AE13" s="351">
        <f t="shared" si="0"/>
        <v>4812500</v>
      </c>
      <c r="AF13" s="351">
        <f t="shared" si="0"/>
        <v>4812500</v>
      </c>
      <c r="AG13" s="351">
        <f t="shared" si="0"/>
        <v>4812500</v>
      </c>
      <c r="AH13" s="351">
        <f t="shared" si="7"/>
        <v>3850000</v>
      </c>
      <c r="AI13" s="351">
        <f t="shared" si="7"/>
        <v>3850000</v>
      </c>
      <c r="AJ13" s="351">
        <f t="shared" si="7"/>
        <v>3850000</v>
      </c>
      <c r="AK13" s="351">
        <f t="shared" si="7"/>
        <v>3850000</v>
      </c>
    </row>
    <row r="14" spans="2:37">
      <c r="B14" s="696"/>
      <c r="C14" s="698"/>
      <c r="D14" s="352" t="s">
        <v>620</v>
      </c>
      <c r="E14" s="353">
        <v>29928</v>
      </c>
      <c r="F14" s="354" t="s">
        <v>611</v>
      </c>
      <c r="G14" s="355">
        <v>220</v>
      </c>
      <c r="H14" s="344" t="s">
        <v>611</v>
      </c>
      <c r="I14" s="344" t="s">
        <v>611</v>
      </c>
      <c r="J14" s="356">
        <v>0</v>
      </c>
      <c r="K14" s="357">
        <f t="shared" si="1"/>
        <v>6584160</v>
      </c>
      <c r="L14" s="346">
        <v>0</v>
      </c>
      <c r="M14" s="346">
        <v>0</v>
      </c>
      <c r="N14" s="348" t="s">
        <v>611</v>
      </c>
      <c r="O14" s="348">
        <f t="shared" si="2"/>
        <v>46089120</v>
      </c>
      <c r="P14" s="348" t="s">
        <v>611</v>
      </c>
      <c r="Q14" s="348" t="s">
        <v>611</v>
      </c>
      <c r="R14" s="348"/>
      <c r="S14" s="348">
        <f t="shared" si="3"/>
        <v>3548862240</v>
      </c>
      <c r="T14" s="348" t="s">
        <v>611</v>
      </c>
      <c r="U14" s="348">
        <f t="shared" si="4"/>
        <v>645247680</v>
      </c>
      <c r="V14" s="349" t="s">
        <v>612</v>
      </c>
      <c r="W14" s="350" t="s">
        <v>613</v>
      </c>
      <c r="X14" s="334">
        <v>1</v>
      </c>
      <c r="Y14" s="334">
        <v>0.8</v>
      </c>
      <c r="Z14" s="351">
        <f t="shared" si="5"/>
        <v>5267328</v>
      </c>
      <c r="AA14" s="351">
        <f t="shared" si="5"/>
        <v>5267328</v>
      </c>
      <c r="AB14" s="351">
        <f t="shared" si="6"/>
        <v>6584160</v>
      </c>
      <c r="AC14" s="351">
        <f t="shared" si="0"/>
        <v>6584160</v>
      </c>
      <c r="AD14" s="351">
        <f t="shared" si="0"/>
        <v>6584160</v>
      </c>
      <c r="AE14" s="351">
        <f t="shared" si="0"/>
        <v>6584160</v>
      </c>
      <c r="AF14" s="351">
        <f t="shared" si="0"/>
        <v>6584160</v>
      </c>
      <c r="AG14" s="351">
        <f t="shared" si="0"/>
        <v>6584160</v>
      </c>
      <c r="AH14" s="351">
        <f t="shared" si="7"/>
        <v>5267328</v>
      </c>
      <c r="AI14" s="351">
        <f t="shared" si="7"/>
        <v>5267328</v>
      </c>
      <c r="AJ14" s="351">
        <f t="shared" si="7"/>
        <v>5267328</v>
      </c>
      <c r="AK14" s="351">
        <f t="shared" si="7"/>
        <v>5267328</v>
      </c>
    </row>
    <row r="15" spans="2:37">
      <c r="B15" s="696"/>
      <c r="C15" s="698"/>
      <c r="D15" s="352" t="s">
        <v>621</v>
      </c>
      <c r="E15" s="353">
        <v>29364</v>
      </c>
      <c r="F15" s="354" t="s">
        <v>611</v>
      </c>
      <c r="G15" s="355">
        <v>220</v>
      </c>
      <c r="H15" s="344" t="s">
        <v>611</v>
      </c>
      <c r="I15" s="344" t="s">
        <v>611</v>
      </c>
      <c r="J15" s="356">
        <v>0</v>
      </c>
      <c r="K15" s="357">
        <f t="shared" si="1"/>
        <v>6460080</v>
      </c>
      <c r="L15" s="346">
        <v>0</v>
      </c>
      <c r="M15" s="346">
        <v>0</v>
      </c>
      <c r="N15" s="348" t="s">
        <v>611</v>
      </c>
      <c r="O15" s="348">
        <f t="shared" si="2"/>
        <v>45220560</v>
      </c>
      <c r="P15" s="348" t="s">
        <v>611</v>
      </c>
      <c r="Q15" s="348" t="s">
        <v>611</v>
      </c>
      <c r="R15" s="348"/>
      <c r="S15" s="348">
        <f t="shared" si="3"/>
        <v>3481983120</v>
      </c>
      <c r="T15" s="348" t="s">
        <v>611</v>
      </c>
      <c r="U15" s="348">
        <f t="shared" si="4"/>
        <v>633087840</v>
      </c>
      <c r="V15" s="349" t="s">
        <v>612</v>
      </c>
      <c r="W15" s="350" t="s">
        <v>613</v>
      </c>
      <c r="X15" s="334">
        <v>1</v>
      </c>
      <c r="Y15" s="334">
        <v>0.8</v>
      </c>
      <c r="Z15" s="351">
        <f t="shared" si="5"/>
        <v>5168064</v>
      </c>
      <c r="AA15" s="351">
        <f t="shared" si="5"/>
        <v>5168064</v>
      </c>
      <c r="AB15" s="351">
        <f t="shared" si="6"/>
        <v>6460080</v>
      </c>
      <c r="AC15" s="351">
        <f t="shared" si="0"/>
        <v>6460080</v>
      </c>
      <c r="AD15" s="351">
        <f t="shared" si="0"/>
        <v>6460080</v>
      </c>
      <c r="AE15" s="351">
        <f t="shared" si="0"/>
        <v>6460080</v>
      </c>
      <c r="AF15" s="351">
        <f t="shared" si="0"/>
        <v>6460080</v>
      </c>
      <c r="AG15" s="351">
        <f t="shared" si="0"/>
        <v>6460080</v>
      </c>
      <c r="AH15" s="351">
        <f t="shared" si="7"/>
        <v>5168064</v>
      </c>
      <c r="AI15" s="351">
        <f t="shared" si="7"/>
        <v>5168064</v>
      </c>
      <c r="AJ15" s="351">
        <f t="shared" si="7"/>
        <v>5168064</v>
      </c>
      <c r="AK15" s="351">
        <f t="shared" si="7"/>
        <v>5168064</v>
      </c>
    </row>
    <row r="16" spans="2:37">
      <c r="B16" s="696"/>
      <c r="C16" s="698"/>
      <c r="D16" s="352" t="s">
        <v>622</v>
      </c>
      <c r="E16" s="353">
        <v>32173</v>
      </c>
      <c r="F16" s="354" t="s">
        <v>611</v>
      </c>
      <c r="G16" s="355">
        <v>220</v>
      </c>
      <c r="H16" s="344" t="s">
        <v>611</v>
      </c>
      <c r="I16" s="344" t="s">
        <v>611</v>
      </c>
      <c r="J16" s="356">
        <v>0</v>
      </c>
      <c r="K16" s="357">
        <f t="shared" si="1"/>
        <v>7078060</v>
      </c>
      <c r="L16" s="346">
        <v>0</v>
      </c>
      <c r="M16" s="346">
        <v>0</v>
      </c>
      <c r="N16" s="348" t="s">
        <v>611</v>
      </c>
      <c r="O16" s="348">
        <f t="shared" si="2"/>
        <v>49546420</v>
      </c>
      <c r="P16" s="348" t="s">
        <v>611</v>
      </c>
      <c r="Q16" s="348" t="s">
        <v>611</v>
      </c>
      <c r="R16" s="348"/>
      <c r="S16" s="348">
        <f t="shared" si="3"/>
        <v>3815074340</v>
      </c>
      <c r="T16" s="348" t="s">
        <v>611</v>
      </c>
      <c r="U16" s="348">
        <f t="shared" si="4"/>
        <v>693649880</v>
      </c>
      <c r="V16" s="349" t="s">
        <v>612</v>
      </c>
      <c r="W16" s="350" t="s">
        <v>613</v>
      </c>
      <c r="X16" s="334">
        <v>1</v>
      </c>
      <c r="Y16" s="334">
        <v>0.8</v>
      </c>
      <c r="Z16" s="351">
        <f t="shared" si="5"/>
        <v>5662448</v>
      </c>
      <c r="AA16" s="351">
        <f t="shared" si="5"/>
        <v>5662448</v>
      </c>
      <c r="AB16" s="351">
        <f t="shared" si="6"/>
        <v>7078060</v>
      </c>
      <c r="AC16" s="351">
        <f t="shared" si="0"/>
        <v>7078060</v>
      </c>
      <c r="AD16" s="351">
        <f t="shared" si="0"/>
        <v>7078060</v>
      </c>
      <c r="AE16" s="351">
        <f t="shared" si="0"/>
        <v>7078060</v>
      </c>
      <c r="AF16" s="351">
        <f t="shared" si="0"/>
        <v>7078060</v>
      </c>
      <c r="AG16" s="351">
        <f t="shared" si="0"/>
        <v>7078060</v>
      </c>
      <c r="AH16" s="351">
        <f t="shared" si="7"/>
        <v>5662448</v>
      </c>
      <c r="AI16" s="351">
        <f t="shared" si="7"/>
        <v>5662448</v>
      </c>
      <c r="AJ16" s="351">
        <f t="shared" si="7"/>
        <v>5662448</v>
      </c>
      <c r="AK16" s="351">
        <f t="shared" si="7"/>
        <v>5662448</v>
      </c>
    </row>
    <row r="17" spans="2:37">
      <c r="B17" s="696"/>
      <c r="C17" s="698"/>
      <c r="D17" s="352" t="s">
        <v>623</v>
      </c>
      <c r="E17" s="353">
        <v>17898</v>
      </c>
      <c r="F17" s="354" t="s">
        <v>611</v>
      </c>
      <c r="G17" s="355">
        <v>220</v>
      </c>
      <c r="H17" s="344" t="s">
        <v>611</v>
      </c>
      <c r="I17" s="344" t="s">
        <v>611</v>
      </c>
      <c r="J17" s="356">
        <v>0</v>
      </c>
      <c r="K17" s="357">
        <f t="shared" si="1"/>
        <v>3937560</v>
      </c>
      <c r="L17" s="346">
        <v>0</v>
      </c>
      <c r="M17" s="346">
        <v>0</v>
      </c>
      <c r="N17" s="348" t="s">
        <v>611</v>
      </c>
      <c r="O17" s="348">
        <f t="shared" si="2"/>
        <v>27562920</v>
      </c>
      <c r="P17" s="348" t="s">
        <v>611</v>
      </c>
      <c r="Q17" s="348" t="s">
        <v>611</v>
      </c>
      <c r="R17" s="348"/>
      <c r="S17" s="348">
        <f t="shared" si="3"/>
        <v>2122344840</v>
      </c>
      <c r="T17" s="348" t="s">
        <v>611</v>
      </c>
      <c r="U17" s="348">
        <f t="shared" si="4"/>
        <v>385880880</v>
      </c>
      <c r="V17" s="349" t="s">
        <v>612</v>
      </c>
      <c r="W17" s="350" t="s">
        <v>613</v>
      </c>
      <c r="X17" s="334">
        <v>1</v>
      </c>
      <c r="Y17" s="334">
        <v>0.8</v>
      </c>
      <c r="Z17" s="351">
        <f t="shared" si="5"/>
        <v>3150048</v>
      </c>
      <c r="AA17" s="351">
        <f t="shared" si="5"/>
        <v>3150048</v>
      </c>
      <c r="AB17" s="351">
        <f t="shared" si="6"/>
        <v>3937560</v>
      </c>
      <c r="AC17" s="351">
        <f t="shared" si="0"/>
        <v>3937560</v>
      </c>
      <c r="AD17" s="351">
        <f t="shared" si="0"/>
        <v>3937560</v>
      </c>
      <c r="AE17" s="351">
        <f t="shared" si="0"/>
        <v>3937560</v>
      </c>
      <c r="AF17" s="351">
        <f t="shared" si="0"/>
        <v>3937560</v>
      </c>
      <c r="AG17" s="351">
        <f t="shared" si="0"/>
        <v>3937560</v>
      </c>
      <c r="AH17" s="351">
        <f t="shared" si="7"/>
        <v>3150048</v>
      </c>
      <c r="AI17" s="351">
        <f t="shared" si="7"/>
        <v>3150048</v>
      </c>
      <c r="AJ17" s="351">
        <f t="shared" si="7"/>
        <v>3150048</v>
      </c>
      <c r="AK17" s="351">
        <f t="shared" si="7"/>
        <v>3150048</v>
      </c>
    </row>
    <row r="18" spans="2:37">
      <c r="B18" s="696"/>
      <c r="C18" s="698"/>
      <c r="D18" s="352" t="s">
        <v>624</v>
      </c>
      <c r="E18" s="353">
        <v>10593</v>
      </c>
      <c r="F18" s="354" t="s">
        <v>611</v>
      </c>
      <c r="G18" s="355">
        <v>220</v>
      </c>
      <c r="H18" s="344" t="s">
        <v>611</v>
      </c>
      <c r="I18" s="344" t="s">
        <v>611</v>
      </c>
      <c r="J18" s="356">
        <v>0</v>
      </c>
      <c r="K18" s="357">
        <f t="shared" si="1"/>
        <v>2330460</v>
      </c>
      <c r="L18" s="346">
        <v>0</v>
      </c>
      <c r="M18" s="346">
        <v>0</v>
      </c>
      <c r="N18" s="348" t="s">
        <v>611</v>
      </c>
      <c r="O18" s="348">
        <f t="shared" si="2"/>
        <v>16313220</v>
      </c>
      <c r="P18" s="348" t="s">
        <v>611</v>
      </c>
      <c r="Q18" s="348" t="s">
        <v>611</v>
      </c>
      <c r="R18" s="348"/>
      <c r="S18" s="348">
        <f t="shared" si="3"/>
        <v>1256117940</v>
      </c>
      <c r="T18" s="348" t="s">
        <v>611</v>
      </c>
      <c r="U18" s="348">
        <f t="shared" si="4"/>
        <v>228385080</v>
      </c>
      <c r="V18" s="349" t="s">
        <v>612</v>
      </c>
      <c r="W18" s="350" t="s">
        <v>613</v>
      </c>
      <c r="X18" s="334">
        <v>1</v>
      </c>
      <c r="Y18" s="334">
        <v>0.8</v>
      </c>
      <c r="Z18" s="351">
        <f t="shared" si="5"/>
        <v>1864368</v>
      </c>
      <c r="AA18" s="351">
        <f t="shared" si="5"/>
        <v>1864368</v>
      </c>
      <c r="AB18" s="351">
        <f t="shared" si="6"/>
        <v>2330460</v>
      </c>
      <c r="AC18" s="351">
        <f t="shared" si="0"/>
        <v>2330460</v>
      </c>
      <c r="AD18" s="351">
        <f t="shared" si="0"/>
        <v>2330460</v>
      </c>
      <c r="AE18" s="351">
        <f t="shared" si="0"/>
        <v>2330460</v>
      </c>
      <c r="AF18" s="351">
        <f t="shared" si="0"/>
        <v>2330460</v>
      </c>
      <c r="AG18" s="351">
        <f t="shared" si="0"/>
        <v>2330460</v>
      </c>
      <c r="AH18" s="351">
        <f t="shared" si="7"/>
        <v>1864368</v>
      </c>
      <c r="AI18" s="351">
        <f t="shared" si="7"/>
        <v>1864368</v>
      </c>
      <c r="AJ18" s="351">
        <f t="shared" si="7"/>
        <v>1864368</v>
      </c>
      <c r="AK18" s="351">
        <f t="shared" si="7"/>
        <v>1864368</v>
      </c>
    </row>
    <row r="19" spans="2:37">
      <c r="B19" s="696"/>
      <c r="C19" s="698"/>
      <c r="D19" s="352" t="s">
        <v>625</v>
      </c>
      <c r="E19" s="353">
        <v>10826</v>
      </c>
      <c r="F19" s="354" t="s">
        <v>611</v>
      </c>
      <c r="G19" s="355">
        <v>220</v>
      </c>
      <c r="H19" s="344" t="s">
        <v>611</v>
      </c>
      <c r="I19" s="344" t="s">
        <v>611</v>
      </c>
      <c r="J19" s="356">
        <v>0</v>
      </c>
      <c r="K19" s="357">
        <f t="shared" si="1"/>
        <v>2381720</v>
      </c>
      <c r="L19" s="346">
        <v>0</v>
      </c>
      <c r="M19" s="346">
        <v>0</v>
      </c>
      <c r="N19" s="348" t="s">
        <v>611</v>
      </c>
      <c r="O19" s="348">
        <f t="shared" si="2"/>
        <v>16672040</v>
      </c>
      <c r="P19" s="348" t="s">
        <v>611</v>
      </c>
      <c r="Q19" s="348" t="s">
        <v>611</v>
      </c>
      <c r="R19" s="348"/>
      <c r="S19" s="348">
        <f t="shared" si="3"/>
        <v>1283747080</v>
      </c>
      <c r="T19" s="348" t="s">
        <v>611</v>
      </c>
      <c r="U19" s="348">
        <f t="shared" si="4"/>
        <v>233408560</v>
      </c>
      <c r="V19" s="349" t="s">
        <v>612</v>
      </c>
      <c r="W19" s="350" t="s">
        <v>613</v>
      </c>
      <c r="X19" s="334">
        <v>1</v>
      </c>
      <c r="Y19" s="334">
        <v>0.8</v>
      </c>
      <c r="Z19" s="351">
        <f t="shared" si="5"/>
        <v>1905376</v>
      </c>
      <c r="AA19" s="351">
        <f t="shared" si="5"/>
        <v>1905376</v>
      </c>
      <c r="AB19" s="351">
        <f t="shared" si="6"/>
        <v>2381720</v>
      </c>
      <c r="AC19" s="351">
        <f t="shared" si="0"/>
        <v>2381720</v>
      </c>
      <c r="AD19" s="351">
        <f t="shared" si="0"/>
        <v>2381720</v>
      </c>
      <c r="AE19" s="351">
        <f t="shared" si="0"/>
        <v>2381720</v>
      </c>
      <c r="AF19" s="351">
        <f t="shared" si="0"/>
        <v>2381720</v>
      </c>
      <c r="AG19" s="351">
        <f t="shared" si="0"/>
        <v>2381720</v>
      </c>
      <c r="AH19" s="351">
        <f t="shared" si="7"/>
        <v>1905376</v>
      </c>
      <c r="AI19" s="351">
        <f t="shared" si="7"/>
        <v>1905376</v>
      </c>
      <c r="AJ19" s="351">
        <f t="shared" si="7"/>
        <v>1905376</v>
      </c>
      <c r="AK19" s="351">
        <f t="shared" si="7"/>
        <v>1905376</v>
      </c>
    </row>
    <row r="20" spans="2:37">
      <c r="B20" s="696"/>
      <c r="C20" s="698"/>
      <c r="D20" s="352" t="s">
        <v>626</v>
      </c>
      <c r="E20" s="353">
        <v>10029</v>
      </c>
      <c r="F20" s="354" t="s">
        <v>611</v>
      </c>
      <c r="G20" s="355">
        <v>220</v>
      </c>
      <c r="H20" s="344" t="s">
        <v>611</v>
      </c>
      <c r="I20" s="344" t="s">
        <v>611</v>
      </c>
      <c r="J20" s="356">
        <v>0</v>
      </c>
      <c r="K20" s="357">
        <f t="shared" si="1"/>
        <v>2206380</v>
      </c>
      <c r="L20" s="346">
        <v>0</v>
      </c>
      <c r="M20" s="346">
        <v>0</v>
      </c>
      <c r="N20" s="348" t="s">
        <v>611</v>
      </c>
      <c r="O20" s="348">
        <f t="shared" si="2"/>
        <v>15444660</v>
      </c>
      <c r="P20" s="348" t="s">
        <v>611</v>
      </c>
      <c r="Q20" s="348" t="s">
        <v>611</v>
      </c>
      <c r="R20" s="348"/>
      <c r="S20" s="348">
        <f t="shared" si="3"/>
        <v>1189238820</v>
      </c>
      <c r="T20" s="348" t="s">
        <v>611</v>
      </c>
      <c r="U20" s="348">
        <f t="shared" si="4"/>
        <v>216225240</v>
      </c>
      <c r="V20" s="349" t="s">
        <v>612</v>
      </c>
      <c r="W20" s="350" t="s">
        <v>613</v>
      </c>
      <c r="X20" s="334">
        <v>1</v>
      </c>
      <c r="Y20" s="334">
        <v>0.8</v>
      </c>
      <c r="Z20" s="351">
        <f t="shared" si="5"/>
        <v>1765104</v>
      </c>
      <c r="AA20" s="351">
        <f t="shared" si="5"/>
        <v>1765104</v>
      </c>
      <c r="AB20" s="351">
        <f t="shared" si="6"/>
        <v>2206380</v>
      </c>
      <c r="AC20" s="351">
        <f t="shared" si="0"/>
        <v>2206380</v>
      </c>
      <c r="AD20" s="351">
        <f t="shared" si="0"/>
        <v>2206380</v>
      </c>
      <c r="AE20" s="351">
        <f t="shared" si="0"/>
        <v>2206380</v>
      </c>
      <c r="AF20" s="351">
        <f t="shared" si="0"/>
        <v>2206380</v>
      </c>
      <c r="AG20" s="351">
        <f t="shared" si="0"/>
        <v>2206380</v>
      </c>
      <c r="AH20" s="351">
        <f t="shared" si="7"/>
        <v>1765104</v>
      </c>
      <c r="AI20" s="351">
        <f t="shared" si="7"/>
        <v>1765104</v>
      </c>
      <c r="AJ20" s="351">
        <f t="shared" si="7"/>
        <v>1765104</v>
      </c>
      <c r="AK20" s="351">
        <f t="shared" si="7"/>
        <v>1765104</v>
      </c>
    </row>
    <row r="21" spans="2:37">
      <c r="B21" s="696"/>
      <c r="C21" s="698"/>
      <c r="D21" s="352" t="s">
        <v>627</v>
      </c>
      <c r="E21" s="353">
        <v>8160</v>
      </c>
      <c r="F21" s="354" t="s">
        <v>611</v>
      </c>
      <c r="G21" s="355">
        <v>220</v>
      </c>
      <c r="H21" s="344" t="s">
        <v>611</v>
      </c>
      <c r="I21" s="344" t="s">
        <v>611</v>
      </c>
      <c r="J21" s="356">
        <v>0</v>
      </c>
      <c r="K21" s="357">
        <f t="shared" si="1"/>
        <v>1795200</v>
      </c>
      <c r="L21" s="346">
        <v>0</v>
      </c>
      <c r="M21" s="346">
        <v>0</v>
      </c>
      <c r="N21" s="348" t="s">
        <v>611</v>
      </c>
      <c r="O21" s="348">
        <f t="shared" si="2"/>
        <v>12566400</v>
      </c>
      <c r="P21" s="348" t="s">
        <v>611</v>
      </c>
      <c r="Q21" s="348" t="s">
        <v>611</v>
      </c>
      <c r="R21" s="348"/>
      <c r="S21" s="348">
        <f t="shared" si="3"/>
        <v>967612800</v>
      </c>
      <c r="T21" s="348" t="s">
        <v>611</v>
      </c>
      <c r="U21" s="348">
        <f t="shared" si="4"/>
        <v>175929600</v>
      </c>
      <c r="V21" s="349" t="s">
        <v>612</v>
      </c>
      <c r="W21" s="350" t="s">
        <v>613</v>
      </c>
      <c r="X21" s="334">
        <v>1</v>
      </c>
      <c r="Y21" s="334">
        <v>0.8</v>
      </c>
      <c r="Z21" s="351">
        <f t="shared" si="5"/>
        <v>1436160</v>
      </c>
      <c r="AA21" s="351">
        <f t="shared" si="5"/>
        <v>1436160</v>
      </c>
      <c r="AB21" s="351">
        <f t="shared" si="6"/>
        <v>1795200</v>
      </c>
      <c r="AC21" s="351">
        <f t="shared" si="0"/>
        <v>1795200</v>
      </c>
      <c r="AD21" s="351">
        <f t="shared" si="0"/>
        <v>1795200</v>
      </c>
      <c r="AE21" s="351">
        <f t="shared" si="0"/>
        <v>1795200</v>
      </c>
      <c r="AF21" s="351">
        <f t="shared" si="0"/>
        <v>1795200</v>
      </c>
      <c r="AG21" s="351">
        <f t="shared" si="0"/>
        <v>1795200</v>
      </c>
      <c r="AH21" s="351">
        <f t="shared" si="7"/>
        <v>1436160</v>
      </c>
      <c r="AI21" s="351">
        <f t="shared" si="7"/>
        <v>1436160</v>
      </c>
      <c r="AJ21" s="351">
        <f t="shared" si="7"/>
        <v>1436160</v>
      </c>
      <c r="AK21" s="351">
        <f t="shared" si="7"/>
        <v>1436160</v>
      </c>
    </row>
    <row r="22" spans="2:37">
      <c r="B22" s="696"/>
      <c r="C22" s="698"/>
      <c r="D22" s="352" t="s">
        <v>628</v>
      </c>
      <c r="E22" s="353">
        <v>21306</v>
      </c>
      <c r="F22" s="354" t="s">
        <v>611</v>
      </c>
      <c r="G22" s="355">
        <v>220</v>
      </c>
      <c r="H22" s="344" t="s">
        <v>611</v>
      </c>
      <c r="I22" s="344" t="s">
        <v>611</v>
      </c>
      <c r="J22" s="356">
        <v>0</v>
      </c>
      <c r="K22" s="357">
        <f t="shared" si="1"/>
        <v>4687320</v>
      </c>
      <c r="L22" s="346">
        <v>0</v>
      </c>
      <c r="M22" s="346">
        <v>0</v>
      </c>
      <c r="N22" s="348" t="s">
        <v>611</v>
      </c>
      <c r="O22" s="348">
        <f t="shared" si="2"/>
        <v>32811240</v>
      </c>
      <c r="P22" s="348" t="s">
        <v>611</v>
      </c>
      <c r="Q22" s="348" t="s">
        <v>611</v>
      </c>
      <c r="R22" s="348"/>
      <c r="S22" s="348">
        <f t="shared" si="3"/>
        <v>2526465480</v>
      </c>
      <c r="T22" s="348" t="s">
        <v>611</v>
      </c>
      <c r="U22" s="348">
        <f t="shared" si="4"/>
        <v>459357360</v>
      </c>
      <c r="V22" s="349" t="s">
        <v>612</v>
      </c>
      <c r="W22" s="350" t="s">
        <v>613</v>
      </c>
      <c r="X22" s="334">
        <v>1</v>
      </c>
      <c r="Y22" s="334">
        <v>0.8</v>
      </c>
      <c r="Z22" s="351">
        <f t="shared" si="5"/>
        <v>3749856</v>
      </c>
      <c r="AA22" s="351">
        <f t="shared" si="5"/>
        <v>3749856</v>
      </c>
      <c r="AB22" s="351">
        <f t="shared" si="6"/>
        <v>4687320</v>
      </c>
      <c r="AC22" s="351">
        <f t="shared" si="6"/>
        <v>4687320</v>
      </c>
      <c r="AD22" s="351">
        <f t="shared" si="6"/>
        <v>4687320</v>
      </c>
      <c r="AE22" s="351">
        <f t="shared" si="6"/>
        <v>4687320</v>
      </c>
      <c r="AF22" s="351">
        <f t="shared" si="6"/>
        <v>4687320</v>
      </c>
      <c r="AG22" s="351">
        <f t="shared" si="6"/>
        <v>4687320</v>
      </c>
      <c r="AH22" s="351">
        <f t="shared" si="7"/>
        <v>3749856</v>
      </c>
      <c r="AI22" s="351">
        <f t="shared" si="7"/>
        <v>3749856</v>
      </c>
      <c r="AJ22" s="351">
        <f t="shared" si="7"/>
        <v>3749856</v>
      </c>
      <c r="AK22" s="351">
        <f t="shared" si="7"/>
        <v>3749856</v>
      </c>
    </row>
    <row r="23" spans="2:37">
      <c r="B23" s="704" t="s">
        <v>629</v>
      </c>
      <c r="C23" s="706" t="s">
        <v>630</v>
      </c>
      <c r="D23" s="341" t="s">
        <v>583</v>
      </c>
      <c r="E23" s="342">
        <v>1</v>
      </c>
      <c r="F23" s="358">
        <v>10000</v>
      </c>
      <c r="G23" s="359" t="s">
        <v>611</v>
      </c>
      <c r="H23" s="359">
        <f>10000+4000</f>
        <v>14000</v>
      </c>
      <c r="I23" s="359"/>
      <c r="J23" s="345">
        <f t="shared" ref="J23:J86" si="8">E23*F23</f>
        <v>10000</v>
      </c>
      <c r="K23" s="345">
        <v>0</v>
      </c>
      <c r="L23" s="346">
        <f>E23*H23</f>
        <v>14000</v>
      </c>
      <c r="M23" s="346">
        <f>E23*I23</f>
        <v>0</v>
      </c>
      <c r="N23" s="348">
        <f t="shared" ref="N23:N63" si="9">E23*F23*$X$2</f>
        <v>70000</v>
      </c>
      <c r="O23" s="348" t="s">
        <v>611</v>
      </c>
      <c r="P23" s="348">
        <f t="shared" ref="P23:P86" si="10">E23*H23*$X$2</f>
        <v>98000</v>
      </c>
      <c r="Q23" s="348">
        <f t="shared" ref="Q23:Q86" si="11">E23*I23*$X$2</f>
        <v>0</v>
      </c>
      <c r="R23" s="348">
        <f>SUM(N23,P23)*77</f>
        <v>12936000</v>
      </c>
      <c r="S23" s="348">
        <f>SUM(O23,Q23)*77</f>
        <v>0</v>
      </c>
      <c r="T23" s="348">
        <f>SUM(N23,P23)*28</f>
        <v>4704000</v>
      </c>
      <c r="U23" s="348">
        <f>SUM(O23,Q23)*14</f>
        <v>0</v>
      </c>
      <c r="V23" s="349" t="s">
        <v>612</v>
      </c>
      <c r="W23" s="350" t="s">
        <v>613</v>
      </c>
      <c r="X23" s="334">
        <v>1</v>
      </c>
      <c r="Y23" s="334">
        <v>0.8</v>
      </c>
      <c r="Z23" s="351">
        <f t="shared" si="5"/>
        <v>19200</v>
      </c>
      <c r="AA23" s="351">
        <f t="shared" si="5"/>
        <v>19200</v>
      </c>
      <c r="AB23" s="351">
        <f t="shared" si="6"/>
        <v>24000</v>
      </c>
      <c r="AC23" s="351">
        <f t="shared" si="6"/>
        <v>24000</v>
      </c>
      <c r="AD23" s="351">
        <f t="shared" si="6"/>
        <v>24000</v>
      </c>
      <c r="AE23" s="351">
        <f t="shared" si="6"/>
        <v>24000</v>
      </c>
      <c r="AF23" s="351">
        <f t="shared" si="6"/>
        <v>24000</v>
      </c>
      <c r="AG23" s="351">
        <f t="shared" si="6"/>
        <v>24000</v>
      </c>
      <c r="AH23" s="351">
        <f t="shared" si="7"/>
        <v>19200</v>
      </c>
      <c r="AI23" s="351">
        <f t="shared" si="7"/>
        <v>19200</v>
      </c>
      <c r="AJ23" s="351">
        <f t="shared" si="7"/>
        <v>19200</v>
      </c>
      <c r="AK23" s="351">
        <f t="shared" si="7"/>
        <v>19200</v>
      </c>
    </row>
    <row r="24" spans="2:37" ht="16.05" customHeight="1">
      <c r="B24" s="704"/>
      <c r="C24" s="707"/>
      <c r="D24" s="352" t="s">
        <v>614</v>
      </c>
      <c r="E24" s="353">
        <v>1</v>
      </c>
      <c r="F24" s="358">
        <v>10000</v>
      </c>
      <c r="G24" s="359" t="s">
        <v>611</v>
      </c>
      <c r="H24" s="359">
        <f t="shared" ref="H24:H47" si="12">10000+4000</f>
        <v>14000</v>
      </c>
      <c r="I24" s="360"/>
      <c r="J24" s="356">
        <f t="shared" si="8"/>
        <v>10000</v>
      </c>
      <c r="K24" s="345">
        <v>0</v>
      </c>
      <c r="L24" s="346">
        <f t="shared" ref="L24:L87" si="13">E24*H24</f>
        <v>14000</v>
      </c>
      <c r="M24" s="346">
        <f t="shared" ref="M24:M87" si="14">E24*I24</f>
        <v>0</v>
      </c>
      <c r="N24" s="348">
        <f t="shared" si="9"/>
        <v>70000</v>
      </c>
      <c r="O24" s="348" t="s">
        <v>611</v>
      </c>
      <c r="P24" s="348">
        <f t="shared" si="10"/>
        <v>98000</v>
      </c>
      <c r="Q24" s="348">
        <f t="shared" si="11"/>
        <v>0</v>
      </c>
      <c r="R24" s="348">
        <f t="shared" ref="R24:S87" si="15">SUM(N24,P24)*77</f>
        <v>12936000</v>
      </c>
      <c r="S24" s="348">
        <f t="shared" si="15"/>
        <v>0</v>
      </c>
      <c r="T24" s="348">
        <f t="shared" ref="T24:T87" si="16">SUM(N24,P24)*28</f>
        <v>4704000</v>
      </c>
      <c r="U24" s="348">
        <f t="shared" ref="U24:U87" si="17">SUM(O24,Q24)*14</f>
        <v>0</v>
      </c>
      <c r="V24" s="349" t="s">
        <v>612</v>
      </c>
      <c r="W24" s="350" t="s">
        <v>613</v>
      </c>
      <c r="X24" s="334">
        <v>1</v>
      </c>
      <c r="Y24" s="334">
        <v>0.8</v>
      </c>
      <c r="Z24" s="351">
        <f t="shared" si="5"/>
        <v>19200</v>
      </c>
      <c r="AA24" s="351">
        <f t="shared" si="5"/>
        <v>19200</v>
      </c>
      <c r="AB24" s="351">
        <f t="shared" si="6"/>
        <v>24000</v>
      </c>
      <c r="AC24" s="351">
        <f t="shared" si="6"/>
        <v>24000</v>
      </c>
      <c r="AD24" s="351">
        <f t="shared" si="6"/>
        <v>24000</v>
      </c>
      <c r="AE24" s="351">
        <f t="shared" si="6"/>
        <v>24000</v>
      </c>
      <c r="AF24" s="351">
        <f t="shared" si="6"/>
        <v>24000</v>
      </c>
      <c r="AG24" s="351">
        <f t="shared" si="6"/>
        <v>24000</v>
      </c>
      <c r="AH24" s="351">
        <f t="shared" si="7"/>
        <v>19200</v>
      </c>
      <c r="AI24" s="351">
        <f t="shared" si="7"/>
        <v>19200</v>
      </c>
      <c r="AJ24" s="351">
        <f t="shared" si="7"/>
        <v>19200</v>
      </c>
      <c r="AK24" s="351">
        <f t="shared" si="7"/>
        <v>19200</v>
      </c>
    </row>
    <row r="25" spans="2:37" ht="16.05" customHeight="1">
      <c r="B25" s="704"/>
      <c r="C25" s="707"/>
      <c r="D25" s="352" t="s">
        <v>616</v>
      </c>
      <c r="E25" s="353">
        <v>1</v>
      </c>
      <c r="F25" s="358">
        <v>10000</v>
      </c>
      <c r="G25" s="359" t="s">
        <v>611</v>
      </c>
      <c r="H25" s="359">
        <f t="shared" si="12"/>
        <v>14000</v>
      </c>
      <c r="I25" s="360"/>
      <c r="J25" s="356">
        <f t="shared" si="8"/>
        <v>10000</v>
      </c>
      <c r="K25" s="345">
        <v>0</v>
      </c>
      <c r="L25" s="346">
        <f t="shared" si="13"/>
        <v>14000</v>
      </c>
      <c r="M25" s="346">
        <f t="shared" si="14"/>
        <v>0</v>
      </c>
      <c r="N25" s="348">
        <f t="shared" si="9"/>
        <v>70000</v>
      </c>
      <c r="O25" s="348" t="s">
        <v>611</v>
      </c>
      <c r="P25" s="348">
        <f t="shared" si="10"/>
        <v>98000</v>
      </c>
      <c r="Q25" s="348">
        <f t="shared" si="11"/>
        <v>0</v>
      </c>
      <c r="R25" s="348">
        <f t="shared" si="15"/>
        <v>12936000</v>
      </c>
      <c r="S25" s="348">
        <f t="shared" si="15"/>
        <v>0</v>
      </c>
      <c r="T25" s="348">
        <f t="shared" si="16"/>
        <v>4704000</v>
      </c>
      <c r="U25" s="348">
        <f t="shared" si="17"/>
        <v>0</v>
      </c>
      <c r="V25" s="349" t="s">
        <v>612</v>
      </c>
      <c r="W25" s="350" t="s">
        <v>613</v>
      </c>
      <c r="X25" s="334">
        <v>1</v>
      </c>
      <c r="Y25" s="334">
        <v>0.8</v>
      </c>
      <c r="Z25" s="351">
        <f t="shared" si="5"/>
        <v>19200</v>
      </c>
      <c r="AA25" s="351">
        <f t="shared" si="5"/>
        <v>19200</v>
      </c>
      <c r="AB25" s="351">
        <f t="shared" si="6"/>
        <v>24000</v>
      </c>
      <c r="AC25" s="351">
        <f t="shared" si="6"/>
        <v>24000</v>
      </c>
      <c r="AD25" s="351">
        <f t="shared" si="6"/>
        <v>24000</v>
      </c>
      <c r="AE25" s="351">
        <f t="shared" si="6"/>
        <v>24000</v>
      </c>
      <c r="AF25" s="351">
        <f t="shared" si="6"/>
        <v>24000</v>
      </c>
      <c r="AG25" s="351">
        <f t="shared" si="6"/>
        <v>24000</v>
      </c>
      <c r="AH25" s="351">
        <f t="shared" si="7"/>
        <v>19200</v>
      </c>
      <c r="AI25" s="351">
        <f t="shared" si="7"/>
        <v>19200</v>
      </c>
      <c r="AJ25" s="351">
        <f t="shared" si="7"/>
        <v>19200</v>
      </c>
      <c r="AK25" s="351">
        <f t="shared" si="7"/>
        <v>19200</v>
      </c>
    </row>
    <row r="26" spans="2:37" ht="39.6">
      <c r="B26" s="704"/>
      <c r="C26" s="707"/>
      <c r="D26" s="352" t="s">
        <v>618</v>
      </c>
      <c r="E26" s="353">
        <v>1</v>
      </c>
      <c r="F26" s="358">
        <v>10000</v>
      </c>
      <c r="G26" s="359" t="s">
        <v>611</v>
      </c>
      <c r="H26" s="359">
        <f t="shared" si="12"/>
        <v>14000</v>
      </c>
      <c r="I26" s="360"/>
      <c r="J26" s="356">
        <f t="shared" si="8"/>
        <v>10000</v>
      </c>
      <c r="K26" s="345">
        <v>0</v>
      </c>
      <c r="L26" s="346">
        <f t="shared" si="13"/>
        <v>14000</v>
      </c>
      <c r="M26" s="346">
        <f t="shared" si="14"/>
        <v>0</v>
      </c>
      <c r="N26" s="348">
        <f t="shared" si="9"/>
        <v>70000</v>
      </c>
      <c r="O26" s="348" t="s">
        <v>611</v>
      </c>
      <c r="P26" s="348">
        <f t="shared" si="10"/>
        <v>98000</v>
      </c>
      <c r="Q26" s="348">
        <f t="shared" si="11"/>
        <v>0</v>
      </c>
      <c r="R26" s="348">
        <f t="shared" si="15"/>
        <v>12936000</v>
      </c>
      <c r="S26" s="348">
        <f t="shared" si="15"/>
        <v>0</v>
      </c>
      <c r="T26" s="348">
        <f t="shared" si="16"/>
        <v>4704000</v>
      </c>
      <c r="U26" s="348">
        <f t="shared" si="17"/>
        <v>0</v>
      </c>
      <c r="V26" s="349" t="s">
        <v>612</v>
      </c>
      <c r="W26" s="361" t="s">
        <v>631</v>
      </c>
      <c r="X26" s="334">
        <v>1</v>
      </c>
      <c r="Y26" s="334">
        <v>0.8</v>
      </c>
      <c r="Z26" s="351"/>
      <c r="AA26" s="351">
        <f t="shared" si="5"/>
        <v>19200</v>
      </c>
      <c r="AB26" s="351">
        <f t="shared" si="6"/>
        <v>24000</v>
      </c>
      <c r="AC26" s="351">
        <f t="shared" si="6"/>
        <v>24000</v>
      </c>
      <c r="AD26" s="351">
        <f t="shared" si="6"/>
        <v>24000</v>
      </c>
      <c r="AE26" s="351">
        <f t="shared" si="6"/>
        <v>24000</v>
      </c>
      <c r="AF26" s="351">
        <f t="shared" si="6"/>
        <v>24000</v>
      </c>
      <c r="AG26" s="351">
        <f t="shared" si="6"/>
        <v>24000</v>
      </c>
      <c r="AH26" s="351">
        <f t="shared" si="7"/>
        <v>19200</v>
      </c>
      <c r="AI26" s="351">
        <f t="shared" si="7"/>
        <v>19200</v>
      </c>
      <c r="AJ26" s="351"/>
      <c r="AK26" s="351"/>
    </row>
    <row r="27" spans="2:37" ht="16.05" customHeight="1">
      <c r="B27" s="704"/>
      <c r="C27" s="707"/>
      <c r="D27" s="352" t="s">
        <v>619</v>
      </c>
      <c r="E27" s="353">
        <v>1</v>
      </c>
      <c r="F27" s="358">
        <v>10000</v>
      </c>
      <c r="G27" s="359" t="s">
        <v>611</v>
      </c>
      <c r="H27" s="359">
        <f t="shared" si="12"/>
        <v>14000</v>
      </c>
      <c r="I27" s="360"/>
      <c r="J27" s="356">
        <f t="shared" si="8"/>
        <v>10000</v>
      </c>
      <c r="K27" s="345">
        <v>0</v>
      </c>
      <c r="L27" s="346">
        <f t="shared" si="13"/>
        <v>14000</v>
      </c>
      <c r="M27" s="346">
        <f t="shared" si="14"/>
        <v>0</v>
      </c>
      <c r="N27" s="348">
        <f t="shared" si="9"/>
        <v>70000</v>
      </c>
      <c r="O27" s="348" t="s">
        <v>611</v>
      </c>
      <c r="P27" s="348">
        <f t="shared" si="10"/>
        <v>98000</v>
      </c>
      <c r="Q27" s="348">
        <f t="shared" si="11"/>
        <v>0</v>
      </c>
      <c r="R27" s="348">
        <f t="shared" si="15"/>
        <v>12936000</v>
      </c>
      <c r="S27" s="348">
        <f t="shared" si="15"/>
        <v>0</v>
      </c>
      <c r="T27" s="348">
        <f t="shared" si="16"/>
        <v>4704000</v>
      </c>
      <c r="U27" s="348">
        <f t="shared" si="17"/>
        <v>0</v>
      </c>
      <c r="V27" s="349" t="s">
        <v>612</v>
      </c>
      <c r="W27" s="350" t="s">
        <v>613</v>
      </c>
      <c r="X27" s="334">
        <v>1</v>
      </c>
      <c r="Y27" s="334">
        <v>0.8</v>
      </c>
      <c r="Z27" s="351">
        <f t="shared" si="5"/>
        <v>19200</v>
      </c>
      <c r="AA27" s="351">
        <f t="shared" si="5"/>
        <v>19200</v>
      </c>
      <c r="AB27" s="351">
        <f t="shared" si="6"/>
        <v>24000</v>
      </c>
      <c r="AC27" s="351">
        <f t="shared" si="6"/>
        <v>24000</v>
      </c>
      <c r="AD27" s="351">
        <f t="shared" si="6"/>
        <v>24000</v>
      </c>
      <c r="AE27" s="351">
        <f t="shared" si="6"/>
        <v>24000</v>
      </c>
      <c r="AF27" s="351">
        <f t="shared" si="6"/>
        <v>24000</v>
      </c>
      <c r="AG27" s="351">
        <f t="shared" si="6"/>
        <v>24000</v>
      </c>
      <c r="AH27" s="351">
        <f t="shared" si="7"/>
        <v>19200</v>
      </c>
      <c r="AI27" s="351">
        <f t="shared" si="7"/>
        <v>19200</v>
      </c>
      <c r="AJ27" s="351">
        <f t="shared" si="7"/>
        <v>19200</v>
      </c>
      <c r="AK27" s="351">
        <f t="shared" si="7"/>
        <v>19200</v>
      </c>
    </row>
    <row r="28" spans="2:37" ht="39.6">
      <c r="B28" s="704"/>
      <c r="C28" s="707"/>
      <c r="D28" s="352" t="s">
        <v>620</v>
      </c>
      <c r="E28" s="353">
        <v>8</v>
      </c>
      <c r="F28" s="358">
        <v>10000</v>
      </c>
      <c r="G28" s="359" t="s">
        <v>611</v>
      </c>
      <c r="H28" s="359">
        <f t="shared" si="12"/>
        <v>14000</v>
      </c>
      <c r="I28" s="360"/>
      <c r="J28" s="356">
        <f t="shared" si="8"/>
        <v>80000</v>
      </c>
      <c r="K28" s="345">
        <v>0</v>
      </c>
      <c r="L28" s="346">
        <f t="shared" si="13"/>
        <v>112000</v>
      </c>
      <c r="M28" s="346">
        <f t="shared" si="14"/>
        <v>0</v>
      </c>
      <c r="N28" s="348">
        <f t="shared" si="9"/>
        <v>560000</v>
      </c>
      <c r="O28" s="348" t="s">
        <v>611</v>
      </c>
      <c r="P28" s="348">
        <f t="shared" si="10"/>
        <v>784000</v>
      </c>
      <c r="Q28" s="348">
        <f t="shared" si="11"/>
        <v>0</v>
      </c>
      <c r="R28" s="348">
        <f t="shared" si="15"/>
        <v>103488000</v>
      </c>
      <c r="S28" s="348">
        <f t="shared" si="15"/>
        <v>0</v>
      </c>
      <c r="T28" s="348">
        <f t="shared" si="16"/>
        <v>37632000</v>
      </c>
      <c r="U28" s="348">
        <f t="shared" si="17"/>
        <v>0</v>
      </c>
      <c r="V28" s="349" t="s">
        <v>612</v>
      </c>
      <c r="W28" s="361" t="s">
        <v>632</v>
      </c>
      <c r="X28" s="334">
        <v>1</v>
      </c>
      <c r="Y28" s="334">
        <v>0.8</v>
      </c>
      <c r="Z28" s="351"/>
      <c r="AA28" s="351">
        <f>($J28+$K28+$L28+$M28)*$Y28*0.5</f>
        <v>76800</v>
      </c>
      <c r="AB28" s="351">
        <f t="shared" si="6"/>
        <v>192000</v>
      </c>
      <c r="AC28" s="351">
        <f t="shared" si="6"/>
        <v>192000</v>
      </c>
      <c r="AD28" s="351">
        <f t="shared" si="6"/>
        <v>192000</v>
      </c>
      <c r="AE28" s="351">
        <f t="shared" si="6"/>
        <v>192000</v>
      </c>
      <c r="AF28" s="351">
        <f t="shared" si="6"/>
        <v>192000</v>
      </c>
      <c r="AG28" s="351">
        <f t="shared" si="6"/>
        <v>192000</v>
      </c>
      <c r="AH28" s="351">
        <f t="shared" si="7"/>
        <v>153600</v>
      </c>
      <c r="AI28" s="351">
        <f t="shared" si="7"/>
        <v>153600</v>
      </c>
      <c r="AJ28" s="351">
        <f>($J28+$K28+$L28+$M28)*$Y28*0.5</f>
        <v>76800</v>
      </c>
      <c r="AK28" s="351"/>
    </row>
    <row r="29" spans="2:37" ht="16.05" customHeight="1">
      <c r="B29" s="704"/>
      <c r="C29" s="707"/>
      <c r="D29" s="352" t="s">
        <v>621</v>
      </c>
      <c r="E29" s="353">
        <v>1</v>
      </c>
      <c r="F29" s="358">
        <v>10000</v>
      </c>
      <c r="G29" s="359" t="s">
        <v>611</v>
      </c>
      <c r="H29" s="359">
        <f t="shared" si="12"/>
        <v>14000</v>
      </c>
      <c r="I29" s="360"/>
      <c r="J29" s="356">
        <f t="shared" si="8"/>
        <v>10000</v>
      </c>
      <c r="K29" s="345">
        <v>0</v>
      </c>
      <c r="L29" s="346">
        <f t="shared" si="13"/>
        <v>14000</v>
      </c>
      <c r="M29" s="346">
        <f t="shared" si="14"/>
        <v>0</v>
      </c>
      <c r="N29" s="348">
        <f t="shared" si="9"/>
        <v>70000</v>
      </c>
      <c r="O29" s="348" t="s">
        <v>611</v>
      </c>
      <c r="P29" s="348">
        <f t="shared" si="10"/>
        <v>98000</v>
      </c>
      <c r="Q29" s="348">
        <f t="shared" si="11"/>
        <v>0</v>
      </c>
      <c r="R29" s="348">
        <f t="shared" si="15"/>
        <v>12936000</v>
      </c>
      <c r="S29" s="348">
        <f t="shared" si="15"/>
        <v>0</v>
      </c>
      <c r="T29" s="348">
        <f t="shared" si="16"/>
        <v>4704000</v>
      </c>
      <c r="U29" s="348">
        <f t="shared" si="17"/>
        <v>0</v>
      </c>
      <c r="V29" s="349" t="s">
        <v>612</v>
      </c>
      <c r="W29" s="350" t="s">
        <v>613</v>
      </c>
      <c r="X29" s="334">
        <v>1</v>
      </c>
      <c r="Y29" s="334">
        <v>0.8</v>
      </c>
      <c r="Z29" s="351">
        <f t="shared" si="5"/>
        <v>19200</v>
      </c>
      <c r="AA29" s="351">
        <f t="shared" si="5"/>
        <v>19200</v>
      </c>
      <c r="AB29" s="351">
        <f t="shared" si="6"/>
        <v>24000</v>
      </c>
      <c r="AC29" s="351">
        <f t="shared" si="6"/>
        <v>24000</v>
      </c>
      <c r="AD29" s="351">
        <f t="shared" si="6"/>
        <v>24000</v>
      </c>
      <c r="AE29" s="351">
        <f t="shared" si="6"/>
        <v>24000</v>
      </c>
      <c r="AF29" s="351">
        <f t="shared" si="6"/>
        <v>24000</v>
      </c>
      <c r="AG29" s="351">
        <f t="shared" si="6"/>
        <v>24000</v>
      </c>
      <c r="AH29" s="351">
        <f t="shared" si="7"/>
        <v>19200</v>
      </c>
      <c r="AI29" s="351">
        <f t="shared" si="7"/>
        <v>19200</v>
      </c>
      <c r="AJ29" s="351">
        <f t="shared" si="7"/>
        <v>19200</v>
      </c>
      <c r="AK29" s="351">
        <f t="shared" si="7"/>
        <v>19200</v>
      </c>
    </row>
    <row r="30" spans="2:37" ht="39.6">
      <c r="B30" s="704"/>
      <c r="C30" s="707"/>
      <c r="D30" s="352" t="s">
        <v>623</v>
      </c>
      <c r="E30" s="353">
        <v>1</v>
      </c>
      <c r="F30" s="358">
        <v>10000</v>
      </c>
      <c r="G30" s="359" t="s">
        <v>611</v>
      </c>
      <c r="H30" s="359">
        <f t="shared" si="12"/>
        <v>14000</v>
      </c>
      <c r="I30" s="360"/>
      <c r="J30" s="356">
        <f t="shared" si="8"/>
        <v>10000</v>
      </c>
      <c r="K30" s="345">
        <v>0</v>
      </c>
      <c r="L30" s="346">
        <f t="shared" si="13"/>
        <v>14000</v>
      </c>
      <c r="M30" s="346">
        <f t="shared" si="14"/>
        <v>0</v>
      </c>
      <c r="N30" s="348">
        <f t="shared" si="9"/>
        <v>70000</v>
      </c>
      <c r="O30" s="348" t="s">
        <v>611</v>
      </c>
      <c r="P30" s="348">
        <f t="shared" si="10"/>
        <v>98000</v>
      </c>
      <c r="Q30" s="348">
        <f t="shared" si="11"/>
        <v>0</v>
      </c>
      <c r="R30" s="348">
        <f t="shared" si="15"/>
        <v>12936000</v>
      </c>
      <c r="S30" s="348">
        <f t="shared" si="15"/>
        <v>0</v>
      </c>
      <c r="T30" s="348">
        <f t="shared" si="16"/>
        <v>4704000</v>
      </c>
      <c r="U30" s="348">
        <f t="shared" si="17"/>
        <v>0</v>
      </c>
      <c r="V30" s="349" t="s">
        <v>612</v>
      </c>
      <c r="W30" s="361" t="s">
        <v>633</v>
      </c>
      <c r="X30" s="334">
        <v>1</v>
      </c>
      <c r="Y30" s="334">
        <v>0.8</v>
      </c>
      <c r="Z30" s="351"/>
      <c r="AA30" s="351"/>
      <c r="AB30" s="351">
        <f t="shared" si="6"/>
        <v>24000</v>
      </c>
      <c r="AC30" s="351">
        <f t="shared" si="6"/>
        <v>24000</v>
      </c>
      <c r="AD30" s="351">
        <f t="shared" si="6"/>
        <v>24000</v>
      </c>
      <c r="AE30" s="351">
        <f t="shared" si="6"/>
        <v>24000</v>
      </c>
      <c r="AF30" s="351">
        <f t="shared" si="6"/>
        <v>24000</v>
      </c>
      <c r="AG30" s="351">
        <f t="shared" si="6"/>
        <v>24000</v>
      </c>
      <c r="AH30" s="351">
        <f t="shared" si="7"/>
        <v>19200</v>
      </c>
      <c r="AI30" s="351">
        <f t="shared" si="7"/>
        <v>19200</v>
      </c>
      <c r="AJ30" s="351">
        <f t="shared" si="7"/>
        <v>19200</v>
      </c>
      <c r="AK30" s="351"/>
    </row>
    <row r="31" spans="2:37" ht="22.05" customHeight="1">
      <c r="B31" s="704"/>
      <c r="C31" s="707"/>
      <c r="D31" s="352" t="s">
        <v>627</v>
      </c>
      <c r="E31" s="353">
        <v>1</v>
      </c>
      <c r="F31" s="358">
        <v>10000</v>
      </c>
      <c r="G31" s="359" t="s">
        <v>611</v>
      </c>
      <c r="H31" s="359">
        <f t="shared" si="12"/>
        <v>14000</v>
      </c>
      <c r="I31" s="360"/>
      <c r="J31" s="356">
        <f t="shared" si="8"/>
        <v>10000</v>
      </c>
      <c r="K31" s="345">
        <v>0</v>
      </c>
      <c r="L31" s="346">
        <f t="shared" si="13"/>
        <v>14000</v>
      </c>
      <c r="M31" s="346">
        <f t="shared" si="14"/>
        <v>0</v>
      </c>
      <c r="N31" s="348">
        <f t="shared" si="9"/>
        <v>70000</v>
      </c>
      <c r="O31" s="348" t="s">
        <v>611</v>
      </c>
      <c r="P31" s="348">
        <f t="shared" si="10"/>
        <v>98000</v>
      </c>
      <c r="Q31" s="348">
        <f t="shared" si="11"/>
        <v>0</v>
      </c>
      <c r="R31" s="348">
        <f t="shared" si="15"/>
        <v>12936000</v>
      </c>
      <c r="S31" s="348">
        <f t="shared" si="15"/>
        <v>0</v>
      </c>
      <c r="T31" s="348">
        <f t="shared" si="16"/>
        <v>4704000</v>
      </c>
      <c r="U31" s="348">
        <f t="shared" si="17"/>
        <v>0</v>
      </c>
      <c r="V31" s="349" t="s">
        <v>612</v>
      </c>
      <c r="W31" s="362" t="s">
        <v>634</v>
      </c>
      <c r="X31" s="334">
        <v>1</v>
      </c>
      <c r="Y31" s="334">
        <v>0.8</v>
      </c>
      <c r="Z31" s="351">
        <f t="shared" si="5"/>
        <v>19200</v>
      </c>
      <c r="AA31" s="351">
        <f t="shared" si="5"/>
        <v>19200</v>
      </c>
      <c r="AB31" s="351">
        <f t="shared" si="6"/>
        <v>24000</v>
      </c>
      <c r="AC31" s="351">
        <f t="shared" si="6"/>
        <v>24000</v>
      </c>
      <c r="AD31" s="351">
        <f t="shared" si="6"/>
        <v>24000</v>
      </c>
      <c r="AE31" s="351">
        <f t="shared" si="6"/>
        <v>24000</v>
      </c>
      <c r="AF31" s="351">
        <f t="shared" si="6"/>
        <v>24000</v>
      </c>
      <c r="AG31" s="351">
        <f t="shared" si="6"/>
        <v>24000</v>
      </c>
      <c r="AH31" s="351">
        <f t="shared" si="7"/>
        <v>19200</v>
      </c>
      <c r="AI31" s="351">
        <f t="shared" si="7"/>
        <v>19200</v>
      </c>
      <c r="AJ31" s="351">
        <f t="shared" si="7"/>
        <v>19200</v>
      </c>
      <c r="AK31" s="351">
        <f t="shared" si="7"/>
        <v>19200</v>
      </c>
    </row>
    <row r="32" spans="2:37" ht="13.05" customHeight="1">
      <c r="B32" s="704"/>
      <c r="C32" s="700" t="s">
        <v>635</v>
      </c>
      <c r="D32" s="352" t="s">
        <v>583</v>
      </c>
      <c r="E32" s="353">
        <v>5</v>
      </c>
      <c r="F32" s="358">
        <v>10000</v>
      </c>
      <c r="G32" s="359" t="s">
        <v>611</v>
      </c>
      <c r="H32" s="359">
        <f t="shared" si="12"/>
        <v>14000</v>
      </c>
      <c r="I32" s="355"/>
      <c r="J32" s="356">
        <f t="shared" si="8"/>
        <v>50000</v>
      </c>
      <c r="K32" s="345">
        <v>0</v>
      </c>
      <c r="L32" s="346">
        <f t="shared" si="13"/>
        <v>70000</v>
      </c>
      <c r="M32" s="346">
        <f t="shared" si="14"/>
        <v>0</v>
      </c>
      <c r="N32" s="348">
        <f t="shared" si="9"/>
        <v>350000</v>
      </c>
      <c r="O32" s="348" t="s">
        <v>611</v>
      </c>
      <c r="P32" s="348">
        <f t="shared" si="10"/>
        <v>490000</v>
      </c>
      <c r="Q32" s="348">
        <f t="shared" si="11"/>
        <v>0</v>
      </c>
      <c r="R32" s="348">
        <f t="shared" si="15"/>
        <v>64680000</v>
      </c>
      <c r="S32" s="348">
        <f t="shared" si="15"/>
        <v>0</v>
      </c>
      <c r="T32" s="348">
        <f t="shared" si="16"/>
        <v>23520000</v>
      </c>
      <c r="U32" s="348">
        <f t="shared" si="17"/>
        <v>0</v>
      </c>
      <c r="V32" s="349" t="s">
        <v>612</v>
      </c>
      <c r="W32" s="362" t="s">
        <v>634</v>
      </c>
      <c r="X32" s="334">
        <v>1</v>
      </c>
      <c r="Y32" s="334">
        <v>0.8</v>
      </c>
      <c r="Z32" s="351">
        <f t="shared" si="5"/>
        <v>96000</v>
      </c>
      <c r="AA32" s="351">
        <f t="shared" si="5"/>
        <v>96000</v>
      </c>
      <c r="AB32" s="351">
        <f t="shared" si="6"/>
        <v>120000</v>
      </c>
      <c r="AC32" s="351">
        <f t="shared" si="6"/>
        <v>120000</v>
      </c>
      <c r="AD32" s="351">
        <f t="shared" si="6"/>
        <v>120000</v>
      </c>
      <c r="AE32" s="351">
        <f t="shared" si="6"/>
        <v>120000</v>
      </c>
      <c r="AF32" s="351">
        <f t="shared" si="6"/>
        <v>120000</v>
      </c>
      <c r="AG32" s="351">
        <f t="shared" si="6"/>
        <v>120000</v>
      </c>
      <c r="AH32" s="351">
        <f t="shared" si="7"/>
        <v>96000</v>
      </c>
      <c r="AI32" s="351">
        <f t="shared" si="7"/>
        <v>96000</v>
      </c>
      <c r="AJ32" s="351">
        <f t="shared" si="7"/>
        <v>96000</v>
      </c>
      <c r="AK32" s="351">
        <f t="shared" si="7"/>
        <v>96000</v>
      </c>
    </row>
    <row r="33" spans="2:37">
      <c r="B33" s="704"/>
      <c r="C33" s="708"/>
      <c r="D33" s="352" t="s">
        <v>614</v>
      </c>
      <c r="E33" s="353">
        <v>5</v>
      </c>
      <c r="F33" s="358">
        <v>10000</v>
      </c>
      <c r="G33" s="359" t="s">
        <v>611</v>
      </c>
      <c r="H33" s="359">
        <f t="shared" si="12"/>
        <v>14000</v>
      </c>
      <c r="I33" s="360"/>
      <c r="J33" s="356">
        <f t="shared" si="8"/>
        <v>50000</v>
      </c>
      <c r="K33" s="345">
        <v>0</v>
      </c>
      <c r="L33" s="346">
        <f t="shared" si="13"/>
        <v>70000</v>
      </c>
      <c r="M33" s="346">
        <f t="shared" si="14"/>
        <v>0</v>
      </c>
      <c r="N33" s="348">
        <f t="shared" si="9"/>
        <v>350000</v>
      </c>
      <c r="O33" s="348" t="s">
        <v>611</v>
      </c>
      <c r="P33" s="348">
        <f t="shared" si="10"/>
        <v>490000</v>
      </c>
      <c r="Q33" s="348">
        <f t="shared" si="11"/>
        <v>0</v>
      </c>
      <c r="R33" s="348">
        <f t="shared" si="15"/>
        <v>64680000</v>
      </c>
      <c r="S33" s="348">
        <f t="shared" si="15"/>
        <v>0</v>
      </c>
      <c r="T33" s="348">
        <f t="shared" si="16"/>
        <v>23520000</v>
      </c>
      <c r="U33" s="348">
        <f t="shared" si="17"/>
        <v>0</v>
      </c>
      <c r="V33" s="349" t="s">
        <v>612</v>
      </c>
      <c r="W33" s="362" t="s">
        <v>634</v>
      </c>
      <c r="X33" s="334">
        <v>1</v>
      </c>
      <c r="Y33" s="334">
        <v>0.8</v>
      </c>
      <c r="Z33" s="351">
        <f t="shared" si="5"/>
        <v>96000</v>
      </c>
      <c r="AA33" s="351">
        <f t="shared" si="5"/>
        <v>96000</v>
      </c>
      <c r="AB33" s="351">
        <f t="shared" si="6"/>
        <v>120000</v>
      </c>
      <c r="AC33" s="351">
        <f t="shared" si="6"/>
        <v>120000</v>
      </c>
      <c r="AD33" s="351">
        <f t="shared" si="6"/>
        <v>120000</v>
      </c>
      <c r="AE33" s="351">
        <f t="shared" si="6"/>
        <v>120000</v>
      </c>
      <c r="AF33" s="351">
        <f t="shared" si="6"/>
        <v>120000</v>
      </c>
      <c r="AG33" s="351">
        <f t="shared" si="6"/>
        <v>120000</v>
      </c>
      <c r="AH33" s="351">
        <f t="shared" si="7"/>
        <v>96000</v>
      </c>
      <c r="AI33" s="351">
        <f t="shared" si="7"/>
        <v>96000</v>
      </c>
      <c r="AJ33" s="351">
        <f t="shared" si="7"/>
        <v>96000</v>
      </c>
      <c r="AK33" s="351">
        <f t="shared" si="7"/>
        <v>96000</v>
      </c>
    </row>
    <row r="34" spans="2:37" ht="16.05" customHeight="1">
      <c r="B34" s="704"/>
      <c r="C34" s="708"/>
      <c r="D34" s="352" t="s">
        <v>615</v>
      </c>
      <c r="E34" s="353">
        <v>18</v>
      </c>
      <c r="F34" s="358">
        <v>10000</v>
      </c>
      <c r="G34" s="359" t="s">
        <v>611</v>
      </c>
      <c r="H34" s="359">
        <f t="shared" si="12"/>
        <v>14000</v>
      </c>
      <c r="I34" s="355"/>
      <c r="J34" s="356">
        <f t="shared" si="8"/>
        <v>180000</v>
      </c>
      <c r="K34" s="345">
        <v>0</v>
      </c>
      <c r="L34" s="346">
        <f t="shared" si="13"/>
        <v>252000</v>
      </c>
      <c r="M34" s="346">
        <f t="shared" si="14"/>
        <v>0</v>
      </c>
      <c r="N34" s="348">
        <f t="shared" si="9"/>
        <v>1260000</v>
      </c>
      <c r="O34" s="348" t="s">
        <v>611</v>
      </c>
      <c r="P34" s="348">
        <f t="shared" si="10"/>
        <v>1764000</v>
      </c>
      <c r="Q34" s="348">
        <f t="shared" si="11"/>
        <v>0</v>
      </c>
      <c r="R34" s="348">
        <f t="shared" si="15"/>
        <v>232848000</v>
      </c>
      <c r="S34" s="348">
        <f t="shared" si="15"/>
        <v>0</v>
      </c>
      <c r="T34" s="348">
        <f t="shared" si="16"/>
        <v>84672000</v>
      </c>
      <c r="U34" s="348">
        <f t="shared" si="17"/>
        <v>0</v>
      </c>
      <c r="V34" s="349" t="s">
        <v>612</v>
      </c>
      <c r="W34" s="362" t="s">
        <v>634</v>
      </c>
      <c r="X34" s="334">
        <v>1</v>
      </c>
      <c r="Y34" s="334">
        <v>0.8</v>
      </c>
      <c r="Z34" s="351">
        <f t="shared" si="5"/>
        <v>345600</v>
      </c>
      <c r="AA34" s="351">
        <f t="shared" si="5"/>
        <v>345600</v>
      </c>
      <c r="AB34" s="351">
        <f t="shared" si="6"/>
        <v>432000</v>
      </c>
      <c r="AC34" s="351">
        <f t="shared" si="6"/>
        <v>432000</v>
      </c>
      <c r="AD34" s="351">
        <f t="shared" si="6"/>
        <v>432000</v>
      </c>
      <c r="AE34" s="351">
        <f t="shared" si="6"/>
        <v>432000</v>
      </c>
      <c r="AF34" s="351">
        <f t="shared" si="6"/>
        <v>432000</v>
      </c>
      <c r="AG34" s="351">
        <f t="shared" si="6"/>
        <v>432000</v>
      </c>
      <c r="AH34" s="351">
        <f t="shared" si="7"/>
        <v>345600</v>
      </c>
      <c r="AI34" s="351">
        <f t="shared" si="7"/>
        <v>345600</v>
      </c>
      <c r="AJ34" s="351">
        <f t="shared" si="7"/>
        <v>345600</v>
      </c>
      <c r="AK34" s="351">
        <f t="shared" si="7"/>
        <v>345600</v>
      </c>
    </row>
    <row r="35" spans="2:37" ht="16.05" customHeight="1">
      <c r="B35" s="704"/>
      <c r="C35" s="708"/>
      <c r="D35" s="352" t="s">
        <v>616</v>
      </c>
      <c r="E35" s="353">
        <v>2</v>
      </c>
      <c r="F35" s="358">
        <v>10000</v>
      </c>
      <c r="G35" s="359" t="s">
        <v>611</v>
      </c>
      <c r="H35" s="359">
        <f t="shared" si="12"/>
        <v>14000</v>
      </c>
      <c r="I35" s="355"/>
      <c r="J35" s="356">
        <f t="shared" si="8"/>
        <v>20000</v>
      </c>
      <c r="K35" s="345">
        <v>0</v>
      </c>
      <c r="L35" s="346">
        <f t="shared" si="13"/>
        <v>28000</v>
      </c>
      <c r="M35" s="346">
        <f t="shared" si="14"/>
        <v>0</v>
      </c>
      <c r="N35" s="348">
        <f t="shared" si="9"/>
        <v>140000</v>
      </c>
      <c r="O35" s="348" t="s">
        <v>611</v>
      </c>
      <c r="P35" s="348">
        <f t="shared" si="10"/>
        <v>196000</v>
      </c>
      <c r="Q35" s="348">
        <f t="shared" si="11"/>
        <v>0</v>
      </c>
      <c r="R35" s="348">
        <f t="shared" si="15"/>
        <v>25872000</v>
      </c>
      <c r="S35" s="348">
        <f t="shared" si="15"/>
        <v>0</v>
      </c>
      <c r="T35" s="348">
        <f t="shared" si="16"/>
        <v>9408000</v>
      </c>
      <c r="U35" s="348">
        <f t="shared" si="17"/>
        <v>0</v>
      </c>
      <c r="V35" s="349" t="s">
        <v>612</v>
      </c>
      <c r="W35" s="362" t="s">
        <v>634</v>
      </c>
      <c r="X35" s="334">
        <v>1</v>
      </c>
      <c r="Y35" s="334">
        <v>0.8</v>
      </c>
      <c r="Z35" s="351">
        <f t="shared" si="5"/>
        <v>38400</v>
      </c>
      <c r="AA35" s="351">
        <f t="shared" si="5"/>
        <v>38400</v>
      </c>
      <c r="AB35" s="351">
        <f t="shared" si="6"/>
        <v>48000</v>
      </c>
      <c r="AC35" s="351">
        <f t="shared" si="6"/>
        <v>48000</v>
      </c>
      <c r="AD35" s="351">
        <f t="shared" si="6"/>
        <v>48000</v>
      </c>
      <c r="AE35" s="351">
        <f t="shared" si="6"/>
        <v>48000</v>
      </c>
      <c r="AF35" s="351">
        <f t="shared" si="6"/>
        <v>48000</v>
      </c>
      <c r="AG35" s="351">
        <f t="shared" si="6"/>
        <v>48000</v>
      </c>
      <c r="AH35" s="351">
        <f t="shared" si="7"/>
        <v>38400</v>
      </c>
      <c r="AI35" s="351">
        <f t="shared" si="7"/>
        <v>38400</v>
      </c>
      <c r="AJ35" s="351">
        <f t="shared" si="7"/>
        <v>38400</v>
      </c>
      <c r="AK35" s="351">
        <f t="shared" si="7"/>
        <v>38400</v>
      </c>
    </row>
    <row r="36" spans="2:37" ht="16.05" customHeight="1">
      <c r="B36" s="704"/>
      <c r="C36" s="708"/>
      <c r="D36" s="352" t="s">
        <v>617</v>
      </c>
      <c r="E36" s="353">
        <v>69</v>
      </c>
      <c r="F36" s="358">
        <v>10000</v>
      </c>
      <c r="G36" s="359" t="s">
        <v>611</v>
      </c>
      <c r="H36" s="359">
        <f t="shared" si="12"/>
        <v>14000</v>
      </c>
      <c r="I36" s="355"/>
      <c r="J36" s="356">
        <f t="shared" si="8"/>
        <v>690000</v>
      </c>
      <c r="K36" s="345">
        <v>0</v>
      </c>
      <c r="L36" s="346">
        <f t="shared" si="13"/>
        <v>966000</v>
      </c>
      <c r="M36" s="346">
        <f t="shared" si="14"/>
        <v>0</v>
      </c>
      <c r="N36" s="348">
        <f t="shared" si="9"/>
        <v>4830000</v>
      </c>
      <c r="O36" s="348" t="s">
        <v>611</v>
      </c>
      <c r="P36" s="348">
        <f t="shared" si="10"/>
        <v>6762000</v>
      </c>
      <c r="Q36" s="348">
        <f t="shared" si="11"/>
        <v>0</v>
      </c>
      <c r="R36" s="348">
        <f t="shared" si="15"/>
        <v>892584000</v>
      </c>
      <c r="S36" s="348">
        <f t="shared" si="15"/>
        <v>0</v>
      </c>
      <c r="T36" s="348">
        <f t="shared" si="16"/>
        <v>324576000</v>
      </c>
      <c r="U36" s="348">
        <f t="shared" si="17"/>
        <v>0</v>
      </c>
      <c r="V36" s="349" t="s">
        <v>612</v>
      </c>
      <c r="W36" s="362" t="s">
        <v>634</v>
      </c>
      <c r="X36" s="334">
        <v>1</v>
      </c>
      <c r="Y36" s="334">
        <v>0.8</v>
      </c>
      <c r="Z36" s="351">
        <f t="shared" si="5"/>
        <v>1324800</v>
      </c>
      <c r="AA36" s="351">
        <f t="shared" si="5"/>
        <v>1324800</v>
      </c>
      <c r="AB36" s="351">
        <f t="shared" si="6"/>
        <v>1656000</v>
      </c>
      <c r="AC36" s="351">
        <f t="shared" si="6"/>
        <v>1656000</v>
      </c>
      <c r="AD36" s="351">
        <f t="shared" si="6"/>
        <v>1656000</v>
      </c>
      <c r="AE36" s="351">
        <f t="shared" si="6"/>
        <v>1656000</v>
      </c>
      <c r="AF36" s="351">
        <f t="shared" si="6"/>
        <v>1656000</v>
      </c>
      <c r="AG36" s="351">
        <f t="shared" si="6"/>
        <v>1656000</v>
      </c>
      <c r="AH36" s="351">
        <f t="shared" si="7"/>
        <v>1324800</v>
      </c>
      <c r="AI36" s="351">
        <f t="shared" si="7"/>
        <v>1324800</v>
      </c>
      <c r="AJ36" s="351">
        <f t="shared" si="7"/>
        <v>1324800</v>
      </c>
      <c r="AK36" s="351">
        <f t="shared" si="7"/>
        <v>1324800</v>
      </c>
    </row>
    <row r="37" spans="2:37" ht="39.6">
      <c r="B37" s="704"/>
      <c r="C37" s="708"/>
      <c r="D37" s="352" t="s">
        <v>618</v>
      </c>
      <c r="E37" s="353">
        <v>50</v>
      </c>
      <c r="F37" s="358">
        <v>10000</v>
      </c>
      <c r="G37" s="359" t="s">
        <v>611</v>
      </c>
      <c r="H37" s="359">
        <f t="shared" si="12"/>
        <v>14000</v>
      </c>
      <c r="I37" s="355"/>
      <c r="J37" s="356">
        <f t="shared" si="8"/>
        <v>500000</v>
      </c>
      <c r="K37" s="345">
        <v>0</v>
      </c>
      <c r="L37" s="346">
        <f t="shared" si="13"/>
        <v>700000</v>
      </c>
      <c r="M37" s="346">
        <f t="shared" si="14"/>
        <v>0</v>
      </c>
      <c r="N37" s="348">
        <f t="shared" si="9"/>
        <v>3500000</v>
      </c>
      <c r="O37" s="348" t="s">
        <v>611</v>
      </c>
      <c r="P37" s="348">
        <f t="shared" si="10"/>
        <v>4900000</v>
      </c>
      <c r="Q37" s="348">
        <f t="shared" si="11"/>
        <v>0</v>
      </c>
      <c r="R37" s="348">
        <f t="shared" si="15"/>
        <v>646800000</v>
      </c>
      <c r="S37" s="348">
        <f t="shared" si="15"/>
        <v>0</v>
      </c>
      <c r="T37" s="348">
        <f t="shared" si="16"/>
        <v>235200000</v>
      </c>
      <c r="U37" s="348">
        <f t="shared" si="17"/>
        <v>0</v>
      </c>
      <c r="V37" s="349" t="s">
        <v>612</v>
      </c>
      <c r="W37" s="361" t="s">
        <v>631</v>
      </c>
      <c r="X37" s="334">
        <v>1</v>
      </c>
      <c r="Y37" s="334">
        <v>0.8</v>
      </c>
      <c r="Z37" s="351"/>
      <c r="AA37" s="351">
        <f t="shared" si="5"/>
        <v>960000</v>
      </c>
      <c r="AB37" s="351">
        <f t="shared" si="6"/>
        <v>1200000</v>
      </c>
      <c r="AC37" s="351">
        <f t="shared" si="6"/>
        <v>1200000</v>
      </c>
      <c r="AD37" s="351">
        <f t="shared" si="6"/>
        <v>1200000</v>
      </c>
      <c r="AE37" s="351">
        <f t="shared" si="6"/>
        <v>1200000</v>
      </c>
      <c r="AF37" s="351">
        <f t="shared" si="6"/>
        <v>1200000</v>
      </c>
      <c r="AG37" s="351">
        <f t="shared" si="6"/>
        <v>1200000</v>
      </c>
      <c r="AH37" s="351">
        <f t="shared" si="7"/>
        <v>960000</v>
      </c>
      <c r="AI37" s="351">
        <f t="shared" si="7"/>
        <v>960000</v>
      </c>
      <c r="AJ37" s="351"/>
      <c r="AK37" s="351"/>
    </row>
    <row r="38" spans="2:37" ht="16.05" customHeight="1">
      <c r="B38" s="704"/>
      <c r="C38" s="708"/>
      <c r="D38" s="352" t="s">
        <v>619</v>
      </c>
      <c r="E38" s="353">
        <v>68</v>
      </c>
      <c r="F38" s="358">
        <v>10000</v>
      </c>
      <c r="G38" s="359" t="s">
        <v>611</v>
      </c>
      <c r="H38" s="359">
        <f t="shared" si="12"/>
        <v>14000</v>
      </c>
      <c r="I38" s="355"/>
      <c r="J38" s="356">
        <f t="shared" si="8"/>
        <v>680000</v>
      </c>
      <c r="K38" s="345">
        <v>0</v>
      </c>
      <c r="L38" s="346">
        <f t="shared" si="13"/>
        <v>952000</v>
      </c>
      <c r="M38" s="346">
        <f t="shared" si="14"/>
        <v>0</v>
      </c>
      <c r="N38" s="348">
        <f t="shared" si="9"/>
        <v>4760000</v>
      </c>
      <c r="O38" s="348" t="s">
        <v>611</v>
      </c>
      <c r="P38" s="348">
        <f t="shared" si="10"/>
        <v>6664000</v>
      </c>
      <c r="Q38" s="348">
        <f t="shared" si="11"/>
        <v>0</v>
      </c>
      <c r="R38" s="348">
        <f t="shared" si="15"/>
        <v>879648000</v>
      </c>
      <c r="S38" s="348">
        <f t="shared" si="15"/>
        <v>0</v>
      </c>
      <c r="T38" s="348">
        <f t="shared" si="16"/>
        <v>319872000</v>
      </c>
      <c r="U38" s="348">
        <f t="shared" si="17"/>
        <v>0</v>
      </c>
      <c r="V38" s="349" t="s">
        <v>612</v>
      </c>
      <c r="W38" s="362" t="s">
        <v>634</v>
      </c>
      <c r="X38" s="334">
        <v>1</v>
      </c>
      <c r="Y38" s="334">
        <v>0.8</v>
      </c>
      <c r="Z38" s="351">
        <f t="shared" si="5"/>
        <v>1305600</v>
      </c>
      <c r="AA38" s="351">
        <f t="shared" si="5"/>
        <v>1305600</v>
      </c>
      <c r="AB38" s="351">
        <f t="shared" si="6"/>
        <v>1632000</v>
      </c>
      <c r="AC38" s="351">
        <f t="shared" si="6"/>
        <v>1632000</v>
      </c>
      <c r="AD38" s="351">
        <f t="shared" si="6"/>
        <v>1632000</v>
      </c>
      <c r="AE38" s="351">
        <f t="shared" si="6"/>
        <v>1632000</v>
      </c>
      <c r="AF38" s="351">
        <f t="shared" si="6"/>
        <v>1632000</v>
      </c>
      <c r="AG38" s="351">
        <f t="shared" si="6"/>
        <v>1632000</v>
      </c>
      <c r="AH38" s="351">
        <f t="shared" si="7"/>
        <v>1305600</v>
      </c>
      <c r="AI38" s="351">
        <f t="shared" si="7"/>
        <v>1305600</v>
      </c>
      <c r="AJ38" s="351">
        <f t="shared" si="7"/>
        <v>1305600</v>
      </c>
      <c r="AK38" s="351">
        <f t="shared" si="7"/>
        <v>1305600</v>
      </c>
    </row>
    <row r="39" spans="2:37" ht="16.05" customHeight="1">
      <c r="B39" s="704"/>
      <c r="C39" s="708"/>
      <c r="D39" s="352" t="s">
        <v>620</v>
      </c>
      <c r="E39" s="353">
        <v>17</v>
      </c>
      <c r="F39" s="358">
        <v>10000</v>
      </c>
      <c r="G39" s="359" t="s">
        <v>611</v>
      </c>
      <c r="H39" s="359">
        <f t="shared" si="12"/>
        <v>14000</v>
      </c>
      <c r="I39" s="355"/>
      <c r="J39" s="356">
        <f t="shared" si="8"/>
        <v>170000</v>
      </c>
      <c r="K39" s="345">
        <v>0</v>
      </c>
      <c r="L39" s="346">
        <f t="shared" si="13"/>
        <v>238000</v>
      </c>
      <c r="M39" s="346">
        <f t="shared" si="14"/>
        <v>0</v>
      </c>
      <c r="N39" s="348">
        <f t="shared" si="9"/>
        <v>1190000</v>
      </c>
      <c r="O39" s="348" t="s">
        <v>611</v>
      </c>
      <c r="P39" s="348">
        <f t="shared" si="10"/>
        <v>1666000</v>
      </c>
      <c r="Q39" s="348">
        <f t="shared" si="11"/>
        <v>0</v>
      </c>
      <c r="R39" s="348">
        <f t="shared" si="15"/>
        <v>219912000</v>
      </c>
      <c r="S39" s="348">
        <f t="shared" si="15"/>
        <v>0</v>
      </c>
      <c r="T39" s="348">
        <f t="shared" si="16"/>
        <v>79968000</v>
      </c>
      <c r="U39" s="348">
        <f t="shared" si="17"/>
        <v>0</v>
      </c>
      <c r="V39" s="349" t="s">
        <v>612</v>
      </c>
      <c r="W39" s="362" t="s">
        <v>634</v>
      </c>
      <c r="X39" s="334">
        <v>1</v>
      </c>
      <c r="Y39" s="334">
        <v>0.8</v>
      </c>
      <c r="Z39" s="351">
        <f t="shared" si="5"/>
        <v>326400</v>
      </c>
      <c r="AA39" s="351">
        <f t="shared" si="5"/>
        <v>326400</v>
      </c>
      <c r="AB39" s="351">
        <f t="shared" si="6"/>
        <v>408000</v>
      </c>
      <c r="AC39" s="351">
        <f t="shared" si="6"/>
        <v>408000</v>
      </c>
      <c r="AD39" s="351">
        <f t="shared" si="6"/>
        <v>408000</v>
      </c>
      <c r="AE39" s="351">
        <f t="shared" si="6"/>
        <v>408000</v>
      </c>
      <c r="AF39" s="351">
        <f t="shared" si="6"/>
        <v>408000</v>
      </c>
      <c r="AG39" s="351">
        <f t="shared" si="6"/>
        <v>408000</v>
      </c>
      <c r="AH39" s="351">
        <f t="shared" si="7"/>
        <v>326400</v>
      </c>
      <c r="AI39" s="351">
        <f t="shared" si="7"/>
        <v>326400</v>
      </c>
      <c r="AJ39" s="351">
        <f t="shared" si="7"/>
        <v>326400</v>
      </c>
      <c r="AK39" s="351">
        <f t="shared" si="7"/>
        <v>326400</v>
      </c>
    </row>
    <row r="40" spans="2:37" ht="16.05" customHeight="1">
      <c r="B40" s="704"/>
      <c r="C40" s="708"/>
      <c r="D40" s="352" t="s">
        <v>621</v>
      </c>
      <c r="E40" s="353">
        <v>43</v>
      </c>
      <c r="F40" s="358">
        <v>10000</v>
      </c>
      <c r="G40" s="359" t="s">
        <v>611</v>
      </c>
      <c r="H40" s="359">
        <f t="shared" si="12"/>
        <v>14000</v>
      </c>
      <c r="I40" s="355"/>
      <c r="J40" s="356">
        <f t="shared" si="8"/>
        <v>430000</v>
      </c>
      <c r="K40" s="345">
        <v>0</v>
      </c>
      <c r="L40" s="346">
        <f t="shared" si="13"/>
        <v>602000</v>
      </c>
      <c r="M40" s="346">
        <f t="shared" si="14"/>
        <v>0</v>
      </c>
      <c r="N40" s="348">
        <f t="shared" si="9"/>
        <v>3010000</v>
      </c>
      <c r="O40" s="348" t="s">
        <v>611</v>
      </c>
      <c r="P40" s="348">
        <f t="shared" si="10"/>
        <v>4214000</v>
      </c>
      <c r="Q40" s="348">
        <f t="shared" si="11"/>
        <v>0</v>
      </c>
      <c r="R40" s="348">
        <f t="shared" si="15"/>
        <v>556248000</v>
      </c>
      <c r="S40" s="348">
        <f t="shared" si="15"/>
        <v>0</v>
      </c>
      <c r="T40" s="348">
        <f t="shared" si="16"/>
        <v>202272000</v>
      </c>
      <c r="U40" s="348">
        <f t="shared" si="17"/>
        <v>0</v>
      </c>
      <c r="V40" s="349" t="s">
        <v>612</v>
      </c>
      <c r="W40" s="362" t="s">
        <v>634</v>
      </c>
      <c r="X40" s="334">
        <v>1</v>
      </c>
      <c r="Y40" s="334">
        <v>0.8</v>
      </c>
      <c r="Z40" s="351">
        <f t="shared" si="5"/>
        <v>825600</v>
      </c>
      <c r="AA40" s="351">
        <f t="shared" si="5"/>
        <v>825600</v>
      </c>
      <c r="AB40" s="351">
        <f t="shared" si="6"/>
        <v>1032000</v>
      </c>
      <c r="AC40" s="351">
        <f t="shared" si="6"/>
        <v>1032000</v>
      </c>
      <c r="AD40" s="351">
        <f t="shared" si="6"/>
        <v>1032000</v>
      </c>
      <c r="AE40" s="351">
        <f t="shared" si="6"/>
        <v>1032000</v>
      </c>
      <c r="AF40" s="351">
        <f t="shared" si="6"/>
        <v>1032000</v>
      </c>
      <c r="AG40" s="351">
        <f t="shared" si="6"/>
        <v>1032000</v>
      </c>
      <c r="AH40" s="351">
        <f t="shared" si="7"/>
        <v>825600</v>
      </c>
      <c r="AI40" s="351">
        <f t="shared" si="7"/>
        <v>825600</v>
      </c>
      <c r="AJ40" s="351">
        <f t="shared" si="7"/>
        <v>825600</v>
      </c>
      <c r="AK40" s="351">
        <f t="shared" si="7"/>
        <v>825600</v>
      </c>
    </row>
    <row r="41" spans="2:37" ht="16.05" customHeight="1">
      <c r="B41" s="704"/>
      <c r="C41" s="708"/>
      <c r="D41" s="352" t="s">
        <v>622</v>
      </c>
      <c r="E41" s="353">
        <v>63</v>
      </c>
      <c r="F41" s="358">
        <v>10000</v>
      </c>
      <c r="G41" s="359" t="s">
        <v>611</v>
      </c>
      <c r="H41" s="359">
        <f t="shared" si="12"/>
        <v>14000</v>
      </c>
      <c r="I41" s="355"/>
      <c r="J41" s="356">
        <f t="shared" si="8"/>
        <v>630000</v>
      </c>
      <c r="K41" s="345">
        <v>0</v>
      </c>
      <c r="L41" s="346">
        <f t="shared" si="13"/>
        <v>882000</v>
      </c>
      <c r="M41" s="346">
        <f t="shared" si="14"/>
        <v>0</v>
      </c>
      <c r="N41" s="348">
        <f t="shared" si="9"/>
        <v>4410000</v>
      </c>
      <c r="O41" s="348" t="s">
        <v>611</v>
      </c>
      <c r="P41" s="348">
        <f t="shared" si="10"/>
        <v>6174000</v>
      </c>
      <c r="Q41" s="348">
        <f t="shared" si="11"/>
        <v>0</v>
      </c>
      <c r="R41" s="348">
        <f t="shared" si="15"/>
        <v>814968000</v>
      </c>
      <c r="S41" s="348">
        <f t="shared" si="15"/>
        <v>0</v>
      </c>
      <c r="T41" s="348">
        <f t="shared" si="16"/>
        <v>296352000</v>
      </c>
      <c r="U41" s="348">
        <f t="shared" si="17"/>
        <v>0</v>
      </c>
      <c r="V41" s="349" t="s">
        <v>612</v>
      </c>
      <c r="W41" s="362" t="s">
        <v>634</v>
      </c>
      <c r="X41" s="334">
        <v>1</v>
      </c>
      <c r="Y41" s="334">
        <v>0.8</v>
      </c>
      <c r="Z41" s="351">
        <f t="shared" si="5"/>
        <v>1209600</v>
      </c>
      <c r="AA41" s="351">
        <f t="shared" si="5"/>
        <v>1209600</v>
      </c>
      <c r="AB41" s="351">
        <f t="shared" si="6"/>
        <v>1512000</v>
      </c>
      <c r="AC41" s="351">
        <f t="shared" si="6"/>
        <v>1512000</v>
      </c>
      <c r="AD41" s="351">
        <f t="shared" si="6"/>
        <v>1512000</v>
      </c>
      <c r="AE41" s="351">
        <f t="shared" si="6"/>
        <v>1512000</v>
      </c>
      <c r="AF41" s="351">
        <f t="shared" si="6"/>
        <v>1512000</v>
      </c>
      <c r="AG41" s="351">
        <f t="shared" si="6"/>
        <v>1512000</v>
      </c>
      <c r="AH41" s="351">
        <f t="shared" si="7"/>
        <v>1209600</v>
      </c>
      <c r="AI41" s="351">
        <f t="shared" si="7"/>
        <v>1209600</v>
      </c>
      <c r="AJ41" s="351">
        <f t="shared" si="7"/>
        <v>1209600</v>
      </c>
      <c r="AK41" s="351">
        <f t="shared" si="7"/>
        <v>1209600</v>
      </c>
    </row>
    <row r="42" spans="2:37" ht="52.95" customHeight="1">
      <c r="B42" s="704"/>
      <c r="C42" s="708"/>
      <c r="D42" s="352" t="s">
        <v>623</v>
      </c>
      <c r="E42" s="353">
        <v>49</v>
      </c>
      <c r="F42" s="358">
        <v>10000</v>
      </c>
      <c r="G42" s="359" t="s">
        <v>611</v>
      </c>
      <c r="H42" s="359">
        <f t="shared" si="12"/>
        <v>14000</v>
      </c>
      <c r="I42" s="355"/>
      <c r="J42" s="356">
        <f t="shared" si="8"/>
        <v>490000</v>
      </c>
      <c r="K42" s="345">
        <v>0</v>
      </c>
      <c r="L42" s="346">
        <f t="shared" si="13"/>
        <v>686000</v>
      </c>
      <c r="M42" s="346">
        <f t="shared" si="14"/>
        <v>0</v>
      </c>
      <c r="N42" s="348">
        <f t="shared" si="9"/>
        <v>3430000</v>
      </c>
      <c r="O42" s="348" t="s">
        <v>611</v>
      </c>
      <c r="P42" s="348">
        <f t="shared" si="10"/>
        <v>4802000</v>
      </c>
      <c r="Q42" s="348">
        <f t="shared" si="11"/>
        <v>0</v>
      </c>
      <c r="R42" s="348">
        <f t="shared" si="15"/>
        <v>633864000</v>
      </c>
      <c r="S42" s="348">
        <f t="shared" si="15"/>
        <v>0</v>
      </c>
      <c r="T42" s="348">
        <f t="shared" si="16"/>
        <v>230496000</v>
      </c>
      <c r="U42" s="348">
        <f t="shared" si="17"/>
        <v>0</v>
      </c>
      <c r="V42" s="349" t="s">
        <v>612</v>
      </c>
      <c r="W42" s="361" t="s">
        <v>633</v>
      </c>
      <c r="X42" s="334">
        <v>1</v>
      </c>
      <c r="Y42" s="334">
        <v>0.8</v>
      </c>
      <c r="Z42" s="351"/>
      <c r="AA42" s="351"/>
      <c r="AB42" s="351">
        <f t="shared" si="6"/>
        <v>1176000</v>
      </c>
      <c r="AC42" s="351">
        <f t="shared" si="6"/>
        <v>1176000</v>
      </c>
      <c r="AD42" s="351">
        <f t="shared" si="6"/>
        <v>1176000</v>
      </c>
      <c r="AE42" s="351">
        <f t="shared" si="6"/>
        <v>1176000</v>
      </c>
      <c r="AF42" s="351">
        <f t="shared" si="6"/>
        <v>1176000</v>
      </c>
      <c r="AG42" s="351">
        <f t="shared" si="6"/>
        <v>1176000</v>
      </c>
      <c r="AH42" s="351">
        <f t="shared" si="7"/>
        <v>940800</v>
      </c>
      <c r="AI42" s="351">
        <f t="shared" si="7"/>
        <v>940800</v>
      </c>
      <c r="AJ42" s="351">
        <f t="shared" si="7"/>
        <v>940800</v>
      </c>
      <c r="AK42" s="351"/>
    </row>
    <row r="43" spans="2:37" ht="16.05" customHeight="1">
      <c r="B43" s="704"/>
      <c r="C43" s="708"/>
      <c r="D43" s="352" t="s">
        <v>624</v>
      </c>
      <c r="E43" s="353">
        <v>3</v>
      </c>
      <c r="F43" s="358">
        <v>10000</v>
      </c>
      <c r="G43" s="359" t="s">
        <v>611</v>
      </c>
      <c r="H43" s="359">
        <f t="shared" si="12"/>
        <v>14000</v>
      </c>
      <c r="I43" s="355"/>
      <c r="J43" s="356">
        <f t="shared" si="8"/>
        <v>30000</v>
      </c>
      <c r="K43" s="345">
        <v>0</v>
      </c>
      <c r="L43" s="346">
        <f t="shared" si="13"/>
        <v>42000</v>
      </c>
      <c r="M43" s="346">
        <f t="shared" si="14"/>
        <v>0</v>
      </c>
      <c r="N43" s="348">
        <f t="shared" si="9"/>
        <v>210000</v>
      </c>
      <c r="O43" s="348" t="s">
        <v>611</v>
      </c>
      <c r="P43" s="348">
        <f t="shared" si="10"/>
        <v>294000</v>
      </c>
      <c r="Q43" s="348">
        <f t="shared" si="11"/>
        <v>0</v>
      </c>
      <c r="R43" s="348">
        <f t="shared" si="15"/>
        <v>38808000</v>
      </c>
      <c r="S43" s="348">
        <f t="shared" si="15"/>
        <v>0</v>
      </c>
      <c r="T43" s="348">
        <f t="shared" si="16"/>
        <v>14112000</v>
      </c>
      <c r="U43" s="348">
        <f t="shared" si="17"/>
        <v>0</v>
      </c>
      <c r="V43" s="349" t="s">
        <v>612</v>
      </c>
      <c r="W43" s="362" t="s">
        <v>634</v>
      </c>
      <c r="X43" s="334">
        <v>1</v>
      </c>
      <c r="Y43" s="334">
        <v>0.8</v>
      </c>
      <c r="Z43" s="351">
        <f t="shared" si="5"/>
        <v>57600</v>
      </c>
      <c r="AA43" s="351">
        <f t="shared" si="5"/>
        <v>57600</v>
      </c>
      <c r="AB43" s="351">
        <f t="shared" si="6"/>
        <v>72000</v>
      </c>
      <c r="AC43" s="351">
        <f t="shared" si="6"/>
        <v>72000</v>
      </c>
      <c r="AD43" s="351">
        <f t="shared" si="6"/>
        <v>72000</v>
      </c>
      <c r="AE43" s="351">
        <f t="shared" si="6"/>
        <v>72000</v>
      </c>
      <c r="AF43" s="351">
        <f t="shared" si="6"/>
        <v>72000</v>
      </c>
      <c r="AG43" s="351">
        <f t="shared" si="6"/>
        <v>72000</v>
      </c>
      <c r="AH43" s="351">
        <f t="shared" si="7"/>
        <v>57600</v>
      </c>
      <c r="AI43" s="351">
        <f t="shared" si="7"/>
        <v>57600</v>
      </c>
      <c r="AJ43" s="351">
        <f t="shared" si="7"/>
        <v>57600</v>
      </c>
      <c r="AK43" s="351">
        <f t="shared" si="7"/>
        <v>57600</v>
      </c>
    </row>
    <row r="44" spans="2:37" ht="40.950000000000003" customHeight="1">
      <c r="B44" s="704"/>
      <c r="C44" s="708"/>
      <c r="D44" s="352" t="s">
        <v>625</v>
      </c>
      <c r="E44" s="353">
        <v>13</v>
      </c>
      <c r="F44" s="358">
        <v>10000</v>
      </c>
      <c r="G44" s="359" t="s">
        <v>611</v>
      </c>
      <c r="H44" s="359">
        <f t="shared" si="12"/>
        <v>14000</v>
      </c>
      <c r="I44" s="355"/>
      <c r="J44" s="356">
        <f t="shared" si="8"/>
        <v>130000</v>
      </c>
      <c r="K44" s="345">
        <v>0</v>
      </c>
      <c r="L44" s="346">
        <f t="shared" si="13"/>
        <v>182000</v>
      </c>
      <c r="M44" s="346">
        <f t="shared" si="14"/>
        <v>0</v>
      </c>
      <c r="N44" s="348">
        <f t="shared" si="9"/>
        <v>910000</v>
      </c>
      <c r="O44" s="348" t="s">
        <v>611</v>
      </c>
      <c r="P44" s="348">
        <f t="shared" si="10"/>
        <v>1274000</v>
      </c>
      <c r="Q44" s="348">
        <f t="shared" si="11"/>
        <v>0</v>
      </c>
      <c r="R44" s="348">
        <f t="shared" si="15"/>
        <v>168168000</v>
      </c>
      <c r="S44" s="348">
        <f t="shared" si="15"/>
        <v>0</v>
      </c>
      <c r="T44" s="348">
        <f t="shared" si="16"/>
        <v>61152000</v>
      </c>
      <c r="U44" s="348">
        <f t="shared" si="17"/>
        <v>0</v>
      </c>
      <c r="V44" s="349" t="s">
        <v>636</v>
      </c>
      <c r="W44" s="361" t="s">
        <v>637</v>
      </c>
      <c r="X44" s="334">
        <v>1</v>
      </c>
      <c r="Y44" s="334">
        <v>0.8</v>
      </c>
      <c r="Z44" s="351">
        <f>($J44+$K44+$L44+$M44)*$X44</f>
        <v>312000</v>
      </c>
      <c r="AA44" s="351">
        <f>($J44+$K44+$L44+$M44)*$X44</f>
        <v>312000</v>
      </c>
      <c r="AB44" s="351">
        <f t="shared" si="6"/>
        <v>312000</v>
      </c>
      <c r="AC44" s="351">
        <f t="shared" si="6"/>
        <v>312000</v>
      </c>
      <c r="AD44" s="351">
        <f t="shared" si="6"/>
        <v>312000</v>
      </c>
      <c r="AE44" s="351"/>
      <c r="AF44" s="351"/>
      <c r="AG44" s="351"/>
      <c r="AH44" s="351">
        <f>($J44+$K44+$L44+$M44)*$X44</f>
        <v>312000</v>
      </c>
      <c r="AI44" s="351">
        <f>($J44+$K44+$L44+$M44)*$X44</f>
        <v>312000</v>
      </c>
      <c r="AJ44" s="351">
        <f>($J44+$K44+$L44+$M44)*$X44</f>
        <v>312000</v>
      </c>
      <c r="AK44" s="351">
        <f>($J44+$K44+$L44+$M44)*$X44</f>
        <v>312000</v>
      </c>
    </row>
    <row r="45" spans="2:37" ht="16.05" customHeight="1">
      <c r="B45" s="704"/>
      <c r="C45" s="708"/>
      <c r="D45" s="352" t="s">
        <v>626</v>
      </c>
      <c r="E45" s="353">
        <v>35</v>
      </c>
      <c r="F45" s="358">
        <v>10000</v>
      </c>
      <c r="G45" s="359" t="s">
        <v>611</v>
      </c>
      <c r="H45" s="359">
        <f t="shared" si="12"/>
        <v>14000</v>
      </c>
      <c r="I45" s="355"/>
      <c r="J45" s="356">
        <f t="shared" si="8"/>
        <v>350000</v>
      </c>
      <c r="K45" s="345">
        <v>0</v>
      </c>
      <c r="L45" s="346">
        <f t="shared" si="13"/>
        <v>490000</v>
      </c>
      <c r="M45" s="346">
        <f t="shared" si="14"/>
        <v>0</v>
      </c>
      <c r="N45" s="348">
        <f t="shared" si="9"/>
        <v>2450000</v>
      </c>
      <c r="O45" s="348" t="s">
        <v>611</v>
      </c>
      <c r="P45" s="348">
        <f t="shared" si="10"/>
        <v>3430000</v>
      </c>
      <c r="Q45" s="348">
        <f t="shared" si="11"/>
        <v>0</v>
      </c>
      <c r="R45" s="348">
        <f t="shared" si="15"/>
        <v>452760000</v>
      </c>
      <c r="S45" s="348">
        <f t="shared" si="15"/>
        <v>0</v>
      </c>
      <c r="T45" s="348">
        <f t="shared" si="16"/>
        <v>164640000</v>
      </c>
      <c r="U45" s="348">
        <f t="shared" si="17"/>
        <v>0</v>
      </c>
      <c r="V45" s="349" t="s">
        <v>612</v>
      </c>
      <c r="W45" s="362" t="s">
        <v>634</v>
      </c>
      <c r="X45" s="334">
        <v>1</v>
      </c>
      <c r="Y45" s="334">
        <v>0.8</v>
      </c>
      <c r="Z45" s="351">
        <f t="shared" si="5"/>
        <v>672000</v>
      </c>
      <c r="AA45" s="351">
        <f t="shared" si="5"/>
        <v>672000</v>
      </c>
      <c r="AB45" s="351">
        <f t="shared" si="6"/>
        <v>840000</v>
      </c>
      <c r="AC45" s="351">
        <f t="shared" si="6"/>
        <v>840000</v>
      </c>
      <c r="AD45" s="351">
        <f t="shared" si="6"/>
        <v>840000</v>
      </c>
      <c r="AE45" s="351">
        <f t="shared" si="6"/>
        <v>840000</v>
      </c>
      <c r="AF45" s="351">
        <f t="shared" si="6"/>
        <v>840000</v>
      </c>
      <c r="AG45" s="351">
        <f t="shared" si="6"/>
        <v>840000</v>
      </c>
      <c r="AH45" s="351">
        <f t="shared" si="7"/>
        <v>672000</v>
      </c>
      <c r="AI45" s="351">
        <f t="shared" si="7"/>
        <v>672000</v>
      </c>
      <c r="AJ45" s="351">
        <f t="shared" si="7"/>
        <v>672000</v>
      </c>
      <c r="AK45" s="351">
        <f t="shared" si="7"/>
        <v>672000</v>
      </c>
    </row>
    <row r="46" spans="2:37" ht="16.05" customHeight="1">
      <c r="B46" s="704"/>
      <c r="C46" s="708"/>
      <c r="D46" s="352" t="s">
        <v>627</v>
      </c>
      <c r="E46" s="353">
        <v>9</v>
      </c>
      <c r="F46" s="358">
        <v>10000</v>
      </c>
      <c r="G46" s="359" t="s">
        <v>611</v>
      </c>
      <c r="H46" s="359">
        <f t="shared" si="12"/>
        <v>14000</v>
      </c>
      <c r="I46" s="355"/>
      <c r="J46" s="356">
        <f t="shared" si="8"/>
        <v>90000</v>
      </c>
      <c r="K46" s="345">
        <v>0</v>
      </c>
      <c r="L46" s="346">
        <f t="shared" si="13"/>
        <v>126000</v>
      </c>
      <c r="M46" s="346">
        <f t="shared" si="14"/>
        <v>0</v>
      </c>
      <c r="N46" s="348">
        <f t="shared" si="9"/>
        <v>630000</v>
      </c>
      <c r="O46" s="348" t="s">
        <v>611</v>
      </c>
      <c r="P46" s="348">
        <f t="shared" si="10"/>
        <v>882000</v>
      </c>
      <c r="Q46" s="348">
        <f t="shared" si="11"/>
        <v>0</v>
      </c>
      <c r="R46" s="348">
        <f t="shared" si="15"/>
        <v>116424000</v>
      </c>
      <c r="S46" s="348">
        <f t="shared" si="15"/>
        <v>0</v>
      </c>
      <c r="T46" s="348">
        <f t="shared" si="16"/>
        <v>42336000</v>
      </c>
      <c r="U46" s="348">
        <f t="shared" si="17"/>
        <v>0</v>
      </c>
      <c r="V46" s="349" t="s">
        <v>612</v>
      </c>
      <c r="W46" s="362" t="s">
        <v>634</v>
      </c>
      <c r="X46" s="334">
        <v>1</v>
      </c>
      <c r="Y46" s="334">
        <v>0.8</v>
      </c>
      <c r="Z46" s="351">
        <f t="shared" si="5"/>
        <v>172800</v>
      </c>
      <c r="AA46" s="351">
        <f t="shared" si="5"/>
        <v>172800</v>
      </c>
      <c r="AB46" s="351">
        <f t="shared" si="6"/>
        <v>216000</v>
      </c>
      <c r="AC46" s="351">
        <f t="shared" si="6"/>
        <v>216000</v>
      </c>
      <c r="AD46" s="351">
        <f t="shared" si="6"/>
        <v>216000</v>
      </c>
      <c r="AE46" s="351">
        <f t="shared" si="6"/>
        <v>216000</v>
      </c>
      <c r="AF46" s="351">
        <f t="shared" si="6"/>
        <v>216000</v>
      </c>
      <c r="AG46" s="351">
        <f t="shared" si="6"/>
        <v>216000</v>
      </c>
      <c r="AH46" s="351">
        <f t="shared" si="7"/>
        <v>172800</v>
      </c>
      <c r="AI46" s="351">
        <f t="shared" si="7"/>
        <v>172800</v>
      </c>
      <c r="AJ46" s="351">
        <f t="shared" si="7"/>
        <v>172800</v>
      </c>
      <c r="AK46" s="351">
        <f t="shared" si="7"/>
        <v>172800</v>
      </c>
    </row>
    <row r="47" spans="2:37" ht="16.05" customHeight="1">
      <c r="B47" s="704"/>
      <c r="C47" s="708"/>
      <c r="D47" s="352" t="s">
        <v>628</v>
      </c>
      <c r="E47" s="353">
        <v>17</v>
      </c>
      <c r="F47" s="358">
        <v>10000</v>
      </c>
      <c r="G47" s="359" t="s">
        <v>611</v>
      </c>
      <c r="H47" s="359">
        <f t="shared" si="12"/>
        <v>14000</v>
      </c>
      <c r="I47" s="355"/>
      <c r="J47" s="356">
        <f t="shared" si="8"/>
        <v>170000</v>
      </c>
      <c r="K47" s="345">
        <v>0</v>
      </c>
      <c r="L47" s="346">
        <f t="shared" si="13"/>
        <v>238000</v>
      </c>
      <c r="M47" s="346">
        <f t="shared" si="14"/>
        <v>0</v>
      </c>
      <c r="N47" s="348">
        <f t="shared" si="9"/>
        <v>1190000</v>
      </c>
      <c r="O47" s="348" t="s">
        <v>611</v>
      </c>
      <c r="P47" s="348">
        <f t="shared" si="10"/>
        <v>1666000</v>
      </c>
      <c r="Q47" s="348">
        <f t="shared" si="11"/>
        <v>0</v>
      </c>
      <c r="R47" s="348">
        <f t="shared" si="15"/>
        <v>219912000</v>
      </c>
      <c r="S47" s="348">
        <f t="shared" si="15"/>
        <v>0</v>
      </c>
      <c r="T47" s="348">
        <f t="shared" si="16"/>
        <v>79968000</v>
      </c>
      <c r="U47" s="348">
        <f t="shared" si="17"/>
        <v>0</v>
      </c>
      <c r="V47" s="349" t="s">
        <v>612</v>
      </c>
      <c r="W47" s="362" t="s">
        <v>634</v>
      </c>
      <c r="X47" s="334">
        <v>1</v>
      </c>
      <c r="Y47" s="334">
        <v>0.8</v>
      </c>
      <c r="Z47" s="351">
        <f t="shared" si="5"/>
        <v>326400</v>
      </c>
      <c r="AA47" s="351">
        <f t="shared" si="5"/>
        <v>326400</v>
      </c>
      <c r="AB47" s="351">
        <f t="shared" si="6"/>
        <v>408000</v>
      </c>
      <c r="AC47" s="351">
        <f t="shared" si="6"/>
        <v>408000</v>
      </c>
      <c r="AD47" s="351">
        <f t="shared" si="6"/>
        <v>408000</v>
      </c>
      <c r="AE47" s="351">
        <f t="shared" si="6"/>
        <v>408000</v>
      </c>
      <c r="AF47" s="351">
        <f t="shared" si="6"/>
        <v>408000</v>
      </c>
      <c r="AG47" s="351">
        <f t="shared" si="6"/>
        <v>408000</v>
      </c>
      <c r="AH47" s="351">
        <f t="shared" si="7"/>
        <v>326400</v>
      </c>
      <c r="AI47" s="351">
        <f t="shared" si="7"/>
        <v>326400</v>
      </c>
      <c r="AJ47" s="351">
        <f t="shared" si="7"/>
        <v>326400</v>
      </c>
      <c r="AK47" s="351">
        <f t="shared" si="7"/>
        <v>326400</v>
      </c>
    </row>
    <row r="48" spans="2:37" ht="16.05" customHeight="1">
      <c r="B48" s="704"/>
      <c r="C48" s="700" t="s">
        <v>638</v>
      </c>
      <c r="D48" s="352" t="s">
        <v>617</v>
      </c>
      <c r="E48" s="353">
        <v>13</v>
      </c>
      <c r="F48" s="355">
        <v>1000</v>
      </c>
      <c r="G48" s="359" t="s">
        <v>611</v>
      </c>
      <c r="H48" s="355">
        <v>1000</v>
      </c>
      <c r="I48" s="355"/>
      <c r="J48" s="356">
        <f t="shared" si="8"/>
        <v>13000</v>
      </c>
      <c r="K48" s="345">
        <v>0</v>
      </c>
      <c r="L48" s="346">
        <f t="shared" si="13"/>
        <v>13000</v>
      </c>
      <c r="M48" s="346">
        <f t="shared" si="14"/>
        <v>0</v>
      </c>
      <c r="N48" s="348">
        <f t="shared" si="9"/>
        <v>91000</v>
      </c>
      <c r="O48" s="348" t="s">
        <v>611</v>
      </c>
      <c r="P48" s="348">
        <f t="shared" si="10"/>
        <v>91000</v>
      </c>
      <c r="Q48" s="348">
        <f t="shared" si="11"/>
        <v>0</v>
      </c>
      <c r="R48" s="348">
        <f t="shared" si="15"/>
        <v>14014000</v>
      </c>
      <c r="S48" s="348">
        <f t="shared" si="15"/>
        <v>0</v>
      </c>
      <c r="T48" s="348">
        <f t="shared" si="16"/>
        <v>5096000</v>
      </c>
      <c r="U48" s="348">
        <f t="shared" si="17"/>
        <v>0</v>
      </c>
      <c r="V48" s="349" t="s">
        <v>612</v>
      </c>
      <c r="W48" s="362" t="s">
        <v>634</v>
      </c>
      <c r="X48" s="334">
        <v>1</v>
      </c>
      <c r="Y48" s="334">
        <v>0.8</v>
      </c>
      <c r="Z48" s="351">
        <f t="shared" si="5"/>
        <v>20800</v>
      </c>
      <c r="AA48" s="351">
        <f t="shared" si="5"/>
        <v>20800</v>
      </c>
      <c r="AB48" s="351">
        <f t="shared" si="6"/>
        <v>26000</v>
      </c>
      <c r="AC48" s="351">
        <f t="shared" si="6"/>
        <v>26000</v>
      </c>
      <c r="AD48" s="351">
        <f t="shared" si="6"/>
        <v>26000</v>
      </c>
      <c r="AE48" s="351">
        <f t="shared" si="6"/>
        <v>26000</v>
      </c>
      <c r="AF48" s="351">
        <f t="shared" si="6"/>
        <v>26000</v>
      </c>
      <c r="AG48" s="351">
        <f t="shared" si="6"/>
        <v>26000</v>
      </c>
      <c r="AH48" s="351">
        <f t="shared" si="7"/>
        <v>20800</v>
      </c>
      <c r="AI48" s="351">
        <f t="shared" si="7"/>
        <v>20800</v>
      </c>
      <c r="AJ48" s="351">
        <f t="shared" si="7"/>
        <v>20800</v>
      </c>
      <c r="AK48" s="351">
        <f t="shared" si="7"/>
        <v>20800</v>
      </c>
    </row>
    <row r="49" spans="2:37" ht="42" customHeight="1">
      <c r="B49" s="704"/>
      <c r="C49" s="700"/>
      <c r="D49" s="352" t="s">
        <v>618</v>
      </c>
      <c r="E49" s="353">
        <v>29</v>
      </c>
      <c r="F49" s="355">
        <v>1000</v>
      </c>
      <c r="G49" s="359" t="s">
        <v>611</v>
      </c>
      <c r="H49" s="355">
        <v>1000</v>
      </c>
      <c r="I49" s="355"/>
      <c r="J49" s="356">
        <f t="shared" si="8"/>
        <v>29000</v>
      </c>
      <c r="K49" s="345">
        <v>0</v>
      </c>
      <c r="L49" s="346">
        <f t="shared" si="13"/>
        <v>29000</v>
      </c>
      <c r="M49" s="346">
        <f t="shared" si="14"/>
        <v>0</v>
      </c>
      <c r="N49" s="348">
        <f t="shared" si="9"/>
        <v>203000</v>
      </c>
      <c r="O49" s="348" t="s">
        <v>611</v>
      </c>
      <c r="P49" s="348">
        <f t="shared" si="10"/>
        <v>203000</v>
      </c>
      <c r="Q49" s="348">
        <f t="shared" si="11"/>
        <v>0</v>
      </c>
      <c r="R49" s="348">
        <f t="shared" si="15"/>
        <v>31262000</v>
      </c>
      <c r="S49" s="348">
        <f t="shared" si="15"/>
        <v>0</v>
      </c>
      <c r="T49" s="348">
        <f t="shared" si="16"/>
        <v>11368000</v>
      </c>
      <c r="U49" s="348">
        <f t="shared" si="17"/>
        <v>0</v>
      </c>
      <c r="V49" s="349" t="s">
        <v>612</v>
      </c>
      <c r="W49" s="361" t="s">
        <v>631</v>
      </c>
      <c r="X49" s="334">
        <v>1</v>
      </c>
      <c r="Y49" s="334">
        <v>0.8</v>
      </c>
      <c r="Z49" s="351"/>
      <c r="AA49" s="351">
        <f t="shared" si="5"/>
        <v>46400</v>
      </c>
      <c r="AB49" s="351">
        <f t="shared" si="6"/>
        <v>58000</v>
      </c>
      <c r="AC49" s="351">
        <f t="shared" si="6"/>
        <v>58000</v>
      </c>
      <c r="AD49" s="351">
        <f t="shared" si="6"/>
        <v>58000</v>
      </c>
      <c r="AE49" s="351">
        <f t="shared" si="6"/>
        <v>58000</v>
      </c>
      <c r="AF49" s="351">
        <f t="shared" si="6"/>
        <v>58000</v>
      </c>
      <c r="AG49" s="351">
        <f t="shared" si="6"/>
        <v>58000</v>
      </c>
      <c r="AH49" s="351">
        <f t="shared" si="7"/>
        <v>46400</v>
      </c>
      <c r="AI49" s="351">
        <f t="shared" si="7"/>
        <v>46400</v>
      </c>
      <c r="AJ49" s="351"/>
      <c r="AK49" s="351"/>
    </row>
    <row r="50" spans="2:37" ht="16.05" customHeight="1">
      <c r="B50" s="704"/>
      <c r="C50" s="700"/>
      <c r="D50" s="352" t="s">
        <v>619</v>
      </c>
      <c r="E50" s="353">
        <v>8</v>
      </c>
      <c r="F50" s="355">
        <v>1000</v>
      </c>
      <c r="G50" s="359" t="s">
        <v>611</v>
      </c>
      <c r="H50" s="355">
        <v>1000</v>
      </c>
      <c r="I50" s="355"/>
      <c r="J50" s="356">
        <f t="shared" si="8"/>
        <v>8000</v>
      </c>
      <c r="K50" s="345">
        <v>0</v>
      </c>
      <c r="L50" s="346">
        <f t="shared" si="13"/>
        <v>8000</v>
      </c>
      <c r="M50" s="346">
        <f t="shared" si="14"/>
        <v>0</v>
      </c>
      <c r="N50" s="348">
        <f t="shared" si="9"/>
        <v>56000</v>
      </c>
      <c r="O50" s="348" t="s">
        <v>611</v>
      </c>
      <c r="P50" s="348">
        <f t="shared" si="10"/>
        <v>56000</v>
      </c>
      <c r="Q50" s="348">
        <f t="shared" si="11"/>
        <v>0</v>
      </c>
      <c r="R50" s="348">
        <f t="shared" si="15"/>
        <v>8624000</v>
      </c>
      <c r="S50" s="348">
        <f t="shared" si="15"/>
        <v>0</v>
      </c>
      <c r="T50" s="348">
        <f t="shared" si="16"/>
        <v>3136000</v>
      </c>
      <c r="U50" s="348">
        <f t="shared" si="17"/>
        <v>0</v>
      </c>
      <c r="V50" s="349" t="s">
        <v>612</v>
      </c>
      <c r="W50" s="362" t="s">
        <v>634</v>
      </c>
      <c r="X50" s="334">
        <v>1</v>
      </c>
      <c r="Y50" s="334">
        <v>0.8</v>
      </c>
      <c r="Z50" s="351">
        <f t="shared" si="5"/>
        <v>12800</v>
      </c>
      <c r="AA50" s="351">
        <f t="shared" si="5"/>
        <v>12800</v>
      </c>
      <c r="AB50" s="351">
        <f t="shared" si="6"/>
        <v>16000</v>
      </c>
      <c r="AC50" s="351">
        <f t="shared" si="6"/>
        <v>16000</v>
      </c>
      <c r="AD50" s="351">
        <f t="shared" si="6"/>
        <v>16000</v>
      </c>
      <c r="AE50" s="351">
        <f t="shared" si="6"/>
        <v>16000</v>
      </c>
      <c r="AF50" s="351">
        <f t="shared" si="6"/>
        <v>16000</v>
      </c>
      <c r="AG50" s="351">
        <f t="shared" si="6"/>
        <v>16000</v>
      </c>
      <c r="AH50" s="351">
        <f t="shared" si="7"/>
        <v>12800</v>
      </c>
      <c r="AI50" s="351">
        <f t="shared" si="7"/>
        <v>12800</v>
      </c>
      <c r="AJ50" s="351">
        <f t="shared" si="7"/>
        <v>12800</v>
      </c>
      <c r="AK50" s="351">
        <f t="shared" si="7"/>
        <v>12800</v>
      </c>
    </row>
    <row r="51" spans="2:37" ht="16.05" customHeight="1">
      <c r="B51" s="704"/>
      <c r="C51" s="700"/>
      <c r="D51" s="352" t="s">
        <v>620</v>
      </c>
      <c r="E51" s="353">
        <v>2</v>
      </c>
      <c r="F51" s="355">
        <v>1000</v>
      </c>
      <c r="G51" s="359" t="s">
        <v>611</v>
      </c>
      <c r="H51" s="355">
        <v>1000</v>
      </c>
      <c r="I51" s="355"/>
      <c r="J51" s="356">
        <f t="shared" si="8"/>
        <v>2000</v>
      </c>
      <c r="K51" s="345">
        <v>0</v>
      </c>
      <c r="L51" s="346">
        <f t="shared" si="13"/>
        <v>2000</v>
      </c>
      <c r="M51" s="346">
        <f t="shared" si="14"/>
        <v>0</v>
      </c>
      <c r="N51" s="348">
        <f t="shared" si="9"/>
        <v>14000</v>
      </c>
      <c r="O51" s="348" t="s">
        <v>611</v>
      </c>
      <c r="P51" s="348">
        <f t="shared" si="10"/>
        <v>14000</v>
      </c>
      <c r="Q51" s="348">
        <f t="shared" si="11"/>
        <v>0</v>
      </c>
      <c r="R51" s="348">
        <f t="shared" si="15"/>
        <v>2156000</v>
      </c>
      <c r="S51" s="348">
        <f t="shared" si="15"/>
        <v>0</v>
      </c>
      <c r="T51" s="348">
        <f t="shared" si="16"/>
        <v>784000</v>
      </c>
      <c r="U51" s="348">
        <f t="shared" si="17"/>
        <v>0</v>
      </c>
      <c r="V51" s="349" t="s">
        <v>612</v>
      </c>
      <c r="W51" s="362" t="s">
        <v>634</v>
      </c>
      <c r="X51" s="334">
        <v>1</v>
      </c>
      <c r="Y51" s="334">
        <v>0.8</v>
      </c>
      <c r="Z51" s="351">
        <f t="shared" si="5"/>
        <v>3200</v>
      </c>
      <c r="AA51" s="351">
        <f t="shared" si="5"/>
        <v>3200</v>
      </c>
      <c r="AB51" s="351">
        <f t="shared" si="6"/>
        <v>4000</v>
      </c>
      <c r="AC51" s="351">
        <f t="shared" si="6"/>
        <v>4000</v>
      </c>
      <c r="AD51" s="351">
        <f t="shared" si="6"/>
        <v>4000</v>
      </c>
      <c r="AE51" s="351">
        <f t="shared" si="6"/>
        <v>4000</v>
      </c>
      <c r="AF51" s="351">
        <f t="shared" si="6"/>
        <v>4000</v>
      </c>
      <c r="AG51" s="351">
        <f t="shared" si="6"/>
        <v>4000</v>
      </c>
      <c r="AH51" s="351">
        <f t="shared" si="7"/>
        <v>3200</v>
      </c>
      <c r="AI51" s="351">
        <f t="shared" si="7"/>
        <v>3200</v>
      </c>
      <c r="AJ51" s="351">
        <f t="shared" si="7"/>
        <v>3200</v>
      </c>
      <c r="AK51" s="351">
        <f t="shared" si="7"/>
        <v>3200</v>
      </c>
    </row>
    <row r="52" spans="2:37" ht="16.05" customHeight="1">
      <c r="B52" s="704"/>
      <c r="C52" s="700"/>
      <c r="D52" s="352" t="s">
        <v>622</v>
      </c>
      <c r="E52" s="353">
        <v>2</v>
      </c>
      <c r="F52" s="355">
        <v>1000</v>
      </c>
      <c r="G52" s="359" t="s">
        <v>611</v>
      </c>
      <c r="H52" s="355">
        <v>1000</v>
      </c>
      <c r="I52" s="363"/>
      <c r="J52" s="356">
        <f t="shared" si="8"/>
        <v>2000</v>
      </c>
      <c r="K52" s="345">
        <v>0</v>
      </c>
      <c r="L52" s="346">
        <f t="shared" si="13"/>
        <v>2000</v>
      </c>
      <c r="M52" s="346">
        <f t="shared" si="14"/>
        <v>0</v>
      </c>
      <c r="N52" s="348">
        <f t="shared" si="9"/>
        <v>14000</v>
      </c>
      <c r="O52" s="348" t="s">
        <v>611</v>
      </c>
      <c r="P52" s="348">
        <f t="shared" si="10"/>
        <v>14000</v>
      </c>
      <c r="Q52" s="348">
        <f t="shared" si="11"/>
        <v>0</v>
      </c>
      <c r="R52" s="348">
        <f t="shared" si="15"/>
        <v>2156000</v>
      </c>
      <c r="S52" s="348">
        <f t="shared" si="15"/>
        <v>0</v>
      </c>
      <c r="T52" s="348">
        <f t="shared" si="16"/>
        <v>784000</v>
      </c>
      <c r="U52" s="348">
        <f t="shared" si="17"/>
        <v>0</v>
      </c>
      <c r="V52" s="349" t="s">
        <v>612</v>
      </c>
      <c r="W52" s="362" t="s">
        <v>634</v>
      </c>
      <c r="X52" s="334">
        <v>1</v>
      </c>
      <c r="Y52" s="334">
        <v>0.8</v>
      </c>
      <c r="Z52" s="351">
        <f t="shared" si="5"/>
        <v>3200</v>
      </c>
      <c r="AA52" s="351">
        <f t="shared" si="5"/>
        <v>3200</v>
      </c>
      <c r="AB52" s="351">
        <f t="shared" si="6"/>
        <v>4000</v>
      </c>
      <c r="AC52" s="351">
        <f t="shared" si="6"/>
        <v>4000</v>
      </c>
      <c r="AD52" s="351">
        <f t="shared" si="6"/>
        <v>4000</v>
      </c>
      <c r="AE52" s="351">
        <f t="shared" si="6"/>
        <v>4000</v>
      </c>
      <c r="AF52" s="351">
        <f t="shared" si="6"/>
        <v>4000</v>
      </c>
      <c r="AG52" s="351">
        <f t="shared" si="6"/>
        <v>4000</v>
      </c>
      <c r="AH52" s="351">
        <f t="shared" si="7"/>
        <v>3200</v>
      </c>
      <c r="AI52" s="351">
        <f t="shared" si="7"/>
        <v>3200</v>
      </c>
      <c r="AJ52" s="351">
        <f t="shared" si="7"/>
        <v>3200</v>
      </c>
      <c r="AK52" s="351">
        <f t="shared" si="7"/>
        <v>3200</v>
      </c>
    </row>
    <row r="53" spans="2:37" ht="40.049999999999997" customHeight="1">
      <c r="B53" s="704"/>
      <c r="C53" s="700"/>
      <c r="D53" s="352" t="s">
        <v>623</v>
      </c>
      <c r="E53" s="353">
        <v>24</v>
      </c>
      <c r="F53" s="355">
        <v>1000</v>
      </c>
      <c r="G53" s="359" t="s">
        <v>611</v>
      </c>
      <c r="H53" s="355">
        <v>1000</v>
      </c>
      <c r="I53" s="355"/>
      <c r="J53" s="356">
        <f t="shared" si="8"/>
        <v>24000</v>
      </c>
      <c r="K53" s="345">
        <v>0</v>
      </c>
      <c r="L53" s="346">
        <f t="shared" si="13"/>
        <v>24000</v>
      </c>
      <c r="M53" s="346">
        <f t="shared" si="14"/>
        <v>0</v>
      </c>
      <c r="N53" s="348">
        <f t="shared" si="9"/>
        <v>168000</v>
      </c>
      <c r="O53" s="348" t="s">
        <v>611</v>
      </c>
      <c r="P53" s="348">
        <f t="shared" si="10"/>
        <v>168000</v>
      </c>
      <c r="Q53" s="348">
        <f t="shared" si="11"/>
        <v>0</v>
      </c>
      <c r="R53" s="348">
        <f t="shared" si="15"/>
        <v>25872000</v>
      </c>
      <c r="S53" s="348">
        <f t="shared" si="15"/>
        <v>0</v>
      </c>
      <c r="T53" s="348">
        <f t="shared" si="16"/>
        <v>9408000</v>
      </c>
      <c r="U53" s="348">
        <f t="shared" si="17"/>
        <v>0</v>
      </c>
      <c r="V53" s="349" t="s">
        <v>612</v>
      </c>
      <c r="W53" s="361" t="s">
        <v>633</v>
      </c>
      <c r="X53" s="334">
        <v>1</v>
      </c>
      <c r="Y53" s="334">
        <v>0.8</v>
      </c>
      <c r="Z53" s="351"/>
      <c r="AA53" s="351"/>
      <c r="AB53" s="351">
        <f t="shared" si="6"/>
        <v>48000</v>
      </c>
      <c r="AC53" s="351">
        <f t="shared" si="6"/>
        <v>48000</v>
      </c>
      <c r="AD53" s="351">
        <f t="shared" si="6"/>
        <v>48000</v>
      </c>
      <c r="AE53" s="351">
        <f t="shared" si="6"/>
        <v>48000</v>
      </c>
      <c r="AF53" s="351">
        <f t="shared" si="6"/>
        <v>48000</v>
      </c>
      <c r="AG53" s="351">
        <f t="shared" si="6"/>
        <v>48000</v>
      </c>
      <c r="AH53" s="351">
        <f t="shared" si="7"/>
        <v>38400</v>
      </c>
      <c r="AI53" s="351">
        <f t="shared" si="7"/>
        <v>38400</v>
      </c>
      <c r="AJ53" s="351">
        <f t="shared" si="7"/>
        <v>38400</v>
      </c>
      <c r="AK53" s="351"/>
    </row>
    <row r="54" spans="2:37" ht="16.05" customHeight="1">
      <c r="B54" s="704"/>
      <c r="C54" s="700"/>
      <c r="D54" s="352" t="s">
        <v>624</v>
      </c>
      <c r="E54" s="353">
        <v>15</v>
      </c>
      <c r="F54" s="355">
        <v>1000</v>
      </c>
      <c r="G54" s="359" t="s">
        <v>611</v>
      </c>
      <c r="H54" s="355">
        <v>1000</v>
      </c>
      <c r="I54" s="355"/>
      <c r="J54" s="356">
        <f t="shared" si="8"/>
        <v>15000</v>
      </c>
      <c r="K54" s="345">
        <v>0</v>
      </c>
      <c r="L54" s="346">
        <f t="shared" si="13"/>
        <v>15000</v>
      </c>
      <c r="M54" s="346">
        <f t="shared" si="14"/>
        <v>0</v>
      </c>
      <c r="N54" s="348">
        <f t="shared" si="9"/>
        <v>105000</v>
      </c>
      <c r="O54" s="348" t="s">
        <v>611</v>
      </c>
      <c r="P54" s="348">
        <f t="shared" si="10"/>
        <v>105000</v>
      </c>
      <c r="Q54" s="348">
        <f t="shared" si="11"/>
        <v>0</v>
      </c>
      <c r="R54" s="348">
        <f t="shared" si="15"/>
        <v>16170000</v>
      </c>
      <c r="S54" s="348">
        <f t="shared" si="15"/>
        <v>0</v>
      </c>
      <c r="T54" s="348">
        <f t="shared" si="16"/>
        <v>5880000</v>
      </c>
      <c r="U54" s="348">
        <f t="shared" si="17"/>
        <v>0</v>
      </c>
      <c r="V54" s="349" t="s">
        <v>612</v>
      </c>
      <c r="W54" s="362" t="s">
        <v>634</v>
      </c>
      <c r="X54" s="334">
        <v>1</v>
      </c>
      <c r="Y54" s="334">
        <v>0.8</v>
      </c>
      <c r="Z54" s="351">
        <f t="shared" si="5"/>
        <v>24000</v>
      </c>
      <c r="AA54" s="351">
        <f t="shared" si="5"/>
        <v>24000</v>
      </c>
      <c r="AB54" s="351">
        <f t="shared" si="6"/>
        <v>30000</v>
      </c>
      <c r="AC54" s="351">
        <f t="shared" si="6"/>
        <v>30000</v>
      </c>
      <c r="AD54" s="351">
        <f t="shared" si="6"/>
        <v>30000</v>
      </c>
      <c r="AE54" s="351">
        <f t="shared" si="6"/>
        <v>30000</v>
      </c>
      <c r="AF54" s="351">
        <f t="shared" si="6"/>
        <v>30000</v>
      </c>
      <c r="AG54" s="351">
        <f t="shared" si="6"/>
        <v>30000</v>
      </c>
      <c r="AH54" s="351">
        <f t="shared" si="7"/>
        <v>24000</v>
      </c>
      <c r="AI54" s="351">
        <f t="shared" si="7"/>
        <v>24000</v>
      </c>
      <c r="AJ54" s="351">
        <f t="shared" si="7"/>
        <v>24000</v>
      </c>
      <c r="AK54" s="351">
        <f t="shared" si="7"/>
        <v>24000</v>
      </c>
    </row>
    <row r="55" spans="2:37" ht="39" customHeight="1">
      <c r="B55" s="704"/>
      <c r="C55" s="700"/>
      <c r="D55" s="352" t="s">
        <v>625</v>
      </c>
      <c r="E55" s="353">
        <v>16</v>
      </c>
      <c r="F55" s="355">
        <v>1000</v>
      </c>
      <c r="G55" s="359" t="s">
        <v>611</v>
      </c>
      <c r="H55" s="355">
        <v>1000</v>
      </c>
      <c r="I55" s="355"/>
      <c r="J55" s="356">
        <f t="shared" si="8"/>
        <v>16000</v>
      </c>
      <c r="K55" s="345">
        <v>0</v>
      </c>
      <c r="L55" s="346">
        <f t="shared" si="13"/>
        <v>16000</v>
      </c>
      <c r="M55" s="346">
        <f t="shared" si="14"/>
        <v>0</v>
      </c>
      <c r="N55" s="348">
        <f t="shared" si="9"/>
        <v>112000</v>
      </c>
      <c r="O55" s="348" t="s">
        <v>611</v>
      </c>
      <c r="P55" s="348">
        <f t="shared" si="10"/>
        <v>112000</v>
      </c>
      <c r="Q55" s="348">
        <f t="shared" si="11"/>
        <v>0</v>
      </c>
      <c r="R55" s="348">
        <f t="shared" si="15"/>
        <v>17248000</v>
      </c>
      <c r="S55" s="348">
        <f t="shared" si="15"/>
        <v>0</v>
      </c>
      <c r="T55" s="348">
        <f t="shared" si="16"/>
        <v>6272000</v>
      </c>
      <c r="U55" s="348">
        <f t="shared" si="17"/>
        <v>0</v>
      </c>
      <c r="V55" s="349" t="s">
        <v>612</v>
      </c>
      <c r="W55" s="361" t="s">
        <v>637</v>
      </c>
      <c r="X55" s="334">
        <v>1</v>
      </c>
      <c r="Y55" s="334">
        <v>0.8</v>
      </c>
      <c r="Z55" s="351">
        <f t="shared" si="5"/>
        <v>25600</v>
      </c>
      <c r="AA55" s="351">
        <f t="shared" si="5"/>
        <v>25600</v>
      </c>
      <c r="AB55" s="351">
        <f t="shared" si="6"/>
        <v>32000</v>
      </c>
      <c r="AC55" s="351">
        <f t="shared" si="6"/>
        <v>32000</v>
      </c>
      <c r="AD55" s="351">
        <f t="shared" si="6"/>
        <v>32000</v>
      </c>
      <c r="AE55" s="351"/>
      <c r="AF55" s="351"/>
      <c r="AG55" s="351"/>
      <c r="AH55" s="351">
        <f t="shared" si="7"/>
        <v>25600</v>
      </c>
      <c r="AI55" s="351">
        <f t="shared" si="7"/>
        <v>25600</v>
      </c>
      <c r="AJ55" s="351">
        <f t="shared" si="7"/>
        <v>25600</v>
      </c>
      <c r="AK55" s="351">
        <f t="shared" si="7"/>
        <v>25600</v>
      </c>
    </row>
    <row r="56" spans="2:37" ht="16.05" customHeight="1">
      <c r="B56" s="704"/>
      <c r="C56" s="700"/>
      <c r="D56" s="352" t="s">
        <v>627</v>
      </c>
      <c r="E56" s="353">
        <v>14</v>
      </c>
      <c r="F56" s="355">
        <v>1000</v>
      </c>
      <c r="G56" s="359" t="s">
        <v>611</v>
      </c>
      <c r="H56" s="355">
        <v>1000</v>
      </c>
      <c r="I56" s="355"/>
      <c r="J56" s="356">
        <f t="shared" si="8"/>
        <v>14000</v>
      </c>
      <c r="K56" s="345">
        <v>0</v>
      </c>
      <c r="L56" s="346">
        <f t="shared" si="13"/>
        <v>14000</v>
      </c>
      <c r="M56" s="346">
        <f t="shared" si="14"/>
        <v>0</v>
      </c>
      <c r="N56" s="348">
        <f t="shared" si="9"/>
        <v>98000</v>
      </c>
      <c r="O56" s="348" t="s">
        <v>611</v>
      </c>
      <c r="P56" s="348">
        <f t="shared" si="10"/>
        <v>98000</v>
      </c>
      <c r="Q56" s="348">
        <f t="shared" si="11"/>
        <v>0</v>
      </c>
      <c r="R56" s="348">
        <f t="shared" si="15"/>
        <v>15092000</v>
      </c>
      <c r="S56" s="348">
        <f t="shared" si="15"/>
        <v>0</v>
      </c>
      <c r="T56" s="348">
        <f t="shared" si="16"/>
        <v>5488000</v>
      </c>
      <c r="U56" s="348">
        <f t="shared" si="17"/>
        <v>0</v>
      </c>
      <c r="V56" s="349" t="s">
        <v>612</v>
      </c>
      <c r="W56" s="362" t="s">
        <v>634</v>
      </c>
      <c r="X56" s="334">
        <v>1</v>
      </c>
      <c r="Y56" s="334">
        <v>0.8</v>
      </c>
      <c r="Z56" s="351">
        <f t="shared" si="5"/>
        <v>22400</v>
      </c>
      <c r="AA56" s="351">
        <f t="shared" si="5"/>
        <v>22400</v>
      </c>
      <c r="AB56" s="351">
        <f t="shared" si="6"/>
        <v>28000</v>
      </c>
      <c r="AC56" s="351">
        <f t="shared" si="6"/>
        <v>28000</v>
      </c>
      <c r="AD56" s="351">
        <f t="shared" si="6"/>
        <v>28000</v>
      </c>
      <c r="AE56" s="351">
        <f t="shared" si="6"/>
        <v>28000</v>
      </c>
      <c r="AF56" s="351">
        <f t="shared" si="6"/>
        <v>28000</v>
      </c>
      <c r="AG56" s="351">
        <f t="shared" si="6"/>
        <v>28000</v>
      </c>
      <c r="AH56" s="351">
        <f t="shared" si="7"/>
        <v>22400</v>
      </c>
      <c r="AI56" s="351">
        <f t="shared" si="7"/>
        <v>22400</v>
      </c>
      <c r="AJ56" s="351">
        <f t="shared" si="7"/>
        <v>22400</v>
      </c>
      <c r="AK56" s="351">
        <f t="shared" si="7"/>
        <v>22400</v>
      </c>
    </row>
    <row r="57" spans="2:37" ht="16.05" customHeight="1">
      <c r="B57" s="704"/>
      <c r="C57" s="700" t="s">
        <v>639</v>
      </c>
      <c r="D57" s="352" t="s">
        <v>583</v>
      </c>
      <c r="E57" s="353">
        <v>7</v>
      </c>
      <c r="F57" s="364">
        <v>2000</v>
      </c>
      <c r="G57" s="359" t="s">
        <v>611</v>
      </c>
      <c r="H57" s="355"/>
      <c r="I57" s="355">
        <v>600</v>
      </c>
      <c r="J57" s="356">
        <f t="shared" si="8"/>
        <v>14000</v>
      </c>
      <c r="K57" s="345">
        <v>0</v>
      </c>
      <c r="L57" s="346">
        <f t="shared" si="13"/>
        <v>0</v>
      </c>
      <c r="M57" s="346">
        <f t="shared" si="14"/>
        <v>4200</v>
      </c>
      <c r="N57" s="348">
        <f t="shared" si="9"/>
        <v>98000</v>
      </c>
      <c r="O57" s="348" t="s">
        <v>611</v>
      </c>
      <c r="P57" s="348">
        <f t="shared" si="10"/>
        <v>0</v>
      </c>
      <c r="Q57" s="348">
        <f t="shared" si="11"/>
        <v>29400</v>
      </c>
      <c r="R57" s="348">
        <f t="shared" si="15"/>
        <v>7546000</v>
      </c>
      <c r="S57" s="348">
        <f t="shared" si="15"/>
        <v>2263800</v>
      </c>
      <c r="T57" s="348">
        <f t="shared" si="16"/>
        <v>2744000</v>
      </c>
      <c r="U57" s="348">
        <f t="shared" si="17"/>
        <v>411600</v>
      </c>
      <c r="V57" s="349" t="s">
        <v>612</v>
      </c>
      <c r="W57" s="362" t="s">
        <v>634</v>
      </c>
      <c r="X57" s="334">
        <v>1</v>
      </c>
      <c r="Y57" s="334">
        <v>0.8</v>
      </c>
      <c r="Z57" s="351">
        <f t="shared" si="5"/>
        <v>14560</v>
      </c>
      <c r="AA57" s="351">
        <f t="shared" si="5"/>
        <v>14560</v>
      </c>
      <c r="AB57" s="351">
        <f t="shared" si="6"/>
        <v>18200</v>
      </c>
      <c r="AC57" s="351">
        <f t="shared" si="6"/>
        <v>18200</v>
      </c>
      <c r="AD57" s="351">
        <f t="shared" si="6"/>
        <v>18200</v>
      </c>
      <c r="AE57" s="351">
        <f t="shared" si="6"/>
        <v>18200</v>
      </c>
      <c r="AF57" s="351">
        <f t="shared" si="6"/>
        <v>18200</v>
      </c>
      <c r="AG57" s="351">
        <f t="shared" si="6"/>
        <v>18200</v>
      </c>
      <c r="AH57" s="351">
        <f t="shared" si="7"/>
        <v>14560</v>
      </c>
      <c r="AI57" s="351">
        <f t="shared" si="7"/>
        <v>14560</v>
      </c>
      <c r="AJ57" s="351">
        <f t="shared" si="7"/>
        <v>14560</v>
      </c>
      <c r="AK57" s="351">
        <f t="shared" si="7"/>
        <v>14560</v>
      </c>
    </row>
    <row r="58" spans="2:37" ht="16.05" customHeight="1">
      <c r="B58" s="704"/>
      <c r="C58" s="700"/>
      <c r="D58" s="352" t="s">
        <v>614</v>
      </c>
      <c r="E58" s="353">
        <v>28</v>
      </c>
      <c r="F58" s="364">
        <v>2000</v>
      </c>
      <c r="G58" s="359" t="s">
        <v>611</v>
      </c>
      <c r="H58" s="355"/>
      <c r="I58" s="355">
        <v>600</v>
      </c>
      <c r="J58" s="356">
        <f t="shared" si="8"/>
        <v>56000</v>
      </c>
      <c r="K58" s="345">
        <v>0</v>
      </c>
      <c r="L58" s="346">
        <f t="shared" si="13"/>
        <v>0</v>
      </c>
      <c r="M58" s="346">
        <f t="shared" si="14"/>
        <v>16800</v>
      </c>
      <c r="N58" s="348">
        <f t="shared" si="9"/>
        <v>392000</v>
      </c>
      <c r="O58" s="348" t="s">
        <v>611</v>
      </c>
      <c r="P58" s="348">
        <f t="shared" si="10"/>
        <v>0</v>
      </c>
      <c r="Q58" s="348">
        <f t="shared" si="11"/>
        <v>117600</v>
      </c>
      <c r="R58" s="348">
        <f t="shared" si="15"/>
        <v>30184000</v>
      </c>
      <c r="S58" s="348">
        <f t="shared" si="15"/>
        <v>9055200</v>
      </c>
      <c r="T58" s="348">
        <f t="shared" si="16"/>
        <v>10976000</v>
      </c>
      <c r="U58" s="348">
        <f t="shared" si="17"/>
        <v>1646400</v>
      </c>
      <c r="V58" s="349" t="s">
        <v>612</v>
      </c>
      <c r="W58" s="362" t="s">
        <v>634</v>
      </c>
      <c r="X58" s="334">
        <v>1</v>
      </c>
      <c r="Y58" s="334">
        <v>0.8</v>
      </c>
      <c r="Z58" s="351">
        <f t="shared" si="5"/>
        <v>58240</v>
      </c>
      <c r="AA58" s="351">
        <f t="shared" si="5"/>
        <v>58240</v>
      </c>
      <c r="AB58" s="351">
        <f t="shared" si="6"/>
        <v>72800</v>
      </c>
      <c r="AC58" s="351">
        <f t="shared" si="6"/>
        <v>72800</v>
      </c>
      <c r="AD58" s="351">
        <f t="shared" si="6"/>
        <v>72800</v>
      </c>
      <c r="AE58" s="351">
        <f t="shared" si="6"/>
        <v>72800</v>
      </c>
      <c r="AF58" s="351">
        <f t="shared" si="6"/>
        <v>72800</v>
      </c>
      <c r="AG58" s="351">
        <f t="shared" si="6"/>
        <v>72800</v>
      </c>
      <c r="AH58" s="351">
        <f t="shared" si="7"/>
        <v>58240</v>
      </c>
      <c r="AI58" s="351">
        <f t="shared" si="7"/>
        <v>58240</v>
      </c>
      <c r="AJ58" s="351">
        <f t="shared" si="7"/>
        <v>58240</v>
      </c>
      <c r="AK58" s="351">
        <f t="shared" si="7"/>
        <v>58240</v>
      </c>
    </row>
    <row r="59" spans="2:37" ht="16.05" customHeight="1">
      <c r="B59" s="704"/>
      <c r="C59" s="700"/>
      <c r="D59" s="352" t="s">
        <v>615</v>
      </c>
      <c r="E59" s="353">
        <v>1</v>
      </c>
      <c r="F59" s="364">
        <v>2000</v>
      </c>
      <c r="G59" s="359" t="s">
        <v>611</v>
      </c>
      <c r="H59" s="355"/>
      <c r="I59" s="355">
        <v>600</v>
      </c>
      <c r="J59" s="356">
        <f t="shared" si="8"/>
        <v>2000</v>
      </c>
      <c r="K59" s="345">
        <v>0</v>
      </c>
      <c r="L59" s="346">
        <f t="shared" si="13"/>
        <v>0</v>
      </c>
      <c r="M59" s="346">
        <f t="shared" si="14"/>
        <v>600</v>
      </c>
      <c r="N59" s="348">
        <f t="shared" si="9"/>
        <v>14000</v>
      </c>
      <c r="O59" s="348" t="s">
        <v>611</v>
      </c>
      <c r="P59" s="348">
        <f t="shared" si="10"/>
        <v>0</v>
      </c>
      <c r="Q59" s="348">
        <f t="shared" si="11"/>
        <v>4200</v>
      </c>
      <c r="R59" s="348">
        <f t="shared" si="15"/>
        <v>1078000</v>
      </c>
      <c r="S59" s="348">
        <f t="shared" si="15"/>
        <v>323400</v>
      </c>
      <c r="T59" s="348">
        <f t="shared" si="16"/>
        <v>392000</v>
      </c>
      <c r="U59" s="348">
        <f t="shared" si="17"/>
        <v>58800</v>
      </c>
      <c r="V59" s="349" t="s">
        <v>612</v>
      </c>
      <c r="W59" s="362" t="s">
        <v>634</v>
      </c>
      <c r="X59" s="334">
        <v>1</v>
      </c>
      <c r="Y59" s="334">
        <v>0.8</v>
      </c>
      <c r="Z59" s="351">
        <f t="shared" si="5"/>
        <v>2080</v>
      </c>
      <c r="AA59" s="351">
        <f t="shared" si="5"/>
        <v>2080</v>
      </c>
      <c r="AB59" s="351">
        <f t="shared" si="6"/>
        <v>2600</v>
      </c>
      <c r="AC59" s="351">
        <f t="shared" si="6"/>
        <v>2600</v>
      </c>
      <c r="AD59" s="351">
        <f t="shared" si="6"/>
        <v>2600</v>
      </c>
      <c r="AE59" s="351">
        <f t="shared" si="6"/>
        <v>2600</v>
      </c>
      <c r="AF59" s="351">
        <f t="shared" si="6"/>
        <v>2600</v>
      </c>
      <c r="AG59" s="351">
        <f t="shared" si="6"/>
        <v>2600</v>
      </c>
      <c r="AH59" s="351">
        <f t="shared" si="7"/>
        <v>2080</v>
      </c>
      <c r="AI59" s="351">
        <f t="shared" si="7"/>
        <v>2080</v>
      </c>
      <c r="AJ59" s="351">
        <f t="shared" si="7"/>
        <v>2080</v>
      </c>
      <c r="AK59" s="351">
        <f t="shared" si="7"/>
        <v>2080</v>
      </c>
    </row>
    <row r="60" spans="2:37" ht="13.05" customHeight="1">
      <c r="B60" s="704"/>
      <c r="C60" s="700"/>
      <c r="D60" s="352" t="s">
        <v>616</v>
      </c>
      <c r="E60" s="353">
        <v>25</v>
      </c>
      <c r="F60" s="364">
        <v>2000</v>
      </c>
      <c r="G60" s="359" t="s">
        <v>611</v>
      </c>
      <c r="H60" s="355"/>
      <c r="I60" s="355">
        <v>600</v>
      </c>
      <c r="J60" s="356">
        <f t="shared" si="8"/>
        <v>50000</v>
      </c>
      <c r="K60" s="345">
        <v>0</v>
      </c>
      <c r="L60" s="346">
        <f t="shared" si="13"/>
        <v>0</v>
      </c>
      <c r="M60" s="346">
        <f t="shared" si="14"/>
        <v>15000</v>
      </c>
      <c r="N60" s="348">
        <f t="shared" si="9"/>
        <v>350000</v>
      </c>
      <c r="O60" s="348" t="s">
        <v>611</v>
      </c>
      <c r="P60" s="348">
        <f t="shared" si="10"/>
        <v>0</v>
      </c>
      <c r="Q60" s="348">
        <f t="shared" si="11"/>
        <v>105000</v>
      </c>
      <c r="R60" s="348">
        <f t="shared" si="15"/>
        <v>26950000</v>
      </c>
      <c r="S60" s="348">
        <f t="shared" si="15"/>
        <v>8085000</v>
      </c>
      <c r="T60" s="348">
        <f t="shared" si="16"/>
        <v>9800000</v>
      </c>
      <c r="U60" s="348">
        <f t="shared" si="17"/>
        <v>1470000</v>
      </c>
      <c r="V60" s="349" t="s">
        <v>612</v>
      </c>
      <c r="W60" s="362" t="s">
        <v>634</v>
      </c>
      <c r="X60" s="334">
        <v>1</v>
      </c>
      <c r="Y60" s="334">
        <v>0.8</v>
      </c>
      <c r="Z60" s="351">
        <f t="shared" si="5"/>
        <v>52000</v>
      </c>
      <c r="AA60" s="351">
        <f t="shared" si="5"/>
        <v>52000</v>
      </c>
      <c r="AB60" s="351">
        <f t="shared" si="6"/>
        <v>65000</v>
      </c>
      <c r="AC60" s="351">
        <f t="shared" si="6"/>
        <v>65000</v>
      </c>
      <c r="AD60" s="351">
        <f t="shared" si="6"/>
        <v>65000</v>
      </c>
      <c r="AE60" s="351">
        <f t="shared" si="6"/>
        <v>65000</v>
      </c>
      <c r="AF60" s="351">
        <f t="shared" si="6"/>
        <v>65000</v>
      </c>
      <c r="AG60" s="351">
        <f t="shared" si="6"/>
        <v>65000</v>
      </c>
      <c r="AH60" s="351">
        <f t="shared" si="7"/>
        <v>52000</v>
      </c>
      <c r="AI60" s="351">
        <f t="shared" si="7"/>
        <v>52000</v>
      </c>
      <c r="AJ60" s="351">
        <f t="shared" si="7"/>
        <v>52000</v>
      </c>
      <c r="AK60" s="351">
        <f t="shared" si="7"/>
        <v>52000</v>
      </c>
    </row>
    <row r="61" spans="2:37">
      <c r="B61" s="704"/>
      <c r="C61" s="700"/>
      <c r="D61" s="352" t="s">
        <v>617</v>
      </c>
      <c r="E61" s="353">
        <v>76</v>
      </c>
      <c r="F61" s="364">
        <v>2000</v>
      </c>
      <c r="G61" s="359" t="s">
        <v>611</v>
      </c>
      <c r="H61" s="355"/>
      <c r="I61" s="355">
        <v>600</v>
      </c>
      <c r="J61" s="356">
        <f t="shared" si="8"/>
        <v>152000</v>
      </c>
      <c r="K61" s="345">
        <v>0</v>
      </c>
      <c r="L61" s="346">
        <f t="shared" si="13"/>
        <v>0</v>
      </c>
      <c r="M61" s="346">
        <f t="shared" si="14"/>
        <v>45600</v>
      </c>
      <c r="N61" s="348">
        <f t="shared" si="9"/>
        <v>1064000</v>
      </c>
      <c r="O61" s="348" t="s">
        <v>611</v>
      </c>
      <c r="P61" s="348">
        <f t="shared" si="10"/>
        <v>0</v>
      </c>
      <c r="Q61" s="348">
        <f t="shared" si="11"/>
        <v>319200</v>
      </c>
      <c r="R61" s="348">
        <f t="shared" si="15"/>
        <v>81928000</v>
      </c>
      <c r="S61" s="348">
        <f t="shared" si="15"/>
        <v>24578400</v>
      </c>
      <c r="T61" s="348">
        <f t="shared" si="16"/>
        <v>29792000</v>
      </c>
      <c r="U61" s="348">
        <f t="shared" si="17"/>
        <v>4468800</v>
      </c>
      <c r="V61" s="349" t="s">
        <v>612</v>
      </c>
      <c r="W61" s="362" t="s">
        <v>634</v>
      </c>
      <c r="X61" s="334">
        <v>1</v>
      </c>
      <c r="Y61" s="334">
        <v>0.8</v>
      </c>
      <c r="Z61" s="351">
        <f t="shared" si="5"/>
        <v>158080</v>
      </c>
      <c r="AA61" s="351">
        <f t="shared" si="5"/>
        <v>158080</v>
      </c>
      <c r="AB61" s="351">
        <f t="shared" si="6"/>
        <v>197600</v>
      </c>
      <c r="AC61" s="351">
        <f t="shared" si="6"/>
        <v>197600</v>
      </c>
      <c r="AD61" s="351">
        <f t="shared" si="6"/>
        <v>197600</v>
      </c>
      <c r="AE61" s="351">
        <f t="shared" si="6"/>
        <v>197600</v>
      </c>
      <c r="AF61" s="351">
        <f t="shared" si="6"/>
        <v>197600</v>
      </c>
      <c r="AG61" s="351">
        <f t="shared" si="6"/>
        <v>197600</v>
      </c>
      <c r="AH61" s="351">
        <f t="shared" si="7"/>
        <v>158080</v>
      </c>
      <c r="AI61" s="351">
        <f t="shared" si="7"/>
        <v>158080</v>
      </c>
      <c r="AJ61" s="351">
        <f t="shared" si="7"/>
        <v>158080</v>
      </c>
      <c r="AK61" s="351">
        <f t="shared" si="7"/>
        <v>158080</v>
      </c>
    </row>
    <row r="62" spans="2:37" ht="39.6">
      <c r="B62" s="704"/>
      <c r="C62" s="700"/>
      <c r="D62" s="352" t="s">
        <v>618</v>
      </c>
      <c r="E62" s="353">
        <v>36</v>
      </c>
      <c r="F62" s="364">
        <v>2000</v>
      </c>
      <c r="G62" s="359" t="s">
        <v>611</v>
      </c>
      <c r="H62" s="355"/>
      <c r="I62" s="355">
        <v>600</v>
      </c>
      <c r="J62" s="356">
        <f t="shared" si="8"/>
        <v>72000</v>
      </c>
      <c r="K62" s="345">
        <v>0</v>
      </c>
      <c r="L62" s="346">
        <f t="shared" si="13"/>
        <v>0</v>
      </c>
      <c r="M62" s="346">
        <f t="shared" si="14"/>
        <v>21600</v>
      </c>
      <c r="N62" s="348">
        <f t="shared" si="9"/>
        <v>504000</v>
      </c>
      <c r="O62" s="348" t="s">
        <v>611</v>
      </c>
      <c r="P62" s="348">
        <f t="shared" si="10"/>
        <v>0</v>
      </c>
      <c r="Q62" s="348">
        <f t="shared" si="11"/>
        <v>151200</v>
      </c>
      <c r="R62" s="348">
        <f t="shared" si="15"/>
        <v>38808000</v>
      </c>
      <c r="S62" s="348">
        <f t="shared" si="15"/>
        <v>11642400</v>
      </c>
      <c r="T62" s="348">
        <f t="shared" si="16"/>
        <v>14112000</v>
      </c>
      <c r="U62" s="348">
        <f t="shared" si="17"/>
        <v>2116800</v>
      </c>
      <c r="V62" s="349" t="s">
        <v>612</v>
      </c>
      <c r="W62" s="361" t="s">
        <v>631</v>
      </c>
      <c r="X62" s="334">
        <v>1</v>
      </c>
      <c r="Y62" s="334">
        <v>0.8</v>
      </c>
      <c r="Z62" s="351"/>
      <c r="AA62" s="351">
        <f t="shared" si="5"/>
        <v>74880</v>
      </c>
      <c r="AB62" s="351">
        <f t="shared" si="6"/>
        <v>93600</v>
      </c>
      <c r="AC62" s="351">
        <f t="shared" si="6"/>
        <v>93600</v>
      </c>
      <c r="AD62" s="351">
        <f t="shared" si="6"/>
        <v>93600</v>
      </c>
      <c r="AE62" s="351">
        <f t="shared" si="6"/>
        <v>93600</v>
      </c>
      <c r="AF62" s="351">
        <f t="shared" si="6"/>
        <v>93600</v>
      </c>
      <c r="AG62" s="351">
        <f t="shared" si="6"/>
        <v>93600</v>
      </c>
      <c r="AH62" s="351">
        <f t="shared" si="7"/>
        <v>74880</v>
      </c>
      <c r="AI62" s="351">
        <f t="shared" si="7"/>
        <v>74880</v>
      </c>
      <c r="AJ62" s="351"/>
      <c r="AK62" s="351"/>
    </row>
    <row r="63" spans="2:37">
      <c r="B63" s="704"/>
      <c r="C63" s="700"/>
      <c r="D63" s="352" t="s">
        <v>619</v>
      </c>
      <c r="E63" s="353">
        <v>3</v>
      </c>
      <c r="F63" s="364">
        <v>2000</v>
      </c>
      <c r="G63" s="359" t="s">
        <v>611</v>
      </c>
      <c r="H63" s="355"/>
      <c r="I63" s="355">
        <v>600</v>
      </c>
      <c r="J63" s="356">
        <f t="shared" si="8"/>
        <v>6000</v>
      </c>
      <c r="K63" s="345">
        <v>0</v>
      </c>
      <c r="L63" s="346">
        <f t="shared" si="13"/>
        <v>0</v>
      </c>
      <c r="M63" s="346">
        <f t="shared" si="14"/>
        <v>1800</v>
      </c>
      <c r="N63" s="348">
        <f t="shared" si="9"/>
        <v>42000</v>
      </c>
      <c r="O63" s="348" t="s">
        <v>611</v>
      </c>
      <c r="P63" s="348">
        <f t="shared" si="10"/>
        <v>0</v>
      </c>
      <c r="Q63" s="348">
        <f t="shared" si="11"/>
        <v>12600</v>
      </c>
      <c r="R63" s="348">
        <f t="shared" si="15"/>
        <v>3234000</v>
      </c>
      <c r="S63" s="348">
        <f t="shared" si="15"/>
        <v>970200</v>
      </c>
      <c r="T63" s="348">
        <f t="shared" si="16"/>
        <v>1176000</v>
      </c>
      <c r="U63" s="348">
        <f t="shared" si="17"/>
        <v>176400</v>
      </c>
      <c r="V63" s="349" t="s">
        <v>612</v>
      </c>
      <c r="W63" s="362" t="s">
        <v>634</v>
      </c>
      <c r="X63" s="334">
        <v>1</v>
      </c>
      <c r="Y63" s="334">
        <v>0.8</v>
      </c>
      <c r="Z63" s="351">
        <f t="shared" si="5"/>
        <v>6240</v>
      </c>
      <c r="AA63" s="351">
        <f t="shared" si="5"/>
        <v>6240</v>
      </c>
      <c r="AB63" s="351">
        <f t="shared" ref="AB63:AG94" si="18">($J63+$K63+$L63+$M63)*$X63</f>
        <v>7800</v>
      </c>
      <c r="AC63" s="351">
        <f t="shared" si="18"/>
        <v>7800</v>
      </c>
      <c r="AD63" s="351">
        <f t="shared" si="18"/>
        <v>7800</v>
      </c>
      <c r="AE63" s="351">
        <f t="shared" si="18"/>
        <v>7800</v>
      </c>
      <c r="AF63" s="351">
        <f t="shared" si="18"/>
        <v>7800</v>
      </c>
      <c r="AG63" s="351">
        <f t="shared" si="18"/>
        <v>7800</v>
      </c>
      <c r="AH63" s="351">
        <f t="shared" si="7"/>
        <v>6240</v>
      </c>
      <c r="AI63" s="351">
        <f t="shared" si="7"/>
        <v>6240</v>
      </c>
      <c r="AJ63" s="351">
        <f t="shared" si="7"/>
        <v>6240</v>
      </c>
      <c r="AK63" s="351">
        <f t="shared" si="7"/>
        <v>6240</v>
      </c>
    </row>
    <row r="64" spans="2:37">
      <c r="B64" s="704"/>
      <c r="C64" s="700"/>
      <c r="D64" s="352" t="s">
        <v>620</v>
      </c>
      <c r="E64" s="353">
        <v>6</v>
      </c>
      <c r="F64" s="364">
        <v>2000</v>
      </c>
      <c r="G64" s="359" t="s">
        <v>611</v>
      </c>
      <c r="H64" s="355"/>
      <c r="I64" s="355">
        <v>600</v>
      </c>
      <c r="J64" s="356">
        <v>0</v>
      </c>
      <c r="K64" s="345">
        <v>0</v>
      </c>
      <c r="L64" s="346">
        <v>0</v>
      </c>
      <c r="M64" s="346">
        <v>0</v>
      </c>
      <c r="N64" s="348" t="s">
        <v>611</v>
      </c>
      <c r="O64" s="348" t="s">
        <v>611</v>
      </c>
      <c r="P64" s="348" t="s">
        <v>611</v>
      </c>
      <c r="Q64" s="348" t="s">
        <v>611</v>
      </c>
      <c r="R64" s="348">
        <f t="shared" si="15"/>
        <v>0</v>
      </c>
      <c r="S64" s="348">
        <f t="shared" si="15"/>
        <v>0</v>
      </c>
      <c r="T64" s="348">
        <f t="shared" si="16"/>
        <v>0</v>
      </c>
      <c r="U64" s="348">
        <f t="shared" si="17"/>
        <v>0</v>
      </c>
      <c r="V64" s="349" t="s">
        <v>612</v>
      </c>
      <c r="W64" s="362" t="s">
        <v>634</v>
      </c>
      <c r="X64" s="334">
        <v>1</v>
      </c>
      <c r="Y64" s="334">
        <v>0.8</v>
      </c>
      <c r="Z64" s="351">
        <f t="shared" si="5"/>
        <v>0</v>
      </c>
      <c r="AA64" s="351">
        <f t="shared" si="5"/>
        <v>0</v>
      </c>
      <c r="AB64" s="351">
        <f t="shared" si="18"/>
        <v>0</v>
      </c>
      <c r="AC64" s="351">
        <f t="shared" si="18"/>
        <v>0</v>
      </c>
      <c r="AD64" s="351">
        <f t="shared" si="18"/>
        <v>0</v>
      </c>
      <c r="AE64" s="351">
        <f t="shared" si="18"/>
        <v>0</v>
      </c>
      <c r="AF64" s="351">
        <f t="shared" si="18"/>
        <v>0</v>
      </c>
      <c r="AG64" s="351">
        <f t="shared" si="18"/>
        <v>0</v>
      </c>
      <c r="AH64" s="351">
        <f t="shared" si="7"/>
        <v>0</v>
      </c>
      <c r="AI64" s="351">
        <f t="shared" si="7"/>
        <v>0</v>
      </c>
      <c r="AJ64" s="351">
        <f t="shared" si="7"/>
        <v>0</v>
      </c>
      <c r="AK64" s="351">
        <f t="shared" si="7"/>
        <v>0</v>
      </c>
    </row>
    <row r="65" spans="2:37">
      <c r="B65" s="704"/>
      <c r="C65" s="700"/>
      <c r="D65" s="352" t="s">
        <v>621</v>
      </c>
      <c r="E65" s="353">
        <v>8</v>
      </c>
      <c r="F65" s="364">
        <v>2000</v>
      </c>
      <c r="G65" s="359" t="s">
        <v>611</v>
      </c>
      <c r="H65" s="355"/>
      <c r="I65" s="355">
        <v>600</v>
      </c>
      <c r="J65" s="356">
        <f t="shared" si="8"/>
        <v>16000</v>
      </c>
      <c r="K65" s="345">
        <v>0</v>
      </c>
      <c r="L65" s="346">
        <f t="shared" si="13"/>
        <v>0</v>
      </c>
      <c r="M65" s="346">
        <f t="shared" si="14"/>
        <v>4800</v>
      </c>
      <c r="N65" s="348">
        <f t="shared" ref="N65:N98" si="19">E65*F65*$X$2</f>
        <v>112000</v>
      </c>
      <c r="O65" s="348" t="s">
        <v>611</v>
      </c>
      <c r="P65" s="348">
        <f t="shared" si="10"/>
        <v>0</v>
      </c>
      <c r="Q65" s="348">
        <f t="shared" si="11"/>
        <v>33600</v>
      </c>
      <c r="R65" s="348">
        <f t="shared" si="15"/>
        <v>8624000</v>
      </c>
      <c r="S65" s="348">
        <f t="shared" si="15"/>
        <v>2587200</v>
      </c>
      <c r="T65" s="348">
        <f t="shared" si="16"/>
        <v>3136000</v>
      </c>
      <c r="U65" s="348">
        <f t="shared" si="17"/>
        <v>470400</v>
      </c>
      <c r="V65" s="349" t="s">
        <v>612</v>
      </c>
      <c r="W65" s="362" t="s">
        <v>634</v>
      </c>
      <c r="X65" s="334">
        <v>1</v>
      </c>
      <c r="Y65" s="334">
        <v>0.8</v>
      </c>
      <c r="Z65" s="351">
        <f t="shared" si="5"/>
        <v>16640</v>
      </c>
      <c r="AA65" s="351">
        <f t="shared" si="5"/>
        <v>16640</v>
      </c>
      <c r="AB65" s="351">
        <f t="shared" si="18"/>
        <v>20800</v>
      </c>
      <c r="AC65" s="351">
        <f t="shared" si="18"/>
        <v>20800</v>
      </c>
      <c r="AD65" s="351">
        <f t="shared" si="18"/>
        <v>20800</v>
      </c>
      <c r="AE65" s="351">
        <f t="shared" si="18"/>
        <v>20800</v>
      </c>
      <c r="AF65" s="351">
        <f t="shared" si="18"/>
        <v>20800</v>
      </c>
      <c r="AG65" s="351">
        <f t="shared" si="18"/>
        <v>20800</v>
      </c>
      <c r="AH65" s="351">
        <f t="shared" si="7"/>
        <v>16640</v>
      </c>
      <c r="AI65" s="351">
        <f t="shared" si="7"/>
        <v>16640</v>
      </c>
      <c r="AJ65" s="351">
        <f t="shared" si="7"/>
        <v>16640</v>
      </c>
      <c r="AK65" s="351">
        <f t="shared" si="7"/>
        <v>16640</v>
      </c>
    </row>
    <row r="66" spans="2:37">
      <c r="B66" s="704"/>
      <c r="C66" s="700"/>
      <c r="D66" s="352" t="s">
        <v>622</v>
      </c>
      <c r="E66" s="353">
        <v>6</v>
      </c>
      <c r="F66" s="364">
        <v>2000</v>
      </c>
      <c r="G66" s="359" t="s">
        <v>611</v>
      </c>
      <c r="H66" s="355"/>
      <c r="I66" s="355">
        <v>600</v>
      </c>
      <c r="J66" s="356">
        <f t="shared" si="8"/>
        <v>12000</v>
      </c>
      <c r="K66" s="345">
        <v>0</v>
      </c>
      <c r="L66" s="346">
        <f t="shared" si="13"/>
        <v>0</v>
      </c>
      <c r="M66" s="346">
        <f t="shared" si="14"/>
        <v>3600</v>
      </c>
      <c r="N66" s="348">
        <f t="shared" si="19"/>
        <v>84000</v>
      </c>
      <c r="O66" s="348" t="s">
        <v>611</v>
      </c>
      <c r="P66" s="348">
        <f t="shared" si="10"/>
        <v>0</v>
      </c>
      <c r="Q66" s="348">
        <f t="shared" si="11"/>
        <v>25200</v>
      </c>
      <c r="R66" s="348">
        <f t="shared" si="15"/>
        <v>6468000</v>
      </c>
      <c r="S66" s="348">
        <f t="shared" si="15"/>
        <v>1940400</v>
      </c>
      <c r="T66" s="348">
        <f t="shared" si="16"/>
        <v>2352000</v>
      </c>
      <c r="U66" s="348">
        <f t="shared" si="17"/>
        <v>352800</v>
      </c>
      <c r="V66" s="349" t="s">
        <v>612</v>
      </c>
      <c r="W66" s="362" t="s">
        <v>634</v>
      </c>
      <c r="X66" s="334">
        <v>1</v>
      </c>
      <c r="Y66" s="334">
        <v>0.8</v>
      </c>
      <c r="Z66" s="351">
        <f t="shared" si="5"/>
        <v>12480</v>
      </c>
      <c r="AA66" s="351">
        <f t="shared" si="5"/>
        <v>12480</v>
      </c>
      <c r="AB66" s="351">
        <f t="shared" si="18"/>
        <v>15600</v>
      </c>
      <c r="AC66" s="351">
        <f t="shared" si="18"/>
        <v>15600</v>
      </c>
      <c r="AD66" s="351">
        <f t="shared" si="18"/>
        <v>15600</v>
      </c>
      <c r="AE66" s="351">
        <f t="shared" si="18"/>
        <v>15600</v>
      </c>
      <c r="AF66" s="351">
        <f t="shared" si="18"/>
        <v>15600</v>
      </c>
      <c r="AG66" s="351">
        <f t="shared" si="18"/>
        <v>15600</v>
      </c>
      <c r="AH66" s="351">
        <f t="shared" si="7"/>
        <v>12480</v>
      </c>
      <c r="AI66" s="351">
        <f t="shared" si="7"/>
        <v>12480</v>
      </c>
      <c r="AJ66" s="351">
        <f t="shared" si="7"/>
        <v>12480</v>
      </c>
      <c r="AK66" s="351">
        <f t="shared" si="7"/>
        <v>12480</v>
      </c>
    </row>
    <row r="67" spans="2:37" ht="39.6">
      <c r="B67" s="704"/>
      <c r="C67" s="700"/>
      <c r="D67" s="352" t="s">
        <v>623</v>
      </c>
      <c r="E67" s="353">
        <v>44</v>
      </c>
      <c r="F67" s="364">
        <v>2000</v>
      </c>
      <c r="G67" s="359" t="s">
        <v>611</v>
      </c>
      <c r="H67" s="355"/>
      <c r="I67" s="355">
        <v>600</v>
      </c>
      <c r="J67" s="356">
        <f t="shared" si="8"/>
        <v>88000</v>
      </c>
      <c r="K67" s="345">
        <v>0</v>
      </c>
      <c r="L67" s="346">
        <f t="shared" si="13"/>
        <v>0</v>
      </c>
      <c r="M67" s="346">
        <f t="shared" si="14"/>
        <v>26400</v>
      </c>
      <c r="N67" s="348">
        <f t="shared" si="19"/>
        <v>616000</v>
      </c>
      <c r="O67" s="348" t="s">
        <v>611</v>
      </c>
      <c r="P67" s="348">
        <f t="shared" si="10"/>
        <v>0</v>
      </c>
      <c r="Q67" s="348">
        <f t="shared" si="11"/>
        <v>184800</v>
      </c>
      <c r="R67" s="348">
        <f t="shared" si="15"/>
        <v>47432000</v>
      </c>
      <c r="S67" s="348">
        <f t="shared" si="15"/>
        <v>14229600</v>
      </c>
      <c r="T67" s="348">
        <f t="shared" si="16"/>
        <v>17248000</v>
      </c>
      <c r="U67" s="348">
        <f t="shared" si="17"/>
        <v>2587200</v>
      </c>
      <c r="V67" s="349" t="s">
        <v>612</v>
      </c>
      <c r="W67" s="361" t="s">
        <v>633</v>
      </c>
      <c r="X67" s="334">
        <v>1</v>
      </c>
      <c r="Y67" s="334">
        <v>0.8</v>
      </c>
      <c r="Z67" s="351"/>
      <c r="AA67" s="351"/>
      <c r="AB67" s="351">
        <f t="shared" si="18"/>
        <v>114400</v>
      </c>
      <c r="AC67" s="351">
        <f t="shared" si="18"/>
        <v>114400</v>
      </c>
      <c r="AD67" s="351">
        <f t="shared" si="18"/>
        <v>114400</v>
      </c>
      <c r="AE67" s="351">
        <f t="shared" si="18"/>
        <v>114400</v>
      </c>
      <c r="AF67" s="351">
        <f t="shared" si="18"/>
        <v>114400</v>
      </c>
      <c r="AG67" s="351">
        <f t="shared" si="18"/>
        <v>114400</v>
      </c>
      <c r="AH67" s="351">
        <f t="shared" si="7"/>
        <v>91520</v>
      </c>
      <c r="AI67" s="351">
        <f t="shared" si="7"/>
        <v>91520</v>
      </c>
      <c r="AJ67" s="351">
        <f t="shared" si="7"/>
        <v>91520</v>
      </c>
      <c r="AK67" s="351"/>
    </row>
    <row r="68" spans="2:37" ht="39.6">
      <c r="B68" s="704"/>
      <c r="C68" s="700"/>
      <c r="D68" s="352" t="s">
        <v>625</v>
      </c>
      <c r="E68" s="353">
        <v>15</v>
      </c>
      <c r="F68" s="364">
        <v>2000</v>
      </c>
      <c r="G68" s="359" t="s">
        <v>611</v>
      </c>
      <c r="H68" s="355"/>
      <c r="I68" s="355">
        <v>600</v>
      </c>
      <c r="J68" s="356">
        <f t="shared" si="8"/>
        <v>30000</v>
      </c>
      <c r="K68" s="345">
        <v>0</v>
      </c>
      <c r="L68" s="346">
        <f t="shared" si="13"/>
        <v>0</v>
      </c>
      <c r="M68" s="346">
        <f t="shared" si="14"/>
        <v>9000</v>
      </c>
      <c r="N68" s="348">
        <f t="shared" si="19"/>
        <v>210000</v>
      </c>
      <c r="O68" s="348" t="s">
        <v>611</v>
      </c>
      <c r="P68" s="348">
        <f t="shared" si="10"/>
        <v>0</v>
      </c>
      <c r="Q68" s="348">
        <f t="shared" si="11"/>
        <v>63000</v>
      </c>
      <c r="R68" s="348">
        <f t="shared" si="15"/>
        <v>16170000</v>
      </c>
      <c r="S68" s="348">
        <f t="shared" si="15"/>
        <v>4851000</v>
      </c>
      <c r="T68" s="348">
        <f t="shared" si="16"/>
        <v>5880000</v>
      </c>
      <c r="U68" s="348">
        <f t="shared" si="17"/>
        <v>882000</v>
      </c>
      <c r="V68" s="349" t="s">
        <v>612</v>
      </c>
      <c r="W68" s="361" t="s">
        <v>637</v>
      </c>
      <c r="X68" s="334">
        <v>1</v>
      </c>
      <c r="Y68" s="334">
        <v>0.8</v>
      </c>
      <c r="Z68" s="351">
        <f t="shared" si="5"/>
        <v>31200</v>
      </c>
      <c r="AA68" s="351">
        <f t="shared" si="5"/>
        <v>31200</v>
      </c>
      <c r="AB68" s="351">
        <f t="shared" si="18"/>
        <v>39000</v>
      </c>
      <c r="AC68" s="351">
        <f t="shared" si="18"/>
        <v>39000</v>
      </c>
      <c r="AD68" s="351">
        <f t="shared" si="18"/>
        <v>39000</v>
      </c>
      <c r="AE68" s="351"/>
      <c r="AF68" s="351"/>
      <c r="AG68" s="351"/>
      <c r="AH68" s="351">
        <f t="shared" si="7"/>
        <v>31200</v>
      </c>
      <c r="AI68" s="351">
        <f t="shared" si="7"/>
        <v>31200</v>
      </c>
      <c r="AJ68" s="351">
        <f t="shared" si="7"/>
        <v>31200</v>
      </c>
      <c r="AK68" s="351">
        <f t="shared" si="7"/>
        <v>31200</v>
      </c>
    </row>
    <row r="69" spans="2:37">
      <c r="B69" s="704"/>
      <c r="C69" s="700"/>
      <c r="D69" s="352" t="s">
        <v>626</v>
      </c>
      <c r="E69" s="353">
        <v>136</v>
      </c>
      <c r="F69" s="364">
        <v>2000</v>
      </c>
      <c r="G69" s="359" t="s">
        <v>611</v>
      </c>
      <c r="H69" s="355"/>
      <c r="I69" s="355">
        <v>600</v>
      </c>
      <c r="J69" s="356">
        <f t="shared" si="8"/>
        <v>272000</v>
      </c>
      <c r="K69" s="345">
        <v>0</v>
      </c>
      <c r="L69" s="346">
        <f t="shared" si="13"/>
        <v>0</v>
      </c>
      <c r="M69" s="346">
        <f t="shared" si="14"/>
        <v>81600</v>
      </c>
      <c r="N69" s="348">
        <f t="shared" si="19"/>
        <v>1904000</v>
      </c>
      <c r="O69" s="348" t="s">
        <v>611</v>
      </c>
      <c r="P69" s="348">
        <f t="shared" si="10"/>
        <v>0</v>
      </c>
      <c r="Q69" s="348">
        <f t="shared" si="11"/>
        <v>571200</v>
      </c>
      <c r="R69" s="348">
        <f t="shared" si="15"/>
        <v>146608000</v>
      </c>
      <c r="S69" s="348">
        <f t="shared" si="15"/>
        <v>43982400</v>
      </c>
      <c r="T69" s="348">
        <f t="shared" si="16"/>
        <v>53312000</v>
      </c>
      <c r="U69" s="348">
        <f t="shared" si="17"/>
        <v>7996800</v>
      </c>
      <c r="V69" s="349" t="s">
        <v>612</v>
      </c>
      <c r="W69" s="362" t="s">
        <v>634</v>
      </c>
      <c r="X69" s="334">
        <v>1</v>
      </c>
      <c r="Y69" s="334">
        <v>0.8</v>
      </c>
      <c r="Z69" s="351">
        <f t="shared" si="5"/>
        <v>282880</v>
      </c>
      <c r="AA69" s="351">
        <f t="shared" si="5"/>
        <v>282880</v>
      </c>
      <c r="AB69" s="351">
        <f t="shared" si="18"/>
        <v>353600</v>
      </c>
      <c r="AC69" s="351">
        <f t="shared" si="18"/>
        <v>353600</v>
      </c>
      <c r="AD69" s="351">
        <f t="shared" si="18"/>
        <v>353600</v>
      </c>
      <c r="AE69" s="351">
        <f t="shared" si="18"/>
        <v>353600</v>
      </c>
      <c r="AF69" s="351">
        <f t="shared" si="18"/>
        <v>353600</v>
      </c>
      <c r="AG69" s="351">
        <f t="shared" si="18"/>
        <v>353600</v>
      </c>
      <c r="AH69" s="351">
        <f t="shared" si="7"/>
        <v>282880</v>
      </c>
      <c r="AI69" s="351">
        <f t="shared" si="7"/>
        <v>282880</v>
      </c>
      <c r="AJ69" s="351">
        <f t="shared" si="7"/>
        <v>282880</v>
      </c>
      <c r="AK69" s="351">
        <f t="shared" si="7"/>
        <v>282880</v>
      </c>
    </row>
    <row r="70" spans="2:37">
      <c r="B70" s="704"/>
      <c r="C70" s="700"/>
      <c r="D70" s="352" t="s">
        <v>627</v>
      </c>
      <c r="E70" s="353">
        <v>22</v>
      </c>
      <c r="F70" s="364">
        <v>2000</v>
      </c>
      <c r="G70" s="359" t="s">
        <v>611</v>
      </c>
      <c r="H70" s="355"/>
      <c r="I70" s="355">
        <v>600</v>
      </c>
      <c r="J70" s="356">
        <f t="shared" si="8"/>
        <v>44000</v>
      </c>
      <c r="K70" s="345">
        <v>0</v>
      </c>
      <c r="L70" s="346">
        <f t="shared" si="13"/>
        <v>0</v>
      </c>
      <c r="M70" s="346">
        <f t="shared" si="14"/>
        <v>13200</v>
      </c>
      <c r="N70" s="348">
        <f t="shared" si="19"/>
        <v>308000</v>
      </c>
      <c r="O70" s="348" t="s">
        <v>611</v>
      </c>
      <c r="P70" s="348">
        <f t="shared" si="10"/>
        <v>0</v>
      </c>
      <c r="Q70" s="348">
        <f t="shared" si="11"/>
        <v>92400</v>
      </c>
      <c r="R70" s="348">
        <f t="shared" si="15"/>
        <v>23716000</v>
      </c>
      <c r="S70" s="348">
        <f t="shared" si="15"/>
        <v>7114800</v>
      </c>
      <c r="T70" s="348">
        <f t="shared" si="16"/>
        <v>8624000</v>
      </c>
      <c r="U70" s="348">
        <f t="shared" si="17"/>
        <v>1293600</v>
      </c>
      <c r="V70" s="349" t="s">
        <v>612</v>
      </c>
      <c r="W70" s="362" t="s">
        <v>634</v>
      </c>
      <c r="X70" s="334">
        <v>1</v>
      </c>
      <c r="Y70" s="334">
        <v>0.8</v>
      </c>
      <c r="Z70" s="351">
        <f t="shared" si="5"/>
        <v>45760</v>
      </c>
      <c r="AA70" s="351">
        <f t="shared" si="5"/>
        <v>45760</v>
      </c>
      <c r="AB70" s="351">
        <f t="shared" si="18"/>
        <v>57200</v>
      </c>
      <c r="AC70" s="351">
        <f t="shared" si="18"/>
        <v>57200</v>
      </c>
      <c r="AD70" s="351">
        <f t="shared" si="18"/>
        <v>57200</v>
      </c>
      <c r="AE70" s="351">
        <f t="shared" si="18"/>
        <v>57200</v>
      </c>
      <c r="AF70" s="351">
        <f t="shared" si="18"/>
        <v>57200</v>
      </c>
      <c r="AG70" s="351">
        <f t="shared" si="18"/>
        <v>57200</v>
      </c>
      <c r="AH70" s="351">
        <f t="shared" si="7"/>
        <v>45760</v>
      </c>
      <c r="AI70" s="351">
        <f t="shared" si="7"/>
        <v>45760</v>
      </c>
      <c r="AJ70" s="351">
        <f t="shared" si="7"/>
        <v>45760</v>
      </c>
      <c r="AK70" s="351">
        <f t="shared" si="7"/>
        <v>45760</v>
      </c>
    </row>
    <row r="71" spans="2:37">
      <c r="B71" s="704"/>
      <c r="C71" s="700"/>
      <c r="D71" s="352" t="s">
        <v>628</v>
      </c>
      <c r="E71" s="353">
        <v>1</v>
      </c>
      <c r="F71" s="364">
        <v>2000</v>
      </c>
      <c r="G71" s="359" t="s">
        <v>611</v>
      </c>
      <c r="H71" s="355"/>
      <c r="I71" s="355">
        <v>600</v>
      </c>
      <c r="J71" s="356">
        <f t="shared" si="8"/>
        <v>2000</v>
      </c>
      <c r="K71" s="345">
        <v>0</v>
      </c>
      <c r="L71" s="346">
        <f t="shared" si="13"/>
        <v>0</v>
      </c>
      <c r="M71" s="346">
        <f t="shared" si="14"/>
        <v>600</v>
      </c>
      <c r="N71" s="348">
        <f t="shared" si="19"/>
        <v>14000</v>
      </c>
      <c r="O71" s="348" t="s">
        <v>611</v>
      </c>
      <c r="P71" s="348">
        <f t="shared" si="10"/>
        <v>0</v>
      </c>
      <c r="Q71" s="348">
        <f t="shared" si="11"/>
        <v>4200</v>
      </c>
      <c r="R71" s="348">
        <f t="shared" si="15"/>
        <v>1078000</v>
      </c>
      <c r="S71" s="348">
        <f t="shared" si="15"/>
        <v>323400</v>
      </c>
      <c r="T71" s="348">
        <f t="shared" si="16"/>
        <v>392000</v>
      </c>
      <c r="U71" s="348">
        <f t="shared" si="17"/>
        <v>58800</v>
      </c>
      <c r="V71" s="349" t="s">
        <v>612</v>
      </c>
      <c r="W71" s="362" t="s">
        <v>634</v>
      </c>
      <c r="X71" s="334">
        <v>1</v>
      </c>
      <c r="Y71" s="334">
        <v>0.8</v>
      </c>
      <c r="Z71" s="351">
        <f t="shared" ref="Z71:AA102" si="20">($J71+$K71+$L71+$M71)*$Y71</f>
        <v>2080</v>
      </c>
      <c r="AA71" s="351">
        <f t="shared" si="20"/>
        <v>2080</v>
      </c>
      <c r="AB71" s="351">
        <f t="shared" si="18"/>
        <v>2600</v>
      </c>
      <c r="AC71" s="351">
        <f t="shared" si="18"/>
        <v>2600</v>
      </c>
      <c r="AD71" s="351">
        <f t="shared" si="18"/>
        <v>2600</v>
      </c>
      <c r="AE71" s="351">
        <f t="shared" si="18"/>
        <v>2600</v>
      </c>
      <c r="AF71" s="351">
        <f t="shared" si="18"/>
        <v>2600</v>
      </c>
      <c r="AG71" s="351">
        <f t="shared" si="18"/>
        <v>2600</v>
      </c>
      <c r="AH71" s="351">
        <f t="shared" ref="AH71:AK102" si="21">($J71+$K71+$L71+$M71)*$Y71</f>
        <v>2080</v>
      </c>
      <c r="AI71" s="351">
        <f t="shared" si="21"/>
        <v>2080</v>
      </c>
      <c r="AJ71" s="351">
        <f t="shared" si="21"/>
        <v>2080</v>
      </c>
      <c r="AK71" s="351">
        <f t="shared" si="21"/>
        <v>2080</v>
      </c>
    </row>
    <row r="72" spans="2:37">
      <c r="B72" s="704"/>
      <c r="C72" s="699" t="s">
        <v>640</v>
      </c>
      <c r="D72" s="352" t="s">
        <v>583</v>
      </c>
      <c r="E72" s="353">
        <v>24</v>
      </c>
      <c r="F72" s="355">
        <v>500</v>
      </c>
      <c r="G72" s="359" t="s">
        <v>611</v>
      </c>
      <c r="H72" s="355"/>
      <c r="I72" s="355"/>
      <c r="J72" s="356">
        <f t="shared" si="8"/>
        <v>12000</v>
      </c>
      <c r="K72" s="345">
        <v>0</v>
      </c>
      <c r="L72" s="346">
        <f t="shared" si="13"/>
        <v>0</v>
      </c>
      <c r="M72" s="346">
        <f t="shared" si="14"/>
        <v>0</v>
      </c>
      <c r="N72" s="348">
        <f t="shared" si="19"/>
        <v>84000</v>
      </c>
      <c r="O72" s="348" t="s">
        <v>611</v>
      </c>
      <c r="P72" s="348">
        <f t="shared" si="10"/>
        <v>0</v>
      </c>
      <c r="Q72" s="348">
        <f t="shared" si="11"/>
        <v>0</v>
      </c>
      <c r="R72" s="348">
        <f t="shared" si="15"/>
        <v>6468000</v>
      </c>
      <c r="S72" s="348">
        <f t="shared" si="15"/>
        <v>0</v>
      </c>
      <c r="T72" s="348">
        <f t="shared" si="16"/>
        <v>2352000</v>
      </c>
      <c r="U72" s="348">
        <f t="shared" si="17"/>
        <v>0</v>
      </c>
      <c r="V72" s="349" t="s">
        <v>612</v>
      </c>
      <c r="W72" s="362" t="s">
        <v>634</v>
      </c>
      <c r="X72" s="334">
        <v>1</v>
      </c>
      <c r="Y72" s="334">
        <v>0.8</v>
      </c>
      <c r="Z72" s="351">
        <f t="shared" si="20"/>
        <v>9600</v>
      </c>
      <c r="AA72" s="351">
        <f t="shared" si="20"/>
        <v>9600</v>
      </c>
      <c r="AB72" s="351">
        <f t="shared" si="18"/>
        <v>12000</v>
      </c>
      <c r="AC72" s="351">
        <f t="shared" si="18"/>
        <v>12000</v>
      </c>
      <c r="AD72" s="351">
        <f t="shared" si="18"/>
        <v>12000</v>
      </c>
      <c r="AE72" s="351">
        <f t="shared" si="18"/>
        <v>12000</v>
      </c>
      <c r="AF72" s="351">
        <f t="shared" si="18"/>
        <v>12000</v>
      </c>
      <c r="AG72" s="351">
        <f t="shared" si="18"/>
        <v>12000</v>
      </c>
      <c r="AH72" s="351">
        <f t="shared" si="21"/>
        <v>9600</v>
      </c>
      <c r="AI72" s="351">
        <f t="shared" si="21"/>
        <v>9600</v>
      </c>
      <c r="AJ72" s="351">
        <f t="shared" si="21"/>
        <v>9600</v>
      </c>
      <c r="AK72" s="351">
        <f t="shared" si="21"/>
        <v>9600</v>
      </c>
    </row>
    <row r="73" spans="2:37">
      <c r="B73" s="704"/>
      <c r="C73" s="699"/>
      <c r="D73" s="352" t="s">
        <v>615</v>
      </c>
      <c r="E73" s="353">
        <v>2</v>
      </c>
      <c r="F73" s="355">
        <v>500</v>
      </c>
      <c r="G73" s="359" t="s">
        <v>611</v>
      </c>
      <c r="H73" s="355"/>
      <c r="I73" s="355"/>
      <c r="J73" s="356">
        <f t="shared" si="8"/>
        <v>1000</v>
      </c>
      <c r="K73" s="345">
        <v>0</v>
      </c>
      <c r="L73" s="346">
        <f t="shared" si="13"/>
        <v>0</v>
      </c>
      <c r="M73" s="346">
        <f t="shared" si="14"/>
        <v>0</v>
      </c>
      <c r="N73" s="348">
        <f t="shared" si="19"/>
        <v>7000</v>
      </c>
      <c r="O73" s="348" t="s">
        <v>611</v>
      </c>
      <c r="P73" s="348">
        <f t="shared" si="10"/>
        <v>0</v>
      </c>
      <c r="Q73" s="348">
        <f t="shared" si="11"/>
        <v>0</v>
      </c>
      <c r="R73" s="348">
        <f t="shared" si="15"/>
        <v>539000</v>
      </c>
      <c r="S73" s="348">
        <f t="shared" si="15"/>
        <v>0</v>
      </c>
      <c r="T73" s="348">
        <f t="shared" si="16"/>
        <v>196000</v>
      </c>
      <c r="U73" s="348">
        <f t="shared" si="17"/>
        <v>0</v>
      </c>
      <c r="V73" s="349" t="s">
        <v>612</v>
      </c>
      <c r="W73" s="362" t="s">
        <v>634</v>
      </c>
      <c r="X73" s="334">
        <v>1</v>
      </c>
      <c r="Y73" s="334">
        <v>0.8</v>
      </c>
      <c r="Z73" s="351">
        <f t="shared" si="20"/>
        <v>800</v>
      </c>
      <c r="AA73" s="351">
        <f t="shared" si="20"/>
        <v>800</v>
      </c>
      <c r="AB73" s="351">
        <f t="shared" si="18"/>
        <v>1000</v>
      </c>
      <c r="AC73" s="351">
        <f t="shared" si="18"/>
        <v>1000</v>
      </c>
      <c r="AD73" s="351">
        <f t="shared" si="18"/>
        <v>1000</v>
      </c>
      <c r="AE73" s="351">
        <f t="shared" si="18"/>
        <v>1000</v>
      </c>
      <c r="AF73" s="351">
        <f t="shared" si="18"/>
        <v>1000</v>
      </c>
      <c r="AG73" s="351">
        <f t="shared" si="18"/>
        <v>1000</v>
      </c>
      <c r="AH73" s="351">
        <f t="shared" si="21"/>
        <v>800</v>
      </c>
      <c r="AI73" s="351">
        <f t="shared" si="21"/>
        <v>800</v>
      </c>
      <c r="AJ73" s="351">
        <f t="shared" si="21"/>
        <v>800</v>
      </c>
      <c r="AK73" s="351">
        <f t="shared" si="21"/>
        <v>800</v>
      </c>
    </row>
    <row r="74" spans="2:37">
      <c r="B74" s="704"/>
      <c r="C74" s="699"/>
      <c r="D74" s="352" t="s">
        <v>616</v>
      </c>
      <c r="E74" s="353">
        <v>2</v>
      </c>
      <c r="F74" s="355">
        <v>500</v>
      </c>
      <c r="G74" s="359" t="s">
        <v>611</v>
      </c>
      <c r="H74" s="355"/>
      <c r="I74" s="355"/>
      <c r="J74" s="356">
        <f t="shared" si="8"/>
        <v>1000</v>
      </c>
      <c r="K74" s="345">
        <v>0</v>
      </c>
      <c r="L74" s="346">
        <f t="shared" si="13"/>
        <v>0</v>
      </c>
      <c r="M74" s="346">
        <f t="shared" si="14"/>
        <v>0</v>
      </c>
      <c r="N74" s="348">
        <f t="shared" si="19"/>
        <v>7000</v>
      </c>
      <c r="O74" s="348" t="s">
        <v>611</v>
      </c>
      <c r="P74" s="348">
        <f t="shared" si="10"/>
        <v>0</v>
      </c>
      <c r="Q74" s="348">
        <f t="shared" si="11"/>
        <v>0</v>
      </c>
      <c r="R74" s="348">
        <f t="shared" si="15"/>
        <v>539000</v>
      </c>
      <c r="S74" s="348">
        <f t="shared" si="15"/>
        <v>0</v>
      </c>
      <c r="T74" s="348">
        <f t="shared" si="16"/>
        <v>196000</v>
      </c>
      <c r="U74" s="348">
        <f t="shared" si="17"/>
        <v>0</v>
      </c>
      <c r="V74" s="349" t="s">
        <v>612</v>
      </c>
      <c r="W74" s="362" t="s">
        <v>634</v>
      </c>
      <c r="X74" s="334">
        <v>1</v>
      </c>
      <c r="Y74" s="334">
        <v>0.8</v>
      </c>
      <c r="Z74" s="351">
        <f t="shared" si="20"/>
        <v>800</v>
      </c>
      <c r="AA74" s="351">
        <f t="shared" si="20"/>
        <v>800</v>
      </c>
      <c r="AB74" s="351">
        <f t="shared" si="18"/>
        <v>1000</v>
      </c>
      <c r="AC74" s="351">
        <f t="shared" si="18"/>
        <v>1000</v>
      </c>
      <c r="AD74" s="351">
        <f t="shared" si="18"/>
        <v>1000</v>
      </c>
      <c r="AE74" s="351">
        <f t="shared" si="18"/>
        <v>1000</v>
      </c>
      <c r="AF74" s="351">
        <f t="shared" si="18"/>
        <v>1000</v>
      </c>
      <c r="AG74" s="351">
        <f t="shared" si="18"/>
        <v>1000</v>
      </c>
      <c r="AH74" s="351">
        <f t="shared" si="21"/>
        <v>800</v>
      </c>
      <c r="AI74" s="351">
        <f t="shared" si="21"/>
        <v>800</v>
      </c>
      <c r="AJ74" s="351">
        <f t="shared" si="21"/>
        <v>800</v>
      </c>
      <c r="AK74" s="351">
        <f t="shared" si="21"/>
        <v>800</v>
      </c>
    </row>
    <row r="75" spans="2:37">
      <c r="B75" s="704"/>
      <c r="C75" s="699"/>
      <c r="D75" s="352" t="s">
        <v>617</v>
      </c>
      <c r="E75" s="353">
        <v>16</v>
      </c>
      <c r="F75" s="355">
        <v>500</v>
      </c>
      <c r="G75" s="359" t="s">
        <v>611</v>
      </c>
      <c r="H75" s="355"/>
      <c r="I75" s="355"/>
      <c r="J75" s="356">
        <f t="shared" si="8"/>
        <v>8000</v>
      </c>
      <c r="K75" s="345">
        <v>0</v>
      </c>
      <c r="L75" s="346">
        <f t="shared" si="13"/>
        <v>0</v>
      </c>
      <c r="M75" s="346">
        <f t="shared" si="14"/>
        <v>0</v>
      </c>
      <c r="N75" s="348">
        <f t="shared" si="19"/>
        <v>56000</v>
      </c>
      <c r="O75" s="348" t="s">
        <v>611</v>
      </c>
      <c r="P75" s="348">
        <f t="shared" si="10"/>
        <v>0</v>
      </c>
      <c r="Q75" s="348">
        <f t="shared" si="11"/>
        <v>0</v>
      </c>
      <c r="R75" s="348">
        <f t="shared" si="15"/>
        <v>4312000</v>
      </c>
      <c r="S75" s="348">
        <f t="shared" si="15"/>
        <v>0</v>
      </c>
      <c r="T75" s="348">
        <f t="shared" si="16"/>
        <v>1568000</v>
      </c>
      <c r="U75" s="348">
        <f t="shared" si="17"/>
        <v>0</v>
      </c>
      <c r="V75" s="349" t="s">
        <v>612</v>
      </c>
      <c r="W75" s="362" t="s">
        <v>634</v>
      </c>
      <c r="X75" s="334">
        <v>1</v>
      </c>
      <c r="Y75" s="334">
        <v>0.8</v>
      </c>
      <c r="Z75" s="351">
        <f t="shared" si="20"/>
        <v>6400</v>
      </c>
      <c r="AA75" s="351">
        <f t="shared" si="20"/>
        <v>6400</v>
      </c>
      <c r="AB75" s="351">
        <f t="shared" si="18"/>
        <v>8000</v>
      </c>
      <c r="AC75" s="351">
        <f t="shared" si="18"/>
        <v>8000</v>
      </c>
      <c r="AD75" s="351">
        <f t="shared" si="18"/>
        <v>8000</v>
      </c>
      <c r="AE75" s="351">
        <f t="shared" si="18"/>
        <v>8000</v>
      </c>
      <c r="AF75" s="351">
        <f t="shared" si="18"/>
        <v>8000</v>
      </c>
      <c r="AG75" s="351">
        <f t="shared" si="18"/>
        <v>8000</v>
      </c>
      <c r="AH75" s="351">
        <f t="shared" si="21"/>
        <v>6400</v>
      </c>
      <c r="AI75" s="351">
        <f t="shared" si="21"/>
        <v>6400</v>
      </c>
      <c r="AJ75" s="351">
        <f t="shared" si="21"/>
        <v>6400</v>
      </c>
      <c r="AK75" s="351">
        <f t="shared" si="21"/>
        <v>6400</v>
      </c>
    </row>
    <row r="76" spans="2:37" ht="39.6">
      <c r="B76" s="704"/>
      <c r="C76" s="699"/>
      <c r="D76" s="352" t="s">
        <v>618</v>
      </c>
      <c r="E76" s="353">
        <v>1</v>
      </c>
      <c r="F76" s="355">
        <v>500</v>
      </c>
      <c r="G76" s="359" t="s">
        <v>611</v>
      </c>
      <c r="H76" s="355"/>
      <c r="I76" s="355"/>
      <c r="J76" s="356">
        <f t="shared" si="8"/>
        <v>500</v>
      </c>
      <c r="K76" s="345">
        <v>0</v>
      </c>
      <c r="L76" s="346">
        <f t="shared" si="13"/>
        <v>0</v>
      </c>
      <c r="M76" s="346">
        <f t="shared" si="14"/>
        <v>0</v>
      </c>
      <c r="N76" s="348">
        <f t="shared" si="19"/>
        <v>3500</v>
      </c>
      <c r="O76" s="348" t="s">
        <v>611</v>
      </c>
      <c r="P76" s="348">
        <f t="shared" si="10"/>
        <v>0</v>
      </c>
      <c r="Q76" s="348">
        <f t="shared" si="11"/>
        <v>0</v>
      </c>
      <c r="R76" s="348">
        <f t="shared" si="15"/>
        <v>269500</v>
      </c>
      <c r="S76" s="348">
        <f t="shared" si="15"/>
        <v>0</v>
      </c>
      <c r="T76" s="348">
        <f t="shared" si="16"/>
        <v>98000</v>
      </c>
      <c r="U76" s="348">
        <f t="shared" si="17"/>
        <v>0</v>
      </c>
      <c r="V76" s="349" t="s">
        <v>612</v>
      </c>
      <c r="W76" s="361" t="s">
        <v>631</v>
      </c>
      <c r="X76" s="334">
        <v>1</v>
      </c>
      <c r="Y76" s="334">
        <v>0.8</v>
      </c>
      <c r="Z76" s="351"/>
      <c r="AA76" s="351">
        <f t="shared" si="20"/>
        <v>400</v>
      </c>
      <c r="AB76" s="351">
        <f t="shared" si="18"/>
        <v>500</v>
      </c>
      <c r="AC76" s="351">
        <f t="shared" si="18"/>
        <v>500</v>
      </c>
      <c r="AD76" s="351">
        <f t="shared" si="18"/>
        <v>500</v>
      </c>
      <c r="AE76" s="351">
        <f t="shared" si="18"/>
        <v>500</v>
      </c>
      <c r="AF76" s="351">
        <f t="shared" si="18"/>
        <v>500</v>
      </c>
      <c r="AG76" s="351">
        <f t="shared" si="18"/>
        <v>500</v>
      </c>
      <c r="AH76" s="351">
        <f t="shared" si="21"/>
        <v>400</v>
      </c>
      <c r="AI76" s="351">
        <f t="shared" si="21"/>
        <v>400</v>
      </c>
      <c r="AJ76" s="351"/>
      <c r="AK76" s="351"/>
    </row>
    <row r="77" spans="2:37">
      <c r="B77" s="704"/>
      <c r="C77" s="699"/>
      <c r="D77" s="352" t="s">
        <v>619</v>
      </c>
      <c r="E77" s="353">
        <v>122</v>
      </c>
      <c r="F77" s="355">
        <v>500</v>
      </c>
      <c r="G77" s="359" t="s">
        <v>611</v>
      </c>
      <c r="H77" s="355"/>
      <c r="I77" s="355"/>
      <c r="J77" s="356">
        <f t="shared" si="8"/>
        <v>61000</v>
      </c>
      <c r="K77" s="345">
        <v>0</v>
      </c>
      <c r="L77" s="346">
        <f t="shared" si="13"/>
        <v>0</v>
      </c>
      <c r="M77" s="346">
        <f t="shared" si="14"/>
        <v>0</v>
      </c>
      <c r="N77" s="348">
        <f t="shared" si="19"/>
        <v>427000</v>
      </c>
      <c r="O77" s="348" t="s">
        <v>611</v>
      </c>
      <c r="P77" s="348">
        <f t="shared" si="10"/>
        <v>0</v>
      </c>
      <c r="Q77" s="348">
        <f t="shared" si="11"/>
        <v>0</v>
      </c>
      <c r="R77" s="348">
        <f t="shared" si="15"/>
        <v>32879000</v>
      </c>
      <c r="S77" s="348">
        <f t="shared" si="15"/>
        <v>0</v>
      </c>
      <c r="T77" s="348">
        <f t="shared" si="16"/>
        <v>11956000</v>
      </c>
      <c r="U77" s="348">
        <f t="shared" si="17"/>
        <v>0</v>
      </c>
      <c r="V77" s="349" t="s">
        <v>612</v>
      </c>
      <c r="W77" s="362" t="s">
        <v>634</v>
      </c>
      <c r="X77" s="334">
        <v>1</v>
      </c>
      <c r="Y77" s="334">
        <v>0.8</v>
      </c>
      <c r="Z77" s="351">
        <f t="shared" si="20"/>
        <v>48800</v>
      </c>
      <c r="AA77" s="351">
        <f t="shared" si="20"/>
        <v>48800</v>
      </c>
      <c r="AB77" s="351">
        <f t="shared" si="18"/>
        <v>61000</v>
      </c>
      <c r="AC77" s="351">
        <f t="shared" si="18"/>
        <v>61000</v>
      </c>
      <c r="AD77" s="351">
        <f t="shared" si="18"/>
        <v>61000</v>
      </c>
      <c r="AE77" s="351">
        <f t="shared" si="18"/>
        <v>61000</v>
      </c>
      <c r="AF77" s="351">
        <f t="shared" si="18"/>
        <v>61000</v>
      </c>
      <c r="AG77" s="351">
        <f t="shared" si="18"/>
        <v>61000</v>
      </c>
      <c r="AH77" s="351">
        <f t="shared" si="21"/>
        <v>48800</v>
      </c>
      <c r="AI77" s="351">
        <f t="shared" si="21"/>
        <v>48800</v>
      </c>
      <c r="AJ77" s="351">
        <f t="shared" si="21"/>
        <v>48800</v>
      </c>
      <c r="AK77" s="351">
        <f t="shared" si="21"/>
        <v>48800</v>
      </c>
    </row>
    <row r="78" spans="2:37">
      <c r="B78" s="704"/>
      <c r="C78" s="699"/>
      <c r="D78" s="352" t="s">
        <v>620</v>
      </c>
      <c r="E78" s="353">
        <v>3</v>
      </c>
      <c r="F78" s="355">
        <v>500</v>
      </c>
      <c r="G78" s="359" t="s">
        <v>611</v>
      </c>
      <c r="H78" s="355"/>
      <c r="I78" s="355"/>
      <c r="J78" s="356">
        <f t="shared" si="8"/>
        <v>1500</v>
      </c>
      <c r="K78" s="345">
        <v>0</v>
      </c>
      <c r="L78" s="346">
        <f t="shared" si="13"/>
        <v>0</v>
      </c>
      <c r="M78" s="346">
        <f t="shared" si="14"/>
        <v>0</v>
      </c>
      <c r="N78" s="348">
        <f t="shared" si="19"/>
        <v>10500</v>
      </c>
      <c r="O78" s="348" t="s">
        <v>611</v>
      </c>
      <c r="P78" s="348">
        <f t="shared" si="10"/>
        <v>0</v>
      </c>
      <c r="Q78" s="348">
        <f t="shared" si="11"/>
        <v>0</v>
      </c>
      <c r="R78" s="348">
        <f t="shared" si="15"/>
        <v>808500</v>
      </c>
      <c r="S78" s="348">
        <f t="shared" si="15"/>
        <v>0</v>
      </c>
      <c r="T78" s="348">
        <f t="shared" si="16"/>
        <v>294000</v>
      </c>
      <c r="U78" s="348">
        <f t="shared" si="17"/>
        <v>0</v>
      </c>
      <c r="V78" s="349" t="s">
        <v>612</v>
      </c>
      <c r="W78" s="362" t="s">
        <v>634</v>
      </c>
      <c r="X78" s="334">
        <v>1</v>
      </c>
      <c r="Y78" s="334">
        <v>0.8</v>
      </c>
      <c r="Z78" s="351">
        <f t="shared" si="20"/>
        <v>1200</v>
      </c>
      <c r="AA78" s="351">
        <f t="shared" si="20"/>
        <v>1200</v>
      </c>
      <c r="AB78" s="351">
        <f t="shared" si="18"/>
        <v>1500</v>
      </c>
      <c r="AC78" s="351">
        <f t="shared" si="18"/>
        <v>1500</v>
      </c>
      <c r="AD78" s="351">
        <f t="shared" si="18"/>
        <v>1500</v>
      </c>
      <c r="AE78" s="351">
        <f t="shared" si="18"/>
        <v>1500</v>
      </c>
      <c r="AF78" s="351">
        <f t="shared" si="18"/>
        <v>1500</v>
      </c>
      <c r="AG78" s="351">
        <f t="shared" si="18"/>
        <v>1500</v>
      </c>
      <c r="AH78" s="351">
        <f t="shared" si="21"/>
        <v>1200</v>
      </c>
      <c r="AI78" s="351">
        <f t="shared" si="21"/>
        <v>1200</v>
      </c>
      <c r="AJ78" s="351">
        <f t="shared" si="21"/>
        <v>1200</v>
      </c>
      <c r="AK78" s="351">
        <f t="shared" si="21"/>
        <v>1200</v>
      </c>
    </row>
    <row r="79" spans="2:37" ht="39.6">
      <c r="B79" s="704"/>
      <c r="C79" s="699"/>
      <c r="D79" s="352" t="s">
        <v>623</v>
      </c>
      <c r="E79" s="353">
        <v>11</v>
      </c>
      <c r="F79" s="355">
        <v>500</v>
      </c>
      <c r="G79" s="359" t="s">
        <v>611</v>
      </c>
      <c r="H79" s="355"/>
      <c r="I79" s="355"/>
      <c r="J79" s="356">
        <f t="shared" si="8"/>
        <v>5500</v>
      </c>
      <c r="K79" s="345">
        <v>0</v>
      </c>
      <c r="L79" s="346">
        <f t="shared" si="13"/>
        <v>0</v>
      </c>
      <c r="M79" s="346">
        <f t="shared" si="14"/>
        <v>0</v>
      </c>
      <c r="N79" s="348">
        <f t="shared" si="19"/>
        <v>38500</v>
      </c>
      <c r="O79" s="348" t="s">
        <v>611</v>
      </c>
      <c r="P79" s="348">
        <f t="shared" si="10"/>
        <v>0</v>
      </c>
      <c r="Q79" s="348">
        <f t="shared" si="11"/>
        <v>0</v>
      </c>
      <c r="R79" s="348">
        <f t="shared" si="15"/>
        <v>2964500</v>
      </c>
      <c r="S79" s="348">
        <f t="shared" si="15"/>
        <v>0</v>
      </c>
      <c r="T79" s="348">
        <f t="shared" si="16"/>
        <v>1078000</v>
      </c>
      <c r="U79" s="348">
        <f t="shared" si="17"/>
        <v>0</v>
      </c>
      <c r="V79" s="349" t="s">
        <v>612</v>
      </c>
      <c r="W79" s="361" t="s">
        <v>633</v>
      </c>
      <c r="X79" s="334">
        <v>1</v>
      </c>
      <c r="Y79" s="334">
        <v>0.8</v>
      </c>
      <c r="Z79" s="351"/>
      <c r="AA79" s="351"/>
      <c r="AB79" s="351">
        <f t="shared" si="18"/>
        <v>5500</v>
      </c>
      <c r="AC79" s="351">
        <f t="shared" si="18"/>
        <v>5500</v>
      </c>
      <c r="AD79" s="351">
        <f t="shared" si="18"/>
        <v>5500</v>
      </c>
      <c r="AE79" s="351">
        <f t="shared" si="18"/>
        <v>5500</v>
      </c>
      <c r="AF79" s="351">
        <f t="shared" si="18"/>
        <v>5500</v>
      </c>
      <c r="AG79" s="351">
        <f t="shared" si="18"/>
        <v>5500</v>
      </c>
      <c r="AH79" s="351">
        <f t="shared" si="21"/>
        <v>4400</v>
      </c>
      <c r="AI79" s="351">
        <f t="shared" si="21"/>
        <v>4400</v>
      </c>
      <c r="AJ79" s="351">
        <f t="shared" si="21"/>
        <v>4400</v>
      </c>
      <c r="AK79" s="351"/>
    </row>
    <row r="80" spans="2:37">
      <c r="B80" s="704"/>
      <c r="C80" s="699"/>
      <c r="D80" s="352" t="s">
        <v>624</v>
      </c>
      <c r="E80" s="353">
        <v>4</v>
      </c>
      <c r="F80" s="355">
        <v>500</v>
      </c>
      <c r="G80" s="359" t="s">
        <v>611</v>
      </c>
      <c r="H80" s="355"/>
      <c r="I80" s="355"/>
      <c r="J80" s="356">
        <f t="shared" si="8"/>
        <v>2000</v>
      </c>
      <c r="K80" s="345">
        <v>0</v>
      </c>
      <c r="L80" s="346">
        <f t="shared" si="13"/>
        <v>0</v>
      </c>
      <c r="M80" s="346">
        <f t="shared" si="14"/>
        <v>0</v>
      </c>
      <c r="N80" s="348">
        <f t="shared" si="19"/>
        <v>14000</v>
      </c>
      <c r="O80" s="348" t="s">
        <v>611</v>
      </c>
      <c r="P80" s="348">
        <f t="shared" si="10"/>
        <v>0</v>
      </c>
      <c r="Q80" s="348">
        <f t="shared" si="11"/>
        <v>0</v>
      </c>
      <c r="R80" s="348">
        <f t="shared" si="15"/>
        <v>1078000</v>
      </c>
      <c r="S80" s="348">
        <f t="shared" si="15"/>
        <v>0</v>
      </c>
      <c r="T80" s="348">
        <f t="shared" si="16"/>
        <v>392000</v>
      </c>
      <c r="U80" s="348">
        <f t="shared" si="17"/>
        <v>0</v>
      </c>
      <c r="V80" s="349" t="s">
        <v>612</v>
      </c>
      <c r="W80" s="362" t="s">
        <v>634</v>
      </c>
      <c r="X80" s="334">
        <v>1</v>
      </c>
      <c r="Y80" s="334">
        <v>0.8</v>
      </c>
      <c r="Z80" s="351">
        <f t="shared" si="20"/>
        <v>1600</v>
      </c>
      <c r="AA80" s="351">
        <f t="shared" si="20"/>
        <v>1600</v>
      </c>
      <c r="AB80" s="351">
        <f t="shared" si="18"/>
        <v>2000</v>
      </c>
      <c r="AC80" s="351">
        <f t="shared" si="18"/>
        <v>2000</v>
      </c>
      <c r="AD80" s="351">
        <f t="shared" si="18"/>
        <v>2000</v>
      </c>
      <c r="AE80" s="351">
        <f t="shared" si="18"/>
        <v>2000</v>
      </c>
      <c r="AF80" s="351">
        <f t="shared" si="18"/>
        <v>2000</v>
      </c>
      <c r="AG80" s="351">
        <f t="shared" si="18"/>
        <v>2000</v>
      </c>
      <c r="AH80" s="351">
        <f t="shared" si="21"/>
        <v>1600</v>
      </c>
      <c r="AI80" s="351">
        <f t="shared" si="21"/>
        <v>1600</v>
      </c>
      <c r="AJ80" s="351">
        <f t="shared" si="21"/>
        <v>1600</v>
      </c>
      <c r="AK80" s="351">
        <f t="shared" si="21"/>
        <v>1600</v>
      </c>
    </row>
    <row r="81" spans="2:37">
      <c r="B81" s="704"/>
      <c r="C81" s="699"/>
      <c r="D81" s="352" t="s">
        <v>627</v>
      </c>
      <c r="E81" s="353">
        <v>6</v>
      </c>
      <c r="F81" s="355">
        <v>500</v>
      </c>
      <c r="G81" s="359" t="s">
        <v>611</v>
      </c>
      <c r="H81" s="355"/>
      <c r="I81" s="355"/>
      <c r="J81" s="356">
        <f t="shared" si="8"/>
        <v>3000</v>
      </c>
      <c r="K81" s="345">
        <v>0</v>
      </c>
      <c r="L81" s="346">
        <f t="shared" si="13"/>
        <v>0</v>
      </c>
      <c r="M81" s="346">
        <f t="shared" si="14"/>
        <v>0</v>
      </c>
      <c r="N81" s="348">
        <f t="shared" si="19"/>
        <v>21000</v>
      </c>
      <c r="O81" s="348" t="s">
        <v>611</v>
      </c>
      <c r="P81" s="348">
        <f t="shared" si="10"/>
        <v>0</v>
      </c>
      <c r="Q81" s="348">
        <f t="shared" si="11"/>
        <v>0</v>
      </c>
      <c r="R81" s="348">
        <f t="shared" si="15"/>
        <v>1617000</v>
      </c>
      <c r="S81" s="348">
        <f t="shared" si="15"/>
        <v>0</v>
      </c>
      <c r="T81" s="348">
        <f t="shared" si="16"/>
        <v>588000</v>
      </c>
      <c r="U81" s="348">
        <f t="shared" si="17"/>
        <v>0</v>
      </c>
      <c r="V81" s="349" t="s">
        <v>612</v>
      </c>
      <c r="W81" s="362" t="s">
        <v>634</v>
      </c>
      <c r="X81" s="334">
        <v>1</v>
      </c>
      <c r="Y81" s="334">
        <v>0.8</v>
      </c>
      <c r="Z81" s="351">
        <f t="shared" si="20"/>
        <v>2400</v>
      </c>
      <c r="AA81" s="351">
        <f t="shared" si="20"/>
        <v>2400</v>
      </c>
      <c r="AB81" s="351">
        <f t="shared" si="18"/>
        <v>3000</v>
      </c>
      <c r="AC81" s="351">
        <f t="shared" si="18"/>
        <v>3000</v>
      </c>
      <c r="AD81" s="351">
        <f t="shared" si="18"/>
        <v>3000</v>
      </c>
      <c r="AE81" s="351">
        <f t="shared" si="18"/>
        <v>3000</v>
      </c>
      <c r="AF81" s="351">
        <f t="shared" si="18"/>
        <v>3000</v>
      </c>
      <c r="AG81" s="351">
        <f t="shared" si="18"/>
        <v>3000</v>
      </c>
      <c r="AH81" s="351">
        <f t="shared" si="21"/>
        <v>2400</v>
      </c>
      <c r="AI81" s="351">
        <f t="shared" si="21"/>
        <v>2400</v>
      </c>
      <c r="AJ81" s="351">
        <f t="shared" si="21"/>
        <v>2400</v>
      </c>
      <c r="AK81" s="351">
        <f t="shared" si="21"/>
        <v>2400</v>
      </c>
    </row>
    <row r="82" spans="2:37">
      <c r="B82" s="704"/>
      <c r="C82" s="699" t="s">
        <v>641</v>
      </c>
      <c r="D82" s="352" t="s">
        <v>583</v>
      </c>
      <c r="E82" s="353">
        <v>131</v>
      </c>
      <c r="F82" s="354">
        <v>2000</v>
      </c>
      <c r="G82" s="359" t="s">
        <v>611</v>
      </c>
      <c r="H82" s="355"/>
      <c r="I82" s="355"/>
      <c r="J82" s="356">
        <f t="shared" si="8"/>
        <v>262000</v>
      </c>
      <c r="K82" s="345">
        <v>0</v>
      </c>
      <c r="L82" s="346">
        <f t="shared" si="13"/>
        <v>0</v>
      </c>
      <c r="M82" s="346">
        <f t="shared" si="14"/>
        <v>0</v>
      </c>
      <c r="N82" s="348">
        <f t="shared" si="19"/>
        <v>1834000</v>
      </c>
      <c r="O82" s="348" t="s">
        <v>611</v>
      </c>
      <c r="P82" s="348">
        <f t="shared" si="10"/>
        <v>0</v>
      </c>
      <c r="Q82" s="348">
        <f t="shared" si="11"/>
        <v>0</v>
      </c>
      <c r="R82" s="348">
        <f t="shared" si="15"/>
        <v>141218000</v>
      </c>
      <c r="S82" s="348">
        <f t="shared" si="15"/>
        <v>0</v>
      </c>
      <c r="T82" s="348">
        <f t="shared" si="16"/>
        <v>51352000</v>
      </c>
      <c r="U82" s="348">
        <f t="shared" si="17"/>
        <v>0</v>
      </c>
      <c r="V82" s="349" t="s">
        <v>612</v>
      </c>
      <c r="W82" s="362" t="s">
        <v>634</v>
      </c>
      <c r="X82" s="334">
        <v>1</v>
      </c>
      <c r="Y82" s="334">
        <v>0.8</v>
      </c>
      <c r="Z82" s="351">
        <f t="shared" si="20"/>
        <v>209600</v>
      </c>
      <c r="AA82" s="351">
        <f t="shared" si="20"/>
        <v>209600</v>
      </c>
      <c r="AB82" s="351">
        <f t="shared" si="18"/>
        <v>262000</v>
      </c>
      <c r="AC82" s="351">
        <f t="shared" si="18"/>
        <v>262000</v>
      </c>
      <c r="AD82" s="351">
        <f t="shared" si="18"/>
        <v>262000</v>
      </c>
      <c r="AE82" s="351">
        <f t="shared" si="18"/>
        <v>262000</v>
      </c>
      <c r="AF82" s="351">
        <f t="shared" si="18"/>
        <v>262000</v>
      </c>
      <c r="AG82" s="351">
        <f t="shared" si="18"/>
        <v>262000</v>
      </c>
      <c r="AH82" s="351">
        <f t="shared" si="21"/>
        <v>209600</v>
      </c>
      <c r="AI82" s="351">
        <f t="shared" si="21"/>
        <v>209600</v>
      </c>
      <c r="AJ82" s="351">
        <f t="shared" si="21"/>
        <v>209600</v>
      </c>
      <c r="AK82" s="351">
        <f t="shared" si="21"/>
        <v>209600</v>
      </c>
    </row>
    <row r="83" spans="2:37">
      <c r="B83" s="704"/>
      <c r="C83" s="699"/>
      <c r="D83" s="352" t="s">
        <v>614</v>
      </c>
      <c r="E83" s="353">
        <v>9</v>
      </c>
      <c r="F83" s="354">
        <v>2000</v>
      </c>
      <c r="G83" s="359" t="s">
        <v>611</v>
      </c>
      <c r="H83" s="355"/>
      <c r="I83" s="355"/>
      <c r="J83" s="356">
        <f t="shared" si="8"/>
        <v>18000</v>
      </c>
      <c r="K83" s="345">
        <v>0</v>
      </c>
      <c r="L83" s="346">
        <f t="shared" si="13"/>
        <v>0</v>
      </c>
      <c r="M83" s="346">
        <f t="shared" si="14"/>
        <v>0</v>
      </c>
      <c r="N83" s="348">
        <f t="shared" si="19"/>
        <v>126000</v>
      </c>
      <c r="O83" s="348" t="s">
        <v>611</v>
      </c>
      <c r="P83" s="348">
        <f t="shared" si="10"/>
        <v>0</v>
      </c>
      <c r="Q83" s="348">
        <f t="shared" si="11"/>
        <v>0</v>
      </c>
      <c r="R83" s="348">
        <f t="shared" si="15"/>
        <v>9702000</v>
      </c>
      <c r="S83" s="348">
        <f t="shared" si="15"/>
        <v>0</v>
      </c>
      <c r="T83" s="348">
        <f t="shared" si="16"/>
        <v>3528000</v>
      </c>
      <c r="U83" s="348">
        <f t="shared" si="17"/>
        <v>0</v>
      </c>
      <c r="V83" s="349" t="s">
        <v>612</v>
      </c>
      <c r="W83" s="362" t="s">
        <v>634</v>
      </c>
      <c r="X83" s="334">
        <v>1</v>
      </c>
      <c r="Y83" s="334">
        <v>0.8</v>
      </c>
      <c r="Z83" s="351">
        <f t="shared" si="20"/>
        <v>14400</v>
      </c>
      <c r="AA83" s="351">
        <f t="shared" si="20"/>
        <v>14400</v>
      </c>
      <c r="AB83" s="351">
        <f t="shared" si="18"/>
        <v>18000</v>
      </c>
      <c r="AC83" s="351">
        <f t="shared" si="18"/>
        <v>18000</v>
      </c>
      <c r="AD83" s="351">
        <f t="shared" si="18"/>
        <v>18000</v>
      </c>
      <c r="AE83" s="351">
        <f t="shared" si="18"/>
        <v>18000</v>
      </c>
      <c r="AF83" s="351">
        <f t="shared" si="18"/>
        <v>18000</v>
      </c>
      <c r="AG83" s="351">
        <f t="shared" si="18"/>
        <v>18000</v>
      </c>
      <c r="AH83" s="351">
        <f t="shared" si="21"/>
        <v>14400</v>
      </c>
      <c r="AI83" s="351">
        <f t="shared" si="21"/>
        <v>14400</v>
      </c>
      <c r="AJ83" s="351">
        <f t="shared" si="21"/>
        <v>14400</v>
      </c>
      <c r="AK83" s="351">
        <f t="shared" si="21"/>
        <v>14400</v>
      </c>
    </row>
    <row r="84" spans="2:37">
      <c r="B84" s="704"/>
      <c r="C84" s="699"/>
      <c r="D84" s="352" t="s">
        <v>616</v>
      </c>
      <c r="E84" s="353">
        <v>10</v>
      </c>
      <c r="F84" s="354">
        <v>2000</v>
      </c>
      <c r="G84" s="359" t="s">
        <v>611</v>
      </c>
      <c r="H84" s="355"/>
      <c r="I84" s="355"/>
      <c r="J84" s="356">
        <f t="shared" si="8"/>
        <v>20000</v>
      </c>
      <c r="K84" s="345">
        <v>0</v>
      </c>
      <c r="L84" s="346">
        <f t="shared" si="13"/>
        <v>0</v>
      </c>
      <c r="M84" s="346">
        <f t="shared" si="14"/>
        <v>0</v>
      </c>
      <c r="N84" s="348">
        <f t="shared" si="19"/>
        <v>140000</v>
      </c>
      <c r="O84" s="348" t="s">
        <v>611</v>
      </c>
      <c r="P84" s="348">
        <f t="shared" si="10"/>
        <v>0</v>
      </c>
      <c r="Q84" s="348">
        <f t="shared" si="11"/>
        <v>0</v>
      </c>
      <c r="R84" s="348">
        <f t="shared" si="15"/>
        <v>10780000</v>
      </c>
      <c r="S84" s="348">
        <f t="shared" si="15"/>
        <v>0</v>
      </c>
      <c r="T84" s="348">
        <f t="shared" si="16"/>
        <v>3920000</v>
      </c>
      <c r="U84" s="348">
        <f t="shared" si="17"/>
        <v>0</v>
      </c>
      <c r="V84" s="349" t="s">
        <v>612</v>
      </c>
      <c r="W84" s="362" t="s">
        <v>634</v>
      </c>
      <c r="X84" s="334">
        <v>1</v>
      </c>
      <c r="Y84" s="334">
        <v>0.8</v>
      </c>
      <c r="Z84" s="351">
        <f t="shared" si="20"/>
        <v>16000</v>
      </c>
      <c r="AA84" s="351">
        <f t="shared" si="20"/>
        <v>16000</v>
      </c>
      <c r="AB84" s="351">
        <f t="shared" si="18"/>
        <v>20000</v>
      </c>
      <c r="AC84" s="351">
        <f t="shared" si="18"/>
        <v>20000</v>
      </c>
      <c r="AD84" s="351">
        <f t="shared" si="18"/>
        <v>20000</v>
      </c>
      <c r="AE84" s="351">
        <f t="shared" si="18"/>
        <v>20000</v>
      </c>
      <c r="AF84" s="351">
        <f t="shared" si="18"/>
        <v>20000</v>
      </c>
      <c r="AG84" s="351">
        <f t="shared" si="18"/>
        <v>20000</v>
      </c>
      <c r="AH84" s="351">
        <f t="shared" si="21"/>
        <v>16000</v>
      </c>
      <c r="AI84" s="351">
        <f t="shared" si="21"/>
        <v>16000</v>
      </c>
      <c r="AJ84" s="351">
        <f t="shared" si="21"/>
        <v>16000</v>
      </c>
      <c r="AK84" s="351">
        <f t="shared" si="21"/>
        <v>16000</v>
      </c>
    </row>
    <row r="85" spans="2:37">
      <c r="B85" s="704"/>
      <c r="C85" s="699"/>
      <c r="D85" s="352" t="s">
        <v>617</v>
      </c>
      <c r="E85" s="353">
        <v>5</v>
      </c>
      <c r="F85" s="354">
        <v>2000</v>
      </c>
      <c r="G85" s="359" t="s">
        <v>611</v>
      </c>
      <c r="H85" s="355"/>
      <c r="I85" s="355"/>
      <c r="J85" s="356">
        <f t="shared" si="8"/>
        <v>10000</v>
      </c>
      <c r="K85" s="345">
        <v>0</v>
      </c>
      <c r="L85" s="346">
        <f t="shared" si="13"/>
        <v>0</v>
      </c>
      <c r="M85" s="346">
        <f t="shared" si="14"/>
        <v>0</v>
      </c>
      <c r="N85" s="348">
        <f t="shared" si="19"/>
        <v>70000</v>
      </c>
      <c r="O85" s="348" t="s">
        <v>611</v>
      </c>
      <c r="P85" s="348">
        <f t="shared" si="10"/>
        <v>0</v>
      </c>
      <c r="Q85" s="348">
        <f t="shared" si="11"/>
        <v>0</v>
      </c>
      <c r="R85" s="348">
        <f t="shared" si="15"/>
        <v>5390000</v>
      </c>
      <c r="S85" s="348">
        <f t="shared" si="15"/>
        <v>0</v>
      </c>
      <c r="T85" s="348">
        <f t="shared" si="16"/>
        <v>1960000</v>
      </c>
      <c r="U85" s="348">
        <f t="shared" si="17"/>
        <v>0</v>
      </c>
      <c r="V85" s="349" t="s">
        <v>612</v>
      </c>
      <c r="W85" s="362" t="s">
        <v>634</v>
      </c>
      <c r="X85" s="334">
        <v>1</v>
      </c>
      <c r="Y85" s="334">
        <v>0.8</v>
      </c>
      <c r="Z85" s="351">
        <f t="shared" si="20"/>
        <v>8000</v>
      </c>
      <c r="AA85" s="351">
        <f t="shared" si="20"/>
        <v>8000</v>
      </c>
      <c r="AB85" s="351">
        <f t="shared" si="18"/>
        <v>10000</v>
      </c>
      <c r="AC85" s="351">
        <f t="shared" si="18"/>
        <v>10000</v>
      </c>
      <c r="AD85" s="351">
        <f t="shared" si="18"/>
        <v>10000</v>
      </c>
      <c r="AE85" s="351">
        <f t="shared" si="18"/>
        <v>10000</v>
      </c>
      <c r="AF85" s="351">
        <f t="shared" si="18"/>
        <v>10000</v>
      </c>
      <c r="AG85" s="351">
        <f t="shared" si="18"/>
        <v>10000</v>
      </c>
      <c r="AH85" s="351">
        <f t="shared" si="21"/>
        <v>8000</v>
      </c>
      <c r="AI85" s="351">
        <f t="shared" si="21"/>
        <v>8000</v>
      </c>
      <c r="AJ85" s="351">
        <f t="shared" si="21"/>
        <v>8000</v>
      </c>
      <c r="AK85" s="351">
        <f t="shared" si="21"/>
        <v>8000</v>
      </c>
    </row>
    <row r="86" spans="2:37">
      <c r="B86" s="704"/>
      <c r="C86" s="699"/>
      <c r="D86" s="352" t="s">
        <v>619</v>
      </c>
      <c r="E86" s="353">
        <v>16</v>
      </c>
      <c r="F86" s="354">
        <v>2000</v>
      </c>
      <c r="G86" s="359" t="s">
        <v>611</v>
      </c>
      <c r="H86" s="355"/>
      <c r="I86" s="355"/>
      <c r="J86" s="356">
        <f t="shared" si="8"/>
        <v>32000</v>
      </c>
      <c r="K86" s="345">
        <v>0</v>
      </c>
      <c r="L86" s="346">
        <f t="shared" si="13"/>
        <v>0</v>
      </c>
      <c r="M86" s="346">
        <f t="shared" si="14"/>
        <v>0</v>
      </c>
      <c r="N86" s="348">
        <f t="shared" si="19"/>
        <v>224000</v>
      </c>
      <c r="O86" s="348" t="s">
        <v>611</v>
      </c>
      <c r="P86" s="348">
        <f t="shared" si="10"/>
        <v>0</v>
      </c>
      <c r="Q86" s="348">
        <f t="shared" si="11"/>
        <v>0</v>
      </c>
      <c r="R86" s="348">
        <f t="shared" si="15"/>
        <v>17248000</v>
      </c>
      <c r="S86" s="348">
        <f t="shared" si="15"/>
        <v>0</v>
      </c>
      <c r="T86" s="348">
        <f t="shared" si="16"/>
        <v>6272000</v>
      </c>
      <c r="U86" s="348">
        <f t="shared" si="17"/>
        <v>0</v>
      </c>
      <c r="V86" s="349" t="s">
        <v>612</v>
      </c>
      <c r="W86" s="362" t="s">
        <v>634</v>
      </c>
      <c r="X86" s="334">
        <v>1</v>
      </c>
      <c r="Y86" s="334">
        <v>0.8</v>
      </c>
      <c r="Z86" s="351">
        <f t="shared" si="20"/>
        <v>25600</v>
      </c>
      <c r="AA86" s="351">
        <f t="shared" si="20"/>
        <v>25600</v>
      </c>
      <c r="AB86" s="351">
        <f t="shared" si="18"/>
        <v>32000</v>
      </c>
      <c r="AC86" s="351">
        <f t="shared" si="18"/>
        <v>32000</v>
      </c>
      <c r="AD86" s="351">
        <f t="shared" si="18"/>
        <v>32000</v>
      </c>
      <c r="AE86" s="351">
        <f t="shared" si="18"/>
        <v>32000</v>
      </c>
      <c r="AF86" s="351">
        <f t="shared" si="18"/>
        <v>32000</v>
      </c>
      <c r="AG86" s="351">
        <f t="shared" si="18"/>
        <v>32000</v>
      </c>
      <c r="AH86" s="351">
        <f t="shared" si="21"/>
        <v>25600</v>
      </c>
      <c r="AI86" s="351">
        <f t="shared" si="21"/>
        <v>25600</v>
      </c>
      <c r="AJ86" s="351">
        <f t="shared" si="21"/>
        <v>25600</v>
      </c>
      <c r="AK86" s="351">
        <f t="shared" si="21"/>
        <v>25600</v>
      </c>
    </row>
    <row r="87" spans="2:37">
      <c r="B87" s="704"/>
      <c r="C87" s="699"/>
      <c r="D87" s="352" t="s">
        <v>620</v>
      </c>
      <c r="E87" s="353">
        <v>57</v>
      </c>
      <c r="F87" s="354">
        <v>2000</v>
      </c>
      <c r="G87" s="359" t="s">
        <v>611</v>
      </c>
      <c r="H87" s="355"/>
      <c r="I87" s="355"/>
      <c r="J87" s="356">
        <f t="shared" ref="J87:J150" si="22">E87*F87</f>
        <v>114000</v>
      </c>
      <c r="K87" s="345">
        <v>0</v>
      </c>
      <c r="L87" s="346">
        <f t="shared" si="13"/>
        <v>0</v>
      </c>
      <c r="M87" s="346">
        <f t="shared" si="14"/>
        <v>0</v>
      </c>
      <c r="N87" s="348">
        <f t="shared" si="19"/>
        <v>798000</v>
      </c>
      <c r="O87" s="348" t="s">
        <v>611</v>
      </c>
      <c r="P87" s="348">
        <f t="shared" ref="P87:P150" si="23">E87*H87*$X$2</f>
        <v>0</v>
      </c>
      <c r="Q87" s="348">
        <f t="shared" ref="Q87:Q150" si="24">E87*I87*$X$2</f>
        <v>0</v>
      </c>
      <c r="R87" s="348">
        <f t="shared" si="15"/>
        <v>61446000</v>
      </c>
      <c r="S87" s="348">
        <f t="shared" si="15"/>
        <v>0</v>
      </c>
      <c r="T87" s="348">
        <f t="shared" si="16"/>
        <v>22344000</v>
      </c>
      <c r="U87" s="348">
        <f t="shared" si="17"/>
        <v>0</v>
      </c>
      <c r="V87" s="349" t="s">
        <v>612</v>
      </c>
      <c r="W87" s="362" t="s">
        <v>634</v>
      </c>
      <c r="X87" s="334">
        <v>1</v>
      </c>
      <c r="Y87" s="334">
        <v>0.8</v>
      </c>
      <c r="Z87" s="351">
        <f t="shared" si="20"/>
        <v>91200</v>
      </c>
      <c r="AA87" s="351">
        <f t="shared" si="20"/>
        <v>91200</v>
      </c>
      <c r="AB87" s="351">
        <f t="shared" si="18"/>
        <v>114000</v>
      </c>
      <c r="AC87" s="351">
        <f t="shared" si="18"/>
        <v>114000</v>
      </c>
      <c r="AD87" s="351">
        <f t="shared" si="18"/>
        <v>114000</v>
      </c>
      <c r="AE87" s="351">
        <f t="shared" si="18"/>
        <v>114000</v>
      </c>
      <c r="AF87" s="351">
        <f t="shared" si="18"/>
        <v>114000</v>
      </c>
      <c r="AG87" s="351">
        <f t="shared" si="18"/>
        <v>114000</v>
      </c>
      <c r="AH87" s="351">
        <f t="shared" si="21"/>
        <v>91200</v>
      </c>
      <c r="AI87" s="351">
        <f t="shared" si="21"/>
        <v>91200</v>
      </c>
      <c r="AJ87" s="351">
        <f t="shared" si="21"/>
        <v>91200</v>
      </c>
      <c r="AK87" s="351">
        <f t="shared" si="21"/>
        <v>91200</v>
      </c>
    </row>
    <row r="88" spans="2:37">
      <c r="B88" s="704"/>
      <c r="C88" s="699"/>
      <c r="D88" s="352" t="s">
        <v>622</v>
      </c>
      <c r="E88" s="353">
        <v>36</v>
      </c>
      <c r="F88" s="354">
        <v>2000</v>
      </c>
      <c r="G88" s="359" t="s">
        <v>611</v>
      </c>
      <c r="H88" s="355"/>
      <c r="I88" s="355"/>
      <c r="J88" s="356">
        <f t="shared" si="22"/>
        <v>72000</v>
      </c>
      <c r="K88" s="345">
        <v>0</v>
      </c>
      <c r="L88" s="346">
        <f t="shared" ref="L88:L151" si="25">E88*H88</f>
        <v>0</v>
      </c>
      <c r="M88" s="346">
        <f t="shared" ref="M88:M151" si="26">E88*I88</f>
        <v>0</v>
      </c>
      <c r="N88" s="348">
        <f t="shared" si="19"/>
        <v>504000</v>
      </c>
      <c r="O88" s="348" t="s">
        <v>611</v>
      </c>
      <c r="P88" s="348">
        <f t="shared" si="23"/>
        <v>0</v>
      </c>
      <c r="Q88" s="348">
        <f t="shared" si="24"/>
        <v>0</v>
      </c>
      <c r="R88" s="348">
        <f t="shared" ref="R88:S150" si="27">SUM(N88,P88)*77</f>
        <v>38808000</v>
      </c>
      <c r="S88" s="348">
        <f t="shared" si="27"/>
        <v>0</v>
      </c>
      <c r="T88" s="348">
        <f t="shared" ref="T88:T151" si="28">SUM(N88,P88)*28</f>
        <v>14112000</v>
      </c>
      <c r="U88" s="348">
        <f t="shared" ref="U88:U151" si="29">SUM(O88,Q88)*14</f>
        <v>0</v>
      </c>
      <c r="V88" s="349" t="s">
        <v>612</v>
      </c>
      <c r="W88" s="362" t="s">
        <v>634</v>
      </c>
      <c r="X88" s="334">
        <v>1</v>
      </c>
      <c r="Y88" s="334">
        <v>0.8</v>
      </c>
      <c r="Z88" s="351">
        <f t="shared" si="20"/>
        <v>57600</v>
      </c>
      <c r="AA88" s="351">
        <f t="shared" si="20"/>
        <v>57600</v>
      </c>
      <c r="AB88" s="351">
        <f t="shared" si="18"/>
        <v>72000</v>
      </c>
      <c r="AC88" s="351">
        <f t="shared" si="18"/>
        <v>72000</v>
      </c>
      <c r="AD88" s="351">
        <f t="shared" si="18"/>
        <v>72000</v>
      </c>
      <c r="AE88" s="351">
        <f t="shared" si="18"/>
        <v>72000</v>
      </c>
      <c r="AF88" s="351">
        <f t="shared" si="18"/>
        <v>72000</v>
      </c>
      <c r="AG88" s="351">
        <f t="shared" si="18"/>
        <v>72000</v>
      </c>
      <c r="AH88" s="351">
        <f t="shared" si="21"/>
        <v>57600</v>
      </c>
      <c r="AI88" s="351">
        <f t="shared" si="21"/>
        <v>57600</v>
      </c>
      <c r="AJ88" s="351">
        <f t="shared" si="21"/>
        <v>57600</v>
      </c>
      <c r="AK88" s="351">
        <f t="shared" si="21"/>
        <v>57600</v>
      </c>
    </row>
    <row r="89" spans="2:37" ht="39.6">
      <c r="B89" s="704"/>
      <c r="C89" s="699"/>
      <c r="D89" s="352" t="s">
        <v>623</v>
      </c>
      <c r="E89" s="353">
        <v>3</v>
      </c>
      <c r="F89" s="354">
        <v>2000</v>
      </c>
      <c r="G89" s="359" t="s">
        <v>611</v>
      </c>
      <c r="H89" s="355"/>
      <c r="I89" s="355"/>
      <c r="J89" s="356">
        <f t="shared" si="22"/>
        <v>6000</v>
      </c>
      <c r="K89" s="345">
        <v>0</v>
      </c>
      <c r="L89" s="346">
        <f t="shared" si="25"/>
        <v>0</v>
      </c>
      <c r="M89" s="346">
        <f t="shared" si="26"/>
        <v>0</v>
      </c>
      <c r="N89" s="348">
        <f t="shared" si="19"/>
        <v>42000</v>
      </c>
      <c r="O89" s="348" t="s">
        <v>611</v>
      </c>
      <c r="P89" s="348">
        <f t="shared" si="23"/>
        <v>0</v>
      </c>
      <c r="Q89" s="348">
        <f t="shared" si="24"/>
        <v>0</v>
      </c>
      <c r="R89" s="348">
        <f t="shared" si="27"/>
        <v>3234000</v>
      </c>
      <c r="S89" s="348">
        <f t="shared" si="27"/>
        <v>0</v>
      </c>
      <c r="T89" s="348">
        <f t="shared" si="28"/>
        <v>1176000</v>
      </c>
      <c r="U89" s="348">
        <f t="shared" si="29"/>
        <v>0</v>
      </c>
      <c r="V89" s="349" t="s">
        <v>612</v>
      </c>
      <c r="W89" s="361" t="s">
        <v>633</v>
      </c>
      <c r="X89" s="334">
        <v>1</v>
      </c>
      <c r="Y89" s="334">
        <v>0.8</v>
      </c>
      <c r="Z89" s="351"/>
      <c r="AA89" s="351"/>
      <c r="AB89" s="351">
        <f t="shared" si="18"/>
        <v>6000</v>
      </c>
      <c r="AC89" s="351">
        <f t="shared" si="18"/>
        <v>6000</v>
      </c>
      <c r="AD89" s="351">
        <f t="shared" si="18"/>
        <v>6000</v>
      </c>
      <c r="AE89" s="351">
        <f t="shared" si="18"/>
        <v>6000</v>
      </c>
      <c r="AF89" s="351">
        <f t="shared" si="18"/>
        <v>6000</v>
      </c>
      <c r="AG89" s="351">
        <f t="shared" si="18"/>
        <v>6000</v>
      </c>
      <c r="AH89" s="351">
        <f t="shared" si="21"/>
        <v>4800</v>
      </c>
      <c r="AI89" s="351">
        <f t="shared" si="21"/>
        <v>4800</v>
      </c>
      <c r="AJ89" s="351">
        <f t="shared" si="21"/>
        <v>4800</v>
      </c>
      <c r="AK89" s="351"/>
    </row>
    <row r="90" spans="2:37">
      <c r="B90" s="704"/>
      <c r="C90" s="699"/>
      <c r="D90" s="352" t="s">
        <v>624</v>
      </c>
      <c r="E90" s="353">
        <v>4</v>
      </c>
      <c r="F90" s="354">
        <v>2000</v>
      </c>
      <c r="G90" s="359" t="s">
        <v>611</v>
      </c>
      <c r="H90" s="355"/>
      <c r="I90" s="355"/>
      <c r="J90" s="356">
        <f t="shared" si="22"/>
        <v>8000</v>
      </c>
      <c r="K90" s="345">
        <v>0</v>
      </c>
      <c r="L90" s="346">
        <f t="shared" si="25"/>
        <v>0</v>
      </c>
      <c r="M90" s="346">
        <f t="shared" si="26"/>
        <v>0</v>
      </c>
      <c r="N90" s="348">
        <f t="shared" si="19"/>
        <v>56000</v>
      </c>
      <c r="O90" s="348" t="s">
        <v>611</v>
      </c>
      <c r="P90" s="348">
        <f t="shared" si="23"/>
        <v>0</v>
      </c>
      <c r="Q90" s="348">
        <f t="shared" si="24"/>
        <v>0</v>
      </c>
      <c r="R90" s="348">
        <f t="shared" si="27"/>
        <v>4312000</v>
      </c>
      <c r="S90" s="348">
        <f t="shared" si="27"/>
        <v>0</v>
      </c>
      <c r="T90" s="348">
        <f t="shared" si="28"/>
        <v>1568000</v>
      </c>
      <c r="U90" s="348">
        <f t="shared" si="29"/>
        <v>0</v>
      </c>
      <c r="V90" s="349" t="s">
        <v>612</v>
      </c>
      <c r="W90" s="362" t="s">
        <v>634</v>
      </c>
      <c r="X90" s="334">
        <v>1</v>
      </c>
      <c r="Y90" s="334">
        <v>0.8</v>
      </c>
      <c r="Z90" s="351">
        <f t="shared" si="20"/>
        <v>6400</v>
      </c>
      <c r="AA90" s="351">
        <f t="shared" si="20"/>
        <v>6400</v>
      </c>
      <c r="AB90" s="351">
        <f t="shared" si="18"/>
        <v>8000</v>
      </c>
      <c r="AC90" s="351">
        <f t="shared" si="18"/>
        <v>8000</v>
      </c>
      <c r="AD90" s="351">
        <f t="shared" si="18"/>
        <v>8000</v>
      </c>
      <c r="AE90" s="351">
        <f t="shared" si="18"/>
        <v>8000</v>
      </c>
      <c r="AF90" s="351">
        <f t="shared" si="18"/>
        <v>8000</v>
      </c>
      <c r="AG90" s="351">
        <f t="shared" si="18"/>
        <v>8000</v>
      </c>
      <c r="AH90" s="351">
        <f t="shared" si="21"/>
        <v>6400</v>
      </c>
      <c r="AI90" s="351">
        <f t="shared" si="21"/>
        <v>6400</v>
      </c>
      <c r="AJ90" s="351">
        <f t="shared" si="21"/>
        <v>6400</v>
      </c>
      <c r="AK90" s="351">
        <f t="shared" si="21"/>
        <v>6400</v>
      </c>
    </row>
    <row r="91" spans="2:37">
      <c r="B91" s="704"/>
      <c r="C91" s="699"/>
      <c r="D91" s="352" t="s">
        <v>626</v>
      </c>
      <c r="E91" s="353">
        <v>4</v>
      </c>
      <c r="F91" s="354">
        <v>2000</v>
      </c>
      <c r="G91" s="359" t="s">
        <v>611</v>
      </c>
      <c r="H91" s="355"/>
      <c r="I91" s="355"/>
      <c r="J91" s="356">
        <f t="shared" si="22"/>
        <v>8000</v>
      </c>
      <c r="K91" s="345">
        <v>0</v>
      </c>
      <c r="L91" s="346">
        <f t="shared" si="25"/>
        <v>0</v>
      </c>
      <c r="M91" s="346">
        <f t="shared" si="26"/>
        <v>0</v>
      </c>
      <c r="N91" s="348">
        <f t="shared" si="19"/>
        <v>56000</v>
      </c>
      <c r="O91" s="348" t="s">
        <v>611</v>
      </c>
      <c r="P91" s="348">
        <f t="shared" si="23"/>
        <v>0</v>
      </c>
      <c r="Q91" s="348">
        <f t="shared" si="24"/>
        <v>0</v>
      </c>
      <c r="R91" s="348">
        <f t="shared" si="27"/>
        <v>4312000</v>
      </c>
      <c r="S91" s="348">
        <f t="shared" si="27"/>
        <v>0</v>
      </c>
      <c r="T91" s="348">
        <f t="shared" si="28"/>
        <v>1568000</v>
      </c>
      <c r="U91" s="348">
        <f t="shared" si="29"/>
        <v>0</v>
      </c>
      <c r="V91" s="349" t="s">
        <v>612</v>
      </c>
      <c r="W91" s="362" t="s">
        <v>634</v>
      </c>
      <c r="X91" s="334">
        <v>1</v>
      </c>
      <c r="Y91" s="334">
        <v>0.8</v>
      </c>
      <c r="Z91" s="351">
        <f t="shared" si="20"/>
        <v>6400</v>
      </c>
      <c r="AA91" s="351">
        <f t="shared" si="20"/>
        <v>6400</v>
      </c>
      <c r="AB91" s="351">
        <f t="shared" si="18"/>
        <v>8000</v>
      </c>
      <c r="AC91" s="351">
        <f t="shared" si="18"/>
        <v>8000</v>
      </c>
      <c r="AD91" s="351">
        <f t="shared" si="18"/>
        <v>8000</v>
      </c>
      <c r="AE91" s="351">
        <f t="shared" si="18"/>
        <v>8000</v>
      </c>
      <c r="AF91" s="351">
        <f t="shared" si="18"/>
        <v>8000</v>
      </c>
      <c r="AG91" s="351">
        <f t="shared" si="18"/>
        <v>8000</v>
      </c>
      <c r="AH91" s="351">
        <f t="shared" si="21"/>
        <v>6400</v>
      </c>
      <c r="AI91" s="351">
        <f t="shared" si="21"/>
        <v>6400</v>
      </c>
      <c r="AJ91" s="351">
        <f t="shared" si="21"/>
        <v>6400</v>
      </c>
      <c r="AK91" s="351">
        <f t="shared" si="21"/>
        <v>6400</v>
      </c>
    </row>
    <row r="92" spans="2:37">
      <c r="B92" s="704"/>
      <c r="C92" s="699"/>
      <c r="D92" s="352" t="s">
        <v>627</v>
      </c>
      <c r="E92" s="353">
        <v>3</v>
      </c>
      <c r="F92" s="354">
        <v>2000</v>
      </c>
      <c r="G92" s="359" t="s">
        <v>611</v>
      </c>
      <c r="H92" s="355"/>
      <c r="I92" s="355"/>
      <c r="J92" s="356">
        <f t="shared" si="22"/>
        <v>6000</v>
      </c>
      <c r="K92" s="345">
        <v>0</v>
      </c>
      <c r="L92" s="346">
        <f t="shared" si="25"/>
        <v>0</v>
      </c>
      <c r="M92" s="346">
        <f t="shared" si="26"/>
        <v>0</v>
      </c>
      <c r="N92" s="348">
        <f t="shared" si="19"/>
        <v>42000</v>
      </c>
      <c r="O92" s="348" t="s">
        <v>611</v>
      </c>
      <c r="P92" s="348">
        <f t="shared" si="23"/>
        <v>0</v>
      </c>
      <c r="Q92" s="348">
        <f t="shared" si="24"/>
        <v>0</v>
      </c>
      <c r="R92" s="348">
        <f t="shared" si="27"/>
        <v>3234000</v>
      </c>
      <c r="S92" s="348">
        <f t="shared" si="27"/>
        <v>0</v>
      </c>
      <c r="T92" s="348">
        <f t="shared" si="28"/>
        <v>1176000</v>
      </c>
      <c r="U92" s="348">
        <f t="shared" si="29"/>
        <v>0</v>
      </c>
      <c r="V92" s="349" t="s">
        <v>612</v>
      </c>
      <c r="W92" s="362" t="s">
        <v>634</v>
      </c>
      <c r="X92" s="334">
        <v>1</v>
      </c>
      <c r="Y92" s="334">
        <v>0.8</v>
      </c>
      <c r="Z92" s="351">
        <f t="shared" si="20"/>
        <v>4800</v>
      </c>
      <c r="AA92" s="351">
        <f t="shared" si="20"/>
        <v>4800</v>
      </c>
      <c r="AB92" s="351">
        <f t="shared" si="18"/>
        <v>6000</v>
      </c>
      <c r="AC92" s="351">
        <f t="shared" si="18"/>
        <v>6000</v>
      </c>
      <c r="AD92" s="351">
        <f t="shared" si="18"/>
        <v>6000</v>
      </c>
      <c r="AE92" s="351">
        <f t="shared" si="18"/>
        <v>6000</v>
      </c>
      <c r="AF92" s="351">
        <f t="shared" si="18"/>
        <v>6000</v>
      </c>
      <c r="AG92" s="351">
        <f t="shared" si="18"/>
        <v>6000</v>
      </c>
      <c r="AH92" s="351">
        <f t="shared" si="21"/>
        <v>4800</v>
      </c>
      <c r="AI92" s="351">
        <f t="shared" si="21"/>
        <v>4800</v>
      </c>
      <c r="AJ92" s="351">
        <f t="shared" si="21"/>
        <v>4800</v>
      </c>
      <c r="AK92" s="351">
        <f t="shared" si="21"/>
        <v>4800</v>
      </c>
    </row>
    <row r="93" spans="2:37">
      <c r="B93" s="704"/>
      <c r="C93" s="699" t="s">
        <v>642</v>
      </c>
      <c r="D93" s="352" t="s">
        <v>583</v>
      </c>
      <c r="E93" s="353">
        <v>16</v>
      </c>
      <c r="F93" s="354">
        <v>2000</v>
      </c>
      <c r="G93" s="359" t="s">
        <v>611</v>
      </c>
      <c r="H93" s="355"/>
      <c r="I93" s="355"/>
      <c r="J93" s="356">
        <f t="shared" si="22"/>
        <v>32000</v>
      </c>
      <c r="K93" s="345">
        <v>0</v>
      </c>
      <c r="L93" s="346">
        <f t="shared" si="25"/>
        <v>0</v>
      </c>
      <c r="M93" s="346">
        <f t="shared" si="26"/>
        <v>0</v>
      </c>
      <c r="N93" s="348">
        <f t="shared" si="19"/>
        <v>224000</v>
      </c>
      <c r="O93" s="348" t="s">
        <v>611</v>
      </c>
      <c r="P93" s="348">
        <f t="shared" si="23"/>
        <v>0</v>
      </c>
      <c r="Q93" s="348">
        <f t="shared" si="24"/>
        <v>0</v>
      </c>
      <c r="R93" s="348">
        <f t="shared" si="27"/>
        <v>17248000</v>
      </c>
      <c r="S93" s="348">
        <f t="shared" si="27"/>
        <v>0</v>
      </c>
      <c r="T93" s="348">
        <f t="shared" si="28"/>
        <v>6272000</v>
      </c>
      <c r="U93" s="348">
        <f t="shared" si="29"/>
        <v>0</v>
      </c>
      <c r="V93" s="349" t="s">
        <v>612</v>
      </c>
      <c r="W93" s="362" t="s">
        <v>634</v>
      </c>
      <c r="X93" s="334">
        <v>1</v>
      </c>
      <c r="Y93" s="334">
        <v>0.8</v>
      </c>
      <c r="Z93" s="351">
        <f t="shared" si="20"/>
        <v>25600</v>
      </c>
      <c r="AA93" s="351">
        <f t="shared" si="20"/>
        <v>25600</v>
      </c>
      <c r="AB93" s="351">
        <f t="shared" si="18"/>
        <v>32000</v>
      </c>
      <c r="AC93" s="351">
        <f t="shared" si="18"/>
        <v>32000</v>
      </c>
      <c r="AD93" s="351">
        <f t="shared" si="18"/>
        <v>32000</v>
      </c>
      <c r="AE93" s="351">
        <f t="shared" si="18"/>
        <v>32000</v>
      </c>
      <c r="AF93" s="351">
        <f t="shared" si="18"/>
        <v>32000</v>
      </c>
      <c r="AG93" s="351">
        <f t="shared" si="18"/>
        <v>32000</v>
      </c>
      <c r="AH93" s="351">
        <f t="shared" si="21"/>
        <v>25600</v>
      </c>
      <c r="AI93" s="351">
        <f t="shared" si="21"/>
        <v>25600</v>
      </c>
      <c r="AJ93" s="351">
        <f t="shared" si="21"/>
        <v>25600</v>
      </c>
      <c r="AK93" s="351">
        <f t="shared" si="21"/>
        <v>25600</v>
      </c>
    </row>
    <row r="94" spans="2:37">
      <c r="B94" s="704"/>
      <c r="C94" s="699"/>
      <c r="D94" s="352" t="s">
        <v>616</v>
      </c>
      <c r="E94" s="353">
        <v>10</v>
      </c>
      <c r="F94" s="354">
        <v>2000</v>
      </c>
      <c r="G94" s="359" t="s">
        <v>611</v>
      </c>
      <c r="H94" s="355"/>
      <c r="I94" s="355"/>
      <c r="J94" s="356">
        <f t="shared" si="22"/>
        <v>20000</v>
      </c>
      <c r="K94" s="345">
        <v>0</v>
      </c>
      <c r="L94" s="346">
        <f t="shared" si="25"/>
        <v>0</v>
      </c>
      <c r="M94" s="346">
        <f t="shared" si="26"/>
        <v>0</v>
      </c>
      <c r="N94" s="348">
        <f t="shared" si="19"/>
        <v>140000</v>
      </c>
      <c r="O94" s="348" t="s">
        <v>611</v>
      </c>
      <c r="P94" s="348">
        <f t="shared" si="23"/>
        <v>0</v>
      </c>
      <c r="Q94" s="348">
        <f t="shared" si="24"/>
        <v>0</v>
      </c>
      <c r="R94" s="348">
        <f t="shared" si="27"/>
        <v>10780000</v>
      </c>
      <c r="S94" s="348">
        <f t="shared" si="27"/>
        <v>0</v>
      </c>
      <c r="T94" s="348">
        <f t="shared" si="28"/>
        <v>3920000</v>
      </c>
      <c r="U94" s="348">
        <f t="shared" si="29"/>
        <v>0</v>
      </c>
      <c r="V94" s="349" t="s">
        <v>612</v>
      </c>
      <c r="W94" s="362" t="s">
        <v>634</v>
      </c>
      <c r="X94" s="334">
        <v>1</v>
      </c>
      <c r="Y94" s="334">
        <v>0.8</v>
      </c>
      <c r="Z94" s="351">
        <f t="shared" si="20"/>
        <v>16000</v>
      </c>
      <c r="AA94" s="351">
        <f t="shared" si="20"/>
        <v>16000</v>
      </c>
      <c r="AB94" s="351">
        <f t="shared" si="18"/>
        <v>20000</v>
      </c>
      <c r="AC94" s="351">
        <f t="shared" si="18"/>
        <v>20000</v>
      </c>
      <c r="AD94" s="351">
        <f t="shared" si="18"/>
        <v>20000</v>
      </c>
      <c r="AE94" s="351">
        <f t="shared" si="18"/>
        <v>20000</v>
      </c>
      <c r="AF94" s="351">
        <f t="shared" si="18"/>
        <v>20000</v>
      </c>
      <c r="AG94" s="351">
        <f t="shared" si="18"/>
        <v>20000</v>
      </c>
      <c r="AH94" s="351">
        <f t="shared" si="21"/>
        <v>16000</v>
      </c>
      <c r="AI94" s="351">
        <f t="shared" si="21"/>
        <v>16000</v>
      </c>
      <c r="AJ94" s="351">
        <f t="shared" si="21"/>
        <v>16000</v>
      </c>
      <c r="AK94" s="351">
        <f t="shared" si="21"/>
        <v>16000</v>
      </c>
    </row>
    <row r="95" spans="2:37">
      <c r="B95" s="704"/>
      <c r="C95" s="699"/>
      <c r="D95" s="352" t="s">
        <v>619</v>
      </c>
      <c r="E95" s="353">
        <v>2</v>
      </c>
      <c r="F95" s="354">
        <v>2000</v>
      </c>
      <c r="G95" s="359" t="s">
        <v>611</v>
      </c>
      <c r="H95" s="355"/>
      <c r="I95" s="355"/>
      <c r="J95" s="356">
        <f t="shared" si="22"/>
        <v>4000</v>
      </c>
      <c r="K95" s="345">
        <v>0</v>
      </c>
      <c r="L95" s="346">
        <f t="shared" si="25"/>
        <v>0</v>
      </c>
      <c r="M95" s="346">
        <f t="shared" si="26"/>
        <v>0</v>
      </c>
      <c r="N95" s="348">
        <f t="shared" si="19"/>
        <v>28000</v>
      </c>
      <c r="O95" s="348" t="s">
        <v>611</v>
      </c>
      <c r="P95" s="348">
        <f t="shared" si="23"/>
        <v>0</v>
      </c>
      <c r="Q95" s="348">
        <f t="shared" si="24"/>
        <v>0</v>
      </c>
      <c r="R95" s="348">
        <f t="shared" si="27"/>
        <v>2156000</v>
      </c>
      <c r="S95" s="348">
        <f t="shared" si="27"/>
        <v>0</v>
      </c>
      <c r="T95" s="348">
        <f t="shared" si="28"/>
        <v>784000</v>
      </c>
      <c r="U95" s="348">
        <f t="shared" si="29"/>
        <v>0</v>
      </c>
      <c r="V95" s="349" t="s">
        <v>612</v>
      </c>
      <c r="W95" s="362" t="s">
        <v>634</v>
      </c>
      <c r="X95" s="334">
        <v>1</v>
      </c>
      <c r="Y95" s="334">
        <v>0.8</v>
      </c>
      <c r="Z95" s="351">
        <f t="shared" si="20"/>
        <v>3200</v>
      </c>
      <c r="AA95" s="351">
        <f t="shared" si="20"/>
        <v>3200</v>
      </c>
      <c r="AB95" s="351">
        <f t="shared" ref="AB95:AG126" si="30">($J95+$K95+$L95+$M95)*$X95</f>
        <v>4000</v>
      </c>
      <c r="AC95" s="351">
        <f t="shared" si="30"/>
        <v>4000</v>
      </c>
      <c r="AD95" s="351">
        <f t="shared" si="30"/>
        <v>4000</v>
      </c>
      <c r="AE95" s="351">
        <f t="shared" si="30"/>
        <v>4000</v>
      </c>
      <c r="AF95" s="351">
        <f t="shared" si="30"/>
        <v>4000</v>
      </c>
      <c r="AG95" s="351">
        <f t="shared" si="30"/>
        <v>4000</v>
      </c>
      <c r="AH95" s="351">
        <f t="shared" si="21"/>
        <v>3200</v>
      </c>
      <c r="AI95" s="351">
        <f t="shared" si="21"/>
        <v>3200</v>
      </c>
      <c r="AJ95" s="351">
        <f t="shared" si="21"/>
        <v>3200</v>
      </c>
      <c r="AK95" s="351">
        <f t="shared" si="21"/>
        <v>3200</v>
      </c>
    </row>
    <row r="96" spans="2:37" ht="39.6">
      <c r="B96" s="704"/>
      <c r="C96" s="699"/>
      <c r="D96" s="352" t="s">
        <v>625</v>
      </c>
      <c r="E96" s="353">
        <v>1</v>
      </c>
      <c r="F96" s="354">
        <v>2000</v>
      </c>
      <c r="G96" s="359" t="s">
        <v>611</v>
      </c>
      <c r="H96" s="355"/>
      <c r="I96" s="355"/>
      <c r="J96" s="356">
        <f t="shared" si="22"/>
        <v>2000</v>
      </c>
      <c r="K96" s="345">
        <v>0</v>
      </c>
      <c r="L96" s="346">
        <f t="shared" si="25"/>
        <v>0</v>
      </c>
      <c r="M96" s="346">
        <f t="shared" si="26"/>
        <v>0</v>
      </c>
      <c r="N96" s="348">
        <f t="shared" si="19"/>
        <v>14000</v>
      </c>
      <c r="O96" s="348" t="s">
        <v>611</v>
      </c>
      <c r="P96" s="348">
        <f t="shared" si="23"/>
        <v>0</v>
      </c>
      <c r="Q96" s="348">
        <f t="shared" si="24"/>
        <v>0</v>
      </c>
      <c r="R96" s="348">
        <f t="shared" si="27"/>
        <v>1078000</v>
      </c>
      <c r="S96" s="348">
        <f t="shared" si="27"/>
        <v>0</v>
      </c>
      <c r="T96" s="348">
        <f t="shared" si="28"/>
        <v>392000</v>
      </c>
      <c r="U96" s="348">
        <f t="shared" si="29"/>
        <v>0</v>
      </c>
      <c r="V96" s="349" t="s">
        <v>612</v>
      </c>
      <c r="W96" s="361" t="s">
        <v>637</v>
      </c>
      <c r="X96" s="334">
        <v>1</v>
      </c>
      <c r="Y96" s="334">
        <v>0.8</v>
      </c>
      <c r="Z96" s="351">
        <f t="shared" si="20"/>
        <v>1600</v>
      </c>
      <c r="AA96" s="351">
        <f t="shared" si="20"/>
        <v>1600</v>
      </c>
      <c r="AB96" s="351">
        <f t="shared" si="30"/>
        <v>2000</v>
      </c>
      <c r="AC96" s="351">
        <f t="shared" si="30"/>
        <v>2000</v>
      </c>
      <c r="AD96" s="351">
        <f t="shared" si="30"/>
        <v>2000</v>
      </c>
      <c r="AE96" s="351"/>
      <c r="AF96" s="351"/>
      <c r="AG96" s="351"/>
      <c r="AH96" s="351">
        <f t="shared" si="21"/>
        <v>1600</v>
      </c>
      <c r="AI96" s="351">
        <f t="shared" si="21"/>
        <v>1600</v>
      </c>
      <c r="AJ96" s="351">
        <f t="shared" si="21"/>
        <v>1600</v>
      </c>
      <c r="AK96" s="351">
        <f t="shared" si="21"/>
        <v>1600</v>
      </c>
    </row>
    <row r="97" spans="2:37">
      <c r="B97" s="704"/>
      <c r="C97" s="699"/>
      <c r="D97" s="352" t="s">
        <v>627</v>
      </c>
      <c r="E97" s="353">
        <v>1</v>
      </c>
      <c r="F97" s="354">
        <v>2000</v>
      </c>
      <c r="G97" s="359" t="s">
        <v>611</v>
      </c>
      <c r="H97" s="355"/>
      <c r="I97" s="355"/>
      <c r="J97" s="356">
        <f t="shared" si="22"/>
        <v>2000</v>
      </c>
      <c r="K97" s="345">
        <v>0</v>
      </c>
      <c r="L97" s="346">
        <f t="shared" si="25"/>
        <v>0</v>
      </c>
      <c r="M97" s="346">
        <f t="shared" si="26"/>
        <v>0</v>
      </c>
      <c r="N97" s="348">
        <f t="shared" si="19"/>
        <v>14000</v>
      </c>
      <c r="O97" s="348" t="s">
        <v>611</v>
      </c>
      <c r="P97" s="348">
        <f t="shared" si="23"/>
        <v>0</v>
      </c>
      <c r="Q97" s="348">
        <f t="shared" si="24"/>
        <v>0</v>
      </c>
      <c r="R97" s="348">
        <f t="shared" si="27"/>
        <v>1078000</v>
      </c>
      <c r="S97" s="348">
        <f t="shared" si="27"/>
        <v>0</v>
      </c>
      <c r="T97" s="348">
        <f t="shared" si="28"/>
        <v>392000</v>
      </c>
      <c r="U97" s="348">
        <f t="shared" si="29"/>
        <v>0</v>
      </c>
      <c r="V97" s="349" t="s">
        <v>612</v>
      </c>
      <c r="W97" s="362" t="s">
        <v>634</v>
      </c>
      <c r="X97" s="334">
        <v>1</v>
      </c>
      <c r="Y97" s="334">
        <v>0.8</v>
      </c>
      <c r="Z97" s="351">
        <f t="shared" si="20"/>
        <v>1600</v>
      </c>
      <c r="AA97" s="351">
        <f t="shared" si="20"/>
        <v>1600</v>
      </c>
      <c r="AB97" s="351">
        <f t="shared" si="30"/>
        <v>2000</v>
      </c>
      <c r="AC97" s="351">
        <f t="shared" si="30"/>
        <v>2000</v>
      </c>
      <c r="AD97" s="351">
        <f t="shared" si="30"/>
        <v>2000</v>
      </c>
      <c r="AE97" s="351">
        <f t="shared" si="30"/>
        <v>2000</v>
      </c>
      <c r="AF97" s="351">
        <f t="shared" si="30"/>
        <v>2000</v>
      </c>
      <c r="AG97" s="351">
        <f t="shared" si="30"/>
        <v>2000</v>
      </c>
      <c r="AH97" s="351">
        <f t="shared" si="21"/>
        <v>1600</v>
      </c>
      <c r="AI97" s="351">
        <f t="shared" si="21"/>
        <v>1600</v>
      </c>
      <c r="AJ97" s="351">
        <f t="shared" si="21"/>
        <v>1600</v>
      </c>
      <c r="AK97" s="351">
        <f t="shared" si="21"/>
        <v>1600</v>
      </c>
    </row>
    <row r="98" spans="2:37">
      <c r="B98" s="704"/>
      <c r="C98" s="699" t="s">
        <v>643</v>
      </c>
      <c r="D98" s="352" t="s">
        <v>583</v>
      </c>
      <c r="E98" s="353">
        <v>1</v>
      </c>
      <c r="F98" s="354">
        <v>1500</v>
      </c>
      <c r="G98" s="359" t="s">
        <v>611</v>
      </c>
      <c r="H98" s="355"/>
      <c r="I98" s="355"/>
      <c r="J98" s="356">
        <f t="shared" si="22"/>
        <v>1500</v>
      </c>
      <c r="K98" s="345">
        <v>0</v>
      </c>
      <c r="L98" s="346">
        <f t="shared" si="25"/>
        <v>0</v>
      </c>
      <c r="M98" s="346">
        <f t="shared" si="26"/>
        <v>0</v>
      </c>
      <c r="N98" s="348">
        <f t="shared" si="19"/>
        <v>10500</v>
      </c>
      <c r="O98" s="348" t="s">
        <v>611</v>
      </c>
      <c r="P98" s="348">
        <f t="shared" si="23"/>
        <v>0</v>
      </c>
      <c r="Q98" s="348">
        <f t="shared" si="24"/>
        <v>0</v>
      </c>
      <c r="R98" s="348">
        <f t="shared" si="27"/>
        <v>808500</v>
      </c>
      <c r="S98" s="348">
        <f t="shared" si="27"/>
        <v>0</v>
      </c>
      <c r="T98" s="348">
        <f t="shared" si="28"/>
        <v>294000</v>
      </c>
      <c r="U98" s="348">
        <f t="shared" si="29"/>
        <v>0</v>
      </c>
      <c r="V98" s="349" t="s">
        <v>612</v>
      </c>
      <c r="W98" s="362" t="s">
        <v>634</v>
      </c>
      <c r="X98" s="334">
        <v>1</v>
      </c>
      <c r="Y98" s="334">
        <v>0.8</v>
      </c>
      <c r="Z98" s="351">
        <f t="shared" si="20"/>
        <v>1200</v>
      </c>
      <c r="AA98" s="351">
        <f t="shared" si="20"/>
        <v>1200</v>
      </c>
      <c r="AB98" s="351">
        <f t="shared" si="30"/>
        <v>1500</v>
      </c>
      <c r="AC98" s="351">
        <f t="shared" si="30"/>
        <v>1500</v>
      </c>
      <c r="AD98" s="351">
        <f t="shared" si="30"/>
        <v>1500</v>
      </c>
      <c r="AE98" s="351">
        <f t="shared" si="30"/>
        <v>1500</v>
      </c>
      <c r="AF98" s="351">
        <f t="shared" si="30"/>
        <v>1500</v>
      </c>
      <c r="AG98" s="351">
        <f t="shared" si="30"/>
        <v>1500</v>
      </c>
      <c r="AH98" s="351">
        <f t="shared" si="21"/>
        <v>1200</v>
      </c>
      <c r="AI98" s="351">
        <f t="shared" si="21"/>
        <v>1200</v>
      </c>
      <c r="AJ98" s="351">
        <f t="shared" si="21"/>
        <v>1200</v>
      </c>
      <c r="AK98" s="351">
        <f t="shared" si="21"/>
        <v>1200</v>
      </c>
    </row>
    <row r="99" spans="2:37">
      <c r="B99" s="704"/>
      <c r="C99" s="699"/>
      <c r="D99" s="352" t="s">
        <v>619</v>
      </c>
      <c r="E99" s="353">
        <v>1</v>
      </c>
      <c r="F99" s="354">
        <v>1500</v>
      </c>
      <c r="G99" s="359" t="s">
        <v>611</v>
      </c>
      <c r="H99" s="355"/>
      <c r="I99" s="355"/>
      <c r="J99" s="356">
        <f t="shared" si="22"/>
        <v>1500</v>
      </c>
      <c r="K99" s="345">
        <v>0</v>
      </c>
      <c r="L99" s="346">
        <f t="shared" si="25"/>
        <v>0</v>
      </c>
      <c r="M99" s="346">
        <f t="shared" si="26"/>
        <v>0</v>
      </c>
      <c r="N99" s="348">
        <f>E99*F99*$X$2</f>
        <v>10500</v>
      </c>
      <c r="O99" s="348" t="s">
        <v>611</v>
      </c>
      <c r="P99" s="348">
        <f t="shared" si="23"/>
        <v>0</v>
      </c>
      <c r="Q99" s="348">
        <f t="shared" si="24"/>
        <v>0</v>
      </c>
      <c r="R99" s="348">
        <f t="shared" si="27"/>
        <v>808500</v>
      </c>
      <c r="S99" s="348">
        <f t="shared" si="27"/>
        <v>0</v>
      </c>
      <c r="T99" s="348">
        <f t="shared" si="28"/>
        <v>294000</v>
      </c>
      <c r="U99" s="348">
        <f t="shared" si="29"/>
        <v>0</v>
      </c>
      <c r="V99" s="349" t="s">
        <v>612</v>
      </c>
      <c r="W99" s="362" t="s">
        <v>634</v>
      </c>
      <c r="X99" s="334">
        <v>1</v>
      </c>
      <c r="Y99" s="334">
        <v>0.8</v>
      </c>
      <c r="Z99" s="351">
        <f t="shared" si="20"/>
        <v>1200</v>
      </c>
      <c r="AA99" s="351">
        <f t="shared" si="20"/>
        <v>1200</v>
      </c>
      <c r="AB99" s="351">
        <f t="shared" si="30"/>
        <v>1500</v>
      </c>
      <c r="AC99" s="351">
        <f t="shared" si="30"/>
        <v>1500</v>
      </c>
      <c r="AD99" s="351">
        <f t="shared" si="30"/>
        <v>1500</v>
      </c>
      <c r="AE99" s="351">
        <f t="shared" si="30"/>
        <v>1500</v>
      </c>
      <c r="AF99" s="351">
        <f t="shared" si="30"/>
        <v>1500</v>
      </c>
      <c r="AG99" s="351">
        <f t="shared" si="30"/>
        <v>1500</v>
      </c>
      <c r="AH99" s="351">
        <f t="shared" si="21"/>
        <v>1200</v>
      </c>
      <c r="AI99" s="351">
        <f t="shared" si="21"/>
        <v>1200</v>
      </c>
      <c r="AJ99" s="351">
        <f t="shared" si="21"/>
        <v>1200</v>
      </c>
      <c r="AK99" s="351">
        <f t="shared" si="21"/>
        <v>1200</v>
      </c>
    </row>
    <row r="100" spans="2:37">
      <c r="B100" s="704"/>
      <c r="C100" s="699" t="s">
        <v>644</v>
      </c>
      <c r="D100" s="352" t="s">
        <v>615</v>
      </c>
      <c r="E100" s="353">
        <v>7</v>
      </c>
      <c r="F100" s="354">
        <v>1500</v>
      </c>
      <c r="G100" s="359" t="s">
        <v>611</v>
      </c>
      <c r="H100" s="355"/>
      <c r="I100" s="355"/>
      <c r="J100" s="356">
        <f t="shared" si="22"/>
        <v>10500</v>
      </c>
      <c r="K100" s="345">
        <v>0</v>
      </c>
      <c r="L100" s="346">
        <f t="shared" si="25"/>
        <v>0</v>
      </c>
      <c r="M100" s="346">
        <f t="shared" si="26"/>
        <v>0</v>
      </c>
      <c r="N100" s="348">
        <f t="shared" ref="N100:N117" si="31">E100*F100*$X$2</f>
        <v>73500</v>
      </c>
      <c r="O100" s="348" t="s">
        <v>611</v>
      </c>
      <c r="P100" s="348">
        <f t="shared" si="23"/>
        <v>0</v>
      </c>
      <c r="Q100" s="348">
        <f t="shared" si="24"/>
        <v>0</v>
      </c>
      <c r="R100" s="348">
        <f t="shared" si="27"/>
        <v>5659500</v>
      </c>
      <c r="S100" s="348">
        <f t="shared" si="27"/>
        <v>0</v>
      </c>
      <c r="T100" s="348">
        <f t="shared" si="28"/>
        <v>2058000</v>
      </c>
      <c r="U100" s="348">
        <f t="shared" si="29"/>
        <v>0</v>
      </c>
      <c r="V100" s="349" t="s">
        <v>612</v>
      </c>
      <c r="W100" s="362" t="s">
        <v>634</v>
      </c>
      <c r="X100" s="334">
        <v>1</v>
      </c>
      <c r="Y100" s="334">
        <v>0.8</v>
      </c>
      <c r="Z100" s="351">
        <f t="shared" si="20"/>
        <v>8400</v>
      </c>
      <c r="AA100" s="351">
        <f t="shared" si="20"/>
        <v>8400</v>
      </c>
      <c r="AB100" s="351">
        <f t="shared" si="30"/>
        <v>10500</v>
      </c>
      <c r="AC100" s="351">
        <f t="shared" si="30"/>
        <v>10500</v>
      </c>
      <c r="AD100" s="351">
        <f t="shared" si="30"/>
        <v>10500</v>
      </c>
      <c r="AE100" s="351">
        <f t="shared" si="30"/>
        <v>10500</v>
      </c>
      <c r="AF100" s="351">
        <f t="shared" si="30"/>
        <v>10500</v>
      </c>
      <c r="AG100" s="351">
        <f t="shared" si="30"/>
        <v>10500</v>
      </c>
      <c r="AH100" s="351">
        <f t="shared" si="21"/>
        <v>8400</v>
      </c>
      <c r="AI100" s="351">
        <f t="shared" si="21"/>
        <v>8400</v>
      </c>
      <c r="AJ100" s="351">
        <f t="shared" si="21"/>
        <v>8400</v>
      </c>
      <c r="AK100" s="351">
        <f t="shared" si="21"/>
        <v>8400</v>
      </c>
    </row>
    <row r="101" spans="2:37">
      <c r="B101" s="704"/>
      <c r="C101" s="699"/>
      <c r="D101" s="352" t="s">
        <v>621</v>
      </c>
      <c r="E101" s="353">
        <v>14</v>
      </c>
      <c r="F101" s="354">
        <v>1500</v>
      </c>
      <c r="G101" s="359" t="s">
        <v>611</v>
      </c>
      <c r="H101" s="355"/>
      <c r="I101" s="355"/>
      <c r="J101" s="356">
        <f t="shared" si="22"/>
        <v>21000</v>
      </c>
      <c r="K101" s="345">
        <v>0</v>
      </c>
      <c r="L101" s="346">
        <f t="shared" si="25"/>
        <v>0</v>
      </c>
      <c r="M101" s="346">
        <f t="shared" si="26"/>
        <v>0</v>
      </c>
      <c r="N101" s="348">
        <f t="shared" si="31"/>
        <v>147000</v>
      </c>
      <c r="O101" s="348" t="s">
        <v>611</v>
      </c>
      <c r="P101" s="348">
        <f t="shared" si="23"/>
        <v>0</v>
      </c>
      <c r="Q101" s="348">
        <f t="shared" si="24"/>
        <v>0</v>
      </c>
      <c r="R101" s="348">
        <f t="shared" si="27"/>
        <v>11319000</v>
      </c>
      <c r="S101" s="348">
        <f t="shared" si="27"/>
        <v>0</v>
      </c>
      <c r="T101" s="348">
        <f t="shared" si="28"/>
        <v>4116000</v>
      </c>
      <c r="U101" s="348">
        <f t="shared" si="29"/>
        <v>0</v>
      </c>
      <c r="V101" s="349" t="s">
        <v>612</v>
      </c>
      <c r="W101" s="362" t="s">
        <v>634</v>
      </c>
      <c r="X101" s="334">
        <v>1</v>
      </c>
      <c r="Y101" s="334">
        <v>0.8</v>
      </c>
      <c r="Z101" s="351">
        <f t="shared" si="20"/>
        <v>16800</v>
      </c>
      <c r="AA101" s="351">
        <f t="shared" si="20"/>
        <v>16800</v>
      </c>
      <c r="AB101" s="351">
        <f t="shared" si="30"/>
        <v>21000</v>
      </c>
      <c r="AC101" s="351">
        <f t="shared" si="30"/>
        <v>21000</v>
      </c>
      <c r="AD101" s="351">
        <f t="shared" si="30"/>
        <v>21000</v>
      </c>
      <c r="AE101" s="351">
        <f t="shared" si="30"/>
        <v>21000</v>
      </c>
      <c r="AF101" s="351">
        <f t="shared" si="30"/>
        <v>21000</v>
      </c>
      <c r="AG101" s="351">
        <f t="shared" si="30"/>
        <v>21000</v>
      </c>
      <c r="AH101" s="351">
        <f t="shared" si="21"/>
        <v>16800</v>
      </c>
      <c r="AI101" s="351">
        <f t="shared" si="21"/>
        <v>16800</v>
      </c>
      <c r="AJ101" s="351">
        <f t="shared" si="21"/>
        <v>16800</v>
      </c>
      <c r="AK101" s="351">
        <f t="shared" si="21"/>
        <v>16800</v>
      </c>
    </row>
    <row r="102" spans="2:37">
      <c r="B102" s="704"/>
      <c r="C102" s="699" t="s">
        <v>645</v>
      </c>
      <c r="D102" s="352" t="s">
        <v>583</v>
      </c>
      <c r="E102" s="353">
        <v>75</v>
      </c>
      <c r="F102" s="354">
        <v>5110</v>
      </c>
      <c r="G102" s="359" t="s">
        <v>611</v>
      </c>
      <c r="H102" s="355"/>
      <c r="I102" s="355"/>
      <c r="J102" s="356">
        <f t="shared" si="22"/>
        <v>383250</v>
      </c>
      <c r="K102" s="345">
        <v>0</v>
      </c>
      <c r="L102" s="346">
        <f t="shared" si="25"/>
        <v>0</v>
      </c>
      <c r="M102" s="346">
        <f t="shared" si="26"/>
        <v>0</v>
      </c>
      <c r="N102" s="348">
        <f t="shared" si="31"/>
        <v>2682750</v>
      </c>
      <c r="O102" s="348" t="s">
        <v>611</v>
      </c>
      <c r="P102" s="348">
        <f t="shared" si="23"/>
        <v>0</v>
      </c>
      <c r="Q102" s="348">
        <f t="shared" si="24"/>
        <v>0</v>
      </c>
      <c r="R102" s="348">
        <f t="shared" si="27"/>
        <v>206571750</v>
      </c>
      <c r="S102" s="348">
        <f t="shared" si="27"/>
        <v>0</v>
      </c>
      <c r="T102" s="348">
        <f t="shared" si="28"/>
        <v>75117000</v>
      </c>
      <c r="U102" s="348">
        <f t="shared" si="29"/>
        <v>0</v>
      </c>
      <c r="V102" s="349" t="s">
        <v>612</v>
      </c>
      <c r="W102" s="362" t="s">
        <v>634</v>
      </c>
      <c r="X102" s="334">
        <v>1</v>
      </c>
      <c r="Y102" s="334">
        <v>0.8</v>
      </c>
      <c r="Z102" s="351">
        <f t="shared" si="20"/>
        <v>306600</v>
      </c>
      <c r="AA102" s="351">
        <f t="shared" si="20"/>
        <v>306600</v>
      </c>
      <c r="AB102" s="351">
        <f t="shared" si="30"/>
        <v>383250</v>
      </c>
      <c r="AC102" s="351">
        <f t="shared" si="30"/>
        <v>383250</v>
      </c>
      <c r="AD102" s="351">
        <f t="shared" si="30"/>
        <v>383250</v>
      </c>
      <c r="AE102" s="351">
        <f t="shared" si="30"/>
        <v>383250</v>
      </c>
      <c r="AF102" s="351">
        <f t="shared" si="30"/>
        <v>383250</v>
      </c>
      <c r="AG102" s="351">
        <f t="shared" si="30"/>
        <v>383250</v>
      </c>
      <c r="AH102" s="351">
        <f t="shared" si="21"/>
        <v>306600</v>
      </c>
      <c r="AI102" s="351">
        <f t="shared" si="21"/>
        <v>306600</v>
      </c>
      <c r="AJ102" s="351">
        <f t="shared" si="21"/>
        <v>306600</v>
      </c>
      <c r="AK102" s="351">
        <f t="shared" si="21"/>
        <v>306600</v>
      </c>
    </row>
    <row r="103" spans="2:37">
      <c r="B103" s="704"/>
      <c r="C103" s="699"/>
      <c r="D103" s="352" t="s">
        <v>614</v>
      </c>
      <c r="E103" s="353">
        <v>91</v>
      </c>
      <c r="F103" s="354">
        <v>5110</v>
      </c>
      <c r="G103" s="359" t="s">
        <v>611</v>
      </c>
      <c r="H103" s="355"/>
      <c r="I103" s="355"/>
      <c r="J103" s="356">
        <f t="shared" si="22"/>
        <v>465010</v>
      </c>
      <c r="K103" s="345">
        <v>0</v>
      </c>
      <c r="L103" s="346">
        <f t="shared" si="25"/>
        <v>0</v>
      </c>
      <c r="M103" s="346">
        <f t="shared" si="26"/>
        <v>0</v>
      </c>
      <c r="N103" s="348">
        <f t="shared" si="31"/>
        <v>3255070</v>
      </c>
      <c r="O103" s="348" t="s">
        <v>611</v>
      </c>
      <c r="P103" s="348">
        <f t="shared" si="23"/>
        <v>0</v>
      </c>
      <c r="Q103" s="348">
        <f t="shared" si="24"/>
        <v>0</v>
      </c>
      <c r="R103" s="348">
        <f t="shared" si="27"/>
        <v>250640390</v>
      </c>
      <c r="S103" s="348">
        <f t="shared" si="27"/>
        <v>0</v>
      </c>
      <c r="T103" s="348">
        <f t="shared" si="28"/>
        <v>91141960</v>
      </c>
      <c r="U103" s="348">
        <f t="shared" si="29"/>
        <v>0</v>
      </c>
      <c r="V103" s="349" t="s">
        <v>612</v>
      </c>
      <c r="W103" s="362" t="s">
        <v>634</v>
      </c>
      <c r="X103" s="334">
        <v>1</v>
      </c>
      <c r="Y103" s="334">
        <v>0.8</v>
      </c>
      <c r="Z103" s="351">
        <f t="shared" ref="Z103:AA134" si="32">($J103+$K103+$L103+$M103)*$Y103</f>
        <v>372008</v>
      </c>
      <c r="AA103" s="351">
        <f t="shared" si="32"/>
        <v>372008</v>
      </c>
      <c r="AB103" s="351">
        <f t="shared" si="30"/>
        <v>465010</v>
      </c>
      <c r="AC103" s="351">
        <f t="shared" si="30"/>
        <v>465010</v>
      </c>
      <c r="AD103" s="351">
        <f t="shared" si="30"/>
        <v>465010</v>
      </c>
      <c r="AE103" s="351">
        <f t="shared" si="30"/>
        <v>465010</v>
      </c>
      <c r="AF103" s="351">
        <f t="shared" si="30"/>
        <v>465010</v>
      </c>
      <c r="AG103" s="351">
        <f t="shared" si="30"/>
        <v>465010</v>
      </c>
      <c r="AH103" s="351">
        <f t="shared" ref="AH103:AK134" si="33">($J103+$K103+$L103+$M103)*$Y103</f>
        <v>372008</v>
      </c>
      <c r="AI103" s="351">
        <f t="shared" si="33"/>
        <v>372008</v>
      </c>
      <c r="AJ103" s="351">
        <f t="shared" si="33"/>
        <v>372008</v>
      </c>
      <c r="AK103" s="351">
        <f t="shared" si="33"/>
        <v>372008</v>
      </c>
    </row>
    <row r="104" spans="2:37">
      <c r="B104" s="704"/>
      <c r="C104" s="699"/>
      <c r="D104" s="352" t="s">
        <v>615</v>
      </c>
      <c r="E104" s="353">
        <v>118</v>
      </c>
      <c r="F104" s="354">
        <v>5110</v>
      </c>
      <c r="G104" s="359" t="s">
        <v>611</v>
      </c>
      <c r="H104" s="355"/>
      <c r="I104" s="355"/>
      <c r="J104" s="356">
        <f t="shared" si="22"/>
        <v>602980</v>
      </c>
      <c r="K104" s="345">
        <v>0</v>
      </c>
      <c r="L104" s="346">
        <f t="shared" si="25"/>
        <v>0</v>
      </c>
      <c r="M104" s="346">
        <f t="shared" si="26"/>
        <v>0</v>
      </c>
      <c r="N104" s="348">
        <f t="shared" si="31"/>
        <v>4220860</v>
      </c>
      <c r="O104" s="348" t="s">
        <v>611</v>
      </c>
      <c r="P104" s="348">
        <f t="shared" si="23"/>
        <v>0</v>
      </c>
      <c r="Q104" s="348">
        <f t="shared" si="24"/>
        <v>0</v>
      </c>
      <c r="R104" s="348">
        <f t="shared" si="27"/>
        <v>325006220</v>
      </c>
      <c r="S104" s="348">
        <f t="shared" si="27"/>
        <v>0</v>
      </c>
      <c r="T104" s="348">
        <f t="shared" si="28"/>
        <v>118184080</v>
      </c>
      <c r="U104" s="348">
        <f t="shared" si="29"/>
        <v>0</v>
      </c>
      <c r="V104" s="349" t="s">
        <v>612</v>
      </c>
      <c r="W104" s="362" t="s">
        <v>634</v>
      </c>
      <c r="X104" s="334">
        <v>1</v>
      </c>
      <c r="Y104" s="334">
        <v>0.8</v>
      </c>
      <c r="Z104" s="351">
        <f t="shared" si="32"/>
        <v>482384</v>
      </c>
      <c r="AA104" s="351">
        <f t="shared" si="32"/>
        <v>482384</v>
      </c>
      <c r="AB104" s="351">
        <f t="shared" si="30"/>
        <v>602980</v>
      </c>
      <c r="AC104" s="351">
        <f t="shared" si="30"/>
        <v>602980</v>
      </c>
      <c r="AD104" s="351">
        <f t="shared" si="30"/>
        <v>602980</v>
      </c>
      <c r="AE104" s="351">
        <f t="shared" si="30"/>
        <v>602980</v>
      </c>
      <c r="AF104" s="351">
        <f t="shared" si="30"/>
        <v>602980</v>
      </c>
      <c r="AG104" s="351">
        <f t="shared" si="30"/>
        <v>602980</v>
      </c>
      <c r="AH104" s="351">
        <f t="shared" si="33"/>
        <v>482384</v>
      </c>
      <c r="AI104" s="351">
        <f t="shared" si="33"/>
        <v>482384</v>
      </c>
      <c r="AJ104" s="351">
        <f t="shared" si="33"/>
        <v>482384</v>
      </c>
      <c r="AK104" s="351">
        <f t="shared" si="33"/>
        <v>482384</v>
      </c>
    </row>
    <row r="105" spans="2:37">
      <c r="B105" s="704"/>
      <c r="C105" s="699"/>
      <c r="D105" s="352" t="s">
        <v>616</v>
      </c>
      <c r="E105" s="353">
        <v>158</v>
      </c>
      <c r="F105" s="354">
        <v>5110</v>
      </c>
      <c r="G105" s="359" t="s">
        <v>611</v>
      </c>
      <c r="H105" s="355"/>
      <c r="I105" s="355"/>
      <c r="J105" s="356">
        <f t="shared" si="22"/>
        <v>807380</v>
      </c>
      <c r="K105" s="345">
        <v>0</v>
      </c>
      <c r="L105" s="346">
        <f t="shared" si="25"/>
        <v>0</v>
      </c>
      <c r="M105" s="346">
        <f t="shared" si="26"/>
        <v>0</v>
      </c>
      <c r="N105" s="348">
        <f t="shared" si="31"/>
        <v>5651660</v>
      </c>
      <c r="O105" s="348" t="s">
        <v>611</v>
      </c>
      <c r="P105" s="348">
        <f t="shared" si="23"/>
        <v>0</v>
      </c>
      <c r="Q105" s="348">
        <f t="shared" si="24"/>
        <v>0</v>
      </c>
      <c r="R105" s="348">
        <f t="shared" si="27"/>
        <v>435177820</v>
      </c>
      <c r="S105" s="348">
        <f t="shared" si="27"/>
        <v>0</v>
      </c>
      <c r="T105" s="348">
        <f t="shared" si="28"/>
        <v>158246480</v>
      </c>
      <c r="U105" s="348">
        <f t="shared" si="29"/>
        <v>0</v>
      </c>
      <c r="V105" s="349" t="s">
        <v>612</v>
      </c>
      <c r="W105" s="362" t="s">
        <v>634</v>
      </c>
      <c r="X105" s="334">
        <v>1</v>
      </c>
      <c r="Y105" s="334">
        <v>0.8</v>
      </c>
      <c r="Z105" s="351">
        <f t="shared" si="32"/>
        <v>645904</v>
      </c>
      <c r="AA105" s="351">
        <f t="shared" si="32"/>
        <v>645904</v>
      </c>
      <c r="AB105" s="351">
        <f t="shared" si="30"/>
        <v>807380</v>
      </c>
      <c r="AC105" s="351">
        <f t="shared" si="30"/>
        <v>807380</v>
      </c>
      <c r="AD105" s="351">
        <f t="shared" si="30"/>
        <v>807380</v>
      </c>
      <c r="AE105" s="351">
        <f t="shared" si="30"/>
        <v>807380</v>
      </c>
      <c r="AF105" s="351">
        <f t="shared" si="30"/>
        <v>807380</v>
      </c>
      <c r="AG105" s="351">
        <f t="shared" si="30"/>
        <v>807380</v>
      </c>
      <c r="AH105" s="351">
        <f t="shared" si="33"/>
        <v>645904</v>
      </c>
      <c r="AI105" s="351">
        <f t="shared" si="33"/>
        <v>645904</v>
      </c>
      <c r="AJ105" s="351">
        <f t="shared" si="33"/>
        <v>645904</v>
      </c>
      <c r="AK105" s="351">
        <f t="shared" si="33"/>
        <v>645904</v>
      </c>
    </row>
    <row r="106" spans="2:37">
      <c r="B106" s="704"/>
      <c r="C106" s="699"/>
      <c r="D106" s="352" t="s">
        <v>617</v>
      </c>
      <c r="E106" s="353">
        <v>187</v>
      </c>
      <c r="F106" s="354">
        <v>5110</v>
      </c>
      <c r="G106" s="359" t="s">
        <v>611</v>
      </c>
      <c r="H106" s="355"/>
      <c r="I106" s="355"/>
      <c r="J106" s="356">
        <f t="shared" si="22"/>
        <v>955570</v>
      </c>
      <c r="K106" s="345">
        <v>0</v>
      </c>
      <c r="L106" s="346">
        <f t="shared" si="25"/>
        <v>0</v>
      </c>
      <c r="M106" s="346">
        <f t="shared" si="26"/>
        <v>0</v>
      </c>
      <c r="N106" s="348">
        <f t="shared" si="31"/>
        <v>6688990</v>
      </c>
      <c r="O106" s="348" t="s">
        <v>611</v>
      </c>
      <c r="P106" s="348">
        <f t="shared" si="23"/>
        <v>0</v>
      </c>
      <c r="Q106" s="348">
        <f t="shared" si="24"/>
        <v>0</v>
      </c>
      <c r="R106" s="348">
        <f t="shared" si="27"/>
        <v>515052230</v>
      </c>
      <c r="S106" s="348">
        <f t="shared" si="27"/>
        <v>0</v>
      </c>
      <c r="T106" s="348">
        <f t="shared" si="28"/>
        <v>187291720</v>
      </c>
      <c r="U106" s="348">
        <f t="shared" si="29"/>
        <v>0</v>
      </c>
      <c r="V106" s="349" t="s">
        <v>612</v>
      </c>
      <c r="W106" s="362" t="s">
        <v>634</v>
      </c>
      <c r="X106" s="334">
        <v>1</v>
      </c>
      <c r="Y106" s="334">
        <v>0.8</v>
      </c>
      <c r="Z106" s="351">
        <f t="shared" si="32"/>
        <v>764456</v>
      </c>
      <c r="AA106" s="351">
        <f t="shared" si="32"/>
        <v>764456</v>
      </c>
      <c r="AB106" s="351">
        <f t="shared" si="30"/>
        <v>955570</v>
      </c>
      <c r="AC106" s="351">
        <f t="shared" si="30"/>
        <v>955570</v>
      </c>
      <c r="AD106" s="351">
        <f t="shared" si="30"/>
        <v>955570</v>
      </c>
      <c r="AE106" s="351">
        <f t="shared" si="30"/>
        <v>955570</v>
      </c>
      <c r="AF106" s="351">
        <f t="shared" si="30"/>
        <v>955570</v>
      </c>
      <c r="AG106" s="351">
        <f t="shared" si="30"/>
        <v>955570</v>
      </c>
      <c r="AH106" s="351">
        <f t="shared" si="33"/>
        <v>764456</v>
      </c>
      <c r="AI106" s="351">
        <f t="shared" si="33"/>
        <v>764456</v>
      </c>
      <c r="AJ106" s="351">
        <f t="shared" si="33"/>
        <v>764456</v>
      </c>
      <c r="AK106" s="351">
        <f t="shared" si="33"/>
        <v>764456</v>
      </c>
    </row>
    <row r="107" spans="2:37" ht="39.6">
      <c r="B107" s="704"/>
      <c r="C107" s="699"/>
      <c r="D107" s="352" t="s">
        <v>618</v>
      </c>
      <c r="E107" s="353">
        <v>100</v>
      </c>
      <c r="F107" s="354">
        <v>5110</v>
      </c>
      <c r="G107" s="359" t="s">
        <v>611</v>
      </c>
      <c r="H107" s="355"/>
      <c r="I107" s="355"/>
      <c r="J107" s="356">
        <f t="shared" si="22"/>
        <v>511000</v>
      </c>
      <c r="K107" s="345">
        <v>0</v>
      </c>
      <c r="L107" s="346">
        <f t="shared" si="25"/>
        <v>0</v>
      </c>
      <c r="M107" s="346">
        <f t="shared" si="26"/>
        <v>0</v>
      </c>
      <c r="N107" s="348">
        <f t="shared" si="31"/>
        <v>3577000</v>
      </c>
      <c r="O107" s="348" t="s">
        <v>611</v>
      </c>
      <c r="P107" s="348">
        <f t="shared" si="23"/>
        <v>0</v>
      </c>
      <c r="Q107" s="348">
        <f t="shared" si="24"/>
        <v>0</v>
      </c>
      <c r="R107" s="348">
        <f t="shared" si="27"/>
        <v>275429000</v>
      </c>
      <c r="S107" s="348">
        <f t="shared" si="27"/>
        <v>0</v>
      </c>
      <c r="T107" s="348">
        <f t="shared" si="28"/>
        <v>100156000</v>
      </c>
      <c r="U107" s="348">
        <f t="shared" si="29"/>
        <v>0</v>
      </c>
      <c r="V107" s="349" t="s">
        <v>612</v>
      </c>
      <c r="W107" s="361" t="s">
        <v>631</v>
      </c>
      <c r="X107" s="334">
        <v>1</v>
      </c>
      <c r="Y107" s="334">
        <v>0.8</v>
      </c>
      <c r="Z107" s="351"/>
      <c r="AA107" s="351">
        <f t="shared" si="32"/>
        <v>408800</v>
      </c>
      <c r="AB107" s="351">
        <f t="shared" si="30"/>
        <v>511000</v>
      </c>
      <c r="AC107" s="351">
        <f t="shared" si="30"/>
        <v>511000</v>
      </c>
      <c r="AD107" s="351">
        <f t="shared" si="30"/>
        <v>511000</v>
      </c>
      <c r="AE107" s="351">
        <f t="shared" si="30"/>
        <v>511000</v>
      </c>
      <c r="AF107" s="351">
        <f t="shared" si="30"/>
        <v>511000</v>
      </c>
      <c r="AG107" s="351">
        <f t="shared" si="30"/>
        <v>511000</v>
      </c>
      <c r="AH107" s="351">
        <f t="shared" si="33"/>
        <v>408800</v>
      </c>
      <c r="AI107" s="351">
        <f t="shared" si="33"/>
        <v>408800</v>
      </c>
      <c r="AJ107" s="351"/>
      <c r="AK107" s="351"/>
    </row>
    <row r="108" spans="2:37">
      <c r="B108" s="704"/>
      <c r="C108" s="699"/>
      <c r="D108" s="352" t="s">
        <v>619</v>
      </c>
      <c r="E108" s="353">
        <v>134</v>
      </c>
      <c r="F108" s="354">
        <v>5110</v>
      </c>
      <c r="G108" s="359" t="s">
        <v>611</v>
      </c>
      <c r="H108" s="355"/>
      <c r="I108" s="355"/>
      <c r="J108" s="356">
        <f t="shared" si="22"/>
        <v>684740</v>
      </c>
      <c r="K108" s="345">
        <v>0</v>
      </c>
      <c r="L108" s="346">
        <f t="shared" si="25"/>
        <v>0</v>
      </c>
      <c r="M108" s="346">
        <f t="shared" si="26"/>
        <v>0</v>
      </c>
      <c r="N108" s="348">
        <f t="shared" si="31"/>
        <v>4793180</v>
      </c>
      <c r="O108" s="348" t="s">
        <v>611</v>
      </c>
      <c r="P108" s="348">
        <f t="shared" si="23"/>
        <v>0</v>
      </c>
      <c r="Q108" s="348">
        <f t="shared" si="24"/>
        <v>0</v>
      </c>
      <c r="R108" s="348">
        <f t="shared" si="27"/>
        <v>369074860</v>
      </c>
      <c r="S108" s="348">
        <f t="shared" si="27"/>
        <v>0</v>
      </c>
      <c r="T108" s="348">
        <f t="shared" si="28"/>
        <v>134209040</v>
      </c>
      <c r="U108" s="348">
        <f t="shared" si="29"/>
        <v>0</v>
      </c>
      <c r="V108" s="349" t="s">
        <v>612</v>
      </c>
      <c r="W108" s="362" t="s">
        <v>634</v>
      </c>
      <c r="X108" s="334">
        <v>1</v>
      </c>
      <c r="Y108" s="334">
        <v>0.8</v>
      </c>
      <c r="Z108" s="351">
        <f t="shared" si="32"/>
        <v>547792</v>
      </c>
      <c r="AA108" s="351">
        <f t="shared" si="32"/>
        <v>547792</v>
      </c>
      <c r="AB108" s="351">
        <f t="shared" si="30"/>
        <v>684740</v>
      </c>
      <c r="AC108" s="351">
        <f t="shared" si="30"/>
        <v>684740</v>
      </c>
      <c r="AD108" s="351">
        <f t="shared" si="30"/>
        <v>684740</v>
      </c>
      <c r="AE108" s="351">
        <f t="shared" si="30"/>
        <v>684740</v>
      </c>
      <c r="AF108" s="351">
        <f t="shared" si="30"/>
        <v>684740</v>
      </c>
      <c r="AG108" s="351">
        <f t="shared" si="30"/>
        <v>684740</v>
      </c>
      <c r="AH108" s="351">
        <f t="shared" si="33"/>
        <v>547792</v>
      </c>
      <c r="AI108" s="351">
        <f t="shared" si="33"/>
        <v>547792</v>
      </c>
      <c r="AJ108" s="351">
        <f t="shared" si="33"/>
        <v>547792</v>
      </c>
      <c r="AK108" s="351">
        <f t="shared" si="33"/>
        <v>547792</v>
      </c>
    </row>
    <row r="109" spans="2:37">
      <c r="B109" s="704"/>
      <c r="C109" s="699"/>
      <c r="D109" s="352" t="s">
        <v>620</v>
      </c>
      <c r="E109" s="353">
        <v>28</v>
      </c>
      <c r="F109" s="354">
        <v>5110</v>
      </c>
      <c r="G109" s="359" t="s">
        <v>611</v>
      </c>
      <c r="H109" s="355"/>
      <c r="I109" s="355"/>
      <c r="J109" s="356">
        <f t="shared" si="22"/>
        <v>143080</v>
      </c>
      <c r="K109" s="345">
        <v>0</v>
      </c>
      <c r="L109" s="346">
        <f t="shared" si="25"/>
        <v>0</v>
      </c>
      <c r="M109" s="346">
        <f t="shared" si="26"/>
        <v>0</v>
      </c>
      <c r="N109" s="348">
        <f t="shared" si="31"/>
        <v>1001560</v>
      </c>
      <c r="O109" s="348" t="s">
        <v>611</v>
      </c>
      <c r="P109" s="348">
        <f t="shared" si="23"/>
        <v>0</v>
      </c>
      <c r="Q109" s="348">
        <f t="shared" si="24"/>
        <v>0</v>
      </c>
      <c r="R109" s="348">
        <f t="shared" si="27"/>
        <v>77120120</v>
      </c>
      <c r="S109" s="348">
        <f t="shared" si="27"/>
        <v>0</v>
      </c>
      <c r="T109" s="348">
        <f t="shared" si="28"/>
        <v>28043680</v>
      </c>
      <c r="U109" s="348">
        <f t="shared" si="29"/>
        <v>0</v>
      </c>
      <c r="V109" s="349" t="s">
        <v>612</v>
      </c>
      <c r="W109" s="362" t="s">
        <v>634</v>
      </c>
      <c r="X109" s="334">
        <v>1</v>
      </c>
      <c r="Y109" s="334">
        <v>0.8</v>
      </c>
      <c r="Z109" s="351">
        <f t="shared" si="32"/>
        <v>114464</v>
      </c>
      <c r="AA109" s="351">
        <f t="shared" si="32"/>
        <v>114464</v>
      </c>
      <c r="AB109" s="351">
        <f t="shared" si="30"/>
        <v>143080</v>
      </c>
      <c r="AC109" s="351">
        <f t="shared" si="30"/>
        <v>143080</v>
      </c>
      <c r="AD109" s="351">
        <f t="shared" si="30"/>
        <v>143080</v>
      </c>
      <c r="AE109" s="351">
        <f t="shared" si="30"/>
        <v>143080</v>
      </c>
      <c r="AF109" s="351">
        <f t="shared" si="30"/>
        <v>143080</v>
      </c>
      <c r="AG109" s="351">
        <f t="shared" si="30"/>
        <v>143080</v>
      </c>
      <c r="AH109" s="351">
        <f t="shared" si="33"/>
        <v>114464</v>
      </c>
      <c r="AI109" s="351">
        <f t="shared" si="33"/>
        <v>114464</v>
      </c>
      <c r="AJ109" s="351">
        <f t="shared" si="33"/>
        <v>114464</v>
      </c>
      <c r="AK109" s="351">
        <f t="shared" si="33"/>
        <v>114464</v>
      </c>
    </row>
    <row r="110" spans="2:37">
      <c r="B110" s="704"/>
      <c r="C110" s="699"/>
      <c r="D110" s="352" t="s">
        <v>621</v>
      </c>
      <c r="E110" s="353">
        <v>74</v>
      </c>
      <c r="F110" s="354">
        <v>5110</v>
      </c>
      <c r="G110" s="359" t="s">
        <v>611</v>
      </c>
      <c r="H110" s="355"/>
      <c r="I110" s="355"/>
      <c r="J110" s="356">
        <f t="shared" si="22"/>
        <v>378140</v>
      </c>
      <c r="K110" s="345">
        <v>0</v>
      </c>
      <c r="L110" s="346">
        <f t="shared" si="25"/>
        <v>0</v>
      </c>
      <c r="M110" s="346">
        <f t="shared" si="26"/>
        <v>0</v>
      </c>
      <c r="N110" s="348">
        <f t="shared" si="31"/>
        <v>2646980</v>
      </c>
      <c r="O110" s="348" t="s">
        <v>611</v>
      </c>
      <c r="P110" s="348">
        <f t="shared" si="23"/>
        <v>0</v>
      </c>
      <c r="Q110" s="348">
        <f t="shared" si="24"/>
        <v>0</v>
      </c>
      <c r="R110" s="348">
        <f t="shared" si="27"/>
        <v>203817460</v>
      </c>
      <c r="S110" s="348">
        <f t="shared" si="27"/>
        <v>0</v>
      </c>
      <c r="T110" s="348">
        <f t="shared" si="28"/>
        <v>74115440</v>
      </c>
      <c r="U110" s="348">
        <f t="shared" si="29"/>
        <v>0</v>
      </c>
      <c r="V110" s="349" t="s">
        <v>612</v>
      </c>
      <c r="W110" s="362" t="s">
        <v>634</v>
      </c>
      <c r="X110" s="334">
        <v>1</v>
      </c>
      <c r="Y110" s="334">
        <v>0.8</v>
      </c>
      <c r="Z110" s="351">
        <f t="shared" si="32"/>
        <v>302512</v>
      </c>
      <c r="AA110" s="351">
        <f t="shared" si="32"/>
        <v>302512</v>
      </c>
      <c r="AB110" s="351">
        <f t="shared" si="30"/>
        <v>378140</v>
      </c>
      <c r="AC110" s="351">
        <f t="shared" si="30"/>
        <v>378140</v>
      </c>
      <c r="AD110" s="351">
        <f t="shared" si="30"/>
        <v>378140</v>
      </c>
      <c r="AE110" s="351">
        <f t="shared" si="30"/>
        <v>378140</v>
      </c>
      <c r="AF110" s="351">
        <f t="shared" si="30"/>
        <v>378140</v>
      </c>
      <c r="AG110" s="351">
        <f t="shared" si="30"/>
        <v>378140</v>
      </c>
      <c r="AH110" s="351">
        <f t="shared" si="33"/>
        <v>302512</v>
      </c>
      <c r="AI110" s="351">
        <f t="shared" si="33"/>
        <v>302512</v>
      </c>
      <c r="AJ110" s="351">
        <f t="shared" si="33"/>
        <v>302512</v>
      </c>
      <c r="AK110" s="351">
        <f t="shared" si="33"/>
        <v>302512</v>
      </c>
    </row>
    <row r="111" spans="2:37">
      <c r="B111" s="704"/>
      <c r="C111" s="699"/>
      <c r="D111" s="352" t="s">
        <v>622</v>
      </c>
      <c r="E111" s="353">
        <v>91</v>
      </c>
      <c r="F111" s="354">
        <v>5110</v>
      </c>
      <c r="G111" s="359" t="s">
        <v>611</v>
      </c>
      <c r="H111" s="355"/>
      <c r="I111" s="355"/>
      <c r="J111" s="356">
        <f t="shared" si="22"/>
        <v>465010</v>
      </c>
      <c r="K111" s="345">
        <v>0</v>
      </c>
      <c r="L111" s="346">
        <f t="shared" si="25"/>
        <v>0</v>
      </c>
      <c r="M111" s="346">
        <f t="shared" si="26"/>
        <v>0</v>
      </c>
      <c r="N111" s="348">
        <f t="shared" si="31"/>
        <v>3255070</v>
      </c>
      <c r="O111" s="348" t="s">
        <v>611</v>
      </c>
      <c r="P111" s="348">
        <f t="shared" si="23"/>
        <v>0</v>
      </c>
      <c r="Q111" s="348">
        <f t="shared" si="24"/>
        <v>0</v>
      </c>
      <c r="R111" s="348">
        <f t="shared" si="27"/>
        <v>250640390</v>
      </c>
      <c r="S111" s="348">
        <f t="shared" si="27"/>
        <v>0</v>
      </c>
      <c r="T111" s="348">
        <f t="shared" si="28"/>
        <v>91141960</v>
      </c>
      <c r="U111" s="348">
        <f t="shared" si="29"/>
        <v>0</v>
      </c>
      <c r="V111" s="349" t="s">
        <v>612</v>
      </c>
      <c r="W111" s="362" t="s">
        <v>634</v>
      </c>
      <c r="X111" s="334">
        <v>1</v>
      </c>
      <c r="Y111" s="334">
        <v>0.8</v>
      </c>
      <c r="Z111" s="351">
        <f t="shared" si="32"/>
        <v>372008</v>
      </c>
      <c r="AA111" s="351">
        <f t="shared" si="32"/>
        <v>372008</v>
      </c>
      <c r="AB111" s="351">
        <f t="shared" si="30"/>
        <v>465010</v>
      </c>
      <c r="AC111" s="351">
        <f t="shared" si="30"/>
        <v>465010</v>
      </c>
      <c r="AD111" s="351">
        <f t="shared" si="30"/>
        <v>465010</v>
      </c>
      <c r="AE111" s="351">
        <f t="shared" si="30"/>
        <v>465010</v>
      </c>
      <c r="AF111" s="351">
        <f t="shared" si="30"/>
        <v>465010</v>
      </c>
      <c r="AG111" s="351">
        <f t="shared" si="30"/>
        <v>465010</v>
      </c>
      <c r="AH111" s="351">
        <f t="shared" si="33"/>
        <v>372008</v>
      </c>
      <c r="AI111" s="351">
        <f t="shared" si="33"/>
        <v>372008</v>
      </c>
      <c r="AJ111" s="351">
        <f t="shared" si="33"/>
        <v>372008</v>
      </c>
      <c r="AK111" s="351">
        <f t="shared" si="33"/>
        <v>372008</v>
      </c>
    </row>
    <row r="112" spans="2:37" ht="39.6">
      <c r="B112" s="704"/>
      <c r="C112" s="699"/>
      <c r="D112" s="352" t="s">
        <v>623</v>
      </c>
      <c r="E112" s="353">
        <v>57</v>
      </c>
      <c r="F112" s="354">
        <v>5110</v>
      </c>
      <c r="G112" s="359" t="s">
        <v>611</v>
      </c>
      <c r="H112" s="355"/>
      <c r="I112" s="355"/>
      <c r="J112" s="356">
        <f t="shared" si="22"/>
        <v>291270</v>
      </c>
      <c r="K112" s="345">
        <v>0</v>
      </c>
      <c r="L112" s="346">
        <f t="shared" si="25"/>
        <v>0</v>
      </c>
      <c r="M112" s="346">
        <f t="shared" si="26"/>
        <v>0</v>
      </c>
      <c r="N112" s="348">
        <f t="shared" si="31"/>
        <v>2038890</v>
      </c>
      <c r="O112" s="348" t="s">
        <v>611</v>
      </c>
      <c r="P112" s="348">
        <f t="shared" si="23"/>
        <v>0</v>
      </c>
      <c r="Q112" s="348">
        <f t="shared" si="24"/>
        <v>0</v>
      </c>
      <c r="R112" s="348">
        <f t="shared" si="27"/>
        <v>156994530</v>
      </c>
      <c r="S112" s="348">
        <f t="shared" si="27"/>
        <v>0</v>
      </c>
      <c r="T112" s="348">
        <f t="shared" si="28"/>
        <v>57088920</v>
      </c>
      <c r="U112" s="348">
        <f t="shared" si="29"/>
        <v>0</v>
      </c>
      <c r="V112" s="349" t="s">
        <v>612</v>
      </c>
      <c r="W112" s="361" t="s">
        <v>633</v>
      </c>
      <c r="X112" s="334">
        <v>1</v>
      </c>
      <c r="Y112" s="334">
        <v>0.8</v>
      </c>
      <c r="Z112" s="351"/>
      <c r="AA112" s="351"/>
      <c r="AB112" s="351">
        <f t="shared" si="30"/>
        <v>291270</v>
      </c>
      <c r="AC112" s="351">
        <f t="shared" si="30"/>
        <v>291270</v>
      </c>
      <c r="AD112" s="351">
        <f t="shared" si="30"/>
        <v>291270</v>
      </c>
      <c r="AE112" s="351">
        <f t="shared" si="30"/>
        <v>291270</v>
      </c>
      <c r="AF112" s="351">
        <f t="shared" si="30"/>
        <v>291270</v>
      </c>
      <c r="AG112" s="351">
        <f t="shared" si="30"/>
        <v>291270</v>
      </c>
      <c r="AH112" s="351">
        <f t="shared" si="33"/>
        <v>233016</v>
      </c>
      <c r="AI112" s="351">
        <f t="shared" si="33"/>
        <v>233016</v>
      </c>
      <c r="AJ112" s="351">
        <f t="shared" si="33"/>
        <v>233016</v>
      </c>
      <c r="AK112" s="351"/>
    </row>
    <row r="113" spans="2:37">
      <c r="B113" s="704"/>
      <c r="C113" s="699"/>
      <c r="D113" s="352" t="s">
        <v>624</v>
      </c>
      <c r="E113" s="353">
        <v>31</v>
      </c>
      <c r="F113" s="354">
        <v>5110</v>
      </c>
      <c r="G113" s="359" t="s">
        <v>611</v>
      </c>
      <c r="H113" s="355"/>
      <c r="I113" s="355"/>
      <c r="J113" s="356">
        <f t="shared" si="22"/>
        <v>158410</v>
      </c>
      <c r="K113" s="345">
        <v>0</v>
      </c>
      <c r="L113" s="346">
        <f t="shared" si="25"/>
        <v>0</v>
      </c>
      <c r="M113" s="346">
        <f t="shared" si="26"/>
        <v>0</v>
      </c>
      <c r="N113" s="348">
        <f t="shared" si="31"/>
        <v>1108870</v>
      </c>
      <c r="O113" s="348" t="s">
        <v>611</v>
      </c>
      <c r="P113" s="348">
        <f t="shared" si="23"/>
        <v>0</v>
      </c>
      <c r="Q113" s="348">
        <f t="shared" si="24"/>
        <v>0</v>
      </c>
      <c r="R113" s="348">
        <f t="shared" si="27"/>
        <v>85382990</v>
      </c>
      <c r="S113" s="348">
        <f t="shared" si="27"/>
        <v>0</v>
      </c>
      <c r="T113" s="348">
        <f t="shared" si="28"/>
        <v>31048360</v>
      </c>
      <c r="U113" s="348">
        <f t="shared" si="29"/>
        <v>0</v>
      </c>
      <c r="V113" s="349" t="s">
        <v>612</v>
      </c>
      <c r="W113" s="362" t="s">
        <v>634</v>
      </c>
      <c r="X113" s="334">
        <v>1</v>
      </c>
      <c r="Y113" s="334">
        <v>0.8</v>
      </c>
      <c r="Z113" s="351">
        <f t="shared" si="32"/>
        <v>126728</v>
      </c>
      <c r="AA113" s="351">
        <f t="shared" si="32"/>
        <v>126728</v>
      </c>
      <c r="AB113" s="351">
        <f t="shared" si="30"/>
        <v>158410</v>
      </c>
      <c r="AC113" s="351">
        <f t="shared" si="30"/>
        <v>158410</v>
      </c>
      <c r="AD113" s="351">
        <f t="shared" si="30"/>
        <v>158410</v>
      </c>
      <c r="AE113" s="351">
        <f t="shared" si="30"/>
        <v>158410</v>
      </c>
      <c r="AF113" s="351">
        <f t="shared" si="30"/>
        <v>158410</v>
      </c>
      <c r="AG113" s="351">
        <f t="shared" si="30"/>
        <v>158410</v>
      </c>
      <c r="AH113" s="351">
        <f t="shared" si="33"/>
        <v>126728</v>
      </c>
      <c r="AI113" s="351">
        <f t="shared" si="33"/>
        <v>126728</v>
      </c>
      <c r="AJ113" s="351">
        <f t="shared" si="33"/>
        <v>126728</v>
      </c>
      <c r="AK113" s="351">
        <f t="shared" si="33"/>
        <v>126728</v>
      </c>
    </row>
    <row r="114" spans="2:37" ht="39.6">
      <c r="B114" s="704"/>
      <c r="C114" s="699"/>
      <c r="D114" s="352" t="s">
        <v>625</v>
      </c>
      <c r="E114" s="353">
        <v>21</v>
      </c>
      <c r="F114" s="354">
        <v>5110</v>
      </c>
      <c r="G114" s="359" t="s">
        <v>611</v>
      </c>
      <c r="H114" s="355"/>
      <c r="I114" s="355"/>
      <c r="J114" s="356">
        <f t="shared" si="22"/>
        <v>107310</v>
      </c>
      <c r="K114" s="345">
        <v>0</v>
      </c>
      <c r="L114" s="346">
        <f t="shared" si="25"/>
        <v>0</v>
      </c>
      <c r="M114" s="346">
        <f t="shared" si="26"/>
        <v>0</v>
      </c>
      <c r="N114" s="348">
        <f t="shared" si="31"/>
        <v>751170</v>
      </c>
      <c r="O114" s="348" t="s">
        <v>611</v>
      </c>
      <c r="P114" s="348">
        <f t="shared" si="23"/>
        <v>0</v>
      </c>
      <c r="Q114" s="348">
        <f t="shared" si="24"/>
        <v>0</v>
      </c>
      <c r="R114" s="348">
        <f t="shared" si="27"/>
        <v>57840090</v>
      </c>
      <c r="S114" s="348">
        <f t="shared" si="27"/>
        <v>0</v>
      </c>
      <c r="T114" s="348">
        <f t="shared" si="28"/>
        <v>21032760</v>
      </c>
      <c r="U114" s="348">
        <f t="shared" si="29"/>
        <v>0</v>
      </c>
      <c r="V114" s="349" t="s">
        <v>612</v>
      </c>
      <c r="W114" s="361" t="s">
        <v>637</v>
      </c>
      <c r="X114" s="334">
        <v>1</v>
      </c>
      <c r="Y114" s="334">
        <v>0.8</v>
      </c>
      <c r="Z114" s="351">
        <f t="shared" si="32"/>
        <v>85848</v>
      </c>
      <c r="AA114" s="351">
        <f t="shared" si="32"/>
        <v>85848</v>
      </c>
      <c r="AB114" s="351">
        <f t="shared" si="30"/>
        <v>107310</v>
      </c>
      <c r="AC114" s="351">
        <f t="shared" si="30"/>
        <v>107310</v>
      </c>
      <c r="AD114" s="351">
        <f t="shared" si="30"/>
        <v>107310</v>
      </c>
      <c r="AE114" s="351"/>
      <c r="AF114" s="351"/>
      <c r="AG114" s="351"/>
      <c r="AH114" s="351">
        <f t="shared" si="33"/>
        <v>85848</v>
      </c>
      <c r="AI114" s="351">
        <f t="shared" si="33"/>
        <v>85848</v>
      </c>
      <c r="AJ114" s="351">
        <f t="shared" si="33"/>
        <v>85848</v>
      </c>
      <c r="AK114" s="351">
        <f t="shared" si="33"/>
        <v>85848</v>
      </c>
    </row>
    <row r="115" spans="2:37">
      <c r="B115" s="704"/>
      <c r="C115" s="699"/>
      <c r="D115" s="352" t="s">
        <v>626</v>
      </c>
      <c r="E115" s="353">
        <v>280</v>
      </c>
      <c r="F115" s="354">
        <v>5110</v>
      </c>
      <c r="G115" s="359" t="s">
        <v>611</v>
      </c>
      <c r="H115" s="355"/>
      <c r="I115" s="355"/>
      <c r="J115" s="356">
        <f t="shared" si="22"/>
        <v>1430800</v>
      </c>
      <c r="K115" s="345">
        <v>0</v>
      </c>
      <c r="L115" s="346">
        <f t="shared" si="25"/>
        <v>0</v>
      </c>
      <c r="M115" s="346">
        <f t="shared" si="26"/>
        <v>0</v>
      </c>
      <c r="N115" s="348">
        <f t="shared" si="31"/>
        <v>10015600</v>
      </c>
      <c r="O115" s="348" t="s">
        <v>611</v>
      </c>
      <c r="P115" s="348">
        <f t="shared" si="23"/>
        <v>0</v>
      </c>
      <c r="Q115" s="348">
        <f t="shared" si="24"/>
        <v>0</v>
      </c>
      <c r="R115" s="348">
        <f t="shared" si="27"/>
        <v>771201200</v>
      </c>
      <c r="S115" s="348">
        <f t="shared" si="27"/>
        <v>0</v>
      </c>
      <c r="T115" s="348">
        <f t="shared" si="28"/>
        <v>280436800</v>
      </c>
      <c r="U115" s="348">
        <f t="shared" si="29"/>
        <v>0</v>
      </c>
      <c r="V115" s="349" t="s">
        <v>612</v>
      </c>
      <c r="W115" s="362" t="s">
        <v>634</v>
      </c>
      <c r="X115" s="334">
        <v>1</v>
      </c>
      <c r="Y115" s="334">
        <v>0.8</v>
      </c>
      <c r="Z115" s="351">
        <f t="shared" si="32"/>
        <v>1144640</v>
      </c>
      <c r="AA115" s="351">
        <f t="shared" si="32"/>
        <v>1144640</v>
      </c>
      <c r="AB115" s="351">
        <f t="shared" si="30"/>
        <v>1430800</v>
      </c>
      <c r="AC115" s="351">
        <f t="shared" si="30"/>
        <v>1430800</v>
      </c>
      <c r="AD115" s="351">
        <f t="shared" si="30"/>
        <v>1430800</v>
      </c>
      <c r="AE115" s="351">
        <f t="shared" si="30"/>
        <v>1430800</v>
      </c>
      <c r="AF115" s="351">
        <f t="shared" si="30"/>
        <v>1430800</v>
      </c>
      <c r="AG115" s="351">
        <f t="shared" si="30"/>
        <v>1430800</v>
      </c>
      <c r="AH115" s="351">
        <f t="shared" si="33"/>
        <v>1144640</v>
      </c>
      <c r="AI115" s="351">
        <f t="shared" si="33"/>
        <v>1144640</v>
      </c>
      <c r="AJ115" s="351">
        <f t="shared" si="33"/>
        <v>1144640</v>
      </c>
      <c r="AK115" s="351">
        <f t="shared" si="33"/>
        <v>1144640</v>
      </c>
    </row>
    <row r="116" spans="2:37">
      <c r="B116" s="704"/>
      <c r="C116" s="699"/>
      <c r="D116" s="352" t="s">
        <v>627</v>
      </c>
      <c r="E116" s="353">
        <v>57</v>
      </c>
      <c r="F116" s="354">
        <v>5110</v>
      </c>
      <c r="G116" s="359" t="s">
        <v>611</v>
      </c>
      <c r="H116" s="355"/>
      <c r="I116" s="355"/>
      <c r="J116" s="356">
        <f t="shared" si="22"/>
        <v>291270</v>
      </c>
      <c r="K116" s="345">
        <v>0</v>
      </c>
      <c r="L116" s="346">
        <f t="shared" si="25"/>
        <v>0</v>
      </c>
      <c r="M116" s="346">
        <f t="shared" si="26"/>
        <v>0</v>
      </c>
      <c r="N116" s="348">
        <f t="shared" si="31"/>
        <v>2038890</v>
      </c>
      <c r="O116" s="348" t="s">
        <v>611</v>
      </c>
      <c r="P116" s="348">
        <f t="shared" si="23"/>
        <v>0</v>
      </c>
      <c r="Q116" s="348">
        <f t="shared" si="24"/>
        <v>0</v>
      </c>
      <c r="R116" s="348">
        <f t="shared" si="27"/>
        <v>156994530</v>
      </c>
      <c r="S116" s="348">
        <f t="shared" si="27"/>
        <v>0</v>
      </c>
      <c r="T116" s="348">
        <f t="shared" si="28"/>
        <v>57088920</v>
      </c>
      <c r="U116" s="348">
        <f t="shared" si="29"/>
        <v>0</v>
      </c>
      <c r="V116" s="349" t="s">
        <v>612</v>
      </c>
      <c r="W116" s="362" t="s">
        <v>634</v>
      </c>
      <c r="X116" s="334">
        <v>1</v>
      </c>
      <c r="Y116" s="334">
        <v>0.8</v>
      </c>
      <c r="Z116" s="351">
        <f t="shared" si="32"/>
        <v>233016</v>
      </c>
      <c r="AA116" s="351">
        <f t="shared" si="32"/>
        <v>233016</v>
      </c>
      <c r="AB116" s="351">
        <f t="shared" si="30"/>
        <v>291270</v>
      </c>
      <c r="AC116" s="351">
        <f t="shared" si="30"/>
        <v>291270</v>
      </c>
      <c r="AD116" s="351">
        <f t="shared" si="30"/>
        <v>291270</v>
      </c>
      <c r="AE116" s="351">
        <f t="shared" si="30"/>
        <v>291270</v>
      </c>
      <c r="AF116" s="351">
        <f t="shared" si="30"/>
        <v>291270</v>
      </c>
      <c r="AG116" s="351">
        <f t="shared" si="30"/>
        <v>291270</v>
      </c>
      <c r="AH116" s="351">
        <f t="shared" si="33"/>
        <v>233016</v>
      </c>
      <c r="AI116" s="351">
        <f t="shared" si="33"/>
        <v>233016</v>
      </c>
      <c r="AJ116" s="351">
        <f t="shared" si="33"/>
        <v>233016</v>
      </c>
      <c r="AK116" s="351">
        <f t="shared" si="33"/>
        <v>233016</v>
      </c>
    </row>
    <row r="117" spans="2:37">
      <c r="B117" s="705"/>
      <c r="C117" s="699"/>
      <c r="D117" s="352" t="s">
        <v>628</v>
      </c>
      <c r="E117" s="353">
        <v>1</v>
      </c>
      <c r="F117" s="354">
        <v>5110</v>
      </c>
      <c r="G117" s="359" t="s">
        <v>611</v>
      </c>
      <c r="H117" s="355"/>
      <c r="I117" s="355"/>
      <c r="J117" s="356">
        <f t="shared" si="22"/>
        <v>5110</v>
      </c>
      <c r="K117" s="345">
        <v>0</v>
      </c>
      <c r="L117" s="346">
        <f t="shared" si="25"/>
        <v>0</v>
      </c>
      <c r="M117" s="346">
        <f t="shared" si="26"/>
        <v>0</v>
      </c>
      <c r="N117" s="348">
        <f t="shared" si="31"/>
        <v>35770</v>
      </c>
      <c r="O117" s="348" t="s">
        <v>611</v>
      </c>
      <c r="P117" s="348">
        <f t="shared" si="23"/>
        <v>0</v>
      </c>
      <c r="Q117" s="348">
        <f t="shared" si="24"/>
        <v>0</v>
      </c>
      <c r="R117" s="348">
        <f t="shared" si="27"/>
        <v>2754290</v>
      </c>
      <c r="S117" s="348">
        <f t="shared" si="27"/>
        <v>0</v>
      </c>
      <c r="T117" s="348">
        <f t="shared" si="28"/>
        <v>1001560</v>
      </c>
      <c r="U117" s="348">
        <f t="shared" si="29"/>
        <v>0</v>
      </c>
      <c r="V117" s="349" t="s">
        <v>612</v>
      </c>
      <c r="W117" s="362" t="s">
        <v>634</v>
      </c>
      <c r="X117" s="334">
        <v>1</v>
      </c>
      <c r="Y117" s="334">
        <v>0.8</v>
      </c>
      <c r="Z117" s="351">
        <f t="shared" si="32"/>
        <v>4088</v>
      </c>
      <c r="AA117" s="351">
        <f t="shared" si="32"/>
        <v>4088</v>
      </c>
      <c r="AB117" s="351">
        <f t="shared" si="30"/>
        <v>5110</v>
      </c>
      <c r="AC117" s="351">
        <f t="shared" si="30"/>
        <v>5110</v>
      </c>
      <c r="AD117" s="351">
        <f t="shared" si="30"/>
        <v>5110</v>
      </c>
      <c r="AE117" s="351">
        <f t="shared" si="30"/>
        <v>5110</v>
      </c>
      <c r="AF117" s="351">
        <f t="shared" si="30"/>
        <v>5110</v>
      </c>
      <c r="AG117" s="351">
        <f t="shared" si="30"/>
        <v>5110</v>
      </c>
      <c r="AH117" s="351">
        <f t="shared" si="33"/>
        <v>4088</v>
      </c>
      <c r="AI117" s="351">
        <f t="shared" si="33"/>
        <v>4088</v>
      </c>
      <c r="AJ117" s="351">
        <f t="shared" si="33"/>
        <v>4088</v>
      </c>
      <c r="AK117" s="351">
        <f t="shared" si="33"/>
        <v>4088</v>
      </c>
    </row>
    <row r="118" spans="2:37">
      <c r="B118" s="701" t="s">
        <v>646</v>
      </c>
      <c r="C118" s="703" t="s">
        <v>647</v>
      </c>
      <c r="D118" s="341" t="s">
        <v>583</v>
      </c>
      <c r="E118" s="342">
        <v>7</v>
      </c>
      <c r="F118" s="358">
        <v>25000</v>
      </c>
      <c r="G118" s="344"/>
      <c r="H118" s="365">
        <v>29000</v>
      </c>
      <c r="I118" s="344"/>
      <c r="J118" s="345">
        <f t="shared" si="22"/>
        <v>175000</v>
      </c>
      <c r="K118" s="346">
        <f>E118*G118</f>
        <v>0</v>
      </c>
      <c r="L118" s="346">
        <f t="shared" si="25"/>
        <v>203000</v>
      </c>
      <c r="M118" s="346">
        <f t="shared" si="26"/>
        <v>0</v>
      </c>
      <c r="N118" s="348">
        <f>E118*F118*$X$2</f>
        <v>1225000</v>
      </c>
      <c r="O118" s="348">
        <f>E118*G118*$X$2</f>
        <v>0</v>
      </c>
      <c r="P118" s="348">
        <f t="shared" si="23"/>
        <v>1421000</v>
      </c>
      <c r="Q118" s="348">
        <f t="shared" si="24"/>
        <v>0</v>
      </c>
      <c r="R118" s="348">
        <f t="shared" si="27"/>
        <v>203742000</v>
      </c>
      <c r="S118" s="348">
        <f t="shared" si="27"/>
        <v>0</v>
      </c>
      <c r="T118" s="348">
        <f t="shared" si="28"/>
        <v>74088000</v>
      </c>
      <c r="U118" s="348">
        <f t="shared" si="29"/>
        <v>0</v>
      </c>
      <c r="V118" s="349" t="s">
        <v>612</v>
      </c>
      <c r="W118" s="362" t="s">
        <v>634</v>
      </c>
      <c r="X118" s="334">
        <v>1</v>
      </c>
      <c r="Y118" s="334">
        <v>0.8</v>
      </c>
      <c r="Z118" s="351">
        <f t="shared" si="32"/>
        <v>302400</v>
      </c>
      <c r="AA118" s="351">
        <f t="shared" si="32"/>
        <v>302400</v>
      </c>
      <c r="AB118" s="351">
        <f t="shared" si="30"/>
        <v>378000</v>
      </c>
      <c r="AC118" s="351">
        <f t="shared" si="30"/>
        <v>378000</v>
      </c>
      <c r="AD118" s="351">
        <f t="shared" si="30"/>
        <v>378000</v>
      </c>
      <c r="AE118" s="351">
        <f t="shared" si="30"/>
        <v>378000</v>
      </c>
      <c r="AF118" s="351">
        <f t="shared" si="30"/>
        <v>378000</v>
      </c>
      <c r="AG118" s="351">
        <f t="shared" si="30"/>
        <v>378000</v>
      </c>
      <c r="AH118" s="351">
        <f t="shared" si="33"/>
        <v>302400</v>
      </c>
      <c r="AI118" s="351">
        <f t="shared" si="33"/>
        <v>302400</v>
      </c>
      <c r="AJ118" s="351">
        <f t="shared" si="33"/>
        <v>302400</v>
      </c>
      <c r="AK118" s="351">
        <f t="shared" si="33"/>
        <v>302400</v>
      </c>
    </row>
    <row r="119" spans="2:37" ht="16.05" customHeight="1">
      <c r="B119" s="701"/>
      <c r="C119" s="700"/>
      <c r="D119" s="352" t="s">
        <v>614</v>
      </c>
      <c r="E119" s="353">
        <v>2</v>
      </c>
      <c r="F119" s="364">
        <v>25000</v>
      </c>
      <c r="G119" s="355"/>
      <c r="H119" s="365">
        <v>29000</v>
      </c>
      <c r="I119" s="355"/>
      <c r="J119" s="356">
        <f t="shared" si="22"/>
        <v>50000</v>
      </c>
      <c r="K119" s="346">
        <f t="shared" ref="K119:K182" si="34">E119*G119</f>
        <v>0</v>
      </c>
      <c r="L119" s="346">
        <f t="shared" si="25"/>
        <v>58000</v>
      </c>
      <c r="M119" s="346">
        <f t="shared" si="26"/>
        <v>0</v>
      </c>
      <c r="N119" s="348">
        <f t="shared" ref="N119:N182" si="35">E119*F119*$X$2</f>
        <v>350000</v>
      </c>
      <c r="O119" s="348">
        <f t="shared" ref="O119:O182" si="36">E119*G119*$X$2</f>
        <v>0</v>
      </c>
      <c r="P119" s="348">
        <f t="shared" si="23"/>
        <v>406000</v>
      </c>
      <c r="Q119" s="348">
        <f t="shared" si="24"/>
        <v>0</v>
      </c>
      <c r="R119" s="348">
        <f t="shared" si="27"/>
        <v>58212000</v>
      </c>
      <c r="S119" s="348">
        <f t="shared" si="27"/>
        <v>0</v>
      </c>
      <c r="T119" s="348">
        <f t="shared" si="28"/>
        <v>21168000</v>
      </c>
      <c r="U119" s="348">
        <f t="shared" si="29"/>
        <v>0</v>
      </c>
      <c r="V119" s="349" t="s">
        <v>612</v>
      </c>
      <c r="W119" s="362" t="s">
        <v>634</v>
      </c>
      <c r="X119" s="334">
        <v>1</v>
      </c>
      <c r="Y119" s="334">
        <v>0.8</v>
      </c>
      <c r="Z119" s="351">
        <f t="shared" si="32"/>
        <v>86400</v>
      </c>
      <c r="AA119" s="351">
        <f t="shared" si="32"/>
        <v>86400</v>
      </c>
      <c r="AB119" s="351">
        <f t="shared" si="30"/>
        <v>108000</v>
      </c>
      <c r="AC119" s="351">
        <f t="shared" si="30"/>
        <v>108000</v>
      </c>
      <c r="AD119" s="351">
        <f t="shared" si="30"/>
        <v>108000</v>
      </c>
      <c r="AE119" s="351">
        <f t="shared" si="30"/>
        <v>108000</v>
      </c>
      <c r="AF119" s="351">
        <f t="shared" si="30"/>
        <v>108000</v>
      </c>
      <c r="AG119" s="351">
        <f t="shared" si="30"/>
        <v>108000</v>
      </c>
      <c r="AH119" s="351">
        <f t="shared" si="33"/>
        <v>86400</v>
      </c>
      <c r="AI119" s="351">
        <f t="shared" si="33"/>
        <v>86400</v>
      </c>
      <c r="AJ119" s="351">
        <f t="shared" si="33"/>
        <v>86400</v>
      </c>
      <c r="AK119" s="351">
        <f t="shared" si="33"/>
        <v>86400</v>
      </c>
    </row>
    <row r="120" spans="2:37" ht="16.05" customHeight="1">
      <c r="B120" s="701"/>
      <c r="C120" s="700"/>
      <c r="D120" s="352" t="s">
        <v>616</v>
      </c>
      <c r="E120" s="353">
        <v>6</v>
      </c>
      <c r="F120" s="364">
        <v>25000</v>
      </c>
      <c r="G120" s="355"/>
      <c r="H120" s="365">
        <v>29000</v>
      </c>
      <c r="I120" s="355"/>
      <c r="J120" s="356">
        <f t="shared" si="22"/>
        <v>150000</v>
      </c>
      <c r="K120" s="346">
        <f t="shared" si="34"/>
        <v>0</v>
      </c>
      <c r="L120" s="346">
        <f t="shared" si="25"/>
        <v>174000</v>
      </c>
      <c r="M120" s="346">
        <f t="shared" si="26"/>
        <v>0</v>
      </c>
      <c r="N120" s="348">
        <f t="shared" si="35"/>
        <v>1050000</v>
      </c>
      <c r="O120" s="348">
        <f t="shared" si="36"/>
        <v>0</v>
      </c>
      <c r="P120" s="348">
        <f t="shared" si="23"/>
        <v>1218000</v>
      </c>
      <c r="Q120" s="348">
        <f t="shared" si="24"/>
        <v>0</v>
      </c>
      <c r="R120" s="348">
        <f t="shared" si="27"/>
        <v>174636000</v>
      </c>
      <c r="S120" s="348">
        <f t="shared" si="27"/>
        <v>0</v>
      </c>
      <c r="T120" s="348">
        <f t="shared" si="28"/>
        <v>63504000</v>
      </c>
      <c r="U120" s="348">
        <f t="shared" si="29"/>
        <v>0</v>
      </c>
      <c r="V120" s="349" t="s">
        <v>612</v>
      </c>
      <c r="W120" s="362" t="s">
        <v>634</v>
      </c>
      <c r="X120" s="334">
        <v>1</v>
      </c>
      <c r="Y120" s="334">
        <v>0.8</v>
      </c>
      <c r="Z120" s="351">
        <f t="shared" si="32"/>
        <v>259200</v>
      </c>
      <c r="AA120" s="351">
        <f t="shared" si="32"/>
        <v>259200</v>
      </c>
      <c r="AB120" s="351">
        <f t="shared" si="30"/>
        <v>324000</v>
      </c>
      <c r="AC120" s="351">
        <f t="shared" si="30"/>
        <v>324000</v>
      </c>
      <c r="AD120" s="351">
        <f t="shared" si="30"/>
        <v>324000</v>
      </c>
      <c r="AE120" s="351">
        <f t="shared" si="30"/>
        <v>324000</v>
      </c>
      <c r="AF120" s="351">
        <f t="shared" si="30"/>
        <v>324000</v>
      </c>
      <c r="AG120" s="351">
        <f t="shared" si="30"/>
        <v>324000</v>
      </c>
      <c r="AH120" s="351">
        <f t="shared" si="33"/>
        <v>259200</v>
      </c>
      <c r="AI120" s="351">
        <f t="shared" si="33"/>
        <v>259200</v>
      </c>
      <c r="AJ120" s="351">
        <f t="shared" si="33"/>
        <v>259200</v>
      </c>
      <c r="AK120" s="351">
        <f t="shared" si="33"/>
        <v>259200</v>
      </c>
    </row>
    <row r="121" spans="2:37" ht="16.05" customHeight="1">
      <c r="B121" s="701"/>
      <c r="C121" s="700"/>
      <c r="D121" s="352" t="s">
        <v>617</v>
      </c>
      <c r="E121" s="353">
        <v>2</v>
      </c>
      <c r="F121" s="364">
        <v>25000</v>
      </c>
      <c r="G121" s="355"/>
      <c r="H121" s="365">
        <v>29000</v>
      </c>
      <c r="I121" s="355"/>
      <c r="J121" s="356">
        <f t="shared" si="22"/>
        <v>50000</v>
      </c>
      <c r="K121" s="346">
        <f t="shared" si="34"/>
        <v>0</v>
      </c>
      <c r="L121" s="346">
        <f t="shared" si="25"/>
        <v>58000</v>
      </c>
      <c r="M121" s="346">
        <f t="shared" si="26"/>
        <v>0</v>
      </c>
      <c r="N121" s="348">
        <f t="shared" si="35"/>
        <v>350000</v>
      </c>
      <c r="O121" s="348">
        <f t="shared" si="36"/>
        <v>0</v>
      </c>
      <c r="P121" s="348">
        <f t="shared" si="23"/>
        <v>406000</v>
      </c>
      <c r="Q121" s="348">
        <f t="shared" si="24"/>
        <v>0</v>
      </c>
      <c r="R121" s="348">
        <f t="shared" si="27"/>
        <v>58212000</v>
      </c>
      <c r="S121" s="348">
        <f t="shared" si="27"/>
        <v>0</v>
      </c>
      <c r="T121" s="348">
        <f t="shared" si="28"/>
        <v>21168000</v>
      </c>
      <c r="U121" s="348">
        <f t="shared" si="29"/>
        <v>0</v>
      </c>
      <c r="V121" s="349" t="s">
        <v>612</v>
      </c>
      <c r="W121" s="362" t="s">
        <v>634</v>
      </c>
      <c r="X121" s="334">
        <v>1</v>
      </c>
      <c r="Y121" s="334">
        <v>0.8</v>
      </c>
      <c r="Z121" s="351">
        <f t="shared" si="32"/>
        <v>86400</v>
      </c>
      <c r="AA121" s="351">
        <f t="shared" si="32"/>
        <v>86400</v>
      </c>
      <c r="AB121" s="351">
        <f t="shared" si="30"/>
        <v>108000</v>
      </c>
      <c r="AC121" s="351">
        <f t="shared" si="30"/>
        <v>108000</v>
      </c>
      <c r="AD121" s="351">
        <f t="shared" si="30"/>
        <v>108000</v>
      </c>
      <c r="AE121" s="351">
        <f t="shared" si="30"/>
        <v>108000</v>
      </c>
      <c r="AF121" s="351">
        <f t="shared" si="30"/>
        <v>108000</v>
      </c>
      <c r="AG121" s="351">
        <f t="shared" si="30"/>
        <v>108000</v>
      </c>
      <c r="AH121" s="351">
        <f t="shared" si="33"/>
        <v>86400</v>
      </c>
      <c r="AI121" s="351">
        <f t="shared" si="33"/>
        <v>86400</v>
      </c>
      <c r="AJ121" s="351">
        <f t="shared" si="33"/>
        <v>86400</v>
      </c>
      <c r="AK121" s="351">
        <f t="shared" si="33"/>
        <v>86400</v>
      </c>
    </row>
    <row r="122" spans="2:37" ht="16.05" customHeight="1">
      <c r="B122" s="701"/>
      <c r="C122" s="700"/>
      <c r="D122" s="352" t="s">
        <v>619</v>
      </c>
      <c r="E122" s="353">
        <v>5</v>
      </c>
      <c r="F122" s="364">
        <v>25000</v>
      </c>
      <c r="G122" s="355"/>
      <c r="H122" s="365">
        <v>29000</v>
      </c>
      <c r="I122" s="355"/>
      <c r="J122" s="356">
        <f t="shared" si="22"/>
        <v>125000</v>
      </c>
      <c r="K122" s="346">
        <f t="shared" si="34"/>
        <v>0</v>
      </c>
      <c r="L122" s="346">
        <f t="shared" si="25"/>
        <v>145000</v>
      </c>
      <c r="M122" s="346">
        <f t="shared" si="26"/>
        <v>0</v>
      </c>
      <c r="N122" s="348">
        <f t="shared" si="35"/>
        <v>875000</v>
      </c>
      <c r="O122" s="348">
        <f t="shared" si="36"/>
        <v>0</v>
      </c>
      <c r="P122" s="348">
        <f t="shared" si="23"/>
        <v>1015000</v>
      </c>
      <c r="Q122" s="348">
        <f t="shared" si="24"/>
        <v>0</v>
      </c>
      <c r="R122" s="348">
        <f t="shared" si="27"/>
        <v>145530000</v>
      </c>
      <c r="S122" s="348">
        <f t="shared" si="27"/>
        <v>0</v>
      </c>
      <c r="T122" s="348">
        <f t="shared" si="28"/>
        <v>52920000</v>
      </c>
      <c r="U122" s="348">
        <f t="shared" si="29"/>
        <v>0</v>
      </c>
      <c r="V122" s="349" t="s">
        <v>612</v>
      </c>
      <c r="W122" s="362" t="s">
        <v>634</v>
      </c>
      <c r="X122" s="334">
        <v>1</v>
      </c>
      <c r="Y122" s="334">
        <v>0.8</v>
      </c>
      <c r="Z122" s="351">
        <f t="shared" si="32"/>
        <v>216000</v>
      </c>
      <c r="AA122" s="351">
        <f t="shared" si="32"/>
        <v>216000</v>
      </c>
      <c r="AB122" s="351">
        <f t="shared" si="30"/>
        <v>270000</v>
      </c>
      <c r="AC122" s="351">
        <f t="shared" si="30"/>
        <v>270000</v>
      </c>
      <c r="AD122" s="351">
        <f t="shared" si="30"/>
        <v>270000</v>
      </c>
      <c r="AE122" s="351">
        <f t="shared" si="30"/>
        <v>270000</v>
      </c>
      <c r="AF122" s="351">
        <f t="shared" si="30"/>
        <v>270000</v>
      </c>
      <c r="AG122" s="351">
        <f t="shared" si="30"/>
        <v>270000</v>
      </c>
      <c r="AH122" s="351">
        <f t="shared" si="33"/>
        <v>216000</v>
      </c>
      <c r="AI122" s="351">
        <f t="shared" si="33"/>
        <v>216000</v>
      </c>
      <c r="AJ122" s="351">
        <f t="shared" si="33"/>
        <v>216000</v>
      </c>
      <c r="AK122" s="351">
        <f t="shared" si="33"/>
        <v>216000</v>
      </c>
    </row>
    <row r="123" spans="2:37" ht="16.05" customHeight="1">
      <c r="B123" s="701"/>
      <c r="C123" s="700"/>
      <c r="D123" s="352" t="s">
        <v>620</v>
      </c>
      <c r="E123" s="353">
        <v>9</v>
      </c>
      <c r="F123" s="364">
        <v>25000</v>
      </c>
      <c r="G123" s="355"/>
      <c r="H123" s="365">
        <v>29000</v>
      </c>
      <c r="I123" s="355"/>
      <c r="J123" s="356">
        <f t="shared" si="22"/>
        <v>225000</v>
      </c>
      <c r="K123" s="346">
        <f t="shared" si="34"/>
        <v>0</v>
      </c>
      <c r="L123" s="346">
        <f t="shared" si="25"/>
        <v>261000</v>
      </c>
      <c r="M123" s="346">
        <f t="shared" si="26"/>
        <v>0</v>
      </c>
      <c r="N123" s="348">
        <f t="shared" si="35"/>
        <v>1575000</v>
      </c>
      <c r="O123" s="348">
        <f t="shared" si="36"/>
        <v>0</v>
      </c>
      <c r="P123" s="348">
        <f t="shared" si="23"/>
        <v>1827000</v>
      </c>
      <c r="Q123" s="348">
        <f t="shared" si="24"/>
        <v>0</v>
      </c>
      <c r="R123" s="348">
        <f t="shared" si="27"/>
        <v>261954000</v>
      </c>
      <c r="S123" s="348">
        <f t="shared" si="27"/>
        <v>0</v>
      </c>
      <c r="T123" s="348">
        <f t="shared" si="28"/>
        <v>95256000</v>
      </c>
      <c r="U123" s="348">
        <f t="shared" si="29"/>
        <v>0</v>
      </c>
      <c r="V123" s="349" t="s">
        <v>612</v>
      </c>
      <c r="W123" s="362" t="s">
        <v>634</v>
      </c>
      <c r="X123" s="334">
        <v>1</v>
      </c>
      <c r="Y123" s="334">
        <v>0.8</v>
      </c>
      <c r="Z123" s="351">
        <f t="shared" si="32"/>
        <v>388800</v>
      </c>
      <c r="AA123" s="351">
        <f t="shared" si="32"/>
        <v>388800</v>
      </c>
      <c r="AB123" s="351">
        <f t="shared" si="30"/>
        <v>486000</v>
      </c>
      <c r="AC123" s="351">
        <f t="shared" si="30"/>
        <v>486000</v>
      </c>
      <c r="AD123" s="351">
        <f t="shared" si="30"/>
        <v>486000</v>
      </c>
      <c r="AE123" s="351">
        <f t="shared" si="30"/>
        <v>486000</v>
      </c>
      <c r="AF123" s="351">
        <f t="shared" si="30"/>
        <v>486000</v>
      </c>
      <c r="AG123" s="351">
        <f t="shared" si="30"/>
        <v>486000</v>
      </c>
      <c r="AH123" s="351">
        <f t="shared" si="33"/>
        <v>388800</v>
      </c>
      <c r="AI123" s="351">
        <f t="shared" si="33"/>
        <v>388800</v>
      </c>
      <c r="AJ123" s="351">
        <f t="shared" si="33"/>
        <v>388800</v>
      </c>
      <c r="AK123" s="351">
        <f t="shared" si="33"/>
        <v>388800</v>
      </c>
    </row>
    <row r="124" spans="2:37" ht="16.05" customHeight="1">
      <c r="B124" s="701"/>
      <c r="C124" s="700"/>
      <c r="D124" s="352" t="s">
        <v>621</v>
      </c>
      <c r="E124" s="353">
        <v>15</v>
      </c>
      <c r="F124" s="364">
        <v>25000</v>
      </c>
      <c r="G124" s="355"/>
      <c r="H124" s="365">
        <v>29000</v>
      </c>
      <c r="I124" s="355"/>
      <c r="J124" s="356">
        <f t="shared" si="22"/>
        <v>375000</v>
      </c>
      <c r="K124" s="346">
        <f t="shared" si="34"/>
        <v>0</v>
      </c>
      <c r="L124" s="346">
        <f t="shared" si="25"/>
        <v>435000</v>
      </c>
      <c r="M124" s="346">
        <f t="shared" si="26"/>
        <v>0</v>
      </c>
      <c r="N124" s="348">
        <f t="shared" si="35"/>
        <v>2625000</v>
      </c>
      <c r="O124" s="348">
        <f t="shared" si="36"/>
        <v>0</v>
      </c>
      <c r="P124" s="348">
        <f t="shared" si="23"/>
        <v>3045000</v>
      </c>
      <c r="Q124" s="348">
        <f t="shared" si="24"/>
        <v>0</v>
      </c>
      <c r="R124" s="348">
        <f t="shared" si="27"/>
        <v>436590000</v>
      </c>
      <c r="S124" s="348">
        <f t="shared" si="27"/>
        <v>0</v>
      </c>
      <c r="T124" s="348">
        <f t="shared" si="28"/>
        <v>158760000</v>
      </c>
      <c r="U124" s="348">
        <f t="shared" si="29"/>
        <v>0</v>
      </c>
      <c r="V124" s="349" t="s">
        <v>612</v>
      </c>
      <c r="W124" s="362" t="s">
        <v>634</v>
      </c>
      <c r="X124" s="334">
        <v>1</v>
      </c>
      <c r="Y124" s="334">
        <v>0.8</v>
      </c>
      <c r="Z124" s="351">
        <f t="shared" si="32"/>
        <v>648000</v>
      </c>
      <c r="AA124" s="351">
        <f t="shared" si="32"/>
        <v>648000</v>
      </c>
      <c r="AB124" s="351">
        <f t="shared" si="30"/>
        <v>810000</v>
      </c>
      <c r="AC124" s="351">
        <f t="shared" si="30"/>
        <v>810000</v>
      </c>
      <c r="AD124" s="351">
        <f t="shared" si="30"/>
        <v>810000</v>
      </c>
      <c r="AE124" s="351">
        <f t="shared" si="30"/>
        <v>810000</v>
      </c>
      <c r="AF124" s="351">
        <f t="shared" si="30"/>
        <v>810000</v>
      </c>
      <c r="AG124" s="351">
        <f t="shared" si="30"/>
        <v>810000</v>
      </c>
      <c r="AH124" s="351">
        <f t="shared" si="33"/>
        <v>648000</v>
      </c>
      <c r="AI124" s="351">
        <f t="shared" si="33"/>
        <v>648000</v>
      </c>
      <c r="AJ124" s="351">
        <f t="shared" si="33"/>
        <v>648000</v>
      </c>
      <c r="AK124" s="351">
        <f t="shared" si="33"/>
        <v>648000</v>
      </c>
    </row>
    <row r="125" spans="2:37" ht="16.05" customHeight="1">
      <c r="B125" s="701"/>
      <c r="C125" s="700"/>
      <c r="D125" s="352" t="s">
        <v>622</v>
      </c>
      <c r="E125" s="353">
        <v>1</v>
      </c>
      <c r="F125" s="364">
        <v>25000</v>
      </c>
      <c r="G125" s="355"/>
      <c r="H125" s="365">
        <v>29000</v>
      </c>
      <c r="I125" s="355"/>
      <c r="J125" s="356">
        <f t="shared" si="22"/>
        <v>25000</v>
      </c>
      <c r="K125" s="346">
        <f t="shared" si="34"/>
        <v>0</v>
      </c>
      <c r="L125" s="346">
        <f t="shared" si="25"/>
        <v>29000</v>
      </c>
      <c r="M125" s="346">
        <f t="shared" si="26"/>
        <v>0</v>
      </c>
      <c r="N125" s="348">
        <f t="shared" si="35"/>
        <v>175000</v>
      </c>
      <c r="O125" s="348">
        <f t="shared" si="36"/>
        <v>0</v>
      </c>
      <c r="P125" s="348">
        <f t="shared" si="23"/>
        <v>203000</v>
      </c>
      <c r="Q125" s="348">
        <f t="shared" si="24"/>
        <v>0</v>
      </c>
      <c r="R125" s="348">
        <f t="shared" si="27"/>
        <v>29106000</v>
      </c>
      <c r="S125" s="348">
        <f t="shared" si="27"/>
        <v>0</v>
      </c>
      <c r="T125" s="348">
        <f t="shared" si="28"/>
        <v>10584000</v>
      </c>
      <c r="U125" s="348">
        <f t="shared" si="29"/>
        <v>0</v>
      </c>
      <c r="V125" s="349" t="s">
        <v>612</v>
      </c>
      <c r="W125" s="362" t="s">
        <v>634</v>
      </c>
      <c r="X125" s="334">
        <v>1</v>
      </c>
      <c r="Y125" s="334">
        <v>0.8</v>
      </c>
      <c r="Z125" s="351">
        <f t="shared" si="32"/>
        <v>43200</v>
      </c>
      <c r="AA125" s="351">
        <f t="shared" si="32"/>
        <v>43200</v>
      </c>
      <c r="AB125" s="351">
        <f t="shared" si="30"/>
        <v>54000</v>
      </c>
      <c r="AC125" s="351">
        <f t="shared" si="30"/>
        <v>54000</v>
      </c>
      <c r="AD125" s="351">
        <f t="shared" si="30"/>
        <v>54000</v>
      </c>
      <c r="AE125" s="351">
        <f t="shared" si="30"/>
        <v>54000</v>
      </c>
      <c r="AF125" s="351">
        <f t="shared" si="30"/>
        <v>54000</v>
      </c>
      <c r="AG125" s="351">
        <f t="shared" si="30"/>
        <v>54000</v>
      </c>
      <c r="AH125" s="351">
        <f t="shared" si="33"/>
        <v>43200</v>
      </c>
      <c r="AI125" s="351">
        <f t="shared" si="33"/>
        <v>43200</v>
      </c>
      <c r="AJ125" s="351">
        <f t="shared" si="33"/>
        <v>43200</v>
      </c>
      <c r="AK125" s="351">
        <f t="shared" si="33"/>
        <v>43200</v>
      </c>
    </row>
    <row r="126" spans="2:37" ht="39.6">
      <c r="B126" s="701"/>
      <c r="C126" s="700"/>
      <c r="D126" s="352" t="s">
        <v>623</v>
      </c>
      <c r="E126" s="353">
        <v>42</v>
      </c>
      <c r="F126" s="364">
        <v>25000</v>
      </c>
      <c r="G126" s="355"/>
      <c r="H126" s="365">
        <v>29000</v>
      </c>
      <c r="I126" s="355"/>
      <c r="J126" s="356">
        <f t="shared" si="22"/>
        <v>1050000</v>
      </c>
      <c r="K126" s="346">
        <f t="shared" si="34"/>
        <v>0</v>
      </c>
      <c r="L126" s="346">
        <f t="shared" si="25"/>
        <v>1218000</v>
      </c>
      <c r="M126" s="346">
        <f t="shared" si="26"/>
        <v>0</v>
      </c>
      <c r="N126" s="348">
        <f t="shared" si="35"/>
        <v>7350000</v>
      </c>
      <c r="O126" s="348">
        <f t="shared" si="36"/>
        <v>0</v>
      </c>
      <c r="P126" s="348">
        <f t="shared" si="23"/>
        <v>8526000</v>
      </c>
      <c r="Q126" s="348">
        <f t="shared" si="24"/>
        <v>0</v>
      </c>
      <c r="R126" s="348">
        <f t="shared" si="27"/>
        <v>1222452000</v>
      </c>
      <c r="S126" s="348">
        <f t="shared" si="27"/>
        <v>0</v>
      </c>
      <c r="T126" s="348">
        <f t="shared" si="28"/>
        <v>444528000</v>
      </c>
      <c r="U126" s="348">
        <f t="shared" si="29"/>
        <v>0</v>
      </c>
      <c r="V126" s="349" t="s">
        <v>612</v>
      </c>
      <c r="W126" s="361" t="s">
        <v>633</v>
      </c>
      <c r="X126" s="334">
        <v>1</v>
      </c>
      <c r="Y126" s="334">
        <v>0.8</v>
      </c>
      <c r="Z126" s="351"/>
      <c r="AA126" s="351"/>
      <c r="AB126" s="351">
        <f t="shared" si="30"/>
        <v>2268000</v>
      </c>
      <c r="AC126" s="351">
        <f t="shared" si="30"/>
        <v>2268000</v>
      </c>
      <c r="AD126" s="351">
        <f t="shared" si="30"/>
        <v>2268000</v>
      </c>
      <c r="AE126" s="351">
        <f t="shared" si="30"/>
        <v>2268000</v>
      </c>
      <c r="AF126" s="351">
        <f t="shared" si="30"/>
        <v>2268000</v>
      </c>
      <c r="AG126" s="351">
        <f t="shared" si="30"/>
        <v>2268000</v>
      </c>
      <c r="AH126" s="351">
        <f t="shared" si="33"/>
        <v>1814400</v>
      </c>
      <c r="AI126" s="351">
        <f t="shared" si="33"/>
        <v>1814400</v>
      </c>
      <c r="AJ126" s="351">
        <f t="shared" si="33"/>
        <v>1814400</v>
      </c>
      <c r="AK126" s="351"/>
    </row>
    <row r="127" spans="2:37" ht="16.05" customHeight="1">
      <c r="B127" s="701"/>
      <c r="C127" s="700"/>
      <c r="D127" s="352" t="s">
        <v>624</v>
      </c>
      <c r="E127" s="353">
        <v>3</v>
      </c>
      <c r="F127" s="364">
        <v>25000</v>
      </c>
      <c r="G127" s="355"/>
      <c r="H127" s="365">
        <v>29000</v>
      </c>
      <c r="I127" s="355"/>
      <c r="J127" s="356">
        <f t="shared" si="22"/>
        <v>75000</v>
      </c>
      <c r="K127" s="346">
        <f t="shared" si="34"/>
        <v>0</v>
      </c>
      <c r="L127" s="346">
        <f t="shared" si="25"/>
        <v>87000</v>
      </c>
      <c r="M127" s="346">
        <f t="shared" si="26"/>
        <v>0</v>
      </c>
      <c r="N127" s="348">
        <f t="shared" si="35"/>
        <v>525000</v>
      </c>
      <c r="O127" s="348">
        <f t="shared" si="36"/>
        <v>0</v>
      </c>
      <c r="P127" s="348">
        <f t="shared" si="23"/>
        <v>609000</v>
      </c>
      <c r="Q127" s="348">
        <f t="shared" si="24"/>
        <v>0</v>
      </c>
      <c r="R127" s="348">
        <f t="shared" si="27"/>
        <v>87318000</v>
      </c>
      <c r="S127" s="348">
        <f t="shared" si="27"/>
        <v>0</v>
      </c>
      <c r="T127" s="348">
        <f t="shared" si="28"/>
        <v>31752000</v>
      </c>
      <c r="U127" s="348">
        <f t="shared" si="29"/>
        <v>0</v>
      </c>
      <c r="V127" s="349" t="s">
        <v>612</v>
      </c>
      <c r="W127" s="362" t="s">
        <v>634</v>
      </c>
      <c r="X127" s="334">
        <v>1</v>
      </c>
      <c r="Y127" s="334">
        <v>0.8</v>
      </c>
      <c r="Z127" s="351">
        <f t="shared" si="32"/>
        <v>129600</v>
      </c>
      <c r="AA127" s="351">
        <f t="shared" si="32"/>
        <v>129600</v>
      </c>
      <c r="AB127" s="351">
        <f t="shared" ref="AB127:AG158" si="37">($J127+$K127+$L127+$M127)*$X127</f>
        <v>162000</v>
      </c>
      <c r="AC127" s="351">
        <f t="shared" si="37"/>
        <v>162000</v>
      </c>
      <c r="AD127" s="351">
        <f t="shared" si="37"/>
        <v>162000</v>
      </c>
      <c r="AE127" s="351">
        <f t="shared" si="37"/>
        <v>162000</v>
      </c>
      <c r="AF127" s="351">
        <f t="shared" si="37"/>
        <v>162000</v>
      </c>
      <c r="AG127" s="351">
        <f t="shared" si="37"/>
        <v>162000</v>
      </c>
      <c r="AH127" s="351">
        <f t="shared" si="33"/>
        <v>129600</v>
      </c>
      <c r="AI127" s="351">
        <f t="shared" si="33"/>
        <v>129600</v>
      </c>
      <c r="AJ127" s="351">
        <f t="shared" si="33"/>
        <v>129600</v>
      </c>
      <c r="AK127" s="351">
        <f t="shared" si="33"/>
        <v>129600</v>
      </c>
    </row>
    <row r="128" spans="2:37" ht="39.6">
      <c r="B128" s="701"/>
      <c r="C128" s="700"/>
      <c r="D128" s="352" t="s">
        <v>625</v>
      </c>
      <c r="E128" s="353">
        <v>2</v>
      </c>
      <c r="F128" s="364">
        <v>25000</v>
      </c>
      <c r="G128" s="355"/>
      <c r="H128" s="365">
        <v>29000</v>
      </c>
      <c r="I128" s="355"/>
      <c r="J128" s="356">
        <f t="shared" si="22"/>
        <v>50000</v>
      </c>
      <c r="K128" s="346">
        <f t="shared" si="34"/>
        <v>0</v>
      </c>
      <c r="L128" s="346">
        <f t="shared" si="25"/>
        <v>58000</v>
      </c>
      <c r="M128" s="346">
        <f t="shared" si="26"/>
        <v>0</v>
      </c>
      <c r="N128" s="348">
        <f t="shared" si="35"/>
        <v>350000</v>
      </c>
      <c r="O128" s="348">
        <f t="shared" si="36"/>
        <v>0</v>
      </c>
      <c r="P128" s="348">
        <f t="shared" si="23"/>
        <v>406000</v>
      </c>
      <c r="Q128" s="348">
        <f t="shared" si="24"/>
        <v>0</v>
      </c>
      <c r="R128" s="348">
        <f t="shared" si="27"/>
        <v>58212000</v>
      </c>
      <c r="S128" s="348">
        <f t="shared" si="27"/>
        <v>0</v>
      </c>
      <c r="T128" s="348">
        <f t="shared" si="28"/>
        <v>21168000</v>
      </c>
      <c r="U128" s="348">
        <f t="shared" si="29"/>
        <v>0</v>
      </c>
      <c r="V128" s="349" t="s">
        <v>612</v>
      </c>
      <c r="W128" s="361" t="s">
        <v>637</v>
      </c>
      <c r="X128" s="334">
        <v>1</v>
      </c>
      <c r="Y128" s="334">
        <v>0.8</v>
      </c>
      <c r="Z128" s="351">
        <f t="shared" si="32"/>
        <v>86400</v>
      </c>
      <c r="AA128" s="351">
        <f t="shared" si="32"/>
        <v>86400</v>
      </c>
      <c r="AB128" s="351">
        <f t="shared" si="37"/>
        <v>108000</v>
      </c>
      <c r="AC128" s="351">
        <f t="shared" si="37"/>
        <v>108000</v>
      </c>
      <c r="AD128" s="351">
        <f t="shared" si="37"/>
        <v>108000</v>
      </c>
      <c r="AE128" s="351"/>
      <c r="AF128" s="351"/>
      <c r="AG128" s="351"/>
      <c r="AH128" s="351">
        <f t="shared" si="33"/>
        <v>86400</v>
      </c>
      <c r="AI128" s="351">
        <f t="shared" si="33"/>
        <v>86400</v>
      </c>
      <c r="AJ128" s="351">
        <f t="shared" si="33"/>
        <v>86400</v>
      </c>
      <c r="AK128" s="351">
        <f t="shared" si="33"/>
        <v>86400</v>
      </c>
    </row>
    <row r="129" spans="2:37" ht="16.05" customHeight="1">
      <c r="B129" s="701"/>
      <c r="C129" s="700"/>
      <c r="D129" s="352" t="s">
        <v>626</v>
      </c>
      <c r="E129" s="353">
        <v>36</v>
      </c>
      <c r="F129" s="364">
        <v>25000</v>
      </c>
      <c r="G129" s="355"/>
      <c r="H129" s="365">
        <v>29000</v>
      </c>
      <c r="I129" s="355"/>
      <c r="J129" s="356">
        <f t="shared" si="22"/>
        <v>900000</v>
      </c>
      <c r="K129" s="346">
        <f t="shared" si="34"/>
        <v>0</v>
      </c>
      <c r="L129" s="346">
        <f t="shared" si="25"/>
        <v>1044000</v>
      </c>
      <c r="M129" s="346">
        <f t="shared" si="26"/>
        <v>0</v>
      </c>
      <c r="N129" s="348">
        <f t="shared" si="35"/>
        <v>6300000</v>
      </c>
      <c r="O129" s="348">
        <f t="shared" si="36"/>
        <v>0</v>
      </c>
      <c r="P129" s="348">
        <f t="shared" si="23"/>
        <v>7308000</v>
      </c>
      <c r="Q129" s="348">
        <f t="shared" si="24"/>
        <v>0</v>
      </c>
      <c r="R129" s="348">
        <f t="shared" si="27"/>
        <v>1047816000</v>
      </c>
      <c r="S129" s="348">
        <f t="shared" si="27"/>
        <v>0</v>
      </c>
      <c r="T129" s="348">
        <f t="shared" si="28"/>
        <v>381024000</v>
      </c>
      <c r="U129" s="348">
        <f t="shared" si="29"/>
        <v>0</v>
      </c>
      <c r="V129" s="349" t="s">
        <v>612</v>
      </c>
      <c r="W129" s="362" t="s">
        <v>634</v>
      </c>
      <c r="X129" s="334">
        <v>1</v>
      </c>
      <c r="Y129" s="334">
        <v>0.8</v>
      </c>
      <c r="Z129" s="351">
        <f t="shared" si="32"/>
        <v>1555200</v>
      </c>
      <c r="AA129" s="351">
        <f t="shared" si="32"/>
        <v>1555200</v>
      </c>
      <c r="AB129" s="351">
        <f t="shared" si="37"/>
        <v>1944000</v>
      </c>
      <c r="AC129" s="351">
        <f t="shared" si="37"/>
        <v>1944000</v>
      </c>
      <c r="AD129" s="351">
        <f t="shared" si="37"/>
        <v>1944000</v>
      </c>
      <c r="AE129" s="351">
        <f t="shared" si="37"/>
        <v>1944000</v>
      </c>
      <c r="AF129" s="351">
        <f t="shared" si="37"/>
        <v>1944000</v>
      </c>
      <c r="AG129" s="351">
        <f t="shared" si="37"/>
        <v>1944000</v>
      </c>
      <c r="AH129" s="351">
        <f t="shared" si="33"/>
        <v>1555200</v>
      </c>
      <c r="AI129" s="351">
        <f t="shared" si="33"/>
        <v>1555200</v>
      </c>
      <c r="AJ129" s="351">
        <f t="shared" si="33"/>
        <v>1555200</v>
      </c>
      <c r="AK129" s="351">
        <f t="shared" si="33"/>
        <v>1555200</v>
      </c>
    </row>
    <row r="130" spans="2:37" ht="16.05" customHeight="1">
      <c r="B130" s="701"/>
      <c r="C130" s="700" t="s">
        <v>648</v>
      </c>
      <c r="D130" s="352" t="s">
        <v>583</v>
      </c>
      <c r="E130" s="353">
        <v>10</v>
      </c>
      <c r="F130" s="364">
        <v>30000</v>
      </c>
      <c r="G130" s="355"/>
      <c r="H130" s="365">
        <v>34000</v>
      </c>
      <c r="I130" s="355"/>
      <c r="J130" s="356">
        <f t="shared" si="22"/>
        <v>300000</v>
      </c>
      <c r="K130" s="346">
        <f t="shared" si="34"/>
        <v>0</v>
      </c>
      <c r="L130" s="346">
        <f t="shared" si="25"/>
        <v>340000</v>
      </c>
      <c r="M130" s="346">
        <f t="shared" si="26"/>
        <v>0</v>
      </c>
      <c r="N130" s="348">
        <f t="shared" si="35"/>
        <v>2100000</v>
      </c>
      <c r="O130" s="348">
        <f t="shared" si="36"/>
        <v>0</v>
      </c>
      <c r="P130" s="348">
        <f t="shared" si="23"/>
        <v>2380000</v>
      </c>
      <c r="Q130" s="348">
        <f t="shared" si="24"/>
        <v>0</v>
      </c>
      <c r="R130" s="348">
        <f t="shared" si="27"/>
        <v>344960000</v>
      </c>
      <c r="S130" s="348">
        <f t="shared" si="27"/>
        <v>0</v>
      </c>
      <c r="T130" s="348">
        <f t="shared" si="28"/>
        <v>125440000</v>
      </c>
      <c r="U130" s="348">
        <f t="shared" si="29"/>
        <v>0</v>
      </c>
      <c r="V130" s="349" t="s">
        <v>612</v>
      </c>
      <c r="W130" s="362" t="s">
        <v>634</v>
      </c>
      <c r="X130" s="334">
        <v>1</v>
      </c>
      <c r="Y130" s="334">
        <v>0.8</v>
      </c>
      <c r="Z130" s="351">
        <f t="shared" si="32"/>
        <v>512000</v>
      </c>
      <c r="AA130" s="351">
        <f t="shared" si="32"/>
        <v>512000</v>
      </c>
      <c r="AB130" s="351">
        <f t="shared" si="37"/>
        <v>640000</v>
      </c>
      <c r="AC130" s="351">
        <f t="shared" si="37"/>
        <v>640000</v>
      </c>
      <c r="AD130" s="351">
        <f t="shared" si="37"/>
        <v>640000</v>
      </c>
      <c r="AE130" s="351">
        <f t="shared" si="37"/>
        <v>640000</v>
      </c>
      <c r="AF130" s="351">
        <f t="shared" si="37"/>
        <v>640000</v>
      </c>
      <c r="AG130" s="351">
        <f t="shared" si="37"/>
        <v>640000</v>
      </c>
      <c r="AH130" s="351">
        <f t="shared" si="33"/>
        <v>512000</v>
      </c>
      <c r="AI130" s="351">
        <f t="shared" si="33"/>
        <v>512000</v>
      </c>
      <c r="AJ130" s="351">
        <f t="shared" si="33"/>
        <v>512000</v>
      </c>
      <c r="AK130" s="351">
        <f t="shared" si="33"/>
        <v>512000</v>
      </c>
    </row>
    <row r="131" spans="2:37" ht="16.05" customHeight="1">
      <c r="B131" s="701"/>
      <c r="C131" s="700"/>
      <c r="D131" s="352" t="s">
        <v>614</v>
      </c>
      <c r="E131" s="353">
        <v>3</v>
      </c>
      <c r="F131" s="364">
        <v>30000</v>
      </c>
      <c r="G131" s="355"/>
      <c r="H131" s="365">
        <v>34000</v>
      </c>
      <c r="I131" s="355"/>
      <c r="J131" s="356">
        <f t="shared" si="22"/>
        <v>90000</v>
      </c>
      <c r="K131" s="346">
        <f t="shared" si="34"/>
        <v>0</v>
      </c>
      <c r="L131" s="346">
        <f t="shared" si="25"/>
        <v>102000</v>
      </c>
      <c r="M131" s="346">
        <f t="shared" si="26"/>
        <v>0</v>
      </c>
      <c r="N131" s="348">
        <f t="shared" si="35"/>
        <v>630000</v>
      </c>
      <c r="O131" s="348">
        <f t="shared" si="36"/>
        <v>0</v>
      </c>
      <c r="P131" s="348">
        <f t="shared" si="23"/>
        <v>714000</v>
      </c>
      <c r="Q131" s="348">
        <f t="shared" si="24"/>
        <v>0</v>
      </c>
      <c r="R131" s="348">
        <f t="shared" si="27"/>
        <v>103488000</v>
      </c>
      <c r="S131" s="348">
        <f t="shared" si="27"/>
        <v>0</v>
      </c>
      <c r="T131" s="348">
        <f t="shared" si="28"/>
        <v>37632000</v>
      </c>
      <c r="U131" s="348">
        <f t="shared" si="29"/>
        <v>0</v>
      </c>
      <c r="V131" s="349" t="s">
        <v>612</v>
      </c>
      <c r="W131" s="362" t="s">
        <v>634</v>
      </c>
      <c r="X131" s="334">
        <v>1</v>
      </c>
      <c r="Y131" s="334">
        <v>0.8</v>
      </c>
      <c r="Z131" s="351">
        <f t="shared" si="32"/>
        <v>153600</v>
      </c>
      <c r="AA131" s="351">
        <f t="shared" si="32"/>
        <v>153600</v>
      </c>
      <c r="AB131" s="351">
        <f t="shared" si="37"/>
        <v>192000</v>
      </c>
      <c r="AC131" s="351">
        <f t="shared" si="37"/>
        <v>192000</v>
      </c>
      <c r="AD131" s="351">
        <f t="shared" si="37"/>
        <v>192000</v>
      </c>
      <c r="AE131" s="351">
        <f t="shared" si="37"/>
        <v>192000</v>
      </c>
      <c r="AF131" s="351">
        <f t="shared" si="37"/>
        <v>192000</v>
      </c>
      <c r="AG131" s="351">
        <f t="shared" si="37"/>
        <v>192000</v>
      </c>
      <c r="AH131" s="351">
        <f t="shared" si="33"/>
        <v>153600</v>
      </c>
      <c r="AI131" s="351">
        <f t="shared" si="33"/>
        <v>153600</v>
      </c>
      <c r="AJ131" s="351">
        <f t="shared" si="33"/>
        <v>153600</v>
      </c>
      <c r="AK131" s="351">
        <f t="shared" si="33"/>
        <v>153600</v>
      </c>
    </row>
    <row r="132" spans="2:37" ht="16.05" customHeight="1">
      <c r="B132" s="701"/>
      <c r="C132" s="700"/>
      <c r="D132" s="352" t="s">
        <v>615</v>
      </c>
      <c r="E132" s="353">
        <v>2</v>
      </c>
      <c r="F132" s="364">
        <v>30000</v>
      </c>
      <c r="G132" s="355"/>
      <c r="H132" s="365">
        <v>34000</v>
      </c>
      <c r="I132" s="355"/>
      <c r="J132" s="356">
        <f t="shared" si="22"/>
        <v>60000</v>
      </c>
      <c r="K132" s="346">
        <f t="shared" si="34"/>
        <v>0</v>
      </c>
      <c r="L132" s="346">
        <f t="shared" si="25"/>
        <v>68000</v>
      </c>
      <c r="M132" s="346">
        <f t="shared" si="26"/>
        <v>0</v>
      </c>
      <c r="N132" s="348">
        <f t="shared" si="35"/>
        <v>420000</v>
      </c>
      <c r="O132" s="348">
        <f t="shared" si="36"/>
        <v>0</v>
      </c>
      <c r="P132" s="348">
        <f t="shared" si="23"/>
        <v>476000</v>
      </c>
      <c r="Q132" s="348">
        <f t="shared" si="24"/>
        <v>0</v>
      </c>
      <c r="R132" s="348">
        <f t="shared" si="27"/>
        <v>68992000</v>
      </c>
      <c r="S132" s="348">
        <f t="shared" si="27"/>
        <v>0</v>
      </c>
      <c r="T132" s="348">
        <f t="shared" si="28"/>
        <v>25088000</v>
      </c>
      <c r="U132" s="348">
        <f t="shared" si="29"/>
        <v>0</v>
      </c>
      <c r="V132" s="349" t="s">
        <v>612</v>
      </c>
      <c r="W132" s="362" t="s">
        <v>634</v>
      </c>
      <c r="X132" s="334">
        <v>1</v>
      </c>
      <c r="Y132" s="334">
        <v>0.8</v>
      </c>
      <c r="Z132" s="351">
        <f t="shared" si="32"/>
        <v>102400</v>
      </c>
      <c r="AA132" s="351">
        <f t="shared" si="32"/>
        <v>102400</v>
      </c>
      <c r="AB132" s="351">
        <f t="shared" si="37"/>
        <v>128000</v>
      </c>
      <c r="AC132" s="351">
        <f t="shared" si="37"/>
        <v>128000</v>
      </c>
      <c r="AD132" s="351">
        <f t="shared" si="37"/>
        <v>128000</v>
      </c>
      <c r="AE132" s="351">
        <f t="shared" si="37"/>
        <v>128000</v>
      </c>
      <c r="AF132" s="351">
        <f t="shared" si="37"/>
        <v>128000</v>
      </c>
      <c r="AG132" s="351">
        <f t="shared" si="37"/>
        <v>128000</v>
      </c>
      <c r="AH132" s="351">
        <f t="shared" si="33"/>
        <v>102400</v>
      </c>
      <c r="AI132" s="351">
        <f t="shared" si="33"/>
        <v>102400</v>
      </c>
      <c r="AJ132" s="351">
        <f t="shared" si="33"/>
        <v>102400</v>
      </c>
      <c r="AK132" s="351">
        <f t="shared" si="33"/>
        <v>102400</v>
      </c>
    </row>
    <row r="133" spans="2:37" ht="16.05" customHeight="1">
      <c r="B133" s="701"/>
      <c r="C133" s="700"/>
      <c r="D133" s="352" t="s">
        <v>616</v>
      </c>
      <c r="E133" s="353">
        <v>16</v>
      </c>
      <c r="F133" s="364">
        <v>30000</v>
      </c>
      <c r="G133" s="355"/>
      <c r="H133" s="365">
        <v>34000</v>
      </c>
      <c r="I133" s="355"/>
      <c r="J133" s="356">
        <f t="shared" si="22"/>
        <v>480000</v>
      </c>
      <c r="K133" s="346">
        <f t="shared" si="34"/>
        <v>0</v>
      </c>
      <c r="L133" s="346">
        <f t="shared" si="25"/>
        <v>544000</v>
      </c>
      <c r="M133" s="346">
        <f t="shared" si="26"/>
        <v>0</v>
      </c>
      <c r="N133" s="348">
        <f t="shared" si="35"/>
        <v>3360000</v>
      </c>
      <c r="O133" s="348">
        <f t="shared" si="36"/>
        <v>0</v>
      </c>
      <c r="P133" s="348">
        <f t="shared" si="23"/>
        <v>3808000</v>
      </c>
      <c r="Q133" s="348">
        <f t="shared" si="24"/>
        <v>0</v>
      </c>
      <c r="R133" s="348">
        <f t="shared" si="27"/>
        <v>551936000</v>
      </c>
      <c r="S133" s="348">
        <f t="shared" si="27"/>
        <v>0</v>
      </c>
      <c r="T133" s="348">
        <f t="shared" si="28"/>
        <v>200704000</v>
      </c>
      <c r="U133" s="348">
        <f t="shared" si="29"/>
        <v>0</v>
      </c>
      <c r="V133" s="349" t="s">
        <v>612</v>
      </c>
      <c r="W133" s="362" t="s">
        <v>634</v>
      </c>
      <c r="X133" s="334">
        <v>1</v>
      </c>
      <c r="Y133" s="334">
        <v>0.8</v>
      </c>
      <c r="Z133" s="351">
        <f t="shared" si="32"/>
        <v>819200</v>
      </c>
      <c r="AA133" s="351">
        <f t="shared" si="32"/>
        <v>819200</v>
      </c>
      <c r="AB133" s="351">
        <f t="shared" si="37"/>
        <v>1024000</v>
      </c>
      <c r="AC133" s="351">
        <f t="shared" si="37"/>
        <v>1024000</v>
      </c>
      <c r="AD133" s="351">
        <f t="shared" si="37"/>
        <v>1024000</v>
      </c>
      <c r="AE133" s="351">
        <f t="shared" si="37"/>
        <v>1024000</v>
      </c>
      <c r="AF133" s="351">
        <f t="shared" si="37"/>
        <v>1024000</v>
      </c>
      <c r="AG133" s="351">
        <f t="shared" si="37"/>
        <v>1024000</v>
      </c>
      <c r="AH133" s="351">
        <f t="shared" si="33"/>
        <v>819200</v>
      </c>
      <c r="AI133" s="351">
        <f t="shared" si="33"/>
        <v>819200</v>
      </c>
      <c r="AJ133" s="351">
        <f t="shared" si="33"/>
        <v>819200</v>
      </c>
      <c r="AK133" s="351">
        <f t="shared" si="33"/>
        <v>819200</v>
      </c>
    </row>
    <row r="134" spans="2:37" ht="16.05" customHeight="1">
      <c r="B134" s="701"/>
      <c r="C134" s="700"/>
      <c r="D134" s="352" t="s">
        <v>617</v>
      </c>
      <c r="E134" s="353">
        <v>17</v>
      </c>
      <c r="F134" s="364">
        <v>30000</v>
      </c>
      <c r="G134" s="355"/>
      <c r="H134" s="365">
        <v>34000</v>
      </c>
      <c r="I134" s="355"/>
      <c r="J134" s="356">
        <f t="shared" si="22"/>
        <v>510000</v>
      </c>
      <c r="K134" s="346">
        <f t="shared" si="34"/>
        <v>0</v>
      </c>
      <c r="L134" s="346">
        <f t="shared" si="25"/>
        <v>578000</v>
      </c>
      <c r="M134" s="346">
        <f t="shared" si="26"/>
        <v>0</v>
      </c>
      <c r="N134" s="348">
        <f t="shared" si="35"/>
        <v>3570000</v>
      </c>
      <c r="O134" s="348">
        <f t="shared" si="36"/>
        <v>0</v>
      </c>
      <c r="P134" s="348">
        <f t="shared" si="23"/>
        <v>4046000</v>
      </c>
      <c r="Q134" s="348">
        <f t="shared" si="24"/>
        <v>0</v>
      </c>
      <c r="R134" s="348">
        <f t="shared" si="27"/>
        <v>586432000</v>
      </c>
      <c r="S134" s="348">
        <f t="shared" si="27"/>
        <v>0</v>
      </c>
      <c r="T134" s="348">
        <f t="shared" si="28"/>
        <v>213248000</v>
      </c>
      <c r="U134" s="348">
        <f t="shared" si="29"/>
        <v>0</v>
      </c>
      <c r="V134" s="349" t="s">
        <v>612</v>
      </c>
      <c r="W134" s="362" t="s">
        <v>634</v>
      </c>
      <c r="X134" s="334">
        <v>1</v>
      </c>
      <c r="Y134" s="334">
        <v>0.8</v>
      </c>
      <c r="Z134" s="351">
        <f t="shared" si="32"/>
        <v>870400</v>
      </c>
      <c r="AA134" s="351">
        <f t="shared" si="32"/>
        <v>870400</v>
      </c>
      <c r="AB134" s="351">
        <f t="shared" si="37"/>
        <v>1088000</v>
      </c>
      <c r="AC134" s="351">
        <f t="shared" si="37"/>
        <v>1088000</v>
      </c>
      <c r="AD134" s="351">
        <f t="shared" si="37"/>
        <v>1088000</v>
      </c>
      <c r="AE134" s="351">
        <f t="shared" si="37"/>
        <v>1088000</v>
      </c>
      <c r="AF134" s="351">
        <f t="shared" si="37"/>
        <v>1088000</v>
      </c>
      <c r="AG134" s="351">
        <f t="shared" si="37"/>
        <v>1088000</v>
      </c>
      <c r="AH134" s="351">
        <f t="shared" si="33"/>
        <v>870400</v>
      </c>
      <c r="AI134" s="351">
        <f t="shared" si="33"/>
        <v>870400</v>
      </c>
      <c r="AJ134" s="351">
        <f t="shared" si="33"/>
        <v>870400</v>
      </c>
      <c r="AK134" s="351">
        <f t="shared" si="33"/>
        <v>870400</v>
      </c>
    </row>
    <row r="135" spans="2:37" ht="37.950000000000003" customHeight="1">
      <c r="B135" s="701"/>
      <c r="C135" s="700"/>
      <c r="D135" s="352" t="s">
        <v>618</v>
      </c>
      <c r="E135" s="353">
        <v>17</v>
      </c>
      <c r="F135" s="364">
        <v>30000</v>
      </c>
      <c r="G135" s="355"/>
      <c r="H135" s="365">
        <v>34000</v>
      </c>
      <c r="I135" s="355"/>
      <c r="J135" s="356">
        <f t="shared" si="22"/>
        <v>510000</v>
      </c>
      <c r="K135" s="346">
        <f t="shared" si="34"/>
        <v>0</v>
      </c>
      <c r="L135" s="346">
        <f t="shared" si="25"/>
        <v>578000</v>
      </c>
      <c r="M135" s="346">
        <f t="shared" si="26"/>
        <v>0</v>
      </c>
      <c r="N135" s="348">
        <f t="shared" si="35"/>
        <v>3570000</v>
      </c>
      <c r="O135" s="348">
        <f t="shared" si="36"/>
        <v>0</v>
      </c>
      <c r="P135" s="348">
        <f t="shared" si="23"/>
        <v>4046000</v>
      </c>
      <c r="Q135" s="348">
        <f t="shared" si="24"/>
        <v>0</v>
      </c>
      <c r="R135" s="348">
        <f t="shared" si="27"/>
        <v>586432000</v>
      </c>
      <c r="S135" s="348">
        <f t="shared" si="27"/>
        <v>0</v>
      </c>
      <c r="T135" s="348">
        <f t="shared" si="28"/>
        <v>213248000</v>
      </c>
      <c r="U135" s="348">
        <f t="shared" si="29"/>
        <v>0</v>
      </c>
      <c r="V135" s="349" t="s">
        <v>612</v>
      </c>
      <c r="W135" s="361" t="s">
        <v>631</v>
      </c>
      <c r="X135" s="334">
        <v>1</v>
      </c>
      <c r="Y135" s="334">
        <v>0.8</v>
      </c>
      <c r="Z135" s="351"/>
      <c r="AA135" s="351">
        <f t="shared" ref="Z135:AA166" si="38">($J135+$K135+$L135+$M135)*$Y135</f>
        <v>870400</v>
      </c>
      <c r="AB135" s="351">
        <f t="shared" si="37"/>
        <v>1088000</v>
      </c>
      <c r="AC135" s="351">
        <f t="shared" si="37"/>
        <v>1088000</v>
      </c>
      <c r="AD135" s="351">
        <f t="shared" si="37"/>
        <v>1088000</v>
      </c>
      <c r="AE135" s="351">
        <f t="shared" si="37"/>
        <v>1088000</v>
      </c>
      <c r="AF135" s="351">
        <f t="shared" si="37"/>
        <v>1088000</v>
      </c>
      <c r="AG135" s="351">
        <f t="shared" si="37"/>
        <v>1088000</v>
      </c>
      <c r="AH135" s="351">
        <f t="shared" ref="AH135:AK166" si="39">($J135+$K135+$L135+$M135)*$Y135</f>
        <v>870400</v>
      </c>
      <c r="AI135" s="351">
        <f t="shared" si="39"/>
        <v>870400</v>
      </c>
      <c r="AJ135" s="351"/>
      <c r="AK135" s="351"/>
    </row>
    <row r="136" spans="2:37" ht="16.05" customHeight="1">
      <c r="B136" s="701"/>
      <c r="C136" s="700"/>
      <c r="D136" s="352" t="s">
        <v>619</v>
      </c>
      <c r="E136" s="353">
        <v>16</v>
      </c>
      <c r="F136" s="364">
        <v>30000</v>
      </c>
      <c r="G136" s="355"/>
      <c r="H136" s="365">
        <v>34000</v>
      </c>
      <c r="I136" s="355"/>
      <c r="J136" s="356">
        <f t="shared" si="22"/>
        <v>480000</v>
      </c>
      <c r="K136" s="346">
        <f t="shared" si="34"/>
        <v>0</v>
      </c>
      <c r="L136" s="346">
        <f t="shared" si="25"/>
        <v>544000</v>
      </c>
      <c r="M136" s="346">
        <f t="shared" si="26"/>
        <v>0</v>
      </c>
      <c r="N136" s="348">
        <f t="shared" si="35"/>
        <v>3360000</v>
      </c>
      <c r="O136" s="348">
        <f t="shared" si="36"/>
        <v>0</v>
      </c>
      <c r="P136" s="348">
        <f t="shared" si="23"/>
        <v>3808000</v>
      </c>
      <c r="Q136" s="348">
        <f t="shared" si="24"/>
        <v>0</v>
      </c>
      <c r="R136" s="348">
        <f t="shared" si="27"/>
        <v>551936000</v>
      </c>
      <c r="S136" s="348">
        <f t="shared" si="27"/>
        <v>0</v>
      </c>
      <c r="T136" s="348">
        <f t="shared" si="28"/>
        <v>200704000</v>
      </c>
      <c r="U136" s="348">
        <f t="shared" si="29"/>
        <v>0</v>
      </c>
      <c r="V136" s="349" t="s">
        <v>612</v>
      </c>
      <c r="W136" s="362" t="s">
        <v>634</v>
      </c>
      <c r="X136" s="334">
        <v>1</v>
      </c>
      <c r="Y136" s="334">
        <v>0.8</v>
      </c>
      <c r="Z136" s="351">
        <f t="shared" si="38"/>
        <v>819200</v>
      </c>
      <c r="AA136" s="351">
        <f t="shared" si="38"/>
        <v>819200</v>
      </c>
      <c r="AB136" s="351">
        <f t="shared" si="37"/>
        <v>1024000</v>
      </c>
      <c r="AC136" s="351">
        <f t="shared" si="37"/>
        <v>1024000</v>
      </c>
      <c r="AD136" s="351">
        <f t="shared" si="37"/>
        <v>1024000</v>
      </c>
      <c r="AE136" s="351">
        <f t="shared" si="37"/>
        <v>1024000</v>
      </c>
      <c r="AF136" s="351">
        <f t="shared" si="37"/>
        <v>1024000</v>
      </c>
      <c r="AG136" s="351">
        <f t="shared" si="37"/>
        <v>1024000</v>
      </c>
      <c r="AH136" s="351">
        <f t="shared" si="39"/>
        <v>819200</v>
      </c>
      <c r="AI136" s="351">
        <f t="shared" si="39"/>
        <v>819200</v>
      </c>
      <c r="AJ136" s="351">
        <f t="shared" si="39"/>
        <v>819200</v>
      </c>
      <c r="AK136" s="351">
        <f t="shared" si="39"/>
        <v>819200</v>
      </c>
    </row>
    <row r="137" spans="2:37" ht="16.05" customHeight="1">
      <c r="B137" s="701"/>
      <c r="C137" s="700"/>
      <c r="D137" s="352" t="s">
        <v>620</v>
      </c>
      <c r="E137" s="353">
        <v>19</v>
      </c>
      <c r="F137" s="364">
        <v>30000</v>
      </c>
      <c r="G137" s="355"/>
      <c r="H137" s="365">
        <v>34000</v>
      </c>
      <c r="I137" s="355"/>
      <c r="J137" s="356">
        <f t="shared" si="22"/>
        <v>570000</v>
      </c>
      <c r="K137" s="346">
        <f t="shared" si="34"/>
        <v>0</v>
      </c>
      <c r="L137" s="346">
        <f t="shared" si="25"/>
        <v>646000</v>
      </c>
      <c r="M137" s="346">
        <f t="shared" si="26"/>
        <v>0</v>
      </c>
      <c r="N137" s="348">
        <f t="shared" si="35"/>
        <v>3990000</v>
      </c>
      <c r="O137" s="348">
        <f t="shared" si="36"/>
        <v>0</v>
      </c>
      <c r="P137" s="348">
        <f t="shared" si="23"/>
        <v>4522000</v>
      </c>
      <c r="Q137" s="348">
        <f t="shared" si="24"/>
        <v>0</v>
      </c>
      <c r="R137" s="348">
        <f t="shared" si="27"/>
        <v>655424000</v>
      </c>
      <c r="S137" s="348">
        <f t="shared" si="27"/>
        <v>0</v>
      </c>
      <c r="T137" s="348">
        <f t="shared" si="28"/>
        <v>238336000</v>
      </c>
      <c r="U137" s="348">
        <f t="shared" si="29"/>
        <v>0</v>
      </c>
      <c r="V137" s="349" t="s">
        <v>612</v>
      </c>
      <c r="W137" s="362" t="s">
        <v>634</v>
      </c>
      <c r="X137" s="334">
        <v>1</v>
      </c>
      <c r="Y137" s="334">
        <v>0.8</v>
      </c>
      <c r="Z137" s="351">
        <f t="shared" si="38"/>
        <v>972800</v>
      </c>
      <c r="AA137" s="351">
        <f t="shared" si="38"/>
        <v>972800</v>
      </c>
      <c r="AB137" s="351">
        <f t="shared" si="37"/>
        <v>1216000</v>
      </c>
      <c r="AC137" s="351">
        <f t="shared" si="37"/>
        <v>1216000</v>
      </c>
      <c r="AD137" s="351">
        <f t="shared" si="37"/>
        <v>1216000</v>
      </c>
      <c r="AE137" s="351">
        <f t="shared" si="37"/>
        <v>1216000</v>
      </c>
      <c r="AF137" s="351">
        <f t="shared" si="37"/>
        <v>1216000</v>
      </c>
      <c r="AG137" s="351">
        <f t="shared" si="37"/>
        <v>1216000</v>
      </c>
      <c r="AH137" s="351">
        <f t="shared" si="39"/>
        <v>972800</v>
      </c>
      <c r="AI137" s="351">
        <f t="shared" si="39"/>
        <v>972800</v>
      </c>
      <c r="AJ137" s="351">
        <f t="shared" si="39"/>
        <v>972800</v>
      </c>
      <c r="AK137" s="351">
        <f t="shared" si="39"/>
        <v>972800</v>
      </c>
    </row>
    <row r="138" spans="2:37" ht="16.05" customHeight="1">
      <c r="B138" s="701"/>
      <c r="C138" s="700"/>
      <c r="D138" s="352" t="s">
        <v>621</v>
      </c>
      <c r="E138" s="353">
        <v>13</v>
      </c>
      <c r="F138" s="364">
        <v>30000</v>
      </c>
      <c r="G138" s="355"/>
      <c r="H138" s="365">
        <v>34000</v>
      </c>
      <c r="I138" s="355"/>
      <c r="J138" s="356">
        <f t="shared" si="22"/>
        <v>390000</v>
      </c>
      <c r="K138" s="346">
        <f t="shared" si="34"/>
        <v>0</v>
      </c>
      <c r="L138" s="346">
        <f t="shared" si="25"/>
        <v>442000</v>
      </c>
      <c r="M138" s="346">
        <f t="shared" si="26"/>
        <v>0</v>
      </c>
      <c r="N138" s="348">
        <f t="shared" si="35"/>
        <v>2730000</v>
      </c>
      <c r="O138" s="348">
        <f t="shared" si="36"/>
        <v>0</v>
      </c>
      <c r="P138" s="348">
        <f t="shared" si="23"/>
        <v>3094000</v>
      </c>
      <c r="Q138" s="348">
        <f t="shared" si="24"/>
        <v>0</v>
      </c>
      <c r="R138" s="348">
        <f t="shared" si="27"/>
        <v>448448000</v>
      </c>
      <c r="S138" s="348">
        <f t="shared" si="27"/>
        <v>0</v>
      </c>
      <c r="T138" s="348">
        <f t="shared" si="28"/>
        <v>163072000</v>
      </c>
      <c r="U138" s="348">
        <f t="shared" si="29"/>
        <v>0</v>
      </c>
      <c r="V138" s="349" t="s">
        <v>612</v>
      </c>
      <c r="W138" s="362" t="s">
        <v>634</v>
      </c>
      <c r="X138" s="334">
        <v>1</v>
      </c>
      <c r="Y138" s="334">
        <v>0.8</v>
      </c>
      <c r="Z138" s="351">
        <f t="shared" si="38"/>
        <v>665600</v>
      </c>
      <c r="AA138" s="351">
        <f t="shared" si="38"/>
        <v>665600</v>
      </c>
      <c r="AB138" s="351">
        <f t="shared" si="37"/>
        <v>832000</v>
      </c>
      <c r="AC138" s="351">
        <f t="shared" si="37"/>
        <v>832000</v>
      </c>
      <c r="AD138" s="351">
        <f t="shared" si="37"/>
        <v>832000</v>
      </c>
      <c r="AE138" s="351">
        <f t="shared" si="37"/>
        <v>832000</v>
      </c>
      <c r="AF138" s="351">
        <f t="shared" si="37"/>
        <v>832000</v>
      </c>
      <c r="AG138" s="351">
        <f t="shared" si="37"/>
        <v>832000</v>
      </c>
      <c r="AH138" s="351">
        <f t="shared" si="39"/>
        <v>665600</v>
      </c>
      <c r="AI138" s="351">
        <f t="shared" si="39"/>
        <v>665600</v>
      </c>
      <c r="AJ138" s="351">
        <f t="shared" si="39"/>
        <v>665600</v>
      </c>
      <c r="AK138" s="351">
        <f t="shared" si="39"/>
        <v>665600</v>
      </c>
    </row>
    <row r="139" spans="2:37" ht="16.05" customHeight="1">
      <c r="B139" s="701"/>
      <c r="C139" s="700"/>
      <c r="D139" s="352" t="s">
        <v>622</v>
      </c>
      <c r="E139" s="353">
        <v>11</v>
      </c>
      <c r="F139" s="364">
        <v>30000</v>
      </c>
      <c r="G139" s="355"/>
      <c r="H139" s="365">
        <v>34000</v>
      </c>
      <c r="I139" s="355"/>
      <c r="J139" s="356">
        <f t="shared" si="22"/>
        <v>330000</v>
      </c>
      <c r="K139" s="346">
        <f t="shared" si="34"/>
        <v>0</v>
      </c>
      <c r="L139" s="346">
        <f t="shared" si="25"/>
        <v>374000</v>
      </c>
      <c r="M139" s="346">
        <f t="shared" si="26"/>
        <v>0</v>
      </c>
      <c r="N139" s="348">
        <f t="shared" si="35"/>
        <v>2310000</v>
      </c>
      <c r="O139" s="348">
        <f t="shared" si="36"/>
        <v>0</v>
      </c>
      <c r="P139" s="348">
        <f t="shared" si="23"/>
        <v>2618000</v>
      </c>
      <c r="Q139" s="348">
        <f t="shared" si="24"/>
        <v>0</v>
      </c>
      <c r="R139" s="348">
        <f t="shared" si="27"/>
        <v>379456000</v>
      </c>
      <c r="S139" s="348">
        <f t="shared" si="27"/>
        <v>0</v>
      </c>
      <c r="T139" s="348">
        <f t="shared" si="28"/>
        <v>137984000</v>
      </c>
      <c r="U139" s="348">
        <f t="shared" si="29"/>
        <v>0</v>
      </c>
      <c r="V139" s="349" t="s">
        <v>612</v>
      </c>
      <c r="W139" s="362" t="s">
        <v>634</v>
      </c>
      <c r="X139" s="334">
        <v>1</v>
      </c>
      <c r="Y139" s="334">
        <v>0.8</v>
      </c>
      <c r="Z139" s="351">
        <f t="shared" si="38"/>
        <v>563200</v>
      </c>
      <c r="AA139" s="351">
        <f t="shared" si="38"/>
        <v>563200</v>
      </c>
      <c r="AB139" s="351">
        <f t="shared" si="37"/>
        <v>704000</v>
      </c>
      <c r="AC139" s="351">
        <f t="shared" si="37"/>
        <v>704000</v>
      </c>
      <c r="AD139" s="351">
        <f t="shared" si="37"/>
        <v>704000</v>
      </c>
      <c r="AE139" s="351">
        <f t="shared" si="37"/>
        <v>704000</v>
      </c>
      <c r="AF139" s="351">
        <f t="shared" si="37"/>
        <v>704000</v>
      </c>
      <c r="AG139" s="351">
        <f t="shared" si="37"/>
        <v>704000</v>
      </c>
      <c r="AH139" s="351">
        <f t="shared" si="39"/>
        <v>563200</v>
      </c>
      <c r="AI139" s="351">
        <f t="shared" si="39"/>
        <v>563200</v>
      </c>
      <c r="AJ139" s="351">
        <f t="shared" si="39"/>
        <v>563200</v>
      </c>
      <c r="AK139" s="351">
        <f t="shared" si="39"/>
        <v>563200</v>
      </c>
    </row>
    <row r="140" spans="2:37" ht="37.950000000000003" customHeight="1">
      <c r="B140" s="701"/>
      <c r="C140" s="700"/>
      <c r="D140" s="352" t="s">
        <v>623</v>
      </c>
      <c r="E140" s="353">
        <v>42</v>
      </c>
      <c r="F140" s="364">
        <v>30000</v>
      </c>
      <c r="G140" s="355"/>
      <c r="H140" s="365">
        <v>34000</v>
      </c>
      <c r="I140" s="355"/>
      <c r="J140" s="356">
        <f t="shared" si="22"/>
        <v>1260000</v>
      </c>
      <c r="K140" s="346">
        <f t="shared" si="34"/>
        <v>0</v>
      </c>
      <c r="L140" s="346">
        <f t="shared" si="25"/>
        <v>1428000</v>
      </c>
      <c r="M140" s="346">
        <f t="shared" si="26"/>
        <v>0</v>
      </c>
      <c r="N140" s="348">
        <f t="shared" si="35"/>
        <v>8820000</v>
      </c>
      <c r="O140" s="348">
        <f t="shared" si="36"/>
        <v>0</v>
      </c>
      <c r="P140" s="348">
        <f t="shared" si="23"/>
        <v>9996000</v>
      </c>
      <c r="Q140" s="348">
        <f t="shared" si="24"/>
        <v>0</v>
      </c>
      <c r="R140" s="348">
        <f t="shared" si="27"/>
        <v>1448832000</v>
      </c>
      <c r="S140" s="348">
        <f t="shared" si="27"/>
        <v>0</v>
      </c>
      <c r="T140" s="348">
        <f t="shared" si="28"/>
        <v>526848000</v>
      </c>
      <c r="U140" s="348">
        <f t="shared" si="29"/>
        <v>0</v>
      </c>
      <c r="V140" s="349" t="s">
        <v>612</v>
      </c>
      <c r="W140" s="361" t="s">
        <v>633</v>
      </c>
      <c r="X140" s="334">
        <v>1</v>
      </c>
      <c r="Y140" s="334">
        <v>0.8</v>
      </c>
      <c r="Z140" s="351"/>
      <c r="AA140" s="351"/>
      <c r="AB140" s="351">
        <f t="shared" si="37"/>
        <v>2688000</v>
      </c>
      <c r="AC140" s="351">
        <f t="shared" si="37"/>
        <v>2688000</v>
      </c>
      <c r="AD140" s="351">
        <f t="shared" si="37"/>
        <v>2688000</v>
      </c>
      <c r="AE140" s="351">
        <f t="shared" si="37"/>
        <v>2688000</v>
      </c>
      <c r="AF140" s="351">
        <f t="shared" si="37"/>
        <v>2688000</v>
      </c>
      <c r="AG140" s="351">
        <f t="shared" si="37"/>
        <v>2688000</v>
      </c>
      <c r="AH140" s="351">
        <f t="shared" si="39"/>
        <v>2150400</v>
      </c>
      <c r="AI140" s="351">
        <f t="shared" si="39"/>
        <v>2150400</v>
      </c>
      <c r="AJ140" s="351">
        <f t="shared" si="39"/>
        <v>2150400</v>
      </c>
      <c r="AK140" s="351"/>
    </row>
    <row r="141" spans="2:37" ht="16.05" customHeight="1">
      <c r="B141" s="701"/>
      <c r="C141" s="700"/>
      <c r="D141" s="352" t="s">
        <v>624</v>
      </c>
      <c r="E141" s="353">
        <v>11</v>
      </c>
      <c r="F141" s="364">
        <v>30000</v>
      </c>
      <c r="G141" s="355"/>
      <c r="H141" s="365">
        <v>34000</v>
      </c>
      <c r="I141" s="355"/>
      <c r="J141" s="356">
        <f t="shared" si="22"/>
        <v>330000</v>
      </c>
      <c r="K141" s="346">
        <f t="shared" si="34"/>
        <v>0</v>
      </c>
      <c r="L141" s="346">
        <f t="shared" si="25"/>
        <v>374000</v>
      </c>
      <c r="M141" s="346">
        <f t="shared" si="26"/>
        <v>0</v>
      </c>
      <c r="N141" s="348">
        <f t="shared" si="35"/>
        <v>2310000</v>
      </c>
      <c r="O141" s="348">
        <f t="shared" si="36"/>
        <v>0</v>
      </c>
      <c r="P141" s="348">
        <f t="shared" si="23"/>
        <v>2618000</v>
      </c>
      <c r="Q141" s="348">
        <f t="shared" si="24"/>
        <v>0</v>
      </c>
      <c r="R141" s="348">
        <f t="shared" si="27"/>
        <v>379456000</v>
      </c>
      <c r="S141" s="348">
        <f t="shared" si="27"/>
        <v>0</v>
      </c>
      <c r="T141" s="348">
        <f t="shared" si="28"/>
        <v>137984000</v>
      </c>
      <c r="U141" s="348">
        <f t="shared" si="29"/>
        <v>0</v>
      </c>
      <c r="V141" s="349" t="s">
        <v>612</v>
      </c>
      <c r="W141" s="362" t="s">
        <v>634</v>
      </c>
      <c r="X141" s="334">
        <v>1</v>
      </c>
      <c r="Y141" s="334">
        <v>0.8</v>
      </c>
      <c r="Z141" s="351">
        <f t="shared" si="38"/>
        <v>563200</v>
      </c>
      <c r="AA141" s="351">
        <f t="shared" si="38"/>
        <v>563200</v>
      </c>
      <c r="AB141" s="351">
        <f t="shared" si="37"/>
        <v>704000</v>
      </c>
      <c r="AC141" s="351">
        <f t="shared" si="37"/>
        <v>704000</v>
      </c>
      <c r="AD141" s="351">
        <f t="shared" si="37"/>
        <v>704000</v>
      </c>
      <c r="AE141" s="351">
        <f t="shared" si="37"/>
        <v>704000</v>
      </c>
      <c r="AF141" s="351">
        <f t="shared" si="37"/>
        <v>704000</v>
      </c>
      <c r="AG141" s="351">
        <f t="shared" si="37"/>
        <v>704000</v>
      </c>
      <c r="AH141" s="351">
        <f t="shared" si="39"/>
        <v>563200</v>
      </c>
      <c r="AI141" s="351">
        <f t="shared" si="39"/>
        <v>563200</v>
      </c>
      <c r="AJ141" s="351">
        <f t="shared" si="39"/>
        <v>563200</v>
      </c>
      <c r="AK141" s="351">
        <f t="shared" si="39"/>
        <v>563200</v>
      </c>
    </row>
    <row r="142" spans="2:37" ht="37.950000000000003" customHeight="1">
      <c r="B142" s="701"/>
      <c r="C142" s="700"/>
      <c r="D142" s="352" t="s">
        <v>625</v>
      </c>
      <c r="E142" s="353">
        <v>20</v>
      </c>
      <c r="F142" s="364">
        <v>30000</v>
      </c>
      <c r="G142" s="355"/>
      <c r="H142" s="365">
        <v>34000</v>
      </c>
      <c r="I142" s="355"/>
      <c r="J142" s="356">
        <f t="shared" si="22"/>
        <v>600000</v>
      </c>
      <c r="K142" s="346">
        <f t="shared" si="34"/>
        <v>0</v>
      </c>
      <c r="L142" s="346">
        <f t="shared" si="25"/>
        <v>680000</v>
      </c>
      <c r="M142" s="346">
        <f t="shared" si="26"/>
        <v>0</v>
      </c>
      <c r="N142" s="348">
        <f t="shared" si="35"/>
        <v>4200000</v>
      </c>
      <c r="O142" s="348">
        <f t="shared" si="36"/>
        <v>0</v>
      </c>
      <c r="P142" s="348">
        <f t="shared" si="23"/>
        <v>4760000</v>
      </c>
      <c r="Q142" s="348">
        <f t="shared" si="24"/>
        <v>0</v>
      </c>
      <c r="R142" s="348">
        <f t="shared" si="27"/>
        <v>689920000</v>
      </c>
      <c r="S142" s="348">
        <f t="shared" si="27"/>
        <v>0</v>
      </c>
      <c r="T142" s="348">
        <f t="shared" si="28"/>
        <v>250880000</v>
      </c>
      <c r="U142" s="348">
        <f t="shared" si="29"/>
        <v>0</v>
      </c>
      <c r="V142" s="349" t="s">
        <v>612</v>
      </c>
      <c r="W142" s="361" t="s">
        <v>637</v>
      </c>
      <c r="X142" s="334">
        <v>1</v>
      </c>
      <c r="Y142" s="334">
        <v>0.8</v>
      </c>
      <c r="Z142" s="351">
        <f t="shared" si="38"/>
        <v>1024000</v>
      </c>
      <c r="AA142" s="351">
        <f t="shared" si="38"/>
        <v>1024000</v>
      </c>
      <c r="AB142" s="351">
        <f t="shared" si="37"/>
        <v>1280000</v>
      </c>
      <c r="AC142" s="351">
        <f t="shared" si="37"/>
        <v>1280000</v>
      </c>
      <c r="AD142" s="351">
        <f t="shared" si="37"/>
        <v>1280000</v>
      </c>
      <c r="AE142" s="351"/>
      <c r="AF142" s="351"/>
      <c r="AG142" s="351"/>
      <c r="AH142" s="351">
        <f t="shared" si="39"/>
        <v>1024000</v>
      </c>
      <c r="AI142" s="351">
        <f t="shared" si="39"/>
        <v>1024000</v>
      </c>
      <c r="AJ142" s="351">
        <f t="shared" si="39"/>
        <v>1024000</v>
      </c>
      <c r="AK142" s="351">
        <f t="shared" si="39"/>
        <v>1024000</v>
      </c>
    </row>
    <row r="143" spans="2:37" ht="16.05" customHeight="1">
      <c r="B143" s="701"/>
      <c r="C143" s="700"/>
      <c r="D143" s="352" t="s">
        <v>626</v>
      </c>
      <c r="E143" s="353">
        <v>65</v>
      </c>
      <c r="F143" s="364">
        <v>30000</v>
      </c>
      <c r="G143" s="355"/>
      <c r="H143" s="365">
        <v>34000</v>
      </c>
      <c r="I143" s="355"/>
      <c r="J143" s="356">
        <f t="shared" si="22"/>
        <v>1950000</v>
      </c>
      <c r="K143" s="346">
        <f t="shared" si="34"/>
        <v>0</v>
      </c>
      <c r="L143" s="346">
        <f t="shared" si="25"/>
        <v>2210000</v>
      </c>
      <c r="M143" s="346">
        <f t="shared" si="26"/>
        <v>0</v>
      </c>
      <c r="N143" s="348">
        <f t="shared" si="35"/>
        <v>13650000</v>
      </c>
      <c r="O143" s="348">
        <f t="shared" si="36"/>
        <v>0</v>
      </c>
      <c r="P143" s="348">
        <f t="shared" si="23"/>
        <v>15470000</v>
      </c>
      <c r="Q143" s="348">
        <f t="shared" si="24"/>
        <v>0</v>
      </c>
      <c r="R143" s="348">
        <f t="shared" si="27"/>
        <v>2242240000</v>
      </c>
      <c r="S143" s="348">
        <f t="shared" si="27"/>
        <v>0</v>
      </c>
      <c r="T143" s="348">
        <f t="shared" si="28"/>
        <v>815360000</v>
      </c>
      <c r="U143" s="348">
        <f t="shared" si="29"/>
        <v>0</v>
      </c>
      <c r="V143" s="349" t="s">
        <v>612</v>
      </c>
      <c r="W143" s="362" t="s">
        <v>634</v>
      </c>
      <c r="X143" s="334">
        <v>1</v>
      </c>
      <c r="Y143" s="334">
        <v>0.8</v>
      </c>
      <c r="Z143" s="351">
        <f t="shared" si="38"/>
        <v>3328000</v>
      </c>
      <c r="AA143" s="351">
        <f t="shared" si="38"/>
        <v>3328000</v>
      </c>
      <c r="AB143" s="351">
        <f t="shared" si="37"/>
        <v>4160000</v>
      </c>
      <c r="AC143" s="351">
        <f t="shared" si="37"/>
        <v>4160000</v>
      </c>
      <c r="AD143" s="351">
        <f t="shared" si="37"/>
        <v>4160000</v>
      </c>
      <c r="AE143" s="351">
        <f t="shared" si="37"/>
        <v>4160000</v>
      </c>
      <c r="AF143" s="351">
        <f t="shared" si="37"/>
        <v>4160000</v>
      </c>
      <c r="AG143" s="351">
        <f t="shared" si="37"/>
        <v>4160000</v>
      </c>
      <c r="AH143" s="351">
        <f t="shared" si="39"/>
        <v>3328000</v>
      </c>
      <c r="AI143" s="351">
        <f t="shared" si="39"/>
        <v>3328000</v>
      </c>
      <c r="AJ143" s="351">
        <f t="shared" si="39"/>
        <v>3328000</v>
      </c>
      <c r="AK143" s="351">
        <f t="shared" si="39"/>
        <v>3328000</v>
      </c>
    </row>
    <row r="144" spans="2:37" ht="16.05" customHeight="1">
      <c r="B144" s="701"/>
      <c r="C144" s="700"/>
      <c r="D144" s="352" t="s">
        <v>627</v>
      </c>
      <c r="E144" s="353">
        <v>2</v>
      </c>
      <c r="F144" s="364">
        <v>30000</v>
      </c>
      <c r="G144" s="355"/>
      <c r="H144" s="365">
        <v>34000</v>
      </c>
      <c r="I144" s="355"/>
      <c r="J144" s="356">
        <f t="shared" si="22"/>
        <v>60000</v>
      </c>
      <c r="K144" s="346">
        <f t="shared" si="34"/>
        <v>0</v>
      </c>
      <c r="L144" s="346">
        <f t="shared" si="25"/>
        <v>68000</v>
      </c>
      <c r="M144" s="346">
        <f t="shared" si="26"/>
        <v>0</v>
      </c>
      <c r="N144" s="348">
        <f t="shared" si="35"/>
        <v>420000</v>
      </c>
      <c r="O144" s="348">
        <f t="shared" si="36"/>
        <v>0</v>
      </c>
      <c r="P144" s="348">
        <f t="shared" si="23"/>
        <v>476000</v>
      </c>
      <c r="Q144" s="348">
        <f t="shared" si="24"/>
        <v>0</v>
      </c>
      <c r="R144" s="348">
        <f t="shared" si="27"/>
        <v>68992000</v>
      </c>
      <c r="S144" s="348">
        <f t="shared" si="27"/>
        <v>0</v>
      </c>
      <c r="T144" s="348">
        <f t="shared" si="28"/>
        <v>25088000</v>
      </c>
      <c r="U144" s="348">
        <f t="shared" si="29"/>
        <v>0</v>
      </c>
      <c r="V144" s="349" t="s">
        <v>612</v>
      </c>
      <c r="W144" s="362" t="s">
        <v>634</v>
      </c>
      <c r="X144" s="334">
        <v>1</v>
      </c>
      <c r="Y144" s="334">
        <v>0.8</v>
      </c>
      <c r="Z144" s="351">
        <f t="shared" si="38"/>
        <v>102400</v>
      </c>
      <c r="AA144" s="351">
        <f t="shared" si="38"/>
        <v>102400</v>
      </c>
      <c r="AB144" s="351">
        <f t="shared" si="37"/>
        <v>128000</v>
      </c>
      <c r="AC144" s="351">
        <f t="shared" si="37"/>
        <v>128000</v>
      </c>
      <c r="AD144" s="351">
        <f t="shared" si="37"/>
        <v>128000</v>
      </c>
      <c r="AE144" s="351">
        <f t="shared" si="37"/>
        <v>128000</v>
      </c>
      <c r="AF144" s="351">
        <f t="shared" si="37"/>
        <v>128000</v>
      </c>
      <c r="AG144" s="351">
        <f t="shared" si="37"/>
        <v>128000</v>
      </c>
      <c r="AH144" s="351">
        <f t="shared" si="39"/>
        <v>102400</v>
      </c>
      <c r="AI144" s="351">
        <f t="shared" si="39"/>
        <v>102400</v>
      </c>
      <c r="AJ144" s="351">
        <f t="shared" si="39"/>
        <v>102400</v>
      </c>
      <c r="AK144" s="351">
        <f t="shared" si="39"/>
        <v>102400</v>
      </c>
    </row>
    <row r="145" spans="2:37" ht="16.05" customHeight="1">
      <c r="B145" s="701"/>
      <c r="C145" s="700"/>
      <c r="D145" s="352" t="s">
        <v>628</v>
      </c>
      <c r="E145" s="353">
        <v>1</v>
      </c>
      <c r="F145" s="364">
        <v>30000</v>
      </c>
      <c r="G145" s="355"/>
      <c r="H145" s="365">
        <v>34000</v>
      </c>
      <c r="I145" s="355"/>
      <c r="J145" s="356">
        <f t="shared" si="22"/>
        <v>30000</v>
      </c>
      <c r="K145" s="346">
        <f t="shared" si="34"/>
        <v>0</v>
      </c>
      <c r="L145" s="346">
        <f t="shared" si="25"/>
        <v>34000</v>
      </c>
      <c r="M145" s="346">
        <f t="shared" si="26"/>
        <v>0</v>
      </c>
      <c r="N145" s="348">
        <f t="shared" si="35"/>
        <v>210000</v>
      </c>
      <c r="O145" s="348">
        <f t="shared" si="36"/>
        <v>0</v>
      </c>
      <c r="P145" s="348">
        <f t="shared" si="23"/>
        <v>238000</v>
      </c>
      <c r="Q145" s="348">
        <f t="shared" si="24"/>
        <v>0</v>
      </c>
      <c r="R145" s="348">
        <f t="shared" si="27"/>
        <v>34496000</v>
      </c>
      <c r="S145" s="348">
        <f t="shared" si="27"/>
        <v>0</v>
      </c>
      <c r="T145" s="348">
        <f t="shared" si="28"/>
        <v>12544000</v>
      </c>
      <c r="U145" s="348">
        <f t="shared" si="29"/>
        <v>0</v>
      </c>
      <c r="V145" s="349" t="s">
        <v>612</v>
      </c>
      <c r="W145" s="362" t="s">
        <v>634</v>
      </c>
      <c r="X145" s="334">
        <v>1</v>
      </c>
      <c r="Y145" s="334">
        <v>0.8</v>
      </c>
      <c r="Z145" s="351">
        <f t="shared" si="38"/>
        <v>51200</v>
      </c>
      <c r="AA145" s="351">
        <f t="shared" si="38"/>
        <v>51200</v>
      </c>
      <c r="AB145" s="351">
        <f t="shared" si="37"/>
        <v>64000</v>
      </c>
      <c r="AC145" s="351">
        <f t="shared" si="37"/>
        <v>64000</v>
      </c>
      <c r="AD145" s="351">
        <f t="shared" si="37"/>
        <v>64000</v>
      </c>
      <c r="AE145" s="351">
        <f t="shared" si="37"/>
        <v>64000</v>
      </c>
      <c r="AF145" s="351">
        <f t="shared" si="37"/>
        <v>64000</v>
      </c>
      <c r="AG145" s="351">
        <f t="shared" si="37"/>
        <v>64000</v>
      </c>
      <c r="AH145" s="351">
        <f t="shared" si="39"/>
        <v>51200</v>
      </c>
      <c r="AI145" s="351">
        <f t="shared" si="39"/>
        <v>51200</v>
      </c>
      <c r="AJ145" s="351">
        <f t="shared" si="39"/>
        <v>51200</v>
      </c>
      <c r="AK145" s="351">
        <f t="shared" si="39"/>
        <v>51200</v>
      </c>
    </row>
    <row r="146" spans="2:37" ht="16.05" customHeight="1">
      <c r="B146" s="701"/>
      <c r="C146" s="700" t="s">
        <v>649</v>
      </c>
      <c r="D146" s="352" t="s">
        <v>583</v>
      </c>
      <c r="E146" s="353">
        <v>1</v>
      </c>
      <c r="F146" s="354">
        <v>2000</v>
      </c>
      <c r="G146" s="355"/>
      <c r="H146" s="354">
        <v>2000</v>
      </c>
      <c r="I146" s="355"/>
      <c r="J146" s="356">
        <f t="shared" si="22"/>
        <v>2000</v>
      </c>
      <c r="K146" s="346">
        <f t="shared" si="34"/>
        <v>0</v>
      </c>
      <c r="L146" s="346">
        <f t="shared" si="25"/>
        <v>2000</v>
      </c>
      <c r="M146" s="346">
        <f t="shared" si="26"/>
        <v>0</v>
      </c>
      <c r="N146" s="348">
        <f t="shared" si="35"/>
        <v>14000</v>
      </c>
      <c r="O146" s="348">
        <f t="shared" si="36"/>
        <v>0</v>
      </c>
      <c r="P146" s="348">
        <f t="shared" si="23"/>
        <v>14000</v>
      </c>
      <c r="Q146" s="348">
        <f t="shared" si="24"/>
        <v>0</v>
      </c>
      <c r="R146" s="348">
        <f t="shared" si="27"/>
        <v>2156000</v>
      </c>
      <c r="S146" s="348">
        <f t="shared" si="27"/>
        <v>0</v>
      </c>
      <c r="T146" s="348">
        <f t="shared" si="28"/>
        <v>784000</v>
      </c>
      <c r="U146" s="348">
        <f t="shared" si="29"/>
        <v>0</v>
      </c>
      <c r="V146" s="349" t="s">
        <v>612</v>
      </c>
      <c r="W146" s="362" t="s">
        <v>634</v>
      </c>
      <c r="X146" s="334">
        <v>1</v>
      </c>
      <c r="Y146" s="334">
        <v>0.8</v>
      </c>
      <c r="Z146" s="351">
        <f t="shared" si="38"/>
        <v>3200</v>
      </c>
      <c r="AA146" s="351">
        <f t="shared" si="38"/>
        <v>3200</v>
      </c>
      <c r="AB146" s="351">
        <f t="shared" si="37"/>
        <v>4000</v>
      </c>
      <c r="AC146" s="351">
        <f t="shared" si="37"/>
        <v>4000</v>
      </c>
      <c r="AD146" s="351">
        <f t="shared" si="37"/>
        <v>4000</v>
      </c>
      <c r="AE146" s="351">
        <f t="shared" si="37"/>
        <v>4000</v>
      </c>
      <c r="AF146" s="351">
        <f t="shared" si="37"/>
        <v>4000</v>
      </c>
      <c r="AG146" s="351">
        <f t="shared" si="37"/>
        <v>4000</v>
      </c>
      <c r="AH146" s="351">
        <f t="shared" si="39"/>
        <v>3200</v>
      </c>
      <c r="AI146" s="351">
        <f t="shared" si="39"/>
        <v>3200</v>
      </c>
      <c r="AJ146" s="351">
        <f t="shared" si="39"/>
        <v>3200</v>
      </c>
      <c r="AK146" s="351">
        <f t="shared" si="39"/>
        <v>3200</v>
      </c>
    </row>
    <row r="147" spans="2:37" ht="16.05" customHeight="1">
      <c r="B147" s="701"/>
      <c r="C147" s="700"/>
      <c r="D147" s="352" t="s">
        <v>617</v>
      </c>
      <c r="E147" s="353">
        <v>2</v>
      </c>
      <c r="F147" s="354">
        <v>2000</v>
      </c>
      <c r="G147" s="355"/>
      <c r="H147" s="354">
        <v>2000</v>
      </c>
      <c r="I147" s="355"/>
      <c r="J147" s="356">
        <f t="shared" si="22"/>
        <v>4000</v>
      </c>
      <c r="K147" s="346">
        <f t="shared" si="34"/>
        <v>0</v>
      </c>
      <c r="L147" s="346">
        <f t="shared" si="25"/>
        <v>4000</v>
      </c>
      <c r="M147" s="346">
        <f t="shared" si="26"/>
        <v>0</v>
      </c>
      <c r="N147" s="348">
        <f t="shared" si="35"/>
        <v>28000</v>
      </c>
      <c r="O147" s="348">
        <f t="shared" si="36"/>
        <v>0</v>
      </c>
      <c r="P147" s="348">
        <f t="shared" si="23"/>
        <v>28000</v>
      </c>
      <c r="Q147" s="348">
        <f t="shared" si="24"/>
        <v>0</v>
      </c>
      <c r="R147" s="348">
        <f t="shared" si="27"/>
        <v>4312000</v>
      </c>
      <c r="S147" s="348">
        <f t="shared" si="27"/>
        <v>0</v>
      </c>
      <c r="T147" s="348">
        <f t="shared" si="28"/>
        <v>1568000</v>
      </c>
      <c r="U147" s="348">
        <f t="shared" si="29"/>
        <v>0</v>
      </c>
      <c r="V147" s="349" t="s">
        <v>612</v>
      </c>
      <c r="W147" s="362" t="s">
        <v>634</v>
      </c>
      <c r="X147" s="334">
        <v>1</v>
      </c>
      <c r="Y147" s="334">
        <v>0.8</v>
      </c>
      <c r="Z147" s="351">
        <f t="shared" si="38"/>
        <v>6400</v>
      </c>
      <c r="AA147" s="351">
        <f t="shared" si="38"/>
        <v>6400</v>
      </c>
      <c r="AB147" s="351">
        <f t="shared" si="37"/>
        <v>8000</v>
      </c>
      <c r="AC147" s="351">
        <f t="shared" si="37"/>
        <v>8000</v>
      </c>
      <c r="AD147" s="351">
        <f t="shared" si="37"/>
        <v>8000</v>
      </c>
      <c r="AE147" s="351">
        <f t="shared" si="37"/>
        <v>8000</v>
      </c>
      <c r="AF147" s="351">
        <f t="shared" si="37"/>
        <v>8000</v>
      </c>
      <c r="AG147" s="351">
        <f t="shared" si="37"/>
        <v>8000</v>
      </c>
      <c r="AH147" s="351">
        <f t="shared" si="39"/>
        <v>6400</v>
      </c>
      <c r="AI147" s="351">
        <f t="shared" si="39"/>
        <v>6400</v>
      </c>
      <c r="AJ147" s="351">
        <f t="shared" si="39"/>
        <v>6400</v>
      </c>
      <c r="AK147" s="351">
        <f t="shared" si="39"/>
        <v>6400</v>
      </c>
    </row>
    <row r="148" spans="2:37" ht="37.049999999999997" customHeight="1">
      <c r="B148" s="701"/>
      <c r="C148" s="700"/>
      <c r="D148" s="352" t="s">
        <v>618</v>
      </c>
      <c r="E148" s="353">
        <v>5</v>
      </c>
      <c r="F148" s="354">
        <v>2000</v>
      </c>
      <c r="G148" s="355"/>
      <c r="H148" s="354">
        <v>2000</v>
      </c>
      <c r="I148" s="355"/>
      <c r="J148" s="356">
        <f t="shared" si="22"/>
        <v>10000</v>
      </c>
      <c r="K148" s="346">
        <f t="shared" si="34"/>
        <v>0</v>
      </c>
      <c r="L148" s="346">
        <f t="shared" si="25"/>
        <v>10000</v>
      </c>
      <c r="M148" s="346">
        <f t="shared" si="26"/>
        <v>0</v>
      </c>
      <c r="N148" s="348">
        <f t="shared" si="35"/>
        <v>70000</v>
      </c>
      <c r="O148" s="348">
        <f t="shared" si="36"/>
        <v>0</v>
      </c>
      <c r="P148" s="348">
        <f t="shared" si="23"/>
        <v>70000</v>
      </c>
      <c r="Q148" s="348">
        <f t="shared" si="24"/>
        <v>0</v>
      </c>
      <c r="R148" s="348">
        <f t="shared" si="27"/>
        <v>10780000</v>
      </c>
      <c r="S148" s="348">
        <f t="shared" si="27"/>
        <v>0</v>
      </c>
      <c r="T148" s="348">
        <f t="shared" si="28"/>
        <v>3920000</v>
      </c>
      <c r="U148" s="348">
        <f t="shared" si="29"/>
        <v>0</v>
      </c>
      <c r="V148" s="349" t="s">
        <v>612</v>
      </c>
      <c r="W148" s="361" t="s">
        <v>631</v>
      </c>
      <c r="X148" s="334">
        <v>1</v>
      </c>
      <c r="Y148" s="334">
        <v>0.8</v>
      </c>
      <c r="Z148" s="351"/>
      <c r="AA148" s="351">
        <f t="shared" si="38"/>
        <v>16000</v>
      </c>
      <c r="AB148" s="351">
        <f t="shared" si="37"/>
        <v>20000</v>
      </c>
      <c r="AC148" s="351">
        <f t="shared" si="37"/>
        <v>20000</v>
      </c>
      <c r="AD148" s="351">
        <f t="shared" si="37"/>
        <v>20000</v>
      </c>
      <c r="AE148" s="351">
        <f t="shared" si="37"/>
        <v>20000</v>
      </c>
      <c r="AF148" s="351">
        <f t="shared" si="37"/>
        <v>20000</v>
      </c>
      <c r="AG148" s="351">
        <f t="shared" si="37"/>
        <v>20000</v>
      </c>
      <c r="AH148" s="351">
        <f t="shared" si="39"/>
        <v>16000</v>
      </c>
      <c r="AI148" s="351">
        <f t="shared" si="39"/>
        <v>16000</v>
      </c>
      <c r="AJ148" s="351"/>
      <c r="AK148" s="351"/>
    </row>
    <row r="149" spans="2:37" ht="16.05" customHeight="1">
      <c r="B149" s="701"/>
      <c r="C149" s="700"/>
      <c r="D149" s="352" t="s">
        <v>620</v>
      </c>
      <c r="E149" s="353">
        <v>2</v>
      </c>
      <c r="F149" s="354">
        <v>2000</v>
      </c>
      <c r="G149" s="355"/>
      <c r="H149" s="354">
        <v>2000</v>
      </c>
      <c r="I149" s="355"/>
      <c r="J149" s="356">
        <f t="shared" si="22"/>
        <v>4000</v>
      </c>
      <c r="K149" s="346">
        <f t="shared" si="34"/>
        <v>0</v>
      </c>
      <c r="L149" s="346">
        <f t="shared" si="25"/>
        <v>4000</v>
      </c>
      <c r="M149" s="346">
        <f t="shared" si="26"/>
        <v>0</v>
      </c>
      <c r="N149" s="348">
        <f t="shared" si="35"/>
        <v>28000</v>
      </c>
      <c r="O149" s="348">
        <f t="shared" si="36"/>
        <v>0</v>
      </c>
      <c r="P149" s="348">
        <f t="shared" si="23"/>
        <v>28000</v>
      </c>
      <c r="Q149" s="348">
        <f t="shared" si="24"/>
        <v>0</v>
      </c>
      <c r="R149" s="348">
        <f t="shared" si="27"/>
        <v>4312000</v>
      </c>
      <c r="S149" s="348">
        <f t="shared" si="27"/>
        <v>0</v>
      </c>
      <c r="T149" s="348">
        <f t="shared" si="28"/>
        <v>1568000</v>
      </c>
      <c r="U149" s="348">
        <f t="shared" si="29"/>
        <v>0</v>
      </c>
      <c r="V149" s="349" t="s">
        <v>612</v>
      </c>
      <c r="W149" s="362" t="s">
        <v>634</v>
      </c>
      <c r="X149" s="334">
        <v>1</v>
      </c>
      <c r="Y149" s="334">
        <v>0.8</v>
      </c>
      <c r="Z149" s="351">
        <f t="shared" si="38"/>
        <v>6400</v>
      </c>
      <c r="AA149" s="351">
        <f t="shared" si="38"/>
        <v>6400</v>
      </c>
      <c r="AB149" s="351">
        <f t="shared" si="37"/>
        <v>8000</v>
      </c>
      <c r="AC149" s="351">
        <f t="shared" si="37"/>
        <v>8000</v>
      </c>
      <c r="AD149" s="351">
        <f t="shared" si="37"/>
        <v>8000</v>
      </c>
      <c r="AE149" s="351">
        <f t="shared" si="37"/>
        <v>8000</v>
      </c>
      <c r="AF149" s="351">
        <f t="shared" si="37"/>
        <v>8000</v>
      </c>
      <c r="AG149" s="351">
        <f t="shared" si="37"/>
        <v>8000</v>
      </c>
      <c r="AH149" s="351">
        <f t="shared" si="39"/>
        <v>6400</v>
      </c>
      <c r="AI149" s="351">
        <f t="shared" si="39"/>
        <v>6400</v>
      </c>
      <c r="AJ149" s="351">
        <f t="shared" si="39"/>
        <v>6400</v>
      </c>
      <c r="AK149" s="351">
        <f t="shared" si="39"/>
        <v>6400</v>
      </c>
    </row>
    <row r="150" spans="2:37" ht="33" customHeight="1">
      <c r="B150" s="701"/>
      <c r="C150" s="700"/>
      <c r="D150" s="352" t="s">
        <v>623</v>
      </c>
      <c r="E150" s="353">
        <v>3</v>
      </c>
      <c r="F150" s="354">
        <v>2000</v>
      </c>
      <c r="G150" s="355"/>
      <c r="H150" s="354">
        <v>2000</v>
      </c>
      <c r="I150" s="355"/>
      <c r="J150" s="356">
        <f t="shared" si="22"/>
        <v>6000</v>
      </c>
      <c r="K150" s="346">
        <f t="shared" si="34"/>
        <v>0</v>
      </c>
      <c r="L150" s="346">
        <f t="shared" si="25"/>
        <v>6000</v>
      </c>
      <c r="M150" s="346">
        <f t="shared" si="26"/>
        <v>0</v>
      </c>
      <c r="N150" s="348">
        <f t="shared" si="35"/>
        <v>42000</v>
      </c>
      <c r="O150" s="348">
        <f t="shared" si="36"/>
        <v>0</v>
      </c>
      <c r="P150" s="348">
        <f t="shared" si="23"/>
        <v>42000</v>
      </c>
      <c r="Q150" s="348">
        <f t="shared" si="24"/>
        <v>0</v>
      </c>
      <c r="R150" s="348">
        <f t="shared" si="27"/>
        <v>6468000</v>
      </c>
      <c r="S150" s="348">
        <f t="shared" si="27"/>
        <v>0</v>
      </c>
      <c r="T150" s="348">
        <f t="shared" si="28"/>
        <v>2352000</v>
      </c>
      <c r="U150" s="348">
        <f t="shared" si="29"/>
        <v>0</v>
      </c>
      <c r="V150" s="349" t="s">
        <v>612</v>
      </c>
      <c r="W150" s="361" t="s">
        <v>633</v>
      </c>
      <c r="X150" s="334">
        <v>1</v>
      </c>
      <c r="Y150" s="334">
        <v>0.8</v>
      </c>
      <c r="Z150" s="351"/>
      <c r="AA150" s="351"/>
      <c r="AB150" s="351">
        <f t="shared" si="37"/>
        <v>12000</v>
      </c>
      <c r="AC150" s="351">
        <f t="shared" si="37"/>
        <v>12000</v>
      </c>
      <c r="AD150" s="351">
        <f t="shared" si="37"/>
        <v>12000</v>
      </c>
      <c r="AE150" s="351">
        <f t="shared" si="37"/>
        <v>12000</v>
      </c>
      <c r="AF150" s="351">
        <f t="shared" si="37"/>
        <v>12000</v>
      </c>
      <c r="AG150" s="351">
        <f t="shared" si="37"/>
        <v>12000</v>
      </c>
      <c r="AH150" s="351">
        <f t="shared" si="39"/>
        <v>9600</v>
      </c>
      <c r="AI150" s="351">
        <f t="shared" si="39"/>
        <v>9600</v>
      </c>
      <c r="AJ150" s="351">
        <f t="shared" si="39"/>
        <v>9600</v>
      </c>
      <c r="AK150" s="351"/>
    </row>
    <row r="151" spans="2:37" ht="16.05" customHeight="1">
      <c r="B151" s="701"/>
      <c r="C151" s="700"/>
      <c r="D151" s="352" t="s">
        <v>624</v>
      </c>
      <c r="E151" s="353">
        <v>2</v>
      </c>
      <c r="F151" s="354">
        <v>2000</v>
      </c>
      <c r="G151" s="355"/>
      <c r="H151" s="354">
        <v>2000</v>
      </c>
      <c r="I151" s="355"/>
      <c r="J151" s="356">
        <f t="shared" ref="J151:J214" si="40">E151*F151</f>
        <v>4000</v>
      </c>
      <c r="K151" s="346">
        <f t="shared" si="34"/>
        <v>0</v>
      </c>
      <c r="L151" s="346">
        <f t="shared" si="25"/>
        <v>4000</v>
      </c>
      <c r="M151" s="346">
        <f t="shared" si="26"/>
        <v>0</v>
      </c>
      <c r="N151" s="348">
        <f t="shared" si="35"/>
        <v>28000</v>
      </c>
      <c r="O151" s="348">
        <f t="shared" si="36"/>
        <v>0</v>
      </c>
      <c r="P151" s="348">
        <f t="shared" ref="P151:P214" si="41">E151*H151*$X$2</f>
        <v>28000</v>
      </c>
      <c r="Q151" s="348">
        <f t="shared" ref="Q151:Q214" si="42">E151*I151*$X$2</f>
        <v>0</v>
      </c>
      <c r="R151" s="348">
        <f t="shared" ref="R151:S213" si="43">SUM(N151,P151)*77</f>
        <v>4312000</v>
      </c>
      <c r="S151" s="348">
        <f t="shared" si="43"/>
        <v>0</v>
      </c>
      <c r="T151" s="348">
        <f t="shared" si="28"/>
        <v>1568000</v>
      </c>
      <c r="U151" s="348">
        <f t="shared" si="29"/>
        <v>0</v>
      </c>
      <c r="V151" s="349" t="s">
        <v>612</v>
      </c>
      <c r="W151" s="362" t="s">
        <v>634</v>
      </c>
      <c r="X151" s="334">
        <v>1</v>
      </c>
      <c r="Y151" s="334">
        <v>0.8</v>
      </c>
      <c r="Z151" s="351">
        <f t="shared" si="38"/>
        <v>6400</v>
      </c>
      <c r="AA151" s="351">
        <f t="shared" si="38"/>
        <v>6400</v>
      </c>
      <c r="AB151" s="351">
        <f t="shared" si="37"/>
        <v>8000</v>
      </c>
      <c r="AC151" s="351">
        <f t="shared" si="37"/>
        <v>8000</v>
      </c>
      <c r="AD151" s="351">
        <f t="shared" si="37"/>
        <v>8000</v>
      </c>
      <c r="AE151" s="351">
        <f t="shared" si="37"/>
        <v>8000</v>
      </c>
      <c r="AF151" s="351">
        <f t="shared" si="37"/>
        <v>8000</v>
      </c>
      <c r="AG151" s="351">
        <f t="shared" si="37"/>
        <v>8000</v>
      </c>
      <c r="AH151" s="351">
        <f t="shared" si="39"/>
        <v>6400</v>
      </c>
      <c r="AI151" s="351">
        <f t="shared" si="39"/>
        <v>6400</v>
      </c>
      <c r="AJ151" s="351">
        <f t="shared" si="39"/>
        <v>6400</v>
      </c>
      <c r="AK151" s="351">
        <f t="shared" si="39"/>
        <v>6400</v>
      </c>
    </row>
    <row r="152" spans="2:37" ht="36" customHeight="1">
      <c r="B152" s="701"/>
      <c r="C152" s="700"/>
      <c r="D152" s="352" t="s">
        <v>625</v>
      </c>
      <c r="E152" s="353">
        <v>2</v>
      </c>
      <c r="F152" s="354">
        <v>2000</v>
      </c>
      <c r="G152" s="355"/>
      <c r="H152" s="354">
        <v>2000</v>
      </c>
      <c r="I152" s="355"/>
      <c r="J152" s="356">
        <f t="shared" si="40"/>
        <v>4000</v>
      </c>
      <c r="K152" s="346">
        <f t="shared" si="34"/>
        <v>0</v>
      </c>
      <c r="L152" s="346">
        <f t="shared" ref="L152:L215" si="44">E152*H152</f>
        <v>4000</v>
      </c>
      <c r="M152" s="346">
        <f t="shared" ref="M152:M215" si="45">E152*I152</f>
        <v>0</v>
      </c>
      <c r="N152" s="348">
        <f t="shared" si="35"/>
        <v>28000</v>
      </c>
      <c r="O152" s="348">
        <f t="shared" si="36"/>
        <v>0</v>
      </c>
      <c r="P152" s="348">
        <f t="shared" si="41"/>
        <v>28000</v>
      </c>
      <c r="Q152" s="348">
        <f t="shared" si="42"/>
        <v>0</v>
      </c>
      <c r="R152" s="348">
        <f t="shared" si="43"/>
        <v>4312000</v>
      </c>
      <c r="S152" s="348">
        <f t="shared" si="43"/>
        <v>0</v>
      </c>
      <c r="T152" s="348">
        <f t="shared" ref="T152:T215" si="46">SUM(N152,P152)*28</f>
        <v>1568000</v>
      </c>
      <c r="U152" s="348">
        <f t="shared" ref="U152:U215" si="47">SUM(O152,Q152)*14</f>
        <v>0</v>
      </c>
      <c r="V152" s="349" t="s">
        <v>612</v>
      </c>
      <c r="W152" s="361" t="s">
        <v>637</v>
      </c>
      <c r="X152" s="334">
        <v>1</v>
      </c>
      <c r="Y152" s="334">
        <v>0.8</v>
      </c>
      <c r="Z152" s="351">
        <f t="shared" si="38"/>
        <v>6400</v>
      </c>
      <c r="AA152" s="351">
        <f t="shared" si="38"/>
        <v>6400</v>
      </c>
      <c r="AB152" s="351">
        <f t="shared" si="37"/>
        <v>8000</v>
      </c>
      <c r="AC152" s="351">
        <f t="shared" si="37"/>
        <v>8000</v>
      </c>
      <c r="AD152" s="351">
        <f t="shared" si="37"/>
        <v>8000</v>
      </c>
      <c r="AE152" s="351"/>
      <c r="AF152" s="351"/>
      <c r="AG152" s="351"/>
      <c r="AH152" s="351">
        <f t="shared" si="39"/>
        <v>6400</v>
      </c>
      <c r="AI152" s="351">
        <f t="shared" si="39"/>
        <v>6400</v>
      </c>
      <c r="AJ152" s="351">
        <f t="shared" si="39"/>
        <v>6400</v>
      </c>
      <c r="AK152" s="351">
        <f t="shared" si="39"/>
        <v>6400</v>
      </c>
    </row>
    <row r="153" spans="2:37" ht="16.05" customHeight="1">
      <c r="B153" s="701"/>
      <c r="C153" s="700"/>
      <c r="D153" s="352" t="s">
        <v>626</v>
      </c>
      <c r="E153" s="353">
        <v>1</v>
      </c>
      <c r="F153" s="354">
        <v>2000</v>
      </c>
      <c r="G153" s="355"/>
      <c r="H153" s="354">
        <v>2000</v>
      </c>
      <c r="I153" s="355"/>
      <c r="J153" s="356">
        <f t="shared" si="40"/>
        <v>2000</v>
      </c>
      <c r="K153" s="346">
        <f t="shared" si="34"/>
        <v>0</v>
      </c>
      <c r="L153" s="346">
        <f t="shared" si="44"/>
        <v>2000</v>
      </c>
      <c r="M153" s="346">
        <f t="shared" si="45"/>
        <v>0</v>
      </c>
      <c r="N153" s="348">
        <f t="shared" si="35"/>
        <v>14000</v>
      </c>
      <c r="O153" s="348">
        <f t="shared" si="36"/>
        <v>0</v>
      </c>
      <c r="P153" s="348">
        <f t="shared" si="41"/>
        <v>14000</v>
      </c>
      <c r="Q153" s="348">
        <f t="shared" si="42"/>
        <v>0</v>
      </c>
      <c r="R153" s="348">
        <f t="shared" si="43"/>
        <v>2156000</v>
      </c>
      <c r="S153" s="348">
        <f t="shared" si="43"/>
        <v>0</v>
      </c>
      <c r="T153" s="348">
        <f t="shared" si="46"/>
        <v>784000</v>
      </c>
      <c r="U153" s="348">
        <f t="shared" si="47"/>
        <v>0</v>
      </c>
      <c r="V153" s="349" t="s">
        <v>612</v>
      </c>
      <c r="W153" s="362" t="s">
        <v>634</v>
      </c>
      <c r="X153" s="334">
        <v>1</v>
      </c>
      <c r="Y153" s="334">
        <v>0.8</v>
      </c>
      <c r="Z153" s="351">
        <f t="shared" si="38"/>
        <v>3200</v>
      </c>
      <c r="AA153" s="351">
        <f t="shared" si="38"/>
        <v>3200</v>
      </c>
      <c r="AB153" s="351">
        <f t="shared" si="37"/>
        <v>4000</v>
      </c>
      <c r="AC153" s="351">
        <f t="shared" si="37"/>
        <v>4000</v>
      </c>
      <c r="AD153" s="351">
        <f t="shared" si="37"/>
        <v>4000</v>
      </c>
      <c r="AE153" s="351">
        <f t="shared" si="37"/>
        <v>4000</v>
      </c>
      <c r="AF153" s="351">
        <f t="shared" si="37"/>
        <v>4000</v>
      </c>
      <c r="AG153" s="351">
        <f t="shared" si="37"/>
        <v>4000</v>
      </c>
      <c r="AH153" s="351">
        <f t="shared" si="39"/>
        <v>3200</v>
      </c>
      <c r="AI153" s="351">
        <f t="shared" si="39"/>
        <v>3200</v>
      </c>
      <c r="AJ153" s="351">
        <f t="shared" si="39"/>
        <v>3200</v>
      </c>
      <c r="AK153" s="351">
        <f t="shared" si="39"/>
        <v>3200</v>
      </c>
    </row>
    <row r="154" spans="2:37" ht="16.05" customHeight="1">
      <c r="B154" s="701"/>
      <c r="C154" s="700" t="s">
        <v>650</v>
      </c>
      <c r="D154" s="352" t="s">
        <v>583</v>
      </c>
      <c r="E154" s="353">
        <v>2</v>
      </c>
      <c r="F154" s="354">
        <v>3000</v>
      </c>
      <c r="G154" s="354"/>
      <c r="H154" s="354">
        <v>800</v>
      </c>
      <c r="I154" s="354"/>
      <c r="J154" s="356">
        <f t="shared" si="40"/>
        <v>6000</v>
      </c>
      <c r="K154" s="346">
        <f t="shared" si="34"/>
        <v>0</v>
      </c>
      <c r="L154" s="346">
        <f t="shared" si="44"/>
        <v>1600</v>
      </c>
      <c r="M154" s="346">
        <f t="shared" si="45"/>
        <v>0</v>
      </c>
      <c r="N154" s="348">
        <f t="shared" si="35"/>
        <v>42000</v>
      </c>
      <c r="O154" s="348">
        <f t="shared" si="36"/>
        <v>0</v>
      </c>
      <c r="P154" s="348">
        <f t="shared" si="41"/>
        <v>11200</v>
      </c>
      <c r="Q154" s="348">
        <f t="shared" si="42"/>
        <v>0</v>
      </c>
      <c r="R154" s="348">
        <f t="shared" si="43"/>
        <v>4096400</v>
      </c>
      <c r="S154" s="348">
        <f t="shared" si="43"/>
        <v>0</v>
      </c>
      <c r="T154" s="348">
        <f t="shared" si="46"/>
        <v>1489600</v>
      </c>
      <c r="U154" s="348">
        <f t="shared" si="47"/>
        <v>0</v>
      </c>
      <c r="V154" s="349" t="s">
        <v>612</v>
      </c>
      <c r="W154" s="362" t="s">
        <v>634</v>
      </c>
      <c r="X154" s="334">
        <v>1</v>
      </c>
      <c r="Y154" s="334">
        <v>0.8</v>
      </c>
      <c r="Z154" s="351">
        <f t="shared" si="38"/>
        <v>6080</v>
      </c>
      <c r="AA154" s="351">
        <f t="shared" si="38"/>
        <v>6080</v>
      </c>
      <c r="AB154" s="351">
        <f t="shared" si="37"/>
        <v>7600</v>
      </c>
      <c r="AC154" s="351">
        <f t="shared" si="37"/>
        <v>7600</v>
      </c>
      <c r="AD154" s="351">
        <f t="shared" si="37"/>
        <v>7600</v>
      </c>
      <c r="AE154" s="351">
        <f t="shared" si="37"/>
        <v>7600</v>
      </c>
      <c r="AF154" s="351">
        <f t="shared" si="37"/>
        <v>7600</v>
      </c>
      <c r="AG154" s="351">
        <f t="shared" si="37"/>
        <v>7600</v>
      </c>
      <c r="AH154" s="351">
        <f t="shared" si="39"/>
        <v>6080</v>
      </c>
      <c r="AI154" s="351">
        <f t="shared" si="39"/>
        <v>6080</v>
      </c>
      <c r="AJ154" s="351">
        <f t="shared" si="39"/>
        <v>6080</v>
      </c>
      <c r="AK154" s="351">
        <f t="shared" si="39"/>
        <v>6080</v>
      </c>
    </row>
    <row r="155" spans="2:37" ht="16.05" customHeight="1">
      <c r="B155" s="701"/>
      <c r="C155" s="700"/>
      <c r="D155" s="352" t="s">
        <v>614</v>
      </c>
      <c r="E155" s="353">
        <v>1</v>
      </c>
      <c r="F155" s="354">
        <v>3000</v>
      </c>
      <c r="G155" s="354"/>
      <c r="H155" s="354">
        <v>800</v>
      </c>
      <c r="I155" s="354"/>
      <c r="J155" s="356">
        <f t="shared" si="40"/>
        <v>3000</v>
      </c>
      <c r="K155" s="346">
        <f t="shared" si="34"/>
        <v>0</v>
      </c>
      <c r="L155" s="346">
        <f t="shared" si="44"/>
        <v>800</v>
      </c>
      <c r="M155" s="346">
        <f t="shared" si="45"/>
        <v>0</v>
      </c>
      <c r="N155" s="348">
        <f t="shared" si="35"/>
        <v>21000</v>
      </c>
      <c r="O155" s="348">
        <f t="shared" si="36"/>
        <v>0</v>
      </c>
      <c r="P155" s="348">
        <f t="shared" si="41"/>
        <v>5600</v>
      </c>
      <c r="Q155" s="348">
        <f t="shared" si="42"/>
        <v>0</v>
      </c>
      <c r="R155" s="348">
        <f t="shared" si="43"/>
        <v>2048200</v>
      </c>
      <c r="S155" s="348">
        <f t="shared" si="43"/>
        <v>0</v>
      </c>
      <c r="T155" s="348">
        <f t="shared" si="46"/>
        <v>744800</v>
      </c>
      <c r="U155" s="348">
        <f t="shared" si="47"/>
        <v>0</v>
      </c>
      <c r="V155" s="349" t="s">
        <v>612</v>
      </c>
      <c r="W155" s="362" t="s">
        <v>634</v>
      </c>
      <c r="X155" s="334">
        <v>1</v>
      </c>
      <c r="Y155" s="334">
        <v>0.8</v>
      </c>
      <c r="Z155" s="351">
        <f t="shared" si="38"/>
        <v>3040</v>
      </c>
      <c r="AA155" s="351">
        <f t="shared" si="38"/>
        <v>3040</v>
      </c>
      <c r="AB155" s="351">
        <f t="shared" si="37"/>
        <v>3800</v>
      </c>
      <c r="AC155" s="351">
        <f t="shared" si="37"/>
        <v>3800</v>
      </c>
      <c r="AD155" s="351">
        <f t="shared" si="37"/>
        <v>3800</v>
      </c>
      <c r="AE155" s="351">
        <f t="shared" si="37"/>
        <v>3800</v>
      </c>
      <c r="AF155" s="351">
        <f t="shared" si="37"/>
        <v>3800</v>
      </c>
      <c r="AG155" s="351">
        <f t="shared" si="37"/>
        <v>3800</v>
      </c>
      <c r="AH155" s="351">
        <f t="shared" si="39"/>
        <v>3040</v>
      </c>
      <c r="AI155" s="351">
        <f t="shared" si="39"/>
        <v>3040</v>
      </c>
      <c r="AJ155" s="351">
        <f t="shared" si="39"/>
        <v>3040</v>
      </c>
      <c r="AK155" s="351">
        <f t="shared" si="39"/>
        <v>3040</v>
      </c>
    </row>
    <row r="156" spans="2:37" ht="13.05" customHeight="1">
      <c r="B156" s="701"/>
      <c r="C156" s="700"/>
      <c r="D156" s="352" t="s">
        <v>616</v>
      </c>
      <c r="E156" s="353">
        <v>8</v>
      </c>
      <c r="F156" s="354">
        <v>3000</v>
      </c>
      <c r="G156" s="354"/>
      <c r="H156" s="354">
        <v>800</v>
      </c>
      <c r="I156" s="354"/>
      <c r="J156" s="356">
        <f t="shared" si="40"/>
        <v>24000</v>
      </c>
      <c r="K156" s="346">
        <f t="shared" si="34"/>
        <v>0</v>
      </c>
      <c r="L156" s="346">
        <f t="shared" si="44"/>
        <v>6400</v>
      </c>
      <c r="M156" s="346">
        <f t="shared" si="45"/>
        <v>0</v>
      </c>
      <c r="N156" s="348">
        <f t="shared" si="35"/>
        <v>168000</v>
      </c>
      <c r="O156" s="348">
        <f t="shared" si="36"/>
        <v>0</v>
      </c>
      <c r="P156" s="348">
        <f t="shared" si="41"/>
        <v>44800</v>
      </c>
      <c r="Q156" s="348">
        <f t="shared" si="42"/>
        <v>0</v>
      </c>
      <c r="R156" s="348">
        <f t="shared" si="43"/>
        <v>16385600</v>
      </c>
      <c r="S156" s="348">
        <f t="shared" si="43"/>
        <v>0</v>
      </c>
      <c r="T156" s="348">
        <f t="shared" si="46"/>
        <v>5958400</v>
      </c>
      <c r="U156" s="348">
        <f t="shared" si="47"/>
        <v>0</v>
      </c>
      <c r="V156" s="349" t="s">
        <v>612</v>
      </c>
      <c r="W156" s="362" t="s">
        <v>634</v>
      </c>
      <c r="X156" s="334">
        <v>1</v>
      </c>
      <c r="Y156" s="334">
        <v>0.8</v>
      </c>
      <c r="Z156" s="351">
        <f t="shared" si="38"/>
        <v>24320</v>
      </c>
      <c r="AA156" s="351">
        <f t="shared" si="38"/>
        <v>24320</v>
      </c>
      <c r="AB156" s="351">
        <f t="shared" si="37"/>
        <v>30400</v>
      </c>
      <c r="AC156" s="351">
        <f t="shared" si="37"/>
        <v>30400</v>
      </c>
      <c r="AD156" s="351">
        <f t="shared" si="37"/>
        <v>30400</v>
      </c>
      <c r="AE156" s="351">
        <f t="shared" si="37"/>
        <v>30400</v>
      </c>
      <c r="AF156" s="351">
        <f t="shared" si="37"/>
        <v>30400</v>
      </c>
      <c r="AG156" s="351">
        <f t="shared" si="37"/>
        <v>30400</v>
      </c>
      <c r="AH156" s="351">
        <f t="shared" si="39"/>
        <v>24320</v>
      </c>
      <c r="AI156" s="351">
        <f t="shared" si="39"/>
        <v>24320</v>
      </c>
      <c r="AJ156" s="351">
        <f t="shared" si="39"/>
        <v>24320</v>
      </c>
      <c r="AK156" s="351">
        <f t="shared" si="39"/>
        <v>24320</v>
      </c>
    </row>
    <row r="157" spans="2:37">
      <c r="B157" s="701"/>
      <c r="C157" s="700"/>
      <c r="D157" s="352" t="s">
        <v>617</v>
      </c>
      <c r="E157" s="353">
        <v>9</v>
      </c>
      <c r="F157" s="354">
        <v>3000</v>
      </c>
      <c r="G157" s="354"/>
      <c r="H157" s="354">
        <v>800</v>
      </c>
      <c r="I157" s="354"/>
      <c r="J157" s="356">
        <f t="shared" si="40"/>
        <v>27000</v>
      </c>
      <c r="K157" s="346">
        <f t="shared" si="34"/>
        <v>0</v>
      </c>
      <c r="L157" s="346">
        <f t="shared" si="44"/>
        <v>7200</v>
      </c>
      <c r="M157" s="346">
        <f t="shared" si="45"/>
        <v>0</v>
      </c>
      <c r="N157" s="348">
        <f t="shared" si="35"/>
        <v>189000</v>
      </c>
      <c r="O157" s="348">
        <f t="shared" si="36"/>
        <v>0</v>
      </c>
      <c r="P157" s="348">
        <f t="shared" si="41"/>
        <v>50400</v>
      </c>
      <c r="Q157" s="348">
        <f t="shared" si="42"/>
        <v>0</v>
      </c>
      <c r="R157" s="348">
        <f t="shared" si="43"/>
        <v>18433800</v>
      </c>
      <c r="S157" s="348">
        <f t="shared" si="43"/>
        <v>0</v>
      </c>
      <c r="T157" s="348">
        <f t="shared" si="46"/>
        <v>6703200</v>
      </c>
      <c r="U157" s="348">
        <f t="shared" si="47"/>
        <v>0</v>
      </c>
      <c r="V157" s="349" t="s">
        <v>612</v>
      </c>
      <c r="W157" s="362" t="s">
        <v>634</v>
      </c>
      <c r="X157" s="334">
        <v>1</v>
      </c>
      <c r="Y157" s="334">
        <v>0.8</v>
      </c>
      <c r="Z157" s="351">
        <f t="shared" si="38"/>
        <v>27360</v>
      </c>
      <c r="AA157" s="351">
        <f t="shared" si="38"/>
        <v>27360</v>
      </c>
      <c r="AB157" s="351">
        <f t="shared" si="37"/>
        <v>34200</v>
      </c>
      <c r="AC157" s="351">
        <f t="shared" si="37"/>
        <v>34200</v>
      </c>
      <c r="AD157" s="351">
        <f t="shared" si="37"/>
        <v>34200</v>
      </c>
      <c r="AE157" s="351">
        <f t="shared" si="37"/>
        <v>34200</v>
      </c>
      <c r="AF157" s="351">
        <f t="shared" si="37"/>
        <v>34200</v>
      </c>
      <c r="AG157" s="351">
        <f t="shared" si="37"/>
        <v>34200</v>
      </c>
      <c r="AH157" s="351">
        <f t="shared" si="39"/>
        <v>27360</v>
      </c>
      <c r="AI157" s="351">
        <f t="shared" si="39"/>
        <v>27360</v>
      </c>
      <c r="AJ157" s="351">
        <f t="shared" si="39"/>
        <v>27360</v>
      </c>
      <c r="AK157" s="351">
        <f t="shared" si="39"/>
        <v>27360</v>
      </c>
    </row>
    <row r="158" spans="2:37" ht="39.6">
      <c r="B158" s="701"/>
      <c r="C158" s="700"/>
      <c r="D158" s="352" t="s">
        <v>618</v>
      </c>
      <c r="E158" s="353">
        <v>8</v>
      </c>
      <c r="F158" s="354">
        <v>3000</v>
      </c>
      <c r="G158" s="354"/>
      <c r="H158" s="354">
        <v>800</v>
      </c>
      <c r="I158" s="354"/>
      <c r="J158" s="356">
        <f t="shared" si="40"/>
        <v>24000</v>
      </c>
      <c r="K158" s="346">
        <f t="shared" si="34"/>
        <v>0</v>
      </c>
      <c r="L158" s="346">
        <f t="shared" si="44"/>
        <v>6400</v>
      </c>
      <c r="M158" s="346">
        <f t="shared" si="45"/>
        <v>0</v>
      </c>
      <c r="N158" s="348">
        <f t="shared" si="35"/>
        <v>168000</v>
      </c>
      <c r="O158" s="348">
        <f t="shared" si="36"/>
        <v>0</v>
      </c>
      <c r="P158" s="348">
        <f t="shared" si="41"/>
        <v>44800</v>
      </c>
      <c r="Q158" s="348">
        <f t="shared" si="42"/>
        <v>0</v>
      </c>
      <c r="R158" s="348">
        <f t="shared" si="43"/>
        <v>16385600</v>
      </c>
      <c r="S158" s="348">
        <f t="shared" si="43"/>
        <v>0</v>
      </c>
      <c r="T158" s="348">
        <f t="shared" si="46"/>
        <v>5958400</v>
      </c>
      <c r="U158" s="348">
        <f t="shared" si="47"/>
        <v>0</v>
      </c>
      <c r="V158" s="349" t="s">
        <v>612</v>
      </c>
      <c r="W158" s="361" t="s">
        <v>631</v>
      </c>
      <c r="X158" s="334">
        <v>1</v>
      </c>
      <c r="Y158" s="334">
        <v>0.8</v>
      </c>
      <c r="Z158" s="351"/>
      <c r="AA158" s="351">
        <f t="shared" si="38"/>
        <v>24320</v>
      </c>
      <c r="AB158" s="351">
        <f t="shared" si="37"/>
        <v>30400</v>
      </c>
      <c r="AC158" s="351">
        <f t="shared" si="37"/>
        <v>30400</v>
      </c>
      <c r="AD158" s="351">
        <f t="shared" si="37"/>
        <v>30400</v>
      </c>
      <c r="AE158" s="351">
        <f t="shared" si="37"/>
        <v>30400</v>
      </c>
      <c r="AF158" s="351">
        <f t="shared" si="37"/>
        <v>30400</v>
      </c>
      <c r="AG158" s="351">
        <f t="shared" si="37"/>
        <v>30400</v>
      </c>
      <c r="AH158" s="351">
        <f t="shared" si="39"/>
        <v>24320</v>
      </c>
      <c r="AI158" s="351">
        <f t="shared" si="39"/>
        <v>24320</v>
      </c>
      <c r="AJ158" s="351"/>
      <c r="AK158" s="351"/>
    </row>
    <row r="159" spans="2:37">
      <c r="B159" s="701"/>
      <c r="C159" s="700"/>
      <c r="D159" s="352" t="s">
        <v>620</v>
      </c>
      <c r="E159" s="353">
        <v>8</v>
      </c>
      <c r="F159" s="354">
        <v>3000</v>
      </c>
      <c r="G159" s="354"/>
      <c r="H159" s="354">
        <v>800</v>
      </c>
      <c r="I159" s="354"/>
      <c r="J159" s="356">
        <f t="shared" si="40"/>
        <v>24000</v>
      </c>
      <c r="K159" s="346">
        <f t="shared" si="34"/>
        <v>0</v>
      </c>
      <c r="L159" s="346">
        <f t="shared" si="44"/>
        <v>6400</v>
      </c>
      <c r="M159" s="346">
        <f t="shared" si="45"/>
        <v>0</v>
      </c>
      <c r="N159" s="348">
        <f t="shared" si="35"/>
        <v>168000</v>
      </c>
      <c r="O159" s="348">
        <f t="shared" si="36"/>
        <v>0</v>
      </c>
      <c r="P159" s="348">
        <f t="shared" si="41"/>
        <v>44800</v>
      </c>
      <c r="Q159" s="348">
        <f t="shared" si="42"/>
        <v>0</v>
      </c>
      <c r="R159" s="348">
        <f t="shared" si="43"/>
        <v>16385600</v>
      </c>
      <c r="S159" s="348">
        <f t="shared" si="43"/>
        <v>0</v>
      </c>
      <c r="T159" s="348">
        <f t="shared" si="46"/>
        <v>5958400</v>
      </c>
      <c r="U159" s="348">
        <f t="shared" si="47"/>
        <v>0</v>
      </c>
      <c r="V159" s="349" t="s">
        <v>612</v>
      </c>
      <c r="W159" s="362" t="s">
        <v>634</v>
      </c>
      <c r="X159" s="334">
        <v>1</v>
      </c>
      <c r="Y159" s="334">
        <v>0.8</v>
      </c>
      <c r="Z159" s="351">
        <f t="shared" si="38"/>
        <v>24320</v>
      </c>
      <c r="AA159" s="351">
        <f t="shared" si="38"/>
        <v>24320</v>
      </c>
      <c r="AB159" s="351">
        <f t="shared" ref="AB159:AG190" si="48">($J159+$K159+$L159+$M159)*$X159</f>
        <v>30400</v>
      </c>
      <c r="AC159" s="351">
        <f t="shared" si="48"/>
        <v>30400</v>
      </c>
      <c r="AD159" s="351">
        <f t="shared" si="48"/>
        <v>30400</v>
      </c>
      <c r="AE159" s="351">
        <f t="shared" si="48"/>
        <v>30400</v>
      </c>
      <c r="AF159" s="351">
        <f t="shared" si="48"/>
        <v>30400</v>
      </c>
      <c r="AG159" s="351">
        <f t="shared" si="48"/>
        <v>30400</v>
      </c>
      <c r="AH159" s="351">
        <f t="shared" si="39"/>
        <v>24320</v>
      </c>
      <c r="AI159" s="351">
        <f t="shared" si="39"/>
        <v>24320</v>
      </c>
      <c r="AJ159" s="351">
        <f t="shared" si="39"/>
        <v>24320</v>
      </c>
      <c r="AK159" s="351">
        <f t="shared" si="39"/>
        <v>24320</v>
      </c>
    </row>
    <row r="160" spans="2:37">
      <c r="B160" s="701"/>
      <c r="C160" s="700"/>
      <c r="D160" s="352" t="s">
        <v>621</v>
      </c>
      <c r="E160" s="353">
        <v>8</v>
      </c>
      <c r="F160" s="354">
        <v>3000</v>
      </c>
      <c r="G160" s="354"/>
      <c r="H160" s="354">
        <v>800</v>
      </c>
      <c r="I160" s="354"/>
      <c r="J160" s="356">
        <f t="shared" si="40"/>
        <v>24000</v>
      </c>
      <c r="K160" s="346">
        <f t="shared" si="34"/>
        <v>0</v>
      </c>
      <c r="L160" s="346">
        <f t="shared" si="44"/>
        <v>6400</v>
      </c>
      <c r="M160" s="346">
        <f t="shared" si="45"/>
        <v>0</v>
      </c>
      <c r="N160" s="348">
        <f t="shared" si="35"/>
        <v>168000</v>
      </c>
      <c r="O160" s="348">
        <f t="shared" si="36"/>
        <v>0</v>
      </c>
      <c r="P160" s="348">
        <f t="shared" si="41"/>
        <v>44800</v>
      </c>
      <c r="Q160" s="348">
        <f t="shared" si="42"/>
        <v>0</v>
      </c>
      <c r="R160" s="348">
        <f t="shared" si="43"/>
        <v>16385600</v>
      </c>
      <c r="S160" s="348">
        <f t="shared" si="43"/>
        <v>0</v>
      </c>
      <c r="T160" s="348">
        <f t="shared" si="46"/>
        <v>5958400</v>
      </c>
      <c r="U160" s="348">
        <f t="shared" si="47"/>
        <v>0</v>
      </c>
      <c r="V160" s="349" t="s">
        <v>612</v>
      </c>
      <c r="W160" s="362" t="s">
        <v>634</v>
      </c>
      <c r="X160" s="334">
        <v>1</v>
      </c>
      <c r="Y160" s="334">
        <v>0.8</v>
      </c>
      <c r="Z160" s="351">
        <f t="shared" si="38"/>
        <v>24320</v>
      </c>
      <c r="AA160" s="351">
        <f t="shared" si="38"/>
        <v>24320</v>
      </c>
      <c r="AB160" s="351">
        <f t="shared" si="48"/>
        <v>30400</v>
      </c>
      <c r="AC160" s="351">
        <f t="shared" si="48"/>
        <v>30400</v>
      </c>
      <c r="AD160" s="351">
        <f t="shared" si="48"/>
        <v>30400</v>
      </c>
      <c r="AE160" s="351">
        <f t="shared" si="48"/>
        <v>30400</v>
      </c>
      <c r="AF160" s="351">
        <f t="shared" si="48"/>
        <v>30400</v>
      </c>
      <c r="AG160" s="351">
        <f t="shared" si="48"/>
        <v>30400</v>
      </c>
      <c r="AH160" s="351">
        <f t="shared" si="39"/>
        <v>24320</v>
      </c>
      <c r="AI160" s="351">
        <f t="shared" si="39"/>
        <v>24320</v>
      </c>
      <c r="AJ160" s="351">
        <f t="shared" si="39"/>
        <v>24320</v>
      </c>
      <c r="AK160" s="351">
        <f t="shared" si="39"/>
        <v>24320</v>
      </c>
    </row>
    <row r="161" spans="2:37">
      <c r="B161" s="701"/>
      <c r="C161" s="700"/>
      <c r="D161" s="352" t="s">
        <v>622</v>
      </c>
      <c r="E161" s="353">
        <v>6</v>
      </c>
      <c r="F161" s="354">
        <v>3000</v>
      </c>
      <c r="G161" s="354"/>
      <c r="H161" s="354">
        <v>800</v>
      </c>
      <c r="I161" s="354"/>
      <c r="J161" s="356">
        <f t="shared" si="40"/>
        <v>18000</v>
      </c>
      <c r="K161" s="346">
        <f t="shared" si="34"/>
        <v>0</v>
      </c>
      <c r="L161" s="346">
        <f t="shared" si="44"/>
        <v>4800</v>
      </c>
      <c r="M161" s="346">
        <f t="shared" si="45"/>
        <v>0</v>
      </c>
      <c r="N161" s="348">
        <f t="shared" si="35"/>
        <v>126000</v>
      </c>
      <c r="O161" s="348">
        <f t="shared" si="36"/>
        <v>0</v>
      </c>
      <c r="P161" s="348">
        <f t="shared" si="41"/>
        <v>33600</v>
      </c>
      <c r="Q161" s="348">
        <f t="shared" si="42"/>
        <v>0</v>
      </c>
      <c r="R161" s="348">
        <f t="shared" si="43"/>
        <v>12289200</v>
      </c>
      <c r="S161" s="348">
        <f t="shared" si="43"/>
        <v>0</v>
      </c>
      <c r="T161" s="348">
        <f t="shared" si="46"/>
        <v>4468800</v>
      </c>
      <c r="U161" s="348">
        <f t="shared" si="47"/>
        <v>0</v>
      </c>
      <c r="V161" s="349" t="s">
        <v>612</v>
      </c>
      <c r="W161" s="362" t="s">
        <v>634</v>
      </c>
      <c r="X161" s="334">
        <v>1</v>
      </c>
      <c r="Y161" s="334">
        <v>0.8</v>
      </c>
      <c r="Z161" s="351">
        <f t="shared" si="38"/>
        <v>18240</v>
      </c>
      <c r="AA161" s="351">
        <f t="shared" si="38"/>
        <v>18240</v>
      </c>
      <c r="AB161" s="351">
        <f t="shared" si="48"/>
        <v>22800</v>
      </c>
      <c r="AC161" s="351">
        <f t="shared" si="48"/>
        <v>22800</v>
      </c>
      <c r="AD161" s="351">
        <f t="shared" si="48"/>
        <v>22800</v>
      </c>
      <c r="AE161" s="351">
        <f t="shared" si="48"/>
        <v>22800</v>
      </c>
      <c r="AF161" s="351">
        <f t="shared" si="48"/>
        <v>22800</v>
      </c>
      <c r="AG161" s="351">
        <f t="shared" si="48"/>
        <v>22800</v>
      </c>
      <c r="AH161" s="351">
        <f t="shared" si="39"/>
        <v>18240</v>
      </c>
      <c r="AI161" s="351">
        <f t="shared" si="39"/>
        <v>18240</v>
      </c>
      <c r="AJ161" s="351">
        <f t="shared" si="39"/>
        <v>18240</v>
      </c>
      <c r="AK161" s="351">
        <f t="shared" si="39"/>
        <v>18240</v>
      </c>
    </row>
    <row r="162" spans="2:37" ht="39.6">
      <c r="B162" s="701"/>
      <c r="C162" s="700"/>
      <c r="D162" s="352" t="s">
        <v>623</v>
      </c>
      <c r="E162" s="353">
        <v>8</v>
      </c>
      <c r="F162" s="354">
        <v>3000</v>
      </c>
      <c r="G162" s="354"/>
      <c r="H162" s="354">
        <v>800</v>
      </c>
      <c r="I162" s="354"/>
      <c r="J162" s="356">
        <f t="shared" si="40"/>
        <v>24000</v>
      </c>
      <c r="K162" s="346">
        <f t="shared" si="34"/>
        <v>0</v>
      </c>
      <c r="L162" s="346">
        <f t="shared" si="44"/>
        <v>6400</v>
      </c>
      <c r="M162" s="346">
        <f t="shared" si="45"/>
        <v>0</v>
      </c>
      <c r="N162" s="348">
        <f t="shared" si="35"/>
        <v>168000</v>
      </c>
      <c r="O162" s="348">
        <f t="shared" si="36"/>
        <v>0</v>
      </c>
      <c r="P162" s="348">
        <f t="shared" si="41"/>
        <v>44800</v>
      </c>
      <c r="Q162" s="348">
        <f t="shared" si="42"/>
        <v>0</v>
      </c>
      <c r="R162" s="348">
        <f t="shared" si="43"/>
        <v>16385600</v>
      </c>
      <c r="S162" s="348">
        <f t="shared" si="43"/>
        <v>0</v>
      </c>
      <c r="T162" s="348">
        <f t="shared" si="46"/>
        <v>5958400</v>
      </c>
      <c r="U162" s="348">
        <f t="shared" si="47"/>
        <v>0</v>
      </c>
      <c r="V162" s="349" t="s">
        <v>612</v>
      </c>
      <c r="W162" s="361" t="s">
        <v>633</v>
      </c>
      <c r="X162" s="334">
        <v>1</v>
      </c>
      <c r="Y162" s="334">
        <v>0.8</v>
      </c>
      <c r="Z162" s="351"/>
      <c r="AA162" s="351"/>
      <c r="AB162" s="351">
        <f t="shared" si="48"/>
        <v>30400</v>
      </c>
      <c r="AC162" s="351">
        <f t="shared" si="48"/>
        <v>30400</v>
      </c>
      <c r="AD162" s="351">
        <f t="shared" si="48"/>
        <v>30400</v>
      </c>
      <c r="AE162" s="351">
        <f t="shared" si="48"/>
        <v>30400</v>
      </c>
      <c r="AF162" s="351">
        <f t="shared" si="48"/>
        <v>30400</v>
      </c>
      <c r="AG162" s="351">
        <f t="shared" si="48"/>
        <v>30400</v>
      </c>
      <c r="AH162" s="351">
        <f t="shared" si="39"/>
        <v>24320</v>
      </c>
      <c r="AI162" s="351">
        <f t="shared" si="39"/>
        <v>24320</v>
      </c>
      <c r="AJ162" s="351">
        <f t="shared" si="39"/>
        <v>24320</v>
      </c>
      <c r="AK162" s="351"/>
    </row>
    <row r="163" spans="2:37" ht="39.6">
      <c r="B163" s="701"/>
      <c r="C163" s="700"/>
      <c r="D163" s="352" t="s">
        <v>625</v>
      </c>
      <c r="E163" s="353">
        <v>8</v>
      </c>
      <c r="F163" s="354">
        <v>3000</v>
      </c>
      <c r="G163" s="354"/>
      <c r="H163" s="354">
        <v>800</v>
      </c>
      <c r="I163" s="354"/>
      <c r="J163" s="356">
        <f t="shared" si="40"/>
        <v>24000</v>
      </c>
      <c r="K163" s="346">
        <f t="shared" si="34"/>
        <v>0</v>
      </c>
      <c r="L163" s="346">
        <f t="shared" si="44"/>
        <v>6400</v>
      </c>
      <c r="M163" s="346">
        <f t="shared" si="45"/>
        <v>0</v>
      </c>
      <c r="N163" s="348">
        <f t="shared" si="35"/>
        <v>168000</v>
      </c>
      <c r="O163" s="348">
        <f t="shared" si="36"/>
        <v>0</v>
      </c>
      <c r="P163" s="348">
        <f t="shared" si="41"/>
        <v>44800</v>
      </c>
      <c r="Q163" s="348">
        <f t="shared" si="42"/>
        <v>0</v>
      </c>
      <c r="R163" s="348">
        <f t="shared" si="43"/>
        <v>16385600</v>
      </c>
      <c r="S163" s="348">
        <f t="shared" si="43"/>
        <v>0</v>
      </c>
      <c r="T163" s="348">
        <f t="shared" si="46"/>
        <v>5958400</v>
      </c>
      <c r="U163" s="348">
        <f t="shared" si="47"/>
        <v>0</v>
      </c>
      <c r="V163" s="349" t="s">
        <v>612</v>
      </c>
      <c r="W163" s="361" t="s">
        <v>637</v>
      </c>
      <c r="X163" s="334">
        <v>1</v>
      </c>
      <c r="Y163" s="334">
        <v>0.8</v>
      </c>
      <c r="Z163" s="351">
        <f t="shared" si="38"/>
        <v>24320</v>
      </c>
      <c r="AA163" s="351">
        <f t="shared" si="38"/>
        <v>24320</v>
      </c>
      <c r="AB163" s="351">
        <f t="shared" si="48"/>
        <v>30400</v>
      </c>
      <c r="AC163" s="351">
        <f t="shared" si="48"/>
        <v>30400</v>
      </c>
      <c r="AD163" s="351">
        <f t="shared" si="48"/>
        <v>30400</v>
      </c>
      <c r="AE163" s="351"/>
      <c r="AF163" s="351"/>
      <c r="AG163" s="351"/>
      <c r="AH163" s="351">
        <f t="shared" si="39"/>
        <v>24320</v>
      </c>
      <c r="AI163" s="351">
        <f t="shared" si="39"/>
        <v>24320</v>
      </c>
      <c r="AJ163" s="351">
        <f t="shared" si="39"/>
        <v>24320</v>
      </c>
      <c r="AK163" s="351">
        <f t="shared" si="39"/>
        <v>24320</v>
      </c>
    </row>
    <row r="164" spans="2:37">
      <c r="B164" s="701"/>
      <c r="C164" s="700"/>
      <c r="D164" s="352" t="s">
        <v>626</v>
      </c>
      <c r="E164" s="353">
        <v>96</v>
      </c>
      <c r="F164" s="354">
        <v>3000</v>
      </c>
      <c r="G164" s="354"/>
      <c r="H164" s="354">
        <v>800</v>
      </c>
      <c r="I164" s="354"/>
      <c r="J164" s="356">
        <f t="shared" si="40"/>
        <v>288000</v>
      </c>
      <c r="K164" s="346">
        <f t="shared" si="34"/>
        <v>0</v>
      </c>
      <c r="L164" s="346">
        <f t="shared" si="44"/>
        <v>76800</v>
      </c>
      <c r="M164" s="346">
        <f t="shared" si="45"/>
        <v>0</v>
      </c>
      <c r="N164" s="348">
        <f t="shared" si="35"/>
        <v>2016000</v>
      </c>
      <c r="O164" s="348">
        <f t="shared" si="36"/>
        <v>0</v>
      </c>
      <c r="P164" s="348">
        <f t="shared" si="41"/>
        <v>537600</v>
      </c>
      <c r="Q164" s="348">
        <f t="shared" si="42"/>
        <v>0</v>
      </c>
      <c r="R164" s="348">
        <f t="shared" si="43"/>
        <v>196627200</v>
      </c>
      <c r="S164" s="348">
        <f t="shared" si="43"/>
        <v>0</v>
      </c>
      <c r="T164" s="348">
        <f t="shared" si="46"/>
        <v>71500800</v>
      </c>
      <c r="U164" s="348">
        <f t="shared" si="47"/>
        <v>0</v>
      </c>
      <c r="V164" s="349" t="s">
        <v>612</v>
      </c>
      <c r="W164" s="362" t="s">
        <v>634</v>
      </c>
      <c r="X164" s="334">
        <v>1</v>
      </c>
      <c r="Y164" s="334">
        <v>0.8</v>
      </c>
      <c r="Z164" s="351">
        <f t="shared" si="38"/>
        <v>291840</v>
      </c>
      <c r="AA164" s="351">
        <f t="shared" si="38"/>
        <v>291840</v>
      </c>
      <c r="AB164" s="351">
        <f t="shared" si="48"/>
        <v>364800</v>
      </c>
      <c r="AC164" s="351">
        <f t="shared" si="48"/>
        <v>364800</v>
      </c>
      <c r="AD164" s="351">
        <f t="shared" si="48"/>
        <v>364800</v>
      </c>
      <c r="AE164" s="351">
        <f t="shared" si="48"/>
        <v>364800</v>
      </c>
      <c r="AF164" s="351">
        <f t="shared" si="48"/>
        <v>364800</v>
      </c>
      <c r="AG164" s="351">
        <f t="shared" si="48"/>
        <v>364800</v>
      </c>
      <c r="AH164" s="351">
        <f t="shared" si="39"/>
        <v>291840</v>
      </c>
      <c r="AI164" s="351">
        <f t="shared" si="39"/>
        <v>291840</v>
      </c>
      <c r="AJ164" s="351">
        <f t="shared" si="39"/>
        <v>291840</v>
      </c>
      <c r="AK164" s="351">
        <f t="shared" si="39"/>
        <v>291840</v>
      </c>
    </row>
    <row r="165" spans="2:37">
      <c r="B165" s="701"/>
      <c r="C165" s="700"/>
      <c r="D165" s="352" t="s">
        <v>627</v>
      </c>
      <c r="E165" s="353">
        <v>17</v>
      </c>
      <c r="F165" s="354">
        <v>3000</v>
      </c>
      <c r="G165" s="354"/>
      <c r="H165" s="354">
        <v>800</v>
      </c>
      <c r="I165" s="354"/>
      <c r="J165" s="356">
        <f t="shared" si="40"/>
        <v>51000</v>
      </c>
      <c r="K165" s="346">
        <f t="shared" si="34"/>
        <v>0</v>
      </c>
      <c r="L165" s="346">
        <f t="shared" si="44"/>
        <v>13600</v>
      </c>
      <c r="M165" s="346">
        <f t="shared" si="45"/>
        <v>0</v>
      </c>
      <c r="N165" s="348">
        <f t="shared" si="35"/>
        <v>357000</v>
      </c>
      <c r="O165" s="348">
        <f t="shared" si="36"/>
        <v>0</v>
      </c>
      <c r="P165" s="348">
        <f t="shared" si="41"/>
        <v>95200</v>
      </c>
      <c r="Q165" s="348">
        <f t="shared" si="42"/>
        <v>0</v>
      </c>
      <c r="R165" s="348">
        <f t="shared" si="43"/>
        <v>34819400</v>
      </c>
      <c r="S165" s="348">
        <f t="shared" si="43"/>
        <v>0</v>
      </c>
      <c r="T165" s="348">
        <f t="shared" si="46"/>
        <v>12661600</v>
      </c>
      <c r="U165" s="348">
        <f t="shared" si="47"/>
        <v>0</v>
      </c>
      <c r="V165" s="349" t="s">
        <v>612</v>
      </c>
      <c r="W165" s="362" t="s">
        <v>634</v>
      </c>
      <c r="X165" s="334">
        <v>1</v>
      </c>
      <c r="Y165" s="334">
        <v>0.8</v>
      </c>
      <c r="Z165" s="351">
        <f t="shared" si="38"/>
        <v>51680</v>
      </c>
      <c r="AA165" s="351">
        <f t="shared" si="38"/>
        <v>51680</v>
      </c>
      <c r="AB165" s="351">
        <f t="shared" si="48"/>
        <v>64600</v>
      </c>
      <c r="AC165" s="351">
        <f t="shared" si="48"/>
        <v>64600</v>
      </c>
      <c r="AD165" s="351">
        <f t="shared" si="48"/>
        <v>64600</v>
      </c>
      <c r="AE165" s="351">
        <f t="shared" si="48"/>
        <v>64600</v>
      </c>
      <c r="AF165" s="351">
        <f t="shared" si="48"/>
        <v>64600</v>
      </c>
      <c r="AG165" s="351">
        <f t="shared" si="48"/>
        <v>64600</v>
      </c>
      <c r="AH165" s="351">
        <f t="shared" si="39"/>
        <v>51680</v>
      </c>
      <c r="AI165" s="351">
        <f t="shared" si="39"/>
        <v>51680</v>
      </c>
      <c r="AJ165" s="351">
        <f t="shared" si="39"/>
        <v>51680</v>
      </c>
      <c r="AK165" s="351">
        <f t="shared" si="39"/>
        <v>51680</v>
      </c>
    </row>
    <row r="166" spans="2:37">
      <c r="B166" s="701"/>
      <c r="C166" s="700"/>
      <c r="D166" s="352" t="s">
        <v>628</v>
      </c>
      <c r="E166" s="353">
        <v>1</v>
      </c>
      <c r="F166" s="354">
        <v>3000</v>
      </c>
      <c r="G166" s="354"/>
      <c r="H166" s="354">
        <v>800</v>
      </c>
      <c r="I166" s="354"/>
      <c r="J166" s="356">
        <f t="shared" si="40"/>
        <v>3000</v>
      </c>
      <c r="K166" s="346">
        <f t="shared" si="34"/>
        <v>0</v>
      </c>
      <c r="L166" s="346">
        <f t="shared" si="44"/>
        <v>800</v>
      </c>
      <c r="M166" s="346">
        <f t="shared" si="45"/>
        <v>0</v>
      </c>
      <c r="N166" s="348">
        <f t="shared" si="35"/>
        <v>21000</v>
      </c>
      <c r="O166" s="348">
        <f t="shared" si="36"/>
        <v>0</v>
      </c>
      <c r="P166" s="348">
        <f t="shared" si="41"/>
        <v>5600</v>
      </c>
      <c r="Q166" s="348">
        <f t="shared" si="42"/>
        <v>0</v>
      </c>
      <c r="R166" s="348">
        <f t="shared" si="43"/>
        <v>2048200</v>
      </c>
      <c r="S166" s="348">
        <f t="shared" si="43"/>
        <v>0</v>
      </c>
      <c r="T166" s="348">
        <f t="shared" si="46"/>
        <v>744800</v>
      </c>
      <c r="U166" s="348">
        <f t="shared" si="47"/>
        <v>0</v>
      </c>
      <c r="V166" s="349" t="s">
        <v>612</v>
      </c>
      <c r="W166" s="362" t="s">
        <v>634</v>
      </c>
      <c r="X166" s="334">
        <v>1</v>
      </c>
      <c r="Y166" s="334">
        <v>0.8</v>
      </c>
      <c r="Z166" s="351">
        <f t="shared" si="38"/>
        <v>3040</v>
      </c>
      <c r="AA166" s="351">
        <f t="shared" si="38"/>
        <v>3040</v>
      </c>
      <c r="AB166" s="351">
        <f t="shared" si="48"/>
        <v>3800</v>
      </c>
      <c r="AC166" s="351">
        <f t="shared" si="48"/>
        <v>3800</v>
      </c>
      <c r="AD166" s="351">
        <f t="shared" si="48"/>
        <v>3800</v>
      </c>
      <c r="AE166" s="351">
        <f t="shared" si="48"/>
        <v>3800</v>
      </c>
      <c r="AF166" s="351">
        <f t="shared" si="48"/>
        <v>3800</v>
      </c>
      <c r="AG166" s="351">
        <f t="shared" si="48"/>
        <v>3800</v>
      </c>
      <c r="AH166" s="351">
        <f t="shared" si="39"/>
        <v>3040</v>
      </c>
      <c r="AI166" s="351">
        <f t="shared" si="39"/>
        <v>3040</v>
      </c>
      <c r="AJ166" s="351">
        <f t="shared" si="39"/>
        <v>3040</v>
      </c>
      <c r="AK166" s="351">
        <f t="shared" si="39"/>
        <v>3040</v>
      </c>
    </row>
    <row r="167" spans="2:37" ht="13.95" customHeight="1">
      <c r="B167" s="701"/>
      <c r="C167" s="699" t="s">
        <v>640</v>
      </c>
      <c r="D167" s="352" t="s">
        <v>583</v>
      </c>
      <c r="E167" s="353">
        <v>14</v>
      </c>
      <c r="F167" s="354">
        <v>1000</v>
      </c>
      <c r="G167" s="355"/>
      <c r="H167" s="355"/>
      <c r="I167" s="355"/>
      <c r="J167" s="356">
        <f t="shared" si="40"/>
        <v>14000</v>
      </c>
      <c r="K167" s="346">
        <f t="shared" si="34"/>
        <v>0</v>
      </c>
      <c r="L167" s="346">
        <f t="shared" si="44"/>
        <v>0</v>
      </c>
      <c r="M167" s="346">
        <f t="shared" si="45"/>
        <v>0</v>
      </c>
      <c r="N167" s="348">
        <f t="shared" si="35"/>
        <v>98000</v>
      </c>
      <c r="O167" s="348">
        <f t="shared" si="36"/>
        <v>0</v>
      </c>
      <c r="P167" s="348">
        <f t="shared" si="41"/>
        <v>0</v>
      </c>
      <c r="Q167" s="348">
        <f t="shared" si="42"/>
        <v>0</v>
      </c>
      <c r="R167" s="348">
        <f t="shared" si="43"/>
        <v>7546000</v>
      </c>
      <c r="S167" s="348">
        <f t="shared" si="43"/>
        <v>0</v>
      </c>
      <c r="T167" s="348">
        <f t="shared" si="46"/>
        <v>2744000</v>
      </c>
      <c r="U167" s="348">
        <f t="shared" si="47"/>
        <v>0</v>
      </c>
      <c r="V167" s="349" t="s">
        <v>612</v>
      </c>
      <c r="W167" s="362" t="s">
        <v>634</v>
      </c>
      <c r="X167" s="334">
        <v>1</v>
      </c>
      <c r="Y167" s="334">
        <v>0.8</v>
      </c>
      <c r="Z167" s="351">
        <f t="shared" ref="Z167:AA198" si="49">($J167+$K167+$L167+$M167)*$Y167</f>
        <v>11200</v>
      </c>
      <c r="AA167" s="351">
        <f t="shared" si="49"/>
        <v>11200</v>
      </c>
      <c r="AB167" s="351">
        <f t="shared" si="48"/>
        <v>14000</v>
      </c>
      <c r="AC167" s="351">
        <f t="shared" si="48"/>
        <v>14000</v>
      </c>
      <c r="AD167" s="351">
        <f t="shared" si="48"/>
        <v>14000</v>
      </c>
      <c r="AE167" s="351">
        <f t="shared" si="48"/>
        <v>14000</v>
      </c>
      <c r="AF167" s="351">
        <f t="shared" si="48"/>
        <v>14000</v>
      </c>
      <c r="AG167" s="351">
        <f t="shared" si="48"/>
        <v>14000</v>
      </c>
      <c r="AH167" s="351">
        <f t="shared" ref="AH167:AK198" si="50">($J167+$K167+$L167+$M167)*$Y167</f>
        <v>11200</v>
      </c>
      <c r="AI167" s="351">
        <f t="shared" si="50"/>
        <v>11200</v>
      </c>
      <c r="AJ167" s="351">
        <f t="shared" si="50"/>
        <v>11200</v>
      </c>
      <c r="AK167" s="351">
        <f t="shared" si="50"/>
        <v>11200</v>
      </c>
    </row>
    <row r="168" spans="2:37" ht="39.6">
      <c r="B168" s="701"/>
      <c r="C168" s="699"/>
      <c r="D168" s="352" t="s">
        <v>623</v>
      </c>
      <c r="E168" s="353">
        <v>1</v>
      </c>
      <c r="F168" s="354">
        <v>1000</v>
      </c>
      <c r="G168" s="355"/>
      <c r="H168" s="355"/>
      <c r="I168" s="355"/>
      <c r="J168" s="356">
        <f t="shared" si="40"/>
        <v>1000</v>
      </c>
      <c r="K168" s="346">
        <f t="shared" si="34"/>
        <v>0</v>
      </c>
      <c r="L168" s="346">
        <f t="shared" si="44"/>
        <v>0</v>
      </c>
      <c r="M168" s="346">
        <f t="shared" si="45"/>
        <v>0</v>
      </c>
      <c r="N168" s="348">
        <f t="shared" si="35"/>
        <v>7000</v>
      </c>
      <c r="O168" s="348">
        <f t="shared" si="36"/>
        <v>0</v>
      </c>
      <c r="P168" s="348">
        <f t="shared" si="41"/>
        <v>0</v>
      </c>
      <c r="Q168" s="348">
        <f t="shared" si="42"/>
        <v>0</v>
      </c>
      <c r="R168" s="348">
        <f t="shared" si="43"/>
        <v>539000</v>
      </c>
      <c r="S168" s="348">
        <f t="shared" si="43"/>
        <v>0</v>
      </c>
      <c r="T168" s="348">
        <f t="shared" si="46"/>
        <v>196000</v>
      </c>
      <c r="U168" s="348">
        <f t="shared" si="47"/>
        <v>0</v>
      </c>
      <c r="V168" s="349" t="s">
        <v>612</v>
      </c>
      <c r="W168" s="361" t="s">
        <v>633</v>
      </c>
      <c r="X168" s="334">
        <v>1</v>
      </c>
      <c r="Y168" s="334">
        <v>0.8</v>
      </c>
      <c r="Z168" s="351"/>
      <c r="AA168" s="351"/>
      <c r="AB168" s="351">
        <f t="shared" si="48"/>
        <v>1000</v>
      </c>
      <c r="AC168" s="351">
        <f t="shared" si="48"/>
        <v>1000</v>
      </c>
      <c r="AD168" s="351">
        <f t="shared" si="48"/>
        <v>1000</v>
      </c>
      <c r="AE168" s="351">
        <f t="shared" si="48"/>
        <v>1000</v>
      </c>
      <c r="AF168" s="351">
        <f t="shared" si="48"/>
        <v>1000</v>
      </c>
      <c r="AG168" s="351">
        <f t="shared" si="48"/>
        <v>1000</v>
      </c>
      <c r="AH168" s="351">
        <f t="shared" si="50"/>
        <v>800</v>
      </c>
      <c r="AI168" s="351">
        <f t="shared" si="50"/>
        <v>800</v>
      </c>
      <c r="AJ168" s="351">
        <f t="shared" si="50"/>
        <v>800</v>
      </c>
      <c r="AK168" s="351"/>
    </row>
    <row r="169" spans="2:37" ht="39.6">
      <c r="B169" s="701"/>
      <c r="C169" s="699"/>
      <c r="D169" s="352" t="s">
        <v>625</v>
      </c>
      <c r="E169" s="353">
        <v>1</v>
      </c>
      <c r="F169" s="354">
        <v>1000</v>
      </c>
      <c r="G169" s="355"/>
      <c r="H169" s="355"/>
      <c r="I169" s="355"/>
      <c r="J169" s="356">
        <f t="shared" si="40"/>
        <v>1000</v>
      </c>
      <c r="K169" s="346">
        <f t="shared" si="34"/>
        <v>0</v>
      </c>
      <c r="L169" s="346">
        <f t="shared" si="44"/>
        <v>0</v>
      </c>
      <c r="M169" s="346">
        <f t="shared" si="45"/>
        <v>0</v>
      </c>
      <c r="N169" s="348">
        <f t="shared" si="35"/>
        <v>7000</v>
      </c>
      <c r="O169" s="348">
        <f t="shared" si="36"/>
        <v>0</v>
      </c>
      <c r="P169" s="348">
        <f t="shared" si="41"/>
        <v>0</v>
      </c>
      <c r="Q169" s="348">
        <f t="shared" si="42"/>
        <v>0</v>
      </c>
      <c r="R169" s="348">
        <f t="shared" si="43"/>
        <v>539000</v>
      </c>
      <c r="S169" s="348">
        <f t="shared" si="43"/>
        <v>0</v>
      </c>
      <c r="T169" s="348">
        <f t="shared" si="46"/>
        <v>196000</v>
      </c>
      <c r="U169" s="348">
        <f t="shared" si="47"/>
        <v>0</v>
      </c>
      <c r="V169" s="349" t="s">
        <v>612</v>
      </c>
      <c r="W169" s="361" t="s">
        <v>637</v>
      </c>
      <c r="X169" s="334">
        <v>1</v>
      </c>
      <c r="Y169" s="334">
        <v>0.8</v>
      </c>
      <c r="Z169" s="351">
        <f t="shared" si="49"/>
        <v>800</v>
      </c>
      <c r="AA169" s="351">
        <f t="shared" si="49"/>
        <v>800</v>
      </c>
      <c r="AB169" s="351">
        <f t="shared" si="48"/>
        <v>1000</v>
      </c>
      <c r="AC169" s="351">
        <f t="shared" si="48"/>
        <v>1000</v>
      </c>
      <c r="AD169" s="351">
        <f t="shared" si="48"/>
        <v>1000</v>
      </c>
      <c r="AE169" s="351"/>
      <c r="AF169" s="351"/>
      <c r="AG169" s="351"/>
      <c r="AH169" s="351">
        <f t="shared" si="50"/>
        <v>800</v>
      </c>
      <c r="AI169" s="351">
        <f t="shared" si="50"/>
        <v>800</v>
      </c>
      <c r="AJ169" s="351">
        <f t="shared" si="50"/>
        <v>800</v>
      </c>
      <c r="AK169" s="351">
        <f t="shared" si="50"/>
        <v>800</v>
      </c>
    </row>
    <row r="170" spans="2:37" ht="13.95" customHeight="1">
      <c r="B170" s="701"/>
      <c r="C170" s="699"/>
      <c r="D170" s="352" t="s">
        <v>626</v>
      </c>
      <c r="E170" s="353">
        <v>3</v>
      </c>
      <c r="F170" s="354">
        <v>1000</v>
      </c>
      <c r="G170" s="355"/>
      <c r="H170" s="355"/>
      <c r="I170" s="355"/>
      <c r="J170" s="356">
        <f t="shared" si="40"/>
        <v>3000</v>
      </c>
      <c r="K170" s="346">
        <f t="shared" si="34"/>
        <v>0</v>
      </c>
      <c r="L170" s="346">
        <f t="shared" si="44"/>
        <v>0</v>
      </c>
      <c r="M170" s="346">
        <f t="shared" si="45"/>
        <v>0</v>
      </c>
      <c r="N170" s="348">
        <f t="shared" si="35"/>
        <v>21000</v>
      </c>
      <c r="O170" s="348">
        <f t="shared" si="36"/>
        <v>0</v>
      </c>
      <c r="P170" s="348">
        <f t="shared" si="41"/>
        <v>0</v>
      </c>
      <c r="Q170" s="348">
        <f t="shared" si="42"/>
        <v>0</v>
      </c>
      <c r="R170" s="348">
        <f t="shared" si="43"/>
        <v>1617000</v>
      </c>
      <c r="S170" s="348">
        <f t="shared" si="43"/>
        <v>0</v>
      </c>
      <c r="T170" s="348">
        <f t="shared" si="46"/>
        <v>588000</v>
      </c>
      <c r="U170" s="348">
        <f t="shared" si="47"/>
        <v>0</v>
      </c>
      <c r="V170" s="349" t="s">
        <v>612</v>
      </c>
      <c r="W170" s="362" t="s">
        <v>634</v>
      </c>
      <c r="X170" s="334">
        <v>1</v>
      </c>
      <c r="Y170" s="334">
        <v>0.8</v>
      </c>
      <c r="Z170" s="351">
        <f t="shared" si="49"/>
        <v>2400</v>
      </c>
      <c r="AA170" s="351">
        <f t="shared" si="49"/>
        <v>2400</v>
      </c>
      <c r="AB170" s="351">
        <f t="shared" si="48"/>
        <v>3000</v>
      </c>
      <c r="AC170" s="351">
        <f t="shared" si="48"/>
        <v>3000</v>
      </c>
      <c r="AD170" s="351">
        <f t="shared" si="48"/>
        <v>3000</v>
      </c>
      <c r="AE170" s="351">
        <f t="shared" si="48"/>
        <v>3000</v>
      </c>
      <c r="AF170" s="351">
        <f t="shared" si="48"/>
        <v>3000</v>
      </c>
      <c r="AG170" s="351">
        <f t="shared" si="48"/>
        <v>3000</v>
      </c>
      <c r="AH170" s="351">
        <f t="shared" si="50"/>
        <v>2400</v>
      </c>
      <c r="AI170" s="351">
        <f t="shared" si="50"/>
        <v>2400</v>
      </c>
      <c r="AJ170" s="351">
        <f t="shared" si="50"/>
        <v>2400</v>
      </c>
      <c r="AK170" s="351">
        <f t="shared" si="50"/>
        <v>2400</v>
      </c>
    </row>
    <row r="171" spans="2:37">
      <c r="B171" s="701"/>
      <c r="C171" s="699" t="s">
        <v>641</v>
      </c>
      <c r="D171" s="352" t="s">
        <v>583</v>
      </c>
      <c r="E171" s="353">
        <v>28</v>
      </c>
      <c r="F171" s="354">
        <v>3000</v>
      </c>
      <c r="G171" s="355"/>
      <c r="H171" s="355"/>
      <c r="I171" s="355"/>
      <c r="J171" s="356">
        <f t="shared" si="40"/>
        <v>84000</v>
      </c>
      <c r="K171" s="346">
        <f t="shared" si="34"/>
        <v>0</v>
      </c>
      <c r="L171" s="346">
        <f t="shared" si="44"/>
        <v>0</v>
      </c>
      <c r="M171" s="346">
        <f t="shared" si="45"/>
        <v>0</v>
      </c>
      <c r="N171" s="348">
        <f t="shared" si="35"/>
        <v>588000</v>
      </c>
      <c r="O171" s="348">
        <f t="shared" si="36"/>
        <v>0</v>
      </c>
      <c r="P171" s="348">
        <f t="shared" si="41"/>
        <v>0</v>
      </c>
      <c r="Q171" s="348">
        <f t="shared" si="42"/>
        <v>0</v>
      </c>
      <c r="R171" s="348">
        <f t="shared" si="43"/>
        <v>45276000</v>
      </c>
      <c r="S171" s="348">
        <f t="shared" si="43"/>
        <v>0</v>
      </c>
      <c r="T171" s="348">
        <f t="shared" si="46"/>
        <v>16464000</v>
      </c>
      <c r="U171" s="348">
        <f t="shared" si="47"/>
        <v>0</v>
      </c>
      <c r="V171" s="349" t="s">
        <v>612</v>
      </c>
      <c r="W171" s="362" t="s">
        <v>634</v>
      </c>
      <c r="X171" s="334">
        <v>1</v>
      </c>
      <c r="Y171" s="334">
        <v>0.8</v>
      </c>
      <c r="Z171" s="351">
        <f t="shared" si="49"/>
        <v>67200</v>
      </c>
      <c r="AA171" s="351">
        <f t="shared" si="49"/>
        <v>67200</v>
      </c>
      <c r="AB171" s="351">
        <f t="shared" si="48"/>
        <v>84000</v>
      </c>
      <c r="AC171" s="351">
        <f t="shared" si="48"/>
        <v>84000</v>
      </c>
      <c r="AD171" s="351">
        <f t="shared" si="48"/>
        <v>84000</v>
      </c>
      <c r="AE171" s="351">
        <f t="shared" si="48"/>
        <v>84000</v>
      </c>
      <c r="AF171" s="351">
        <f t="shared" si="48"/>
        <v>84000</v>
      </c>
      <c r="AG171" s="351">
        <f t="shared" si="48"/>
        <v>84000</v>
      </c>
      <c r="AH171" s="351">
        <f t="shared" si="50"/>
        <v>67200</v>
      </c>
      <c r="AI171" s="351">
        <f t="shared" si="50"/>
        <v>67200</v>
      </c>
      <c r="AJ171" s="351">
        <f t="shared" si="50"/>
        <v>67200</v>
      </c>
      <c r="AK171" s="351">
        <f t="shared" si="50"/>
        <v>67200</v>
      </c>
    </row>
    <row r="172" spans="2:37">
      <c r="B172" s="701"/>
      <c r="C172" s="699"/>
      <c r="D172" s="352" t="s">
        <v>614</v>
      </c>
      <c r="E172" s="353">
        <v>2</v>
      </c>
      <c r="F172" s="354">
        <v>3000</v>
      </c>
      <c r="G172" s="355"/>
      <c r="H172" s="355"/>
      <c r="I172" s="355"/>
      <c r="J172" s="356">
        <f t="shared" si="40"/>
        <v>6000</v>
      </c>
      <c r="K172" s="346">
        <f t="shared" si="34"/>
        <v>0</v>
      </c>
      <c r="L172" s="346">
        <f t="shared" si="44"/>
        <v>0</v>
      </c>
      <c r="M172" s="346">
        <f t="shared" si="45"/>
        <v>0</v>
      </c>
      <c r="N172" s="348">
        <f t="shared" si="35"/>
        <v>42000</v>
      </c>
      <c r="O172" s="348">
        <f t="shared" si="36"/>
        <v>0</v>
      </c>
      <c r="P172" s="348">
        <f t="shared" si="41"/>
        <v>0</v>
      </c>
      <c r="Q172" s="348">
        <f t="shared" si="42"/>
        <v>0</v>
      </c>
      <c r="R172" s="348">
        <f t="shared" si="43"/>
        <v>3234000</v>
      </c>
      <c r="S172" s="348">
        <f t="shared" si="43"/>
        <v>0</v>
      </c>
      <c r="T172" s="348">
        <f t="shared" si="46"/>
        <v>1176000</v>
      </c>
      <c r="U172" s="348">
        <f t="shared" si="47"/>
        <v>0</v>
      </c>
      <c r="V172" s="349" t="s">
        <v>612</v>
      </c>
      <c r="W172" s="362" t="s">
        <v>634</v>
      </c>
      <c r="X172" s="334">
        <v>1</v>
      </c>
      <c r="Y172" s="334">
        <v>0.8</v>
      </c>
      <c r="Z172" s="351">
        <f t="shared" si="49"/>
        <v>4800</v>
      </c>
      <c r="AA172" s="351">
        <f t="shared" si="49"/>
        <v>4800</v>
      </c>
      <c r="AB172" s="351">
        <f t="shared" si="48"/>
        <v>6000</v>
      </c>
      <c r="AC172" s="351">
        <f t="shared" si="48"/>
        <v>6000</v>
      </c>
      <c r="AD172" s="351">
        <f t="shared" si="48"/>
        <v>6000</v>
      </c>
      <c r="AE172" s="351">
        <f t="shared" si="48"/>
        <v>6000</v>
      </c>
      <c r="AF172" s="351">
        <f t="shared" si="48"/>
        <v>6000</v>
      </c>
      <c r="AG172" s="351">
        <f t="shared" si="48"/>
        <v>6000</v>
      </c>
      <c r="AH172" s="351">
        <f t="shared" si="50"/>
        <v>4800</v>
      </c>
      <c r="AI172" s="351">
        <f t="shared" si="50"/>
        <v>4800</v>
      </c>
      <c r="AJ172" s="351">
        <f t="shared" si="50"/>
        <v>4800</v>
      </c>
      <c r="AK172" s="351">
        <f t="shared" si="50"/>
        <v>4800</v>
      </c>
    </row>
    <row r="173" spans="2:37">
      <c r="B173" s="701"/>
      <c r="C173" s="699"/>
      <c r="D173" s="352" t="s">
        <v>616</v>
      </c>
      <c r="E173" s="353">
        <v>9</v>
      </c>
      <c r="F173" s="354">
        <v>3000</v>
      </c>
      <c r="G173" s="355"/>
      <c r="H173" s="355"/>
      <c r="I173" s="355"/>
      <c r="J173" s="356">
        <f t="shared" si="40"/>
        <v>27000</v>
      </c>
      <c r="K173" s="346">
        <f t="shared" si="34"/>
        <v>0</v>
      </c>
      <c r="L173" s="346">
        <f t="shared" si="44"/>
        <v>0</v>
      </c>
      <c r="M173" s="346">
        <f t="shared" si="45"/>
        <v>0</v>
      </c>
      <c r="N173" s="348">
        <f t="shared" si="35"/>
        <v>189000</v>
      </c>
      <c r="O173" s="348">
        <f t="shared" si="36"/>
        <v>0</v>
      </c>
      <c r="P173" s="348">
        <f t="shared" si="41"/>
        <v>0</v>
      </c>
      <c r="Q173" s="348">
        <f t="shared" si="42"/>
        <v>0</v>
      </c>
      <c r="R173" s="348">
        <f t="shared" si="43"/>
        <v>14553000</v>
      </c>
      <c r="S173" s="348">
        <f t="shared" si="43"/>
        <v>0</v>
      </c>
      <c r="T173" s="348">
        <f t="shared" si="46"/>
        <v>5292000</v>
      </c>
      <c r="U173" s="348">
        <f t="shared" si="47"/>
        <v>0</v>
      </c>
      <c r="V173" s="349" t="s">
        <v>612</v>
      </c>
      <c r="W173" s="362" t="s">
        <v>634</v>
      </c>
      <c r="X173" s="334">
        <v>1</v>
      </c>
      <c r="Y173" s="334">
        <v>0.8</v>
      </c>
      <c r="Z173" s="351">
        <f t="shared" si="49"/>
        <v>21600</v>
      </c>
      <c r="AA173" s="351">
        <f t="shared" si="49"/>
        <v>21600</v>
      </c>
      <c r="AB173" s="351">
        <f t="shared" si="48"/>
        <v>27000</v>
      </c>
      <c r="AC173" s="351">
        <f t="shared" si="48"/>
        <v>27000</v>
      </c>
      <c r="AD173" s="351">
        <f t="shared" si="48"/>
        <v>27000</v>
      </c>
      <c r="AE173" s="351">
        <f t="shared" si="48"/>
        <v>27000</v>
      </c>
      <c r="AF173" s="351">
        <f t="shared" si="48"/>
        <v>27000</v>
      </c>
      <c r="AG173" s="351">
        <f t="shared" si="48"/>
        <v>27000</v>
      </c>
      <c r="AH173" s="351">
        <f t="shared" si="50"/>
        <v>21600</v>
      </c>
      <c r="AI173" s="351">
        <f t="shared" si="50"/>
        <v>21600</v>
      </c>
      <c r="AJ173" s="351">
        <f t="shared" si="50"/>
        <v>21600</v>
      </c>
      <c r="AK173" s="351">
        <f t="shared" si="50"/>
        <v>21600</v>
      </c>
    </row>
    <row r="174" spans="2:37">
      <c r="B174" s="701"/>
      <c r="C174" s="699"/>
      <c r="D174" s="352" t="s">
        <v>617</v>
      </c>
      <c r="E174" s="353">
        <v>3</v>
      </c>
      <c r="F174" s="354">
        <v>3000</v>
      </c>
      <c r="G174" s="355"/>
      <c r="H174" s="355"/>
      <c r="I174" s="355"/>
      <c r="J174" s="356">
        <f t="shared" si="40"/>
        <v>9000</v>
      </c>
      <c r="K174" s="346">
        <f t="shared" si="34"/>
        <v>0</v>
      </c>
      <c r="L174" s="346">
        <f t="shared" si="44"/>
        <v>0</v>
      </c>
      <c r="M174" s="346">
        <f t="shared" si="45"/>
        <v>0</v>
      </c>
      <c r="N174" s="348">
        <f t="shared" si="35"/>
        <v>63000</v>
      </c>
      <c r="O174" s="348">
        <f t="shared" si="36"/>
        <v>0</v>
      </c>
      <c r="P174" s="348">
        <f t="shared" si="41"/>
        <v>0</v>
      </c>
      <c r="Q174" s="348">
        <f t="shared" si="42"/>
        <v>0</v>
      </c>
      <c r="R174" s="348">
        <f t="shared" si="43"/>
        <v>4851000</v>
      </c>
      <c r="S174" s="348">
        <f t="shared" si="43"/>
        <v>0</v>
      </c>
      <c r="T174" s="348">
        <f t="shared" si="46"/>
        <v>1764000</v>
      </c>
      <c r="U174" s="348">
        <f t="shared" si="47"/>
        <v>0</v>
      </c>
      <c r="V174" s="349" t="s">
        <v>612</v>
      </c>
      <c r="W174" s="362" t="s">
        <v>634</v>
      </c>
      <c r="X174" s="334">
        <v>1</v>
      </c>
      <c r="Y174" s="334">
        <v>0.8</v>
      </c>
      <c r="Z174" s="351">
        <f t="shared" si="49"/>
        <v>7200</v>
      </c>
      <c r="AA174" s="351">
        <f t="shared" si="49"/>
        <v>7200</v>
      </c>
      <c r="AB174" s="351">
        <f t="shared" si="48"/>
        <v>9000</v>
      </c>
      <c r="AC174" s="351">
        <f t="shared" si="48"/>
        <v>9000</v>
      </c>
      <c r="AD174" s="351">
        <f t="shared" si="48"/>
        <v>9000</v>
      </c>
      <c r="AE174" s="351">
        <f t="shared" si="48"/>
        <v>9000</v>
      </c>
      <c r="AF174" s="351">
        <f t="shared" si="48"/>
        <v>9000</v>
      </c>
      <c r="AG174" s="351">
        <f t="shared" si="48"/>
        <v>9000</v>
      </c>
      <c r="AH174" s="351">
        <f t="shared" si="50"/>
        <v>7200</v>
      </c>
      <c r="AI174" s="351">
        <f t="shared" si="50"/>
        <v>7200</v>
      </c>
      <c r="AJ174" s="351">
        <f t="shared" si="50"/>
        <v>7200</v>
      </c>
      <c r="AK174" s="351">
        <f t="shared" si="50"/>
        <v>7200</v>
      </c>
    </row>
    <row r="175" spans="2:37">
      <c r="B175" s="701"/>
      <c r="C175" s="699"/>
      <c r="D175" s="352" t="s">
        <v>619</v>
      </c>
      <c r="E175" s="353">
        <v>7</v>
      </c>
      <c r="F175" s="354">
        <v>3000</v>
      </c>
      <c r="G175" s="355"/>
      <c r="H175" s="355"/>
      <c r="I175" s="355"/>
      <c r="J175" s="356">
        <f t="shared" si="40"/>
        <v>21000</v>
      </c>
      <c r="K175" s="346">
        <f t="shared" si="34"/>
        <v>0</v>
      </c>
      <c r="L175" s="346">
        <f t="shared" si="44"/>
        <v>0</v>
      </c>
      <c r="M175" s="346">
        <f t="shared" si="45"/>
        <v>0</v>
      </c>
      <c r="N175" s="348">
        <f t="shared" si="35"/>
        <v>147000</v>
      </c>
      <c r="O175" s="348">
        <f t="shared" si="36"/>
        <v>0</v>
      </c>
      <c r="P175" s="348">
        <f t="shared" si="41"/>
        <v>0</v>
      </c>
      <c r="Q175" s="348">
        <f t="shared" si="42"/>
        <v>0</v>
      </c>
      <c r="R175" s="348">
        <f t="shared" si="43"/>
        <v>11319000</v>
      </c>
      <c r="S175" s="348">
        <f t="shared" si="43"/>
        <v>0</v>
      </c>
      <c r="T175" s="348">
        <f t="shared" si="46"/>
        <v>4116000</v>
      </c>
      <c r="U175" s="348">
        <f t="shared" si="47"/>
        <v>0</v>
      </c>
      <c r="V175" s="349" t="s">
        <v>612</v>
      </c>
      <c r="W175" s="362" t="s">
        <v>634</v>
      </c>
      <c r="X175" s="334">
        <v>1</v>
      </c>
      <c r="Y175" s="334">
        <v>0.8</v>
      </c>
      <c r="Z175" s="351">
        <f t="shared" si="49"/>
        <v>16800</v>
      </c>
      <c r="AA175" s="351">
        <f t="shared" si="49"/>
        <v>16800</v>
      </c>
      <c r="AB175" s="351">
        <f t="shared" si="48"/>
        <v>21000</v>
      </c>
      <c r="AC175" s="351">
        <f t="shared" si="48"/>
        <v>21000</v>
      </c>
      <c r="AD175" s="351">
        <f t="shared" si="48"/>
        <v>21000</v>
      </c>
      <c r="AE175" s="351">
        <f t="shared" si="48"/>
        <v>21000</v>
      </c>
      <c r="AF175" s="351">
        <f t="shared" si="48"/>
        <v>21000</v>
      </c>
      <c r="AG175" s="351">
        <f t="shared" si="48"/>
        <v>21000</v>
      </c>
      <c r="AH175" s="351">
        <f t="shared" si="50"/>
        <v>16800</v>
      </c>
      <c r="AI175" s="351">
        <f t="shared" si="50"/>
        <v>16800</v>
      </c>
      <c r="AJ175" s="351">
        <f t="shared" si="50"/>
        <v>16800</v>
      </c>
      <c r="AK175" s="351">
        <f t="shared" si="50"/>
        <v>16800</v>
      </c>
    </row>
    <row r="176" spans="2:37">
      <c r="B176" s="701"/>
      <c r="C176" s="699"/>
      <c r="D176" s="352" t="s">
        <v>620</v>
      </c>
      <c r="E176" s="353">
        <v>22</v>
      </c>
      <c r="F176" s="354">
        <v>3000</v>
      </c>
      <c r="G176" s="355"/>
      <c r="H176" s="355"/>
      <c r="I176" s="355"/>
      <c r="J176" s="356">
        <f t="shared" si="40"/>
        <v>66000</v>
      </c>
      <c r="K176" s="346">
        <f t="shared" si="34"/>
        <v>0</v>
      </c>
      <c r="L176" s="346">
        <f t="shared" si="44"/>
        <v>0</v>
      </c>
      <c r="M176" s="346">
        <f t="shared" si="45"/>
        <v>0</v>
      </c>
      <c r="N176" s="348">
        <f t="shared" si="35"/>
        <v>462000</v>
      </c>
      <c r="O176" s="348">
        <f t="shared" si="36"/>
        <v>0</v>
      </c>
      <c r="P176" s="348">
        <f t="shared" si="41"/>
        <v>0</v>
      </c>
      <c r="Q176" s="348">
        <f t="shared" si="42"/>
        <v>0</v>
      </c>
      <c r="R176" s="348">
        <f t="shared" si="43"/>
        <v>35574000</v>
      </c>
      <c r="S176" s="348">
        <f t="shared" si="43"/>
        <v>0</v>
      </c>
      <c r="T176" s="348">
        <f t="shared" si="46"/>
        <v>12936000</v>
      </c>
      <c r="U176" s="348">
        <f t="shared" si="47"/>
        <v>0</v>
      </c>
      <c r="V176" s="349" t="s">
        <v>612</v>
      </c>
      <c r="W176" s="362" t="s">
        <v>634</v>
      </c>
      <c r="X176" s="334">
        <v>1</v>
      </c>
      <c r="Y176" s="334">
        <v>0.8</v>
      </c>
      <c r="Z176" s="351">
        <f t="shared" si="49"/>
        <v>52800</v>
      </c>
      <c r="AA176" s="351">
        <f t="shared" si="49"/>
        <v>52800</v>
      </c>
      <c r="AB176" s="351">
        <f t="shared" si="48"/>
        <v>66000</v>
      </c>
      <c r="AC176" s="351">
        <f t="shared" si="48"/>
        <v>66000</v>
      </c>
      <c r="AD176" s="351">
        <f t="shared" si="48"/>
        <v>66000</v>
      </c>
      <c r="AE176" s="351">
        <f t="shared" si="48"/>
        <v>66000</v>
      </c>
      <c r="AF176" s="351">
        <f t="shared" si="48"/>
        <v>66000</v>
      </c>
      <c r="AG176" s="351">
        <f t="shared" si="48"/>
        <v>66000</v>
      </c>
      <c r="AH176" s="351">
        <f t="shared" si="50"/>
        <v>52800</v>
      </c>
      <c r="AI176" s="351">
        <f t="shared" si="50"/>
        <v>52800</v>
      </c>
      <c r="AJ176" s="351">
        <f t="shared" si="50"/>
        <v>52800</v>
      </c>
      <c r="AK176" s="351">
        <f t="shared" si="50"/>
        <v>52800</v>
      </c>
    </row>
    <row r="177" spans="2:37">
      <c r="B177" s="701"/>
      <c r="C177" s="699"/>
      <c r="D177" s="352" t="s">
        <v>622</v>
      </c>
      <c r="E177" s="353">
        <v>7</v>
      </c>
      <c r="F177" s="354">
        <v>3000</v>
      </c>
      <c r="G177" s="355"/>
      <c r="H177" s="355"/>
      <c r="I177" s="355"/>
      <c r="J177" s="356">
        <f t="shared" si="40"/>
        <v>21000</v>
      </c>
      <c r="K177" s="346">
        <f t="shared" si="34"/>
        <v>0</v>
      </c>
      <c r="L177" s="346">
        <f t="shared" si="44"/>
        <v>0</v>
      </c>
      <c r="M177" s="346">
        <f t="shared" si="45"/>
        <v>0</v>
      </c>
      <c r="N177" s="348">
        <f t="shared" si="35"/>
        <v>147000</v>
      </c>
      <c r="O177" s="348">
        <f t="shared" si="36"/>
        <v>0</v>
      </c>
      <c r="P177" s="348">
        <f t="shared" si="41"/>
        <v>0</v>
      </c>
      <c r="Q177" s="348">
        <f t="shared" si="42"/>
        <v>0</v>
      </c>
      <c r="R177" s="348">
        <f t="shared" si="43"/>
        <v>11319000</v>
      </c>
      <c r="S177" s="348">
        <f t="shared" si="43"/>
        <v>0</v>
      </c>
      <c r="T177" s="348">
        <f t="shared" si="46"/>
        <v>4116000</v>
      </c>
      <c r="U177" s="348">
        <f t="shared" si="47"/>
        <v>0</v>
      </c>
      <c r="V177" s="349" t="s">
        <v>612</v>
      </c>
      <c r="W177" s="362" t="s">
        <v>634</v>
      </c>
      <c r="X177" s="334">
        <v>1</v>
      </c>
      <c r="Y177" s="334">
        <v>0.8</v>
      </c>
      <c r="Z177" s="351">
        <f t="shared" si="49"/>
        <v>16800</v>
      </c>
      <c r="AA177" s="351">
        <f t="shared" si="49"/>
        <v>16800</v>
      </c>
      <c r="AB177" s="351">
        <f t="shared" si="48"/>
        <v>21000</v>
      </c>
      <c r="AC177" s="351">
        <f t="shared" si="48"/>
        <v>21000</v>
      </c>
      <c r="AD177" s="351">
        <f t="shared" si="48"/>
        <v>21000</v>
      </c>
      <c r="AE177" s="351">
        <f t="shared" si="48"/>
        <v>21000</v>
      </c>
      <c r="AF177" s="351">
        <f t="shared" si="48"/>
        <v>21000</v>
      </c>
      <c r="AG177" s="351">
        <f t="shared" si="48"/>
        <v>21000</v>
      </c>
      <c r="AH177" s="351">
        <f t="shared" si="50"/>
        <v>16800</v>
      </c>
      <c r="AI177" s="351">
        <f t="shared" si="50"/>
        <v>16800</v>
      </c>
      <c r="AJ177" s="351">
        <f t="shared" si="50"/>
        <v>16800</v>
      </c>
      <c r="AK177" s="351">
        <f t="shared" si="50"/>
        <v>16800</v>
      </c>
    </row>
    <row r="178" spans="2:37" ht="39.6">
      <c r="B178" s="701"/>
      <c r="C178" s="699"/>
      <c r="D178" s="352" t="s">
        <v>623</v>
      </c>
      <c r="E178" s="353">
        <v>5</v>
      </c>
      <c r="F178" s="354">
        <v>3000</v>
      </c>
      <c r="G178" s="355"/>
      <c r="H178" s="355"/>
      <c r="I178" s="355"/>
      <c r="J178" s="356">
        <f t="shared" si="40"/>
        <v>15000</v>
      </c>
      <c r="K178" s="346">
        <f t="shared" si="34"/>
        <v>0</v>
      </c>
      <c r="L178" s="346">
        <f t="shared" si="44"/>
        <v>0</v>
      </c>
      <c r="M178" s="346">
        <f t="shared" si="45"/>
        <v>0</v>
      </c>
      <c r="N178" s="348">
        <f t="shared" si="35"/>
        <v>105000</v>
      </c>
      <c r="O178" s="348">
        <f t="shared" si="36"/>
        <v>0</v>
      </c>
      <c r="P178" s="348">
        <f t="shared" si="41"/>
        <v>0</v>
      </c>
      <c r="Q178" s="348">
        <f t="shared" si="42"/>
        <v>0</v>
      </c>
      <c r="R178" s="348">
        <f t="shared" si="43"/>
        <v>8085000</v>
      </c>
      <c r="S178" s="348">
        <f t="shared" si="43"/>
        <v>0</v>
      </c>
      <c r="T178" s="348">
        <f t="shared" si="46"/>
        <v>2940000</v>
      </c>
      <c r="U178" s="348">
        <f t="shared" si="47"/>
        <v>0</v>
      </c>
      <c r="V178" s="349" t="s">
        <v>612</v>
      </c>
      <c r="W178" s="361" t="s">
        <v>633</v>
      </c>
      <c r="X178" s="334">
        <v>1</v>
      </c>
      <c r="Y178" s="334">
        <v>0.8</v>
      </c>
      <c r="Z178" s="351"/>
      <c r="AA178" s="351"/>
      <c r="AB178" s="351">
        <f t="shared" si="48"/>
        <v>15000</v>
      </c>
      <c r="AC178" s="351">
        <f t="shared" si="48"/>
        <v>15000</v>
      </c>
      <c r="AD178" s="351">
        <f t="shared" si="48"/>
        <v>15000</v>
      </c>
      <c r="AE178" s="351">
        <f t="shared" si="48"/>
        <v>15000</v>
      </c>
      <c r="AF178" s="351">
        <f t="shared" si="48"/>
        <v>15000</v>
      </c>
      <c r="AG178" s="351">
        <f t="shared" si="48"/>
        <v>15000</v>
      </c>
      <c r="AH178" s="351">
        <f t="shared" si="50"/>
        <v>12000</v>
      </c>
      <c r="AI178" s="351">
        <f t="shared" si="50"/>
        <v>12000</v>
      </c>
      <c r="AJ178" s="351">
        <f t="shared" si="50"/>
        <v>12000</v>
      </c>
      <c r="AK178" s="351"/>
    </row>
    <row r="179" spans="2:37">
      <c r="B179" s="701"/>
      <c r="C179" s="699"/>
      <c r="D179" s="352" t="s">
        <v>624</v>
      </c>
      <c r="E179" s="353">
        <v>10</v>
      </c>
      <c r="F179" s="354">
        <v>3000</v>
      </c>
      <c r="G179" s="355"/>
      <c r="H179" s="355"/>
      <c r="I179" s="355"/>
      <c r="J179" s="356">
        <f t="shared" si="40"/>
        <v>30000</v>
      </c>
      <c r="K179" s="346">
        <f t="shared" si="34"/>
        <v>0</v>
      </c>
      <c r="L179" s="346">
        <f t="shared" si="44"/>
        <v>0</v>
      </c>
      <c r="M179" s="346">
        <f t="shared" si="45"/>
        <v>0</v>
      </c>
      <c r="N179" s="348">
        <f t="shared" si="35"/>
        <v>210000</v>
      </c>
      <c r="O179" s="348">
        <f t="shared" si="36"/>
        <v>0</v>
      </c>
      <c r="P179" s="348">
        <f t="shared" si="41"/>
        <v>0</v>
      </c>
      <c r="Q179" s="348">
        <f t="shared" si="42"/>
        <v>0</v>
      </c>
      <c r="R179" s="348">
        <f t="shared" si="43"/>
        <v>16170000</v>
      </c>
      <c r="S179" s="348">
        <f t="shared" si="43"/>
        <v>0</v>
      </c>
      <c r="T179" s="348">
        <f t="shared" si="46"/>
        <v>5880000</v>
      </c>
      <c r="U179" s="348">
        <f t="shared" si="47"/>
        <v>0</v>
      </c>
      <c r="V179" s="349" t="s">
        <v>612</v>
      </c>
      <c r="W179" s="362" t="s">
        <v>634</v>
      </c>
      <c r="X179" s="334">
        <v>1</v>
      </c>
      <c r="Y179" s="334">
        <v>0.8</v>
      </c>
      <c r="Z179" s="351">
        <f t="shared" si="49"/>
        <v>24000</v>
      </c>
      <c r="AA179" s="351">
        <f t="shared" si="49"/>
        <v>24000</v>
      </c>
      <c r="AB179" s="351">
        <f t="shared" si="48"/>
        <v>30000</v>
      </c>
      <c r="AC179" s="351">
        <f t="shared" si="48"/>
        <v>30000</v>
      </c>
      <c r="AD179" s="351">
        <f t="shared" si="48"/>
        <v>30000</v>
      </c>
      <c r="AE179" s="351">
        <f t="shared" si="48"/>
        <v>30000</v>
      </c>
      <c r="AF179" s="351">
        <f t="shared" si="48"/>
        <v>30000</v>
      </c>
      <c r="AG179" s="351">
        <f t="shared" si="48"/>
        <v>30000</v>
      </c>
      <c r="AH179" s="351">
        <f t="shared" si="50"/>
        <v>24000</v>
      </c>
      <c r="AI179" s="351">
        <f t="shared" si="50"/>
        <v>24000</v>
      </c>
      <c r="AJ179" s="351">
        <f t="shared" si="50"/>
        <v>24000</v>
      </c>
      <c r="AK179" s="351">
        <f t="shared" si="50"/>
        <v>24000</v>
      </c>
    </row>
    <row r="180" spans="2:37" ht="39.6">
      <c r="B180" s="701"/>
      <c r="C180" s="699"/>
      <c r="D180" s="352" t="s">
        <v>625</v>
      </c>
      <c r="E180" s="353">
        <v>1</v>
      </c>
      <c r="F180" s="354">
        <v>3000</v>
      </c>
      <c r="G180" s="355"/>
      <c r="H180" s="355"/>
      <c r="I180" s="355"/>
      <c r="J180" s="356">
        <f t="shared" si="40"/>
        <v>3000</v>
      </c>
      <c r="K180" s="346">
        <f t="shared" si="34"/>
        <v>0</v>
      </c>
      <c r="L180" s="346">
        <f t="shared" si="44"/>
        <v>0</v>
      </c>
      <c r="M180" s="346">
        <f t="shared" si="45"/>
        <v>0</v>
      </c>
      <c r="N180" s="348">
        <f t="shared" si="35"/>
        <v>21000</v>
      </c>
      <c r="O180" s="348">
        <f t="shared" si="36"/>
        <v>0</v>
      </c>
      <c r="P180" s="348">
        <f t="shared" si="41"/>
        <v>0</v>
      </c>
      <c r="Q180" s="348">
        <f t="shared" si="42"/>
        <v>0</v>
      </c>
      <c r="R180" s="348">
        <f t="shared" si="43"/>
        <v>1617000</v>
      </c>
      <c r="S180" s="348">
        <f t="shared" si="43"/>
        <v>0</v>
      </c>
      <c r="T180" s="348">
        <f t="shared" si="46"/>
        <v>588000</v>
      </c>
      <c r="U180" s="348">
        <f t="shared" si="47"/>
        <v>0</v>
      </c>
      <c r="V180" s="349" t="s">
        <v>612</v>
      </c>
      <c r="W180" s="361" t="s">
        <v>637</v>
      </c>
      <c r="X180" s="334">
        <v>1</v>
      </c>
      <c r="Y180" s="334">
        <v>0.8</v>
      </c>
      <c r="Z180" s="351">
        <f t="shared" si="49"/>
        <v>2400</v>
      </c>
      <c r="AA180" s="351">
        <f t="shared" si="49"/>
        <v>2400</v>
      </c>
      <c r="AB180" s="351">
        <f t="shared" si="48"/>
        <v>3000</v>
      </c>
      <c r="AC180" s="351">
        <f t="shared" si="48"/>
        <v>3000</v>
      </c>
      <c r="AD180" s="351">
        <f t="shared" si="48"/>
        <v>3000</v>
      </c>
      <c r="AE180" s="351"/>
      <c r="AF180" s="351"/>
      <c r="AG180" s="351"/>
      <c r="AH180" s="351">
        <f t="shared" si="50"/>
        <v>2400</v>
      </c>
      <c r="AI180" s="351">
        <f t="shared" si="50"/>
        <v>2400</v>
      </c>
      <c r="AJ180" s="351">
        <f t="shared" si="50"/>
        <v>2400</v>
      </c>
      <c r="AK180" s="351">
        <f t="shared" si="50"/>
        <v>2400</v>
      </c>
    </row>
    <row r="181" spans="2:37">
      <c r="B181" s="701"/>
      <c r="C181" s="699"/>
      <c r="D181" s="352" t="s">
        <v>626</v>
      </c>
      <c r="E181" s="353">
        <v>26</v>
      </c>
      <c r="F181" s="354">
        <v>3000</v>
      </c>
      <c r="G181" s="355"/>
      <c r="H181" s="355"/>
      <c r="I181" s="355"/>
      <c r="J181" s="356">
        <f t="shared" si="40"/>
        <v>78000</v>
      </c>
      <c r="K181" s="346">
        <f t="shared" si="34"/>
        <v>0</v>
      </c>
      <c r="L181" s="346">
        <f t="shared" si="44"/>
        <v>0</v>
      </c>
      <c r="M181" s="346">
        <f t="shared" si="45"/>
        <v>0</v>
      </c>
      <c r="N181" s="348">
        <f t="shared" si="35"/>
        <v>546000</v>
      </c>
      <c r="O181" s="348">
        <f t="shared" si="36"/>
        <v>0</v>
      </c>
      <c r="P181" s="348">
        <f t="shared" si="41"/>
        <v>0</v>
      </c>
      <c r="Q181" s="348">
        <f t="shared" si="42"/>
        <v>0</v>
      </c>
      <c r="R181" s="348">
        <f t="shared" si="43"/>
        <v>42042000</v>
      </c>
      <c r="S181" s="348">
        <f t="shared" si="43"/>
        <v>0</v>
      </c>
      <c r="T181" s="348">
        <f t="shared" si="46"/>
        <v>15288000</v>
      </c>
      <c r="U181" s="348">
        <f t="shared" si="47"/>
        <v>0</v>
      </c>
      <c r="V181" s="349" t="s">
        <v>612</v>
      </c>
      <c r="W181" s="362" t="s">
        <v>634</v>
      </c>
      <c r="X181" s="334">
        <v>1</v>
      </c>
      <c r="Y181" s="334">
        <v>0.8</v>
      </c>
      <c r="Z181" s="351">
        <f t="shared" si="49"/>
        <v>62400</v>
      </c>
      <c r="AA181" s="351">
        <f t="shared" si="49"/>
        <v>62400</v>
      </c>
      <c r="AB181" s="351">
        <f t="shared" si="48"/>
        <v>78000</v>
      </c>
      <c r="AC181" s="351">
        <f t="shared" si="48"/>
        <v>78000</v>
      </c>
      <c r="AD181" s="351">
        <f t="shared" si="48"/>
        <v>78000</v>
      </c>
      <c r="AE181" s="351">
        <f t="shared" si="48"/>
        <v>78000</v>
      </c>
      <c r="AF181" s="351">
        <f t="shared" si="48"/>
        <v>78000</v>
      </c>
      <c r="AG181" s="351">
        <f t="shared" si="48"/>
        <v>78000</v>
      </c>
      <c r="AH181" s="351">
        <f t="shared" si="50"/>
        <v>62400</v>
      </c>
      <c r="AI181" s="351">
        <f t="shared" si="50"/>
        <v>62400</v>
      </c>
      <c r="AJ181" s="351">
        <f t="shared" si="50"/>
        <v>62400</v>
      </c>
      <c r="AK181" s="351">
        <f t="shared" si="50"/>
        <v>62400</v>
      </c>
    </row>
    <row r="182" spans="2:37">
      <c r="B182" s="701"/>
      <c r="C182" s="366" t="s">
        <v>643</v>
      </c>
      <c r="D182" s="352" t="s">
        <v>583</v>
      </c>
      <c r="E182" s="353">
        <v>3</v>
      </c>
      <c r="F182" s="354">
        <v>2500</v>
      </c>
      <c r="G182" s="355"/>
      <c r="H182" s="355"/>
      <c r="I182" s="355"/>
      <c r="J182" s="356">
        <f t="shared" si="40"/>
        <v>7500</v>
      </c>
      <c r="K182" s="346">
        <f t="shared" si="34"/>
        <v>0</v>
      </c>
      <c r="L182" s="346">
        <f t="shared" si="44"/>
        <v>0</v>
      </c>
      <c r="M182" s="346">
        <f t="shared" si="45"/>
        <v>0</v>
      </c>
      <c r="N182" s="348">
        <f t="shared" si="35"/>
        <v>52500</v>
      </c>
      <c r="O182" s="348">
        <f t="shared" si="36"/>
        <v>0</v>
      </c>
      <c r="P182" s="348">
        <f t="shared" si="41"/>
        <v>0</v>
      </c>
      <c r="Q182" s="348">
        <f t="shared" si="42"/>
        <v>0</v>
      </c>
      <c r="R182" s="348">
        <f t="shared" si="43"/>
        <v>4042500</v>
      </c>
      <c r="S182" s="348">
        <f t="shared" si="43"/>
        <v>0</v>
      </c>
      <c r="T182" s="348">
        <f t="shared" si="46"/>
        <v>1470000</v>
      </c>
      <c r="U182" s="348">
        <f t="shared" si="47"/>
        <v>0</v>
      </c>
      <c r="V182" s="349" t="s">
        <v>612</v>
      </c>
      <c r="W182" s="362" t="s">
        <v>634</v>
      </c>
      <c r="X182" s="334">
        <v>1</v>
      </c>
      <c r="Y182" s="334">
        <v>0.8</v>
      </c>
      <c r="Z182" s="351">
        <f t="shared" si="49"/>
        <v>6000</v>
      </c>
      <c r="AA182" s="351">
        <f t="shared" si="49"/>
        <v>6000</v>
      </c>
      <c r="AB182" s="351">
        <f t="shared" si="48"/>
        <v>7500</v>
      </c>
      <c r="AC182" s="351">
        <f t="shared" si="48"/>
        <v>7500</v>
      </c>
      <c r="AD182" s="351">
        <f t="shared" si="48"/>
        <v>7500</v>
      </c>
      <c r="AE182" s="351">
        <f t="shared" si="48"/>
        <v>7500</v>
      </c>
      <c r="AF182" s="351">
        <f t="shared" si="48"/>
        <v>7500</v>
      </c>
      <c r="AG182" s="351">
        <f t="shared" si="48"/>
        <v>7500</v>
      </c>
      <c r="AH182" s="351">
        <f t="shared" si="50"/>
        <v>6000</v>
      </c>
      <c r="AI182" s="351">
        <f t="shared" si="50"/>
        <v>6000</v>
      </c>
      <c r="AJ182" s="351">
        <f t="shared" si="50"/>
        <v>6000</v>
      </c>
      <c r="AK182" s="351">
        <f t="shared" si="50"/>
        <v>6000</v>
      </c>
    </row>
    <row r="183" spans="2:37">
      <c r="B183" s="701"/>
      <c r="C183" s="366" t="s">
        <v>644</v>
      </c>
      <c r="D183" s="352" t="s">
        <v>615</v>
      </c>
      <c r="E183" s="353">
        <v>1</v>
      </c>
      <c r="F183" s="348">
        <v>0</v>
      </c>
      <c r="G183" s="355"/>
      <c r="H183" s="355"/>
      <c r="I183" s="355"/>
      <c r="J183" s="356">
        <v>0</v>
      </c>
      <c r="K183" s="346">
        <f t="shared" ref="K183:K204" si="51">E183*G183</f>
        <v>0</v>
      </c>
      <c r="L183" s="346">
        <f t="shared" si="44"/>
        <v>0</v>
      </c>
      <c r="M183" s="346">
        <f t="shared" si="45"/>
        <v>0</v>
      </c>
      <c r="N183" s="348">
        <f t="shared" ref="N183:N204" si="52">E183*F183*$X$2</f>
        <v>0</v>
      </c>
      <c r="O183" s="348">
        <f t="shared" ref="O183:O204" si="53">E183*G183*$X$2</f>
        <v>0</v>
      </c>
      <c r="P183" s="348">
        <f t="shared" si="41"/>
        <v>0</v>
      </c>
      <c r="Q183" s="348">
        <f t="shared" si="42"/>
        <v>0</v>
      </c>
      <c r="R183" s="348">
        <f t="shared" si="43"/>
        <v>0</v>
      </c>
      <c r="S183" s="348">
        <f t="shared" si="43"/>
        <v>0</v>
      </c>
      <c r="T183" s="348">
        <f t="shared" si="46"/>
        <v>0</v>
      </c>
      <c r="U183" s="348">
        <f t="shared" si="47"/>
        <v>0</v>
      </c>
      <c r="V183" s="349" t="s">
        <v>612</v>
      </c>
      <c r="W183" s="362" t="s">
        <v>634</v>
      </c>
      <c r="X183" s="334">
        <v>1</v>
      </c>
      <c r="Y183" s="334">
        <v>0.8</v>
      </c>
      <c r="Z183" s="351">
        <f t="shared" si="49"/>
        <v>0</v>
      </c>
      <c r="AA183" s="351">
        <f t="shared" si="49"/>
        <v>0</v>
      </c>
      <c r="AB183" s="351">
        <f t="shared" si="48"/>
        <v>0</v>
      </c>
      <c r="AC183" s="351">
        <f t="shared" si="48"/>
        <v>0</v>
      </c>
      <c r="AD183" s="351">
        <f t="shared" si="48"/>
        <v>0</v>
      </c>
      <c r="AE183" s="351">
        <f t="shared" si="48"/>
        <v>0</v>
      </c>
      <c r="AF183" s="351">
        <f t="shared" si="48"/>
        <v>0</v>
      </c>
      <c r="AG183" s="351">
        <f t="shared" si="48"/>
        <v>0</v>
      </c>
      <c r="AH183" s="351">
        <f t="shared" si="50"/>
        <v>0</v>
      </c>
      <c r="AI183" s="351">
        <f t="shared" si="50"/>
        <v>0</v>
      </c>
      <c r="AJ183" s="351">
        <f t="shared" si="50"/>
        <v>0</v>
      </c>
      <c r="AK183" s="351">
        <f t="shared" si="50"/>
        <v>0</v>
      </c>
    </row>
    <row r="184" spans="2:37">
      <c r="B184" s="701"/>
      <c r="C184" s="699" t="s">
        <v>642</v>
      </c>
      <c r="D184" s="352" t="s">
        <v>583</v>
      </c>
      <c r="E184" s="353">
        <v>3</v>
      </c>
      <c r="F184" s="354">
        <v>1000</v>
      </c>
      <c r="G184" s="355"/>
      <c r="H184" s="355"/>
      <c r="I184" s="355"/>
      <c r="J184" s="356">
        <f t="shared" si="40"/>
        <v>3000</v>
      </c>
      <c r="K184" s="346">
        <f t="shared" si="51"/>
        <v>0</v>
      </c>
      <c r="L184" s="346">
        <f t="shared" si="44"/>
        <v>0</v>
      </c>
      <c r="M184" s="346">
        <f t="shared" si="45"/>
        <v>0</v>
      </c>
      <c r="N184" s="348">
        <f t="shared" si="52"/>
        <v>21000</v>
      </c>
      <c r="O184" s="348">
        <f t="shared" si="53"/>
        <v>0</v>
      </c>
      <c r="P184" s="348">
        <f t="shared" si="41"/>
        <v>0</v>
      </c>
      <c r="Q184" s="348">
        <f t="shared" si="42"/>
        <v>0</v>
      </c>
      <c r="R184" s="348">
        <f t="shared" si="43"/>
        <v>1617000</v>
      </c>
      <c r="S184" s="348">
        <f t="shared" si="43"/>
        <v>0</v>
      </c>
      <c r="T184" s="348">
        <f t="shared" si="46"/>
        <v>588000</v>
      </c>
      <c r="U184" s="348">
        <f t="shared" si="47"/>
        <v>0</v>
      </c>
      <c r="V184" s="349" t="s">
        <v>612</v>
      </c>
      <c r="W184" s="362" t="s">
        <v>634</v>
      </c>
      <c r="X184" s="334">
        <v>1</v>
      </c>
      <c r="Y184" s="334">
        <v>0.8</v>
      </c>
      <c r="Z184" s="351">
        <f t="shared" si="49"/>
        <v>2400</v>
      </c>
      <c r="AA184" s="351">
        <f t="shared" si="49"/>
        <v>2400</v>
      </c>
      <c r="AB184" s="351">
        <f t="shared" si="48"/>
        <v>3000</v>
      </c>
      <c r="AC184" s="351">
        <f t="shared" si="48"/>
        <v>3000</v>
      </c>
      <c r="AD184" s="351">
        <f t="shared" si="48"/>
        <v>3000</v>
      </c>
      <c r="AE184" s="351">
        <f t="shared" si="48"/>
        <v>3000</v>
      </c>
      <c r="AF184" s="351">
        <f t="shared" si="48"/>
        <v>3000</v>
      </c>
      <c r="AG184" s="351">
        <f t="shared" si="48"/>
        <v>3000</v>
      </c>
      <c r="AH184" s="351">
        <f t="shared" si="50"/>
        <v>2400</v>
      </c>
      <c r="AI184" s="351">
        <f t="shared" si="50"/>
        <v>2400</v>
      </c>
      <c r="AJ184" s="351">
        <f t="shared" si="50"/>
        <v>2400</v>
      </c>
      <c r="AK184" s="351">
        <f t="shared" si="50"/>
        <v>2400</v>
      </c>
    </row>
    <row r="185" spans="2:37">
      <c r="B185" s="701"/>
      <c r="C185" s="699"/>
      <c r="D185" s="352" t="s">
        <v>624</v>
      </c>
      <c r="E185" s="353">
        <v>1</v>
      </c>
      <c r="F185" s="354">
        <v>1000</v>
      </c>
      <c r="G185" s="355"/>
      <c r="H185" s="355"/>
      <c r="I185" s="355"/>
      <c r="J185" s="356">
        <f t="shared" si="40"/>
        <v>1000</v>
      </c>
      <c r="K185" s="346">
        <f t="shared" si="51"/>
        <v>0</v>
      </c>
      <c r="L185" s="346">
        <f t="shared" si="44"/>
        <v>0</v>
      </c>
      <c r="M185" s="346">
        <f t="shared" si="45"/>
        <v>0</v>
      </c>
      <c r="N185" s="348">
        <f t="shared" si="52"/>
        <v>7000</v>
      </c>
      <c r="O185" s="348">
        <f t="shared" si="53"/>
        <v>0</v>
      </c>
      <c r="P185" s="348">
        <f t="shared" si="41"/>
        <v>0</v>
      </c>
      <c r="Q185" s="348">
        <f t="shared" si="42"/>
        <v>0</v>
      </c>
      <c r="R185" s="348">
        <f t="shared" si="43"/>
        <v>539000</v>
      </c>
      <c r="S185" s="348">
        <f t="shared" si="43"/>
        <v>0</v>
      </c>
      <c r="T185" s="348">
        <f t="shared" si="46"/>
        <v>196000</v>
      </c>
      <c r="U185" s="348">
        <f t="shared" si="47"/>
        <v>0</v>
      </c>
      <c r="V185" s="349" t="s">
        <v>612</v>
      </c>
      <c r="W185" s="362" t="s">
        <v>634</v>
      </c>
      <c r="X185" s="334">
        <v>1</v>
      </c>
      <c r="Y185" s="334">
        <v>0.8</v>
      </c>
      <c r="Z185" s="351">
        <f t="shared" si="49"/>
        <v>800</v>
      </c>
      <c r="AA185" s="351">
        <f t="shared" si="49"/>
        <v>800</v>
      </c>
      <c r="AB185" s="351">
        <f t="shared" si="48"/>
        <v>1000</v>
      </c>
      <c r="AC185" s="351">
        <f t="shared" si="48"/>
        <v>1000</v>
      </c>
      <c r="AD185" s="351">
        <f t="shared" si="48"/>
        <v>1000</v>
      </c>
      <c r="AE185" s="351">
        <f t="shared" si="48"/>
        <v>1000</v>
      </c>
      <c r="AF185" s="351">
        <f t="shared" si="48"/>
        <v>1000</v>
      </c>
      <c r="AG185" s="351">
        <f t="shared" si="48"/>
        <v>1000</v>
      </c>
      <c r="AH185" s="351">
        <f t="shared" si="50"/>
        <v>800</v>
      </c>
      <c r="AI185" s="351">
        <f t="shared" si="50"/>
        <v>800</v>
      </c>
      <c r="AJ185" s="351">
        <f t="shared" si="50"/>
        <v>800</v>
      </c>
      <c r="AK185" s="351">
        <f t="shared" si="50"/>
        <v>800</v>
      </c>
    </row>
    <row r="186" spans="2:37">
      <c r="B186" s="701"/>
      <c r="C186" s="699"/>
      <c r="D186" s="352" t="s">
        <v>626</v>
      </c>
      <c r="E186" s="353">
        <v>4</v>
      </c>
      <c r="F186" s="354">
        <v>1000</v>
      </c>
      <c r="G186" s="355"/>
      <c r="H186" s="355"/>
      <c r="I186" s="355"/>
      <c r="J186" s="356">
        <f t="shared" si="40"/>
        <v>4000</v>
      </c>
      <c r="K186" s="346">
        <f t="shared" si="51"/>
        <v>0</v>
      </c>
      <c r="L186" s="346">
        <f t="shared" si="44"/>
        <v>0</v>
      </c>
      <c r="M186" s="346">
        <f t="shared" si="45"/>
        <v>0</v>
      </c>
      <c r="N186" s="348">
        <f t="shared" si="52"/>
        <v>28000</v>
      </c>
      <c r="O186" s="348">
        <f t="shared" si="53"/>
        <v>0</v>
      </c>
      <c r="P186" s="348">
        <f t="shared" si="41"/>
        <v>0</v>
      </c>
      <c r="Q186" s="348">
        <f t="shared" si="42"/>
        <v>0</v>
      </c>
      <c r="R186" s="348">
        <f t="shared" si="43"/>
        <v>2156000</v>
      </c>
      <c r="S186" s="348">
        <f t="shared" si="43"/>
        <v>0</v>
      </c>
      <c r="T186" s="348">
        <f t="shared" si="46"/>
        <v>784000</v>
      </c>
      <c r="U186" s="348">
        <f t="shared" si="47"/>
        <v>0</v>
      </c>
      <c r="V186" s="349" t="s">
        <v>612</v>
      </c>
      <c r="W186" s="362" t="s">
        <v>634</v>
      </c>
      <c r="X186" s="334">
        <v>1</v>
      </c>
      <c r="Y186" s="334">
        <v>0.8</v>
      </c>
      <c r="Z186" s="351">
        <f t="shared" si="49"/>
        <v>3200</v>
      </c>
      <c r="AA186" s="351">
        <f t="shared" si="49"/>
        <v>3200</v>
      </c>
      <c r="AB186" s="351">
        <f t="shared" si="48"/>
        <v>4000</v>
      </c>
      <c r="AC186" s="351">
        <f t="shared" si="48"/>
        <v>4000</v>
      </c>
      <c r="AD186" s="351">
        <f t="shared" si="48"/>
        <v>4000</v>
      </c>
      <c r="AE186" s="351">
        <f t="shared" si="48"/>
        <v>4000</v>
      </c>
      <c r="AF186" s="351">
        <f t="shared" si="48"/>
        <v>4000</v>
      </c>
      <c r="AG186" s="351">
        <f t="shared" si="48"/>
        <v>4000</v>
      </c>
      <c r="AH186" s="351">
        <f t="shared" si="50"/>
        <v>3200</v>
      </c>
      <c r="AI186" s="351">
        <f t="shared" si="50"/>
        <v>3200</v>
      </c>
      <c r="AJ186" s="351">
        <f t="shared" si="50"/>
        <v>3200</v>
      </c>
      <c r="AK186" s="351">
        <f t="shared" si="50"/>
        <v>3200</v>
      </c>
    </row>
    <row r="187" spans="2:37">
      <c r="B187" s="701"/>
      <c r="C187" s="699" t="s">
        <v>651</v>
      </c>
      <c r="D187" s="352" t="s">
        <v>624</v>
      </c>
      <c r="E187" s="353">
        <v>1</v>
      </c>
      <c r="F187" s="348">
        <v>0</v>
      </c>
      <c r="G187" s="355"/>
      <c r="H187" s="355"/>
      <c r="I187" s="355"/>
      <c r="J187" s="356">
        <v>0</v>
      </c>
      <c r="K187" s="346">
        <f t="shared" si="51"/>
        <v>0</v>
      </c>
      <c r="L187" s="346">
        <f t="shared" si="44"/>
        <v>0</v>
      </c>
      <c r="M187" s="346">
        <f t="shared" si="45"/>
        <v>0</v>
      </c>
      <c r="N187" s="348">
        <f t="shared" si="52"/>
        <v>0</v>
      </c>
      <c r="O187" s="348">
        <f t="shared" si="53"/>
        <v>0</v>
      </c>
      <c r="P187" s="348">
        <f t="shared" si="41"/>
        <v>0</v>
      </c>
      <c r="Q187" s="348">
        <f t="shared" si="42"/>
        <v>0</v>
      </c>
      <c r="R187" s="348">
        <f t="shared" si="43"/>
        <v>0</v>
      </c>
      <c r="S187" s="348">
        <f t="shared" si="43"/>
        <v>0</v>
      </c>
      <c r="T187" s="348">
        <f t="shared" si="46"/>
        <v>0</v>
      </c>
      <c r="U187" s="348">
        <f t="shared" si="47"/>
        <v>0</v>
      </c>
      <c r="V187" s="349" t="s">
        <v>612</v>
      </c>
      <c r="W187" s="362" t="s">
        <v>634</v>
      </c>
      <c r="X187" s="334">
        <v>1</v>
      </c>
      <c r="Y187" s="334">
        <v>0.8</v>
      </c>
      <c r="Z187" s="351">
        <f t="shared" si="49"/>
        <v>0</v>
      </c>
      <c r="AA187" s="351">
        <f t="shared" si="49"/>
        <v>0</v>
      </c>
      <c r="AB187" s="351">
        <f t="shared" si="48"/>
        <v>0</v>
      </c>
      <c r="AC187" s="351">
        <f t="shared" si="48"/>
        <v>0</v>
      </c>
      <c r="AD187" s="351">
        <f t="shared" si="48"/>
        <v>0</v>
      </c>
      <c r="AE187" s="351">
        <f t="shared" si="48"/>
        <v>0</v>
      </c>
      <c r="AF187" s="351">
        <f t="shared" si="48"/>
        <v>0</v>
      </c>
      <c r="AG187" s="351">
        <f t="shared" si="48"/>
        <v>0</v>
      </c>
      <c r="AH187" s="351">
        <f t="shared" si="50"/>
        <v>0</v>
      </c>
      <c r="AI187" s="351">
        <f t="shared" si="50"/>
        <v>0</v>
      </c>
      <c r="AJ187" s="351">
        <f t="shared" si="50"/>
        <v>0</v>
      </c>
      <c r="AK187" s="351">
        <f t="shared" si="50"/>
        <v>0</v>
      </c>
    </row>
    <row r="188" spans="2:37">
      <c r="B188" s="701"/>
      <c r="C188" s="699"/>
      <c r="D188" s="352" t="s">
        <v>626</v>
      </c>
      <c r="E188" s="353">
        <v>2</v>
      </c>
      <c r="F188" s="348">
        <v>0</v>
      </c>
      <c r="G188" s="355"/>
      <c r="H188" s="355"/>
      <c r="I188" s="355"/>
      <c r="J188" s="356">
        <v>0</v>
      </c>
      <c r="K188" s="346">
        <f t="shared" si="51"/>
        <v>0</v>
      </c>
      <c r="L188" s="346">
        <f t="shared" si="44"/>
        <v>0</v>
      </c>
      <c r="M188" s="346">
        <f t="shared" si="45"/>
        <v>0</v>
      </c>
      <c r="N188" s="348">
        <f t="shared" si="52"/>
        <v>0</v>
      </c>
      <c r="O188" s="348">
        <f t="shared" si="53"/>
        <v>0</v>
      </c>
      <c r="P188" s="348">
        <f t="shared" si="41"/>
        <v>0</v>
      </c>
      <c r="Q188" s="348">
        <f t="shared" si="42"/>
        <v>0</v>
      </c>
      <c r="R188" s="348">
        <f t="shared" si="43"/>
        <v>0</v>
      </c>
      <c r="S188" s="348">
        <f t="shared" si="43"/>
        <v>0</v>
      </c>
      <c r="T188" s="348">
        <f t="shared" si="46"/>
        <v>0</v>
      </c>
      <c r="U188" s="348">
        <f t="shared" si="47"/>
        <v>0</v>
      </c>
      <c r="V188" s="349" t="s">
        <v>612</v>
      </c>
      <c r="W188" s="362" t="s">
        <v>634</v>
      </c>
      <c r="X188" s="334">
        <v>1</v>
      </c>
      <c r="Y188" s="334">
        <v>0.8</v>
      </c>
      <c r="Z188" s="351">
        <f t="shared" si="49"/>
        <v>0</v>
      </c>
      <c r="AA188" s="351">
        <f t="shared" si="49"/>
        <v>0</v>
      </c>
      <c r="AB188" s="351">
        <f t="shared" si="48"/>
        <v>0</v>
      </c>
      <c r="AC188" s="351">
        <f t="shared" si="48"/>
        <v>0</v>
      </c>
      <c r="AD188" s="351">
        <f t="shared" si="48"/>
        <v>0</v>
      </c>
      <c r="AE188" s="351">
        <f t="shared" si="48"/>
        <v>0</v>
      </c>
      <c r="AF188" s="351">
        <f t="shared" si="48"/>
        <v>0</v>
      </c>
      <c r="AG188" s="351">
        <f t="shared" si="48"/>
        <v>0</v>
      </c>
      <c r="AH188" s="351">
        <f t="shared" si="50"/>
        <v>0</v>
      </c>
      <c r="AI188" s="351">
        <f t="shared" si="50"/>
        <v>0</v>
      </c>
      <c r="AJ188" s="351">
        <f t="shared" si="50"/>
        <v>0</v>
      </c>
      <c r="AK188" s="351">
        <f t="shared" si="50"/>
        <v>0</v>
      </c>
    </row>
    <row r="189" spans="2:37">
      <c r="B189" s="701"/>
      <c r="C189" s="699" t="s">
        <v>645</v>
      </c>
      <c r="D189" s="352" t="s">
        <v>583</v>
      </c>
      <c r="E189" s="353">
        <v>123</v>
      </c>
      <c r="F189" s="354">
        <v>6780</v>
      </c>
      <c r="G189" s="355"/>
      <c r="H189" s="355"/>
      <c r="I189" s="355"/>
      <c r="J189" s="356">
        <f t="shared" si="40"/>
        <v>833940</v>
      </c>
      <c r="K189" s="346">
        <f t="shared" si="51"/>
        <v>0</v>
      </c>
      <c r="L189" s="346">
        <f t="shared" si="44"/>
        <v>0</v>
      </c>
      <c r="M189" s="346">
        <f t="shared" si="45"/>
        <v>0</v>
      </c>
      <c r="N189" s="348">
        <f t="shared" si="52"/>
        <v>5837580</v>
      </c>
      <c r="O189" s="348">
        <f t="shared" si="53"/>
        <v>0</v>
      </c>
      <c r="P189" s="348">
        <f t="shared" si="41"/>
        <v>0</v>
      </c>
      <c r="Q189" s="348">
        <f t="shared" si="42"/>
        <v>0</v>
      </c>
      <c r="R189" s="348">
        <f t="shared" si="43"/>
        <v>449493660</v>
      </c>
      <c r="S189" s="348">
        <f t="shared" si="43"/>
        <v>0</v>
      </c>
      <c r="T189" s="348">
        <f t="shared" si="46"/>
        <v>163452240</v>
      </c>
      <c r="U189" s="348">
        <f t="shared" si="47"/>
        <v>0</v>
      </c>
      <c r="V189" s="349" t="s">
        <v>612</v>
      </c>
      <c r="W189" s="362" t="s">
        <v>634</v>
      </c>
      <c r="X189" s="334">
        <v>1</v>
      </c>
      <c r="Y189" s="334">
        <v>0.8</v>
      </c>
      <c r="Z189" s="351">
        <f t="shared" si="49"/>
        <v>667152</v>
      </c>
      <c r="AA189" s="351">
        <f t="shared" si="49"/>
        <v>667152</v>
      </c>
      <c r="AB189" s="351">
        <f t="shared" si="48"/>
        <v>833940</v>
      </c>
      <c r="AC189" s="351">
        <f t="shared" si="48"/>
        <v>833940</v>
      </c>
      <c r="AD189" s="351">
        <f t="shared" si="48"/>
        <v>833940</v>
      </c>
      <c r="AE189" s="351">
        <f t="shared" si="48"/>
        <v>833940</v>
      </c>
      <c r="AF189" s="351">
        <f t="shared" si="48"/>
        <v>833940</v>
      </c>
      <c r="AG189" s="351">
        <f t="shared" si="48"/>
        <v>833940</v>
      </c>
      <c r="AH189" s="351">
        <f t="shared" si="50"/>
        <v>667152</v>
      </c>
      <c r="AI189" s="351">
        <f t="shared" si="50"/>
        <v>667152</v>
      </c>
      <c r="AJ189" s="351">
        <f t="shared" si="50"/>
        <v>667152</v>
      </c>
      <c r="AK189" s="351">
        <f t="shared" si="50"/>
        <v>667152</v>
      </c>
    </row>
    <row r="190" spans="2:37">
      <c r="B190" s="701"/>
      <c r="C190" s="699"/>
      <c r="D190" s="352" t="s">
        <v>614</v>
      </c>
      <c r="E190" s="353">
        <v>5</v>
      </c>
      <c r="F190" s="354">
        <v>6780</v>
      </c>
      <c r="G190" s="355"/>
      <c r="H190" s="355"/>
      <c r="I190" s="355"/>
      <c r="J190" s="356">
        <f t="shared" si="40"/>
        <v>33900</v>
      </c>
      <c r="K190" s="346">
        <f t="shared" si="51"/>
        <v>0</v>
      </c>
      <c r="L190" s="346">
        <f t="shared" si="44"/>
        <v>0</v>
      </c>
      <c r="M190" s="346">
        <f t="shared" si="45"/>
        <v>0</v>
      </c>
      <c r="N190" s="348">
        <f t="shared" si="52"/>
        <v>237300</v>
      </c>
      <c r="O190" s="348">
        <f t="shared" si="53"/>
        <v>0</v>
      </c>
      <c r="P190" s="348">
        <f t="shared" si="41"/>
        <v>0</v>
      </c>
      <c r="Q190" s="348">
        <f t="shared" si="42"/>
        <v>0</v>
      </c>
      <c r="R190" s="348">
        <f t="shared" si="43"/>
        <v>18272100</v>
      </c>
      <c r="S190" s="348">
        <f t="shared" si="43"/>
        <v>0</v>
      </c>
      <c r="T190" s="348">
        <f t="shared" si="46"/>
        <v>6644400</v>
      </c>
      <c r="U190" s="348">
        <f t="shared" si="47"/>
        <v>0</v>
      </c>
      <c r="V190" s="349" t="s">
        <v>612</v>
      </c>
      <c r="W190" s="362" t="s">
        <v>634</v>
      </c>
      <c r="X190" s="334">
        <v>1</v>
      </c>
      <c r="Y190" s="334">
        <v>0.8</v>
      </c>
      <c r="Z190" s="351">
        <f t="shared" si="49"/>
        <v>27120</v>
      </c>
      <c r="AA190" s="351">
        <f t="shared" si="49"/>
        <v>27120</v>
      </c>
      <c r="AB190" s="351">
        <f t="shared" si="48"/>
        <v>33900</v>
      </c>
      <c r="AC190" s="351">
        <f t="shared" si="48"/>
        <v>33900</v>
      </c>
      <c r="AD190" s="351">
        <f t="shared" si="48"/>
        <v>33900</v>
      </c>
      <c r="AE190" s="351">
        <f t="shared" si="48"/>
        <v>33900</v>
      </c>
      <c r="AF190" s="351">
        <f t="shared" si="48"/>
        <v>33900</v>
      </c>
      <c r="AG190" s="351">
        <f t="shared" si="48"/>
        <v>33900</v>
      </c>
      <c r="AH190" s="351">
        <f t="shared" si="50"/>
        <v>27120</v>
      </c>
      <c r="AI190" s="351">
        <f t="shared" si="50"/>
        <v>27120</v>
      </c>
      <c r="AJ190" s="351">
        <f t="shared" si="50"/>
        <v>27120</v>
      </c>
      <c r="AK190" s="351">
        <f t="shared" si="50"/>
        <v>27120</v>
      </c>
    </row>
    <row r="191" spans="2:37">
      <c r="B191" s="701"/>
      <c r="C191" s="699"/>
      <c r="D191" s="352" t="s">
        <v>615</v>
      </c>
      <c r="E191" s="353">
        <v>11</v>
      </c>
      <c r="F191" s="354">
        <v>6780</v>
      </c>
      <c r="G191" s="355"/>
      <c r="H191" s="355"/>
      <c r="I191" s="355"/>
      <c r="J191" s="356">
        <f t="shared" si="40"/>
        <v>74580</v>
      </c>
      <c r="K191" s="346">
        <f t="shared" si="51"/>
        <v>0</v>
      </c>
      <c r="L191" s="346">
        <f t="shared" si="44"/>
        <v>0</v>
      </c>
      <c r="M191" s="346">
        <f t="shared" si="45"/>
        <v>0</v>
      </c>
      <c r="N191" s="348">
        <f t="shared" si="52"/>
        <v>522060</v>
      </c>
      <c r="O191" s="348">
        <f t="shared" si="53"/>
        <v>0</v>
      </c>
      <c r="P191" s="348">
        <f t="shared" si="41"/>
        <v>0</v>
      </c>
      <c r="Q191" s="348">
        <f t="shared" si="42"/>
        <v>0</v>
      </c>
      <c r="R191" s="348">
        <f t="shared" si="43"/>
        <v>40198620</v>
      </c>
      <c r="S191" s="348">
        <f t="shared" si="43"/>
        <v>0</v>
      </c>
      <c r="T191" s="348">
        <f t="shared" si="46"/>
        <v>14617680</v>
      </c>
      <c r="U191" s="348">
        <f t="shared" si="47"/>
        <v>0</v>
      </c>
      <c r="V191" s="349" t="s">
        <v>612</v>
      </c>
      <c r="W191" s="362" t="s">
        <v>634</v>
      </c>
      <c r="X191" s="334">
        <v>1</v>
      </c>
      <c r="Y191" s="334">
        <v>0.8</v>
      </c>
      <c r="Z191" s="351">
        <f t="shared" si="49"/>
        <v>59664</v>
      </c>
      <c r="AA191" s="351">
        <f t="shared" si="49"/>
        <v>59664</v>
      </c>
      <c r="AB191" s="351">
        <f t="shared" ref="AB191:AG228" si="54">($J191+$K191+$L191+$M191)*$X191</f>
        <v>74580</v>
      </c>
      <c r="AC191" s="351">
        <f t="shared" si="54"/>
        <v>74580</v>
      </c>
      <c r="AD191" s="351">
        <f t="shared" si="54"/>
        <v>74580</v>
      </c>
      <c r="AE191" s="351">
        <f t="shared" si="54"/>
        <v>74580</v>
      </c>
      <c r="AF191" s="351">
        <f t="shared" si="54"/>
        <v>74580</v>
      </c>
      <c r="AG191" s="351">
        <f t="shared" si="54"/>
        <v>74580</v>
      </c>
      <c r="AH191" s="351">
        <f t="shared" si="50"/>
        <v>59664</v>
      </c>
      <c r="AI191" s="351">
        <f t="shared" si="50"/>
        <v>59664</v>
      </c>
      <c r="AJ191" s="351">
        <f t="shared" si="50"/>
        <v>59664</v>
      </c>
      <c r="AK191" s="351">
        <f t="shared" si="50"/>
        <v>59664</v>
      </c>
    </row>
    <row r="192" spans="2:37">
      <c r="B192" s="701"/>
      <c r="C192" s="699"/>
      <c r="D192" s="352" t="s">
        <v>616</v>
      </c>
      <c r="E192" s="353">
        <v>69</v>
      </c>
      <c r="F192" s="354">
        <v>6780</v>
      </c>
      <c r="G192" s="355"/>
      <c r="H192" s="355"/>
      <c r="I192" s="355"/>
      <c r="J192" s="356">
        <f t="shared" si="40"/>
        <v>467820</v>
      </c>
      <c r="K192" s="346">
        <f t="shared" si="51"/>
        <v>0</v>
      </c>
      <c r="L192" s="346">
        <f t="shared" si="44"/>
        <v>0</v>
      </c>
      <c r="M192" s="346">
        <f t="shared" si="45"/>
        <v>0</v>
      </c>
      <c r="N192" s="348">
        <f t="shared" si="52"/>
        <v>3274740</v>
      </c>
      <c r="O192" s="348">
        <f t="shared" si="53"/>
        <v>0</v>
      </c>
      <c r="P192" s="348">
        <f t="shared" si="41"/>
        <v>0</v>
      </c>
      <c r="Q192" s="348">
        <f t="shared" si="42"/>
        <v>0</v>
      </c>
      <c r="R192" s="348">
        <f t="shared" si="43"/>
        <v>252154980</v>
      </c>
      <c r="S192" s="348">
        <f t="shared" si="43"/>
        <v>0</v>
      </c>
      <c r="T192" s="348">
        <f t="shared" si="46"/>
        <v>91692720</v>
      </c>
      <c r="U192" s="348">
        <f t="shared" si="47"/>
        <v>0</v>
      </c>
      <c r="V192" s="349" t="s">
        <v>612</v>
      </c>
      <c r="W192" s="362" t="s">
        <v>634</v>
      </c>
      <c r="X192" s="334">
        <v>1</v>
      </c>
      <c r="Y192" s="334">
        <v>0.8</v>
      </c>
      <c r="Z192" s="351">
        <f t="shared" si="49"/>
        <v>374256</v>
      </c>
      <c r="AA192" s="351">
        <f t="shared" si="49"/>
        <v>374256</v>
      </c>
      <c r="AB192" s="351">
        <f t="shared" si="54"/>
        <v>467820</v>
      </c>
      <c r="AC192" s="351">
        <f t="shared" si="54"/>
        <v>467820</v>
      </c>
      <c r="AD192" s="351">
        <f t="shared" si="54"/>
        <v>467820</v>
      </c>
      <c r="AE192" s="351">
        <f t="shared" si="54"/>
        <v>467820</v>
      </c>
      <c r="AF192" s="351">
        <f t="shared" si="54"/>
        <v>467820</v>
      </c>
      <c r="AG192" s="351">
        <f t="shared" si="54"/>
        <v>467820</v>
      </c>
      <c r="AH192" s="351">
        <f t="shared" si="50"/>
        <v>374256</v>
      </c>
      <c r="AI192" s="351">
        <f t="shared" si="50"/>
        <v>374256</v>
      </c>
      <c r="AJ192" s="351">
        <f t="shared" si="50"/>
        <v>374256</v>
      </c>
      <c r="AK192" s="351">
        <f t="shared" si="50"/>
        <v>374256</v>
      </c>
    </row>
    <row r="193" spans="2:37">
      <c r="B193" s="701"/>
      <c r="C193" s="699"/>
      <c r="D193" s="352" t="s">
        <v>617</v>
      </c>
      <c r="E193" s="353">
        <v>62</v>
      </c>
      <c r="F193" s="354">
        <v>6780</v>
      </c>
      <c r="G193" s="355"/>
      <c r="H193" s="355"/>
      <c r="I193" s="355"/>
      <c r="J193" s="356">
        <f t="shared" si="40"/>
        <v>420360</v>
      </c>
      <c r="K193" s="346">
        <f t="shared" si="51"/>
        <v>0</v>
      </c>
      <c r="L193" s="346">
        <f t="shared" si="44"/>
        <v>0</v>
      </c>
      <c r="M193" s="346">
        <f t="shared" si="45"/>
        <v>0</v>
      </c>
      <c r="N193" s="348">
        <f t="shared" si="52"/>
        <v>2942520</v>
      </c>
      <c r="O193" s="348">
        <f t="shared" si="53"/>
        <v>0</v>
      </c>
      <c r="P193" s="348">
        <f t="shared" si="41"/>
        <v>0</v>
      </c>
      <c r="Q193" s="348">
        <f t="shared" si="42"/>
        <v>0</v>
      </c>
      <c r="R193" s="348">
        <f t="shared" si="43"/>
        <v>226574040</v>
      </c>
      <c r="S193" s="348">
        <f t="shared" si="43"/>
        <v>0</v>
      </c>
      <c r="T193" s="348">
        <f t="shared" si="46"/>
        <v>82390560</v>
      </c>
      <c r="U193" s="348">
        <f t="shared" si="47"/>
        <v>0</v>
      </c>
      <c r="V193" s="349" t="s">
        <v>612</v>
      </c>
      <c r="W193" s="362" t="s">
        <v>634</v>
      </c>
      <c r="X193" s="334">
        <v>1</v>
      </c>
      <c r="Y193" s="334">
        <v>0.8</v>
      </c>
      <c r="Z193" s="351">
        <f t="shared" si="49"/>
        <v>336288</v>
      </c>
      <c r="AA193" s="351">
        <f t="shared" si="49"/>
        <v>336288</v>
      </c>
      <c r="AB193" s="351">
        <f t="shared" si="54"/>
        <v>420360</v>
      </c>
      <c r="AC193" s="351">
        <f t="shared" si="54"/>
        <v>420360</v>
      </c>
      <c r="AD193" s="351">
        <f t="shared" si="54"/>
        <v>420360</v>
      </c>
      <c r="AE193" s="351">
        <f t="shared" si="54"/>
        <v>420360</v>
      </c>
      <c r="AF193" s="351">
        <f t="shared" si="54"/>
        <v>420360</v>
      </c>
      <c r="AG193" s="351">
        <f t="shared" si="54"/>
        <v>420360</v>
      </c>
      <c r="AH193" s="351">
        <f t="shared" si="50"/>
        <v>336288</v>
      </c>
      <c r="AI193" s="351">
        <f t="shared" si="50"/>
        <v>336288</v>
      </c>
      <c r="AJ193" s="351">
        <f t="shared" si="50"/>
        <v>336288</v>
      </c>
      <c r="AK193" s="351">
        <f t="shared" si="50"/>
        <v>336288</v>
      </c>
    </row>
    <row r="194" spans="2:37" ht="39.6">
      <c r="B194" s="701"/>
      <c r="C194" s="699"/>
      <c r="D194" s="352" t="s">
        <v>618</v>
      </c>
      <c r="E194" s="353">
        <v>39</v>
      </c>
      <c r="F194" s="354">
        <v>6780</v>
      </c>
      <c r="G194" s="355"/>
      <c r="H194" s="355"/>
      <c r="I194" s="355"/>
      <c r="J194" s="356">
        <f t="shared" si="40"/>
        <v>264420</v>
      </c>
      <c r="K194" s="346">
        <f t="shared" si="51"/>
        <v>0</v>
      </c>
      <c r="L194" s="346">
        <f t="shared" si="44"/>
        <v>0</v>
      </c>
      <c r="M194" s="346">
        <f t="shared" si="45"/>
        <v>0</v>
      </c>
      <c r="N194" s="348">
        <f t="shared" si="52"/>
        <v>1850940</v>
      </c>
      <c r="O194" s="348">
        <f t="shared" si="53"/>
        <v>0</v>
      </c>
      <c r="P194" s="348">
        <f t="shared" si="41"/>
        <v>0</v>
      </c>
      <c r="Q194" s="348">
        <f t="shared" si="42"/>
        <v>0</v>
      </c>
      <c r="R194" s="348">
        <f t="shared" si="43"/>
        <v>142522380</v>
      </c>
      <c r="S194" s="348">
        <f t="shared" si="43"/>
        <v>0</v>
      </c>
      <c r="T194" s="348">
        <f t="shared" si="46"/>
        <v>51826320</v>
      </c>
      <c r="U194" s="348">
        <f t="shared" si="47"/>
        <v>0</v>
      </c>
      <c r="V194" s="349" t="s">
        <v>612</v>
      </c>
      <c r="W194" s="361" t="s">
        <v>631</v>
      </c>
      <c r="X194" s="334">
        <v>1</v>
      </c>
      <c r="Y194" s="334">
        <v>0.8</v>
      </c>
      <c r="Z194" s="351"/>
      <c r="AA194" s="351">
        <f t="shared" si="49"/>
        <v>211536</v>
      </c>
      <c r="AB194" s="351">
        <f t="shared" si="54"/>
        <v>264420</v>
      </c>
      <c r="AC194" s="351">
        <f t="shared" si="54"/>
        <v>264420</v>
      </c>
      <c r="AD194" s="351">
        <f t="shared" si="54"/>
        <v>264420</v>
      </c>
      <c r="AE194" s="351">
        <f t="shared" si="54"/>
        <v>264420</v>
      </c>
      <c r="AF194" s="351">
        <f t="shared" si="54"/>
        <v>264420</v>
      </c>
      <c r="AG194" s="351">
        <f t="shared" si="54"/>
        <v>264420</v>
      </c>
      <c r="AH194" s="351">
        <f t="shared" si="50"/>
        <v>211536</v>
      </c>
      <c r="AI194" s="351">
        <f t="shared" si="50"/>
        <v>211536</v>
      </c>
      <c r="AJ194" s="351"/>
      <c r="AK194" s="351"/>
    </row>
    <row r="195" spans="2:37">
      <c r="B195" s="701"/>
      <c r="C195" s="699"/>
      <c r="D195" s="352" t="s">
        <v>619</v>
      </c>
      <c r="E195" s="353">
        <v>36</v>
      </c>
      <c r="F195" s="354">
        <v>6780</v>
      </c>
      <c r="G195" s="355"/>
      <c r="H195" s="355"/>
      <c r="I195" s="355"/>
      <c r="J195" s="356">
        <f t="shared" si="40"/>
        <v>244080</v>
      </c>
      <c r="K195" s="346">
        <f t="shared" si="51"/>
        <v>0</v>
      </c>
      <c r="L195" s="346">
        <f t="shared" si="44"/>
        <v>0</v>
      </c>
      <c r="M195" s="346">
        <f t="shared" si="45"/>
        <v>0</v>
      </c>
      <c r="N195" s="348">
        <f t="shared" si="52"/>
        <v>1708560</v>
      </c>
      <c r="O195" s="348">
        <f t="shared" si="53"/>
        <v>0</v>
      </c>
      <c r="P195" s="348">
        <f t="shared" si="41"/>
        <v>0</v>
      </c>
      <c r="Q195" s="348">
        <f t="shared" si="42"/>
        <v>0</v>
      </c>
      <c r="R195" s="348">
        <f t="shared" si="43"/>
        <v>131559120</v>
      </c>
      <c r="S195" s="348">
        <f t="shared" si="43"/>
        <v>0</v>
      </c>
      <c r="T195" s="348">
        <f t="shared" si="46"/>
        <v>47839680</v>
      </c>
      <c r="U195" s="348">
        <f t="shared" si="47"/>
        <v>0</v>
      </c>
      <c r="V195" s="349" t="s">
        <v>612</v>
      </c>
      <c r="W195" s="362" t="s">
        <v>634</v>
      </c>
      <c r="X195" s="334">
        <v>1</v>
      </c>
      <c r="Y195" s="334">
        <v>0.8</v>
      </c>
      <c r="Z195" s="351">
        <f t="shared" si="49"/>
        <v>195264</v>
      </c>
      <c r="AA195" s="351">
        <f t="shared" si="49"/>
        <v>195264</v>
      </c>
      <c r="AB195" s="351">
        <f t="shared" si="54"/>
        <v>244080</v>
      </c>
      <c r="AC195" s="351">
        <f t="shared" si="54"/>
        <v>244080</v>
      </c>
      <c r="AD195" s="351">
        <f t="shared" si="54"/>
        <v>244080</v>
      </c>
      <c r="AE195" s="351">
        <f t="shared" si="54"/>
        <v>244080</v>
      </c>
      <c r="AF195" s="351">
        <f t="shared" si="54"/>
        <v>244080</v>
      </c>
      <c r="AG195" s="351">
        <f t="shared" si="54"/>
        <v>244080</v>
      </c>
      <c r="AH195" s="351">
        <f t="shared" si="50"/>
        <v>195264</v>
      </c>
      <c r="AI195" s="351">
        <f t="shared" si="50"/>
        <v>195264</v>
      </c>
      <c r="AJ195" s="351">
        <f t="shared" si="50"/>
        <v>195264</v>
      </c>
      <c r="AK195" s="351">
        <f t="shared" si="50"/>
        <v>195264</v>
      </c>
    </row>
    <row r="196" spans="2:37">
      <c r="B196" s="701"/>
      <c r="C196" s="699"/>
      <c r="D196" s="352" t="s">
        <v>620</v>
      </c>
      <c r="E196" s="353">
        <v>39</v>
      </c>
      <c r="F196" s="354">
        <v>6780</v>
      </c>
      <c r="G196" s="355"/>
      <c r="H196" s="355"/>
      <c r="I196" s="355"/>
      <c r="J196" s="356">
        <f t="shared" si="40"/>
        <v>264420</v>
      </c>
      <c r="K196" s="346">
        <f t="shared" si="51"/>
        <v>0</v>
      </c>
      <c r="L196" s="346">
        <f t="shared" si="44"/>
        <v>0</v>
      </c>
      <c r="M196" s="346">
        <f t="shared" si="45"/>
        <v>0</v>
      </c>
      <c r="N196" s="348">
        <f t="shared" si="52"/>
        <v>1850940</v>
      </c>
      <c r="O196" s="348">
        <f t="shared" si="53"/>
        <v>0</v>
      </c>
      <c r="P196" s="348">
        <f t="shared" si="41"/>
        <v>0</v>
      </c>
      <c r="Q196" s="348">
        <f t="shared" si="42"/>
        <v>0</v>
      </c>
      <c r="R196" s="348">
        <f t="shared" si="43"/>
        <v>142522380</v>
      </c>
      <c r="S196" s="348">
        <f t="shared" si="43"/>
        <v>0</v>
      </c>
      <c r="T196" s="348">
        <f t="shared" si="46"/>
        <v>51826320</v>
      </c>
      <c r="U196" s="348">
        <f t="shared" si="47"/>
        <v>0</v>
      </c>
      <c r="V196" s="349" t="s">
        <v>612</v>
      </c>
      <c r="W196" s="362" t="s">
        <v>634</v>
      </c>
      <c r="X196" s="334">
        <v>1</v>
      </c>
      <c r="Y196" s="334">
        <v>0.8</v>
      </c>
      <c r="Z196" s="351">
        <f t="shared" si="49"/>
        <v>211536</v>
      </c>
      <c r="AA196" s="351">
        <f t="shared" si="49"/>
        <v>211536</v>
      </c>
      <c r="AB196" s="351">
        <f t="shared" si="54"/>
        <v>264420</v>
      </c>
      <c r="AC196" s="351">
        <f t="shared" si="54"/>
        <v>264420</v>
      </c>
      <c r="AD196" s="351">
        <f t="shared" si="54"/>
        <v>264420</v>
      </c>
      <c r="AE196" s="351">
        <f t="shared" si="54"/>
        <v>264420</v>
      </c>
      <c r="AF196" s="351">
        <f t="shared" si="54"/>
        <v>264420</v>
      </c>
      <c r="AG196" s="351">
        <f t="shared" si="54"/>
        <v>264420</v>
      </c>
      <c r="AH196" s="351">
        <f t="shared" si="50"/>
        <v>211536</v>
      </c>
      <c r="AI196" s="351">
        <f t="shared" si="50"/>
        <v>211536</v>
      </c>
      <c r="AJ196" s="351">
        <f t="shared" si="50"/>
        <v>211536</v>
      </c>
      <c r="AK196" s="351">
        <f t="shared" si="50"/>
        <v>211536</v>
      </c>
    </row>
    <row r="197" spans="2:37">
      <c r="B197" s="701"/>
      <c r="C197" s="699"/>
      <c r="D197" s="352" t="s">
        <v>621</v>
      </c>
      <c r="E197" s="353">
        <v>55</v>
      </c>
      <c r="F197" s="354">
        <v>6780</v>
      </c>
      <c r="G197" s="355"/>
      <c r="H197" s="355"/>
      <c r="I197" s="355"/>
      <c r="J197" s="356">
        <f t="shared" si="40"/>
        <v>372900</v>
      </c>
      <c r="K197" s="346">
        <f t="shared" si="51"/>
        <v>0</v>
      </c>
      <c r="L197" s="346">
        <f t="shared" si="44"/>
        <v>0</v>
      </c>
      <c r="M197" s="346">
        <f t="shared" si="45"/>
        <v>0</v>
      </c>
      <c r="N197" s="348">
        <f t="shared" si="52"/>
        <v>2610300</v>
      </c>
      <c r="O197" s="348">
        <f t="shared" si="53"/>
        <v>0</v>
      </c>
      <c r="P197" s="348">
        <f t="shared" si="41"/>
        <v>0</v>
      </c>
      <c r="Q197" s="348">
        <f t="shared" si="42"/>
        <v>0</v>
      </c>
      <c r="R197" s="348">
        <f t="shared" si="43"/>
        <v>200993100</v>
      </c>
      <c r="S197" s="348">
        <f t="shared" si="43"/>
        <v>0</v>
      </c>
      <c r="T197" s="348">
        <f t="shared" si="46"/>
        <v>73088400</v>
      </c>
      <c r="U197" s="348">
        <f t="shared" si="47"/>
        <v>0</v>
      </c>
      <c r="V197" s="349" t="s">
        <v>612</v>
      </c>
      <c r="W197" s="362" t="s">
        <v>634</v>
      </c>
      <c r="X197" s="334">
        <v>1</v>
      </c>
      <c r="Y197" s="334">
        <v>0.8</v>
      </c>
      <c r="Z197" s="351">
        <f t="shared" si="49"/>
        <v>298320</v>
      </c>
      <c r="AA197" s="351">
        <f t="shared" si="49"/>
        <v>298320</v>
      </c>
      <c r="AB197" s="351">
        <f t="shared" si="54"/>
        <v>372900</v>
      </c>
      <c r="AC197" s="351">
        <f t="shared" si="54"/>
        <v>372900</v>
      </c>
      <c r="AD197" s="351">
        <f t="shared" si="54"/>
        <v>372900</v>
      </c>
      <c r="AE197" s="351">
        <f t="shared" si="54"/>
        <v>372900</v>
      </c>
      <c r="AF197" s="351">
        <f t="shared" si="54"/>
        <v>372900</v>
      </c>
      <c r="AG197" s="351">
        <f t="shared" si="54"/>
        <v>372900</v>
      </c>
      <c r="AH197" s="351">
        <f t="shared" si="50"/>
        <v>298320</v>
      </c>
      <c r="AI197" s="351">
        <f t="shared" si="50"/>
        <v>298320</v>
      </c>
      <c r="AJ197" s="351">
        <f t="shared" si="50"/>
        <v>298320</v>
      </c>
      <c r="AK197" s="351">
        <f t="shared" si="50"/>
        <v>298320</v>
      </c>
    </row>
    <row r="198" spans="2:37">
      <c r="B198" s="701"/>
      <c r="C198" s="699"/>
      <c r="D198" s="352" t="s">
        <v>622</v>
      </c>
      <c r="E198" s="353">
        <v>25</v>
      </c>
      <c r="F198" s="354">
        <v>6780</v>
      </c>
      <c r="G198" s="355"/>
      <c r="H198" s="355"/>
      <c r="I198" s="355"/>
      <c r="J198" s="356">
        <f t="shared" si="40"/>
        <v>169500</v>
      </c>
      <c r="K198" s="346">
        <f t="shared" si="51"/>
        <v>0</v>
      </c>
      <c r="L198" s="346">
        <f t="shared" si="44"/>
        <v>0</v>
      </c>
      <c r="M198" s="346">
        <f t="shared" si="45"/>
        <v>0</v>
      </c>
      <c r="N198" s="348">
        <f t="shared" si="52"/>
        <v>1186500</v>
      </c>
      <c r="O198" s="348">
        <f t="shared" si="53"/>
        <v>0</v>
      </c>
      <c r="P198" s="348">
        <f t="shared" si="41"/>
        <v>0</v>
      </c>
      <c r="Q198" s="348">
        <f t="shared" si="42"/>
        <v>0</v>
      </c>
      <c r="R198" s="348">
        <f t="shared" si="43"/>
        <v>91360500</v>
      </c>
      <c r="S198" s="348">
        <f t="shared" si="43"/>
        <v>0</v>
      </c>
      <c r="T198" s="348">
        <f t="shared" si="46"/>
        <v>33222000</v>
      </c>
      <c r="U198" s="348">
        <f t="shared" si="47"/>
        <v>0</v>
      </c>
      <c r="V198" s="349" t="s">
        <v>612</v>
      </c>
      <c r="W198" s="362" t="s">
        <v>634</v>
      </c>
      <c r="X198" s="334">
        <v>1</v>
      </c>
      <c r="Y198" s="334">
        <v>0.8</v>
      </c>
      <c r="Z198" s="351">
        <f t="shared" si="49"/>
        <v>135600</v>
      </c>
      <c r="AA198" s="351">
        <f t="shared" si="49"/>
        <v>135600</v>
      </c>
      <c r="AB198" s="351">
        <f t="shared" si="54"/>
        <v>169500</v>
      </c>
      <c r="AC198" s="351">
        <f t="shared" si="54"/>
        <v>169500</v>
      </c>
      <c r="AD198" s="351">
        <f t="shared" si="54"/>
        <v>169500</v>
      </c>
      <c r="AE198" s="351">
        <f t="shared" si="54"/>
        <v>169500</v>
      </c>
      <c r="AF198" s="351">
        <f t="shared" si="54"/>
        <v>169500</v>
      </c>
      <c r="AG198" s="351">
        <f t="shared" si="54"/>
        <v>169500</v>
      </c>
      <c r="AH198" s="351">
        <f t="shared" si="50"/>
        <v>135600</v>
      </c>
      <c r="AI198" s="351">
        <f t="shared" si="50"/>
        <v>135600</v>
      </c>
      <c r="AJ198" s="351">
        <f t="shared" si="50"/>
        <v>135600</v>
      </c>
      <c r="AK198" s="351">
        <f t="shared" si="50"/>
        <v>135600</v>
      </c>
    </row>
    <row r="199" spans="2:37" ht="39.6">
      <c r="B199" s="701"/>
      <c r="C199" s="699"/>
      <c r="D199" s="352" t="s">
        <v>623</v>
      </c>
      <c r="E199" s="353">
        <v>60</v>
      </c>
      <c r="F199" s="354">
        <v>6780</v>
      </c>
      <c r="G199" s="355"/>
      <c r="H199" s="355"/>
      <c r="I199" s="355"/>
      <c r="J199" s="356">
        <f t="shared" si="40"/>
        <v>406800</v>
      </c>
      <c r="K199" s="346">
        <f t="shared" si="51"/>
        <v>0</v>
      </c>
      <c r="L199" s="346">
        <f t="shared" si="44"/>
        <v>0</v>
      </c>
      <c r="M199" s="346">
        <f t="shared" si="45"/>
        <v>0</v>
      </c>
      <c r="N199" s="348">
        <f t="shared" si="52"/>
        <v>2847600</v>
      </c>
      <c r="O199" s="348">
        <f t="shared" si="53"/>
        <v>0</v>
      </c>
      <c r="P199" s="348">
        <f t="shared" si="41"/>
        <v>0</v>
      </c>
      <c r="Q199" s="348">
        <f t="shared" si="42"/>
        <v>0</v>
      </c>
      <c r="R199" s="348">
        <f t="shared" si="43"/>
        <v>219265200</v>
      </c>
      <c r="S199" s="348">
        <f t="shared" si="43"/>
        <v>0</v>
      </c>
      <c r="T199" s="348">
        <f t="shared" si="46"/>
        <v>79732800</v>
      </c>
      <c r="U199" s="348">
        <f t="shared" si="47"/>
        <v>0</v>
      </c>
      <c r="V199" s="349" t="s">
        <v>612</v>
      </c>
      <c r="W199" s="361" t="s">
        <v>633</v>
      </c>
      <c r="X199" s="334">
        <v>1</v>
      </c>
      <c r="Y199" s="334">
        <v>0.8</v>
      </c>
      <c r="Z199" s="351"/>
      <c r="AA199" s="351"/>
      <c r="AB199" s="351">
        <f t="shared" si="54"/>
        <v>406800</v>
      </c>
      <c r="AC199" s="351">
        <f t="shared" si="54"/>
        <v>406800</v>
      </c>
      <c r="AD199" s="351">
        <f t="shared" si="54"/>
        <v>406800</v>
      </c>
      <c r="AE199" s="351">
        <f t="shared" si="54"/>
        <v>406800</v>
      </c>
      <c r="AF199" s="351">
        <f t="shared" si="54"/>
        <v>406800</v>
      </c>
      <c r="AG199" s="351">
        <f t="shared" si="54"/>
        <v>406800</v>
      </c>
      <c r="AH199" s="351">
        <f t="shared" ref="AH199:AK228" si="55">($J199+$K199+$L199+$M199)*$Y199</f>
        <v>325440</v>
      </c>
      <c r="AI199" s="351">
        <f t="shared" si="55"/>
        <v>325440</v>
      </c>
      <c r="AJ199" s="351">
        <f t="shared" si="55"/>
        <v>325440</v>
      </c>
      <c r="AK199" s="351"/>
    </row>
    <row r="200" spans="2:37">
      <c r="B200" s="701"/>
      <c r="C200" s="699"/>
      <c r="D200" s="352" t="s">
        <v>624</v>
      </c>
      <c r="E200" s="353">
        <v>39</v>
      </c>
      <c r="F200" s="354">
        <v>6780</v>
      </c>
      <c r="G200" s="355"/>
      <c r="H200" s="355"/>
      <c r="I200" s="355"/>
      <c r="J200" s="356">
        <f t="shared" si="40"/>
        <v>264420</v>
      </c>
      <c r="K200" s="346">
        <f t="shared" si="51"/>
        <v>0</v>
      </c>
      <c r="L200" s="346">
        <f t="shared" si="44"/>
        <v>0</v>
      </c>
      <c r="M200" s="346">
        <f t="shared" si="45"/>
        <v>0</v>
      </c>
      <c r="N200" s="348">
        <f t="shared" si="52"/>
        <v>1850940</v>
      </c>
      <c r="O200" s="348">
        <f t="shared" si="53"/>
        <v>0</v>
      </c>
      <c r="P200" s="348">
        <f t="shared" si="41"/>
        <v>0</v>
      </c>
      <c r="Q200" s="348">
        <f t="shared" si="42"/>
        <v>0</v>
      </c>
      <c r="R200" s="348">
        <f t="shared" si="43"/>
        <v>142522380</v>
      </c>
      <c r="S200" s="348">
        <f t="shared" si="43"/>
        <v>0</v>
      </c>
      <c r="T200" s="348">
        <f t="shared" si="46"/>
        <v>51826320</v>
      </c>
      <c r="U200" s="348">
        <f t="shared" si="47"/>
        <v>0</v>
      </c>
      <c r="V200" s="349" t="s">
        <v>612</v>
      </c>
      <c r="W200" s="362" t="s">
        <v>634</v>
      </c>
      <c r="X200" s="334">
        <v>1</v>
      </c>
      <c r="Y200" s="334">
        <v>0.8</v>
      </c>
      <c r="Z200" s="351">
        <f t="shared" ref="Z200:AA228" si="56">($J200+$K200+$L200+$M200)*$Y200</f>
        <v>211536</v>
      </c>
      <c r="AA200" s="351">
        <f t="shared" si="56"/>
        <v>211536</v>
      </c>
      <c r="AB200" s="351">
        <f t="shared" si="54"/>
        <v>264420</v>
      </c>
      <c r="AC200" s="351">
        <f t="shared" si="54"/>
        <v>264420</v>
      </c>
      <c r="AD200" s="351">
        <f t="shared" si="54"/>
        <v>264420</v>
      </c>
      <c r="AE200" s="351">
        <f t="shared" si="54"/>
        <v>264420</v>
      </c>
      <c r="AF200" s="351">
        <f t="shared" si="54"/>
        <v>264420</v>
      </c>
      <c r="AG200" s="351">
        <f t="shared" si="54"/>
        <v>264420</v>
      </c>
      <c r="AH200" s="351">
        <f t="shared" si="55"/>
        <v>211536</v>
      </c>
      <c r="AI200" s="351">
        <f t="shared" si="55"/>
        <v>211536</v>
      </c>
      <c r="AJ200" s="351">
        <f t="shared" si="55"/>
        <v>211536</v>
      </c>
      <c r="AK200" s="351">
        <f t="shared" si="55"/>
        <v>211536</v>
      </c>
    </row>
    <row r="201" spans="2:37" ht="39.6">
      <c r="B201" s="701"/>
      <c r="C201" s="699"/>
      <c r="D201" s="352" t="s">
        <v>625</v>
      </c>
      <c r="E201" s="353">
        <v>27</v>
      </c>
      <c r="F201" s="354">
        <v>6780</v>
      </c>
      <c r="G201" s="355"/>
      <c r="H201" s="355"/>
      <c r="I201" s="355"/>
      <c r="J201" s="356">
        <f t="shared" si="40"/>
        <v>183060</v>
      </c>
      <c r="K201" s="346">
        <f t="shared" si="51"/>
        <v>0</v>
      </c>
      <c r="L201" s="346">
        <f t="shared" si="44"/>
        <v>0</v>
      </c>
      <c r="M201" s="346">
        <f t="shared" si="45"/>
        <v>0</v>
      </c>
      <c r="N201" s="348">
        <f t="shared" si="52"/>
        <v>1281420</v>
      </c>
      <c r="O201" s="348">
        <f t="shared" si="53"/>
        <v>0</v>
      </c>
      <c r="P201" s="348">
        <f t="shared" si="41"/>
        <v>0</v>
      </c>
      <c r="Q201" s="348">
        <f t="shared" si="42"/>
        <v>0</v>
      </c>
      <c r="R201" s="348">
        <f t="shared" si="43"/>
        <v>98669340</v>
      </c>
      <c r="S201" s="348">
        <f t="shared" si="43"/>
        <v>0</v>
      </c>
      <c r="T201" s="348">
        <f t="shared" si="46"/>
        <v>35879760</v>
      </c>
      <c r="U201" s="348">
        <f t="shared" si="47"/>
        <v>0</v>
      </c>
      <c r="V201" s="349" t="s">
        <v>612</v>
      </c>
      <c r="W201" s="361" t="s">
        <v>637</v>
      </c>
      <c r="X201" s="334">
        <v>1</v>
      </c>
      <c r="Y201" s="334">
        <v>0.8</v>
      </c>
      <c r="Z201" s="351">
        <f t="shared" si="56"/>
        <v>146448</v>
      </c>
      <c r="AA201" s="351">
        <f t="shared" si="56"/>
        <v>146448</v>
      </c>
      <c r="AB201" s="351">
        <f t="shared" si="54"/>
        <v>183060</v>
      </c>
      <c r="AC201" s="351">
        <f t="shared" si="54"/>
        <v>183060</v>
      </c>
      <c r="AD201" s="351">
        <f t="shared" si="54"/>
        <v>183060</v>
      </c>
      <c r="AE201" s="351"/>
      <c r="AF201" s="351"/>
      <c r="AG201" s="351"/>
      <c r="AH201" s="351">
        <f t="shared" si="55"/>
        <v>146448</v>
      </c>
      <c r="AI201" s="351">
        <f t="shared" si="55"/>
        <v>146448</v>
      </c>
      <c r="AJ201" s="351">
        <f t="shared" si="55"/>
        <v>146448</v>
      </c>
      <c r="AK201" s="351">
        <f t="shared" si="55"/>
        <v>146448</v>
      </c>
    </row>
    <row r="202" spans="2:37">
      <c r="B202" s="701"/>
      <c r="C202" s="699"/>
      <c r="D202" s="352" t="s">
        <v>626</v>
      </c>
      <c r="E202" s="353">
        <v>252</v>
      </c>
      <c r="F202" s="354">
        <v>6780</v>
      </c>
      <c r="G202" s="355"/>
      <c r="H202" s="355"/>
      <c r="I202" s="355"/>
      <c r="J202" s="356">
        <f t="shared" si="40"/>
        <v>1708560</v>
      </c>
      <c r="K202" s="346">
        <f t="shared" si="51"/>
        <v>0</v>
      </c>
      <c r="L202" s="346">
        <f t="shared" si="44"/>
        <v>0</v>
      </c>
      <c r="M202" s="346">
        <f t="shared" si="45"/>
        <v>0</v>
      </c>
      <c r="N202" s="348">
        <f t="shared" si="52"/>
        <v>11959920</v>
      </c>
      <c r="O202" s="348">
        <f t="shared" si="53"/>
        <v>0</v>
      </c>
      <c r="P202" s="348">
        <f t="shared" si="41"/>
        <v>0</v>
      </c>
      <c r="Q202" s="348">
        <f t="shared" si="42"/>
        <v>0</v>
      </c>
      <c r="R202" s="348">
        <f t="shared" si="43"/>
        <v>920913840</v>
      </c>
      <c r="S202" s="348">
        <f t="shared" si="43"/>
        <v>0</v>
      </c>
      <c r="T202" s="348">
        <f t="shared" si="46"/>
        <v>334877760</v>
      </c>
      <c r="U202" s="348">
        <f t="shared" si="47"/>
        <v>0</v>
      </c>
      <c r="V202" s="349" t="s">
        <v>612</v>
      </c>
      <c r="W202" s="362" t="s">
        <v>634</v>
      </c>
      <c r="X202" s="334">
        <v>1</v>
      </c>
      <c r="Y202" s="334">
        <v>0.8</v>
      </c>
      <c r="Z202" s="351">
        <f t="shared" si="56"/>
        <v>1366848</v>
      </c>
      <c r="AA202" s="351">
        <f t="shared" si="56"/>
        <v>1366848</v>
      </c>
      <c r="AB202" s="351">
        <f t="shared" si="54"/>
        <v>1708560</v>
      </c>
      <c r="AC202" s="351">
        <f t="shared" si="54"/>
        <v>1708560</v>
      </c>
      <c r="AD202" s="351">
        <f t="shared" si="54"/>
        <v>1708560</v>
      </c>
      <c r="AE202" s="351">
        <f t="shared" si="54"/>
        <v>1708560</v>
      </c>
      <c r="AF202" s="351">
        <f t="shared" si="54"/>
        <v>1708560</v>
      </c>
      <c r="AG202" s="351">
        <f t="shared" si="54"/>
        <v>1708560</v>
      </c>
      <c r="AH202" s="351">
        <f t="shared" si="55"/>
        <v>1366848</v>
      </c>
      <c r="AI202" s="351">
        <f t="shared" si="55"/>
        <v>1366848</v>
      </c>
      <c r="AJ202" s="351">
        <f t="shared" si="55"/>
        <v>1366848</v>
      </c>
      <c r="AK202" s="351">
        <f t="shared" si="55"/>
        <v>1366848</v>
      </c>
    </row>
    <row r="203" spans="2:37">
      <c r="B203" s="701"/>
      <c r="C203" s="699"/>
      <c r="D203" s="352" t="s">
        <v>627</v>
      </c>
      <c r="E203" s="353">
        <v>30</v>
      </c>
      <c r="F203" s="354">
        <v>6780</v>
      </c>
      <c r="G203" s="355"/>
      <c r="H203" s="355"/>
      <c r="I203" s="355"/>
      <c r="J203" s="356">
        <f t="shared" si="40"/>
        <v>203400</v>
      </c>
      <c r="K203" s="346">
        <f t="shared" si="51"/>
        <v>0</v>
      </c>
      <c r="L203" s="346">
        <f t="shared" si="44"/>
        <v>0</v>
      </c>
      <c r="M203" s="346">
        <f t="shared" si="45"/>
        <v>0</v>
      </c>
      <c r="N203" s="348">
        <f t="shared" si="52"/>
        <v>1423800</v>
      </c>
      <c r="O203" s="348">
        <f t="shared" si="53"/>
        <v>0</v>
      </c>
      <c r="P203" s="348">
        <f t="shared" si="41"/>
        <v>0</v>
      </c>
      <c r="Q203" s="348">
        <f t="shared" si="42"/>
        <v>0</v>
      </c>
      <c r="R203" s="348">
        <f t="shared" si="43"/>
        <v>109632600</v>
      </c>
      <c r="S203" s="348">
        <f t="shared" si="43"/>
        <v>0</v>
      </c>
      <c r="T203" s="348">
        <f t="shared" si="46"/>
        <v>39866400</v>
      </c>
      <c r="U203" s="348">
        <f t="shared" si="47"/>
        <v>0</v>
      </c>
      <c r="V203" s="349" t="s">
        <v>612</v>
      </c>
      <c r="W203" s="362" t="s">
        <v>634</v>
      </c>
      <c r="X203" s="334">
        <v>1</v>
      </c>
      <c r="Y203" s="334">
        <v>0.8</v>
      </c>
      <c r="Z203" s="351">
        <f t="shared" si="56"/>
        <v>162720</v>
      </c>
      <c r="AA203" s="351">
        <f t="shared" si="56"/>
        <v>162720</v>
      </c>
      <c r="AB203" s="351">
        <f t="shared" si="54"/>
        <v>203400</v>
      </c>
      <c r="AC203" s="351">
        <f t="shared" si="54"/>
        <v>203400</v>
      </c>
      <c r="AD203" s="351">
        <f t="shared" si="54"/>
        <v>203400</v>
      </c>
      <c r="AE203" s="351">
        <f t="shared" si="54"/>
        <v>203400</v>
      </c>
      <c r="AF203" s="351">
        <f t="shared" si="54"/>
        <v>203400</v>
      </c>
      <c r="AG203" s="351">
        <f t="shared" si="54"/>
        <v>203400</v>
      </c>
      <c r="AH203" s="351">
        <f t="shared" si="55"/>
        <v>162720</v>
      </c>
      <c r="AI203" s="351">
        <f t="shared" si="55"/>
        <v>162720</v>
      </c>
      <c r="AJ203" s="351">
        <f t="shared" si="55"/>
        <v>162720</v>
      </c>
      <c r="AK203" s="351">
        <f t="shared" si="55"/>
        <v>162720</v>
      </c>
    </row>
    <row r="204" spans="2:37">
      <c r="B204" s="702"/>
      <c r="C204" s="699"/>
      <c r="D204" s="352" t="s">
        <v>628</v>
      </c>
      <c r="E204" s="353">
        <v>1</v>
      </c>
      <c r="F204" s="354">
        <v>6780</v>
      </c>
      <c r="G204" s="355"/>
      <c r="H204" s="355"/>
      <c r="I204" s="355"/>
      <c r="J204" s="356">
        <f t="shared" si="40"/>
        <v>6780</v>
      </c>
      <c r="K204" s="346">
        <f t="shared" si="51"/>
        <v>0</v>
      </c>
      <c r="L204" s="346">
        <f t="shared" si="44"/>
        <v>0</v>
      </c>
      <c r="M204" s="346">
        <f t="shared" si="45"/>
        <v>0</v>
      </c>
      <c r="N204" s="348">
        <f t="shared" si="52"/>
        <v>47460</v>
      </c>
      <c r="O204" s="348">
        <f t="shared" si="53"/>
        <v>0</v>
      </c>
      <c r="P204" s="348">
        <f t="shared" si="41"/>
        <v>0</v>
      </c>
      <c r="Q204" s="348">
        <f t="shared" si="42"/>
        <v>0</v>
      </c>
      <c r="R204" s="348">
        <f t="shared" si="43"/>
        <v>3654420</v>
      </c>
      <c r="S204" s="348">
        <f t="shared" si="43"/>
        <v>0</v>
      </c>
      <c r="T204" s="348">
        <f t="shared" si="46"/>
        <v>1328880</v>
      </c>
      <c r="U204" s="348">
        <f t="shared" si="47"/>
        <v>0</v>
      </c>
      <c r="V204" s="349" t="s">
        <v>612</v>
      </c>
      <c r="W204" s="362" t="s">
        <v>634</v>
      </c>
      <c r="X204" s="334">
        <v>1</v>
      </c>
      <c r="Y204" s="334">
        <v>0.8</v>
      </c>
      <c r="Z204" s="351">
        <f t="shared" si="56"/>
        <v>5424</v>
      </c>
      <c r="AA204" s="351">
        <f t="shared" si="56"/>
        <v>5424</v>
      </c>
      <c r="AB204" s="351">
        <f t="shared" si="54"/>
        <v>6780</v>
      </c>
      <c r="AC204" s="351">
        <f t="shared" si="54"/>
        <v>6780</v>
      </c>
      <c r="AD204" s="351">
        <f t="shared" si="54"/>
        <v>6780</v>
      </c>
      <c r="AE204" s="351">
        <f t="shared" si="54"/>
        <v>6780</v>
      </c>
      <c r="AF204" s="351">
        <f t="shared" si="54"/>
        <v>6780</v>
      </c>
      <c r="AG204" s="351">
        <f t="shared" si="54"/>
        <v>6780</v>
      </c>
      <c r="AH204" s="351">
        <f t="shared" si="55"/>
        <v>5424</v>
      </c>
      <c r="AI204" s="351">
        <f t="shared" si="55"/>
        <v>5424</v>
      </c>
      <c r="AJ204" s="351">
        <f t="shared" si="55"/>
        <v>5424</v>
      </c>
      <c r="AK204" s="351">
        <f t="shared" si="55"/>
        <v>5424</v>
      </c>
    </row>
    <row r="205" spans="2:37" s="367" customFormat="1">
      <c r="B205" s="711" t="s">
        <v>652</v>
      </c>
      <c r="C205" s="703" t="s">
        <v>653</v>
      </c>
      <c r="D205" s="341" t="s">
        <v>583</v>
      </c>
      <c r="E205" s="342">
        <v>5</v>
      </c>
      <c r="F205" s="343">
        <v>50000</v>
      </c>
      <c r="G205" s="344"/>
      <c r="H205" s="365">
        <f>100000+10000</f>
        <v>110000</v>
      </c>
      <c r="I205" s="344"/>
      <c r="J205" s="345">
        <f t="shared" si="40"/>
        <v>250000</v>
      </c>
      <c r="K205" s="346">
        <f>E205*G205</f>
        <v>0</v>
      </c>
      <c r="L205" s="346">
        <f t="shared" si="44"/>
        <v>550000</v>
      </c>
      <c r="M205" s="346">
        <f t="shared" si="45"/>
        <v>0</v>
      </c>
      <c r="N205" s="348">
        <f>E205*F205*$X$23</f>
        <v>250000</v>
      </c>
      <c r="O205" s="348">
        <f>E205*G205*$X$2</f>
        <v>0</v>
      </c>
      <c r="P205" s="348">
        <f t="shared" si="41"/>
        <v>3850000</v>
      </c>
      <c r="Q205" s="348">
        <f t="shared" si="42"/>
        <v>0</v>
      </c>
      <c r="R205" s="348">
        <f t="shared" si="43"/>
        <v>315700000</v>
      </c>
      <c r="S205" s="348">
        <f t="shared" si="43"/>
        <v>0</v>
      </c>
      <c r="T205" s="348">
        <f t="shared" si="46"/>
        <v>114800000</v>
      </c>
      <c r="U205" s="348">
        <f t="shared" si="47"/>
        <v>0</v>
      </c>
      <c r="V205" s="349" t="s">
        <v>612</v>
      </c>
      <c r="W205" s="362" t="s">
        <v>634</v>
      </c>
      <c r="X205" s="334">
        <v>1</v>
      </c>
      <c r="Y205" s="334">
        <v>0.8</v>
      </c>
      <c r="Z205" s="351">
        <f t="shared" si="56"/>
        <v>640000</v>
      </c>
      <c r="AA205" s="351">
        <f t="shared" si="56"/>
        <v>640000</v>
      </c>
      <c r="AB205" s="351">
        <f t="shared" si="54"/>
        <v>800000</v>
      </c>
      <c r="AC205" s="351">
        <f t="shared" si="54"/>
        <v>800000</v>
      </c>
      <c r="AD205" s="351">
        <f t="shared" si="54"/>
        <v>800000</v>
      </c>
      <c r="AE205" s="351">
        <f t="shared" si="54"/>
        <v>800000</v>
      </c>
      <c r="AF205" s="351">
        <f t="shared" si="54"/>
        <v>800000</v>
      </c>
      <c r="AG205" s="351">
        <f t="shared" si="54"/>
        <v>800000</v>
      </c>
      <c r="AH205" s="351">
        <f t="shared" si="55"/>
        <v>640000</v>
      </c>
      <c r="AI205" s="351">
        <f t="shared" si="55"/>
        <v>640000</v>
      </c>
      <c r="AJ205" s="351">
        <f t="shared" si="55"/>
        <v>640000</v>
      </c>
      <c r="AK205" s="351">
        <f t="shared" si="55"/>
        <v>640000</v>
      </c>
    </row>
    <row r="206" spans="2:37" s="367" customFormat="1">
      <c r="B206" s="711"/>
      <c r="C206" s="700"/>
      <c r="D206" s="352" t="s">
        <v>617</v>
      </c>
      <c r="E206" s="353">
        <v>1</v>
      </c>
      <c r="F206" s="343">
        <v>50000</v>
      </c>
      <c r="G206" s="355"/>
      <c r="H206" s="365">
        <f t="shared" ref="H206:H212" si="57">100000+10000</f>
        <v>110000</v>
      </c>
      <c r="I206" s="355"/>
      <c r="J206" s="356">
        <f t="shared" si="40"/>
        <v>50000</v>
      </c>
      <c r="K206" s="346">
        <f t="shared" ref="K206:K228" si="58">E206*G206</f>
        <v>0</v>
      </c>
      <c r="L206" s="346">
        <f t="shared" si="44"/>
        <v>110000</v>
      </c>
      <c r="M206" s="346">
        <f t="shared" si="45"/>
        <v>0</v>
      </c>
      <c r="N206" s="348">
        <f t="shared" ref="N206:N216" si="59">E206*F206*$X$23</f>
        <v>50000</v>
      </c>
      <c r="O206" s="348">
        <f t="shared" ref="O206:O216" si="60">E206*G206*$X$2</f>
        <v>0</v>
      </c>
      <c r="P206" s="348">
        <f t="shared" si="41"/>
        <v>770000</v>
      </c>
      <c r="Q206" s="348">
        <f t="shared" si="42"/>
        <v>0</v>
      </c>
      <c r="R206" s="348">
        <f t="shared" si="43"/>
        <v>63140000</v>
      </c>
      <c r="S206" s="348">
        <f t="shared" si="43"/>
        <v>0</v>
      </c>
      <c r="T206" s="348">
        <f t="shared" si="46"/>
        <v>22960000</v>
      </c>
      <c r="U206" s="348">
        <f t="shared" si="47"/>
        <v>0</v>
      </c>
      <c r="V206" s="349" t="s">
        <v>612</v>
      </c>
      <c r="W206" s="362" t="s">
        <v>634</v>
      </c>
      <c r="X206" s="334">
        <v>1</v>
      </c>
      <c r="Y206" s="334">
        <v>0.8</v>
      </c>
      <c r="Z206" s="351">
        <f t="shared" si="56"/>
        <v>128000</v>
      </c>
      <c r="AA206" s="351">
        <f t="shared" si="56"/>
        <v>128000</v>
      </c>
      <c r="AB206" s="351">
        <f t="shared" si="54"/>
        <v>160000</v>
      </c>
      <c r="AC206" s="351">
        <f t="shared" si="54"/>
        <v>160000</v>
      </c>
      <c r="AD206" s="351">
        <f t="shared" si="54"/>
        <v>160000</v>
      </c>
      <c r="AE206" s="351">
        <f t="shared" si="54"/>
        <v>160000</v>
      </c>
      <c r="AF206" s="351">
        <f t="shared" si="54"/>
        <v>160000</v>
      </c>
      <c r="AG206" s="351">
        <f t="shared" si="54"/>
        <v>160000</v>
      </c>
      <c r="AH206" s="351">
        <f t="shared" si="55"/>
        <v>128000</v>
      </c>
      <c r="AI206" s="351">
        <f t="shared" si="55"/>
        <v>128000</v>
      </c>
      <c r="AJ206" s="351">
        <f t="shared" si="55"/>
        <v>128000</v>
      </c>
      <c r="AK206" s="351">
        <f t="shared" si="55"/>
        <v>128000</v>
      </c>
    </row>
    <row r="207" spans="2:37" s="367" customFormat="1">
      <c r="B207" s="711"/>
      <c r="C207" s="700"/>
      <c r="D207" s="352" t="s">
        <v>620</v>
      </c>
      <c r="E207" s="353">
        <v>2</v>
      </c>
      <c r="F207" s="343">
        <v>50000</v>
      </c>
      <c r="G207" s="355"/>
      <c r="H207" s="365">
        <f t="shared" si="57"/>
        <v>110000</v>
      </c>
      <c r="I207" s="355"/>
      <c r="J207" s="356">
        <f t="shared" si="40"/>
        <v>100000</v>
      </c>
      <c r="K207" s="346">
        <f t="shared" si="58"/>
        <v>0</v>
      </c>
      <c r="L207" s="346">
        <f t="shared" si="44"/>
        <v>220000</v>
      </c>
      <c r="M207" s="346">
        <f t="shared" si="45"/>
        <v>0</v>
      </c>
      <c r="N207" s="348">
        <f t="shared" si="59"/>
        <v>100000</v>
      </c>
      <c r="O207" s="348">
        <f t="shared" si="60"/>
        <v>0</v>
      </c>
      <c r="P207" s="348">
        <f t="shared" si="41"/>
        <v>1540000</v>
      </c>
      <c r="Q207" s="348">
        <f t="shared" si="42"/>
        <v>0</v>
      </c>
      <c r="R207" s="348">
        <f t="shared" si="43"/>
        <v>126280000</v>
      </c>
      <c r="S207" s="348">
        <f t="shared" si="43"/>
        <v>0</v>
      </c>
      <c r="T207" s="348">
        <f t="shared" si="46"/>
        <v>45920000</v>
      </c>
      <c r="U207" s="348">
        <f t="shared" si="47"/>
        <v>0</v>
      </c>
      <c r="V207" s="349" t="s">
        <v>612</v>
      </c>
      <c r="W207" s="362" t="s">
        <v>634</v>
      </c>
      <c r="X207" s="334">
        <v>1</v>
      </c>
      <c r="Y207" s="334">
        <v>0.8</v>
      </c>
      <c r="Z207" s="351">
        <f t="shared" si="56"/>
        <v>256000</v>
      </c>
      <c r="AA207" s="351">
        <f t="shared" si="56"/>
        <v>256000</v>
      </c>
      <c r="AB207" s="351">
        <f t="shared" si="54"/>
        <v>320000</v>
      </c>
      <c r="AC207" s="351">
        <f t="shared" si="54"/>
        <v>320000</v>
      </c>
      <c r="AD207" s="351">
        <f t="shared" si="54"/>
        <v>320000</v>
      </c>
      <c r="AE207" s="351">
        <f t="shared" si="54"/>
        <v>320000</v>
      </c>
      <c r="AF207" s="351">
        <f t="shared" si="54"/>
        <v>320000</v>
      </c>
      <c r="AG207" s="351">
        <f t="shared" si="54"/>
        <v>320000</v>
      </c>
      <c r="AH207" s="351">
        <f t="shared" si="55"/>
        <v>256000</v>
      </c>
      <c r="AI207" s="351">
        <f t="shared" si="55"/>
        <v>256000</v>
      </c>
      <c r="AJ207" s="351">
        <f t="shared" si="55"/>
        <v>256000</v>
      </c>
      <c r="AK207" s="351">
        <f t="shared" si="55"/>
        <v>256000</v>
      </c>
    </row>
    <row r="208" spans="2:37" s="367" customFormat="1" ht="1.05" customHeight="1">
      <c r="B208" s="711"/>
      <c r="C208" s="700"/>
      <c r="D208" s="352" t="s">
        <v>623</v>
      </c>
      <c r="E208" s="353">
        <v>6</v>
      </c>
      <c r="F208" s="343">
        <v>50000</v>
      </c>
      <c r="G208" s="355"/>
      <c r="H208" s="365">
        <f t="shared" si="57"/>
        <v>110000</v>
      </c>
      <c r="I208" s="355"/>
      <c r="J208" s="356">
        <f t="shared" si="40"/>
        <v>300000</v>
      </c>
      <c r="K208" s="346">
        <f t="shared" si="58"/>
        <v>0</v>
      </c>
      <c r="L208" s="346">
        <f t="shared" si="44"/>
        <v>660000</v>
      </c>
      <c r="M208" s="346">
        <f t="shared" si="45"/>
        <v>0</v>
      </c>
      <c r="N208" s="348">
        <f t="shared" si="59"/>
        <v>300000</v>
      </c>
      <c r="O208" s="348">
        <f t="shared" si="60"/>
        <v>0</v>
      </c>
      <c r="P208" s="348">
        <f t="shared" si="41"/>
        <v>4620000</v>
      </c>
      <c r="Q208" s="348">
        <f t="shared" si="42"/>
        <v>0</v>
      </c>
      <c r="R208" s="348">
        <f t="shared" si="43"/>
        <v>378840000</v>
      </c>
      <c r="S208" s="348">
        <f t="shared" si="43"/>
        <v>0</v>
      </c>
      <c r="T208" s="348">
        <f t="shared" si="46"/>
        <v>137760000</v>
      </c>
      <c r="U208" s="348">
        <f t="shared" si="47"/>
        <v>0</v>
      </c>
      <c r="V208" s="349" t="s">
        <v>612</v>
      </c>
      <c r="W208" s="361" t="s">
        <v>633</v>
      </c>
      <c r="X208" s="334">
        <v>1</v>
      </c>
      <c r="Y208" s="334">
        <v>0.8</v>
      </c>
      <c r="Z208" s="351">
        <f t="shared" si="56"/>
        <v>768000</v>
      </c>
      <c r="AA208" s="351">
        <f t="shared" si="56"/>
        <v>768000</v>
      </c>
      <c r="AB208" s="351">
        <f t="shared" si="54"/>
        <v>960000</v>
      </c>
      <c r="AC208" s="351">
        <f t="shared" si="54"/>
        <v>960000</v>
      </c>
      <c r="AD208" s="351">
        <f t="shared" si="54"/>
        <v>960000</v>
      </c>
      <c r="AE208" s="351">
        <f t="shared" si="54"/>
        <v>960000</v>
      </c>
      <c r="AF208" s="351">
        <f t="shared" si="54"/>
        <v>960000</v>
      </c>
      <c r="AG208" s="351">
        <f t="shared" si="54"/>
        <v>960000</v>
      </c>
      <c r="AH208" s="351">
        <f t="shared" si="55"/>
        <v>768000</v>
      </c>
      <c r="AI208" s="351">
        <f t="shared" si="55"/>
        <v>768000</v>
      </c>
      <c r="AJ208" s="351">
        <f t="shared" si="55"/>
        <v>768000</v>
      </c>
      <c r="AK208" s="351">
        <f t="shared" si="55"/>
        <v>768000</v>
      </c>
    </row>
    <row r="209" spans="2:37" s="367" customFormat="1" ht="78" customHeight="1">
      <c r="B209" s="711"/>
      <c r="C209" s="700"/>
      <c r="D209" s="352" t="s">
        <v>626</v>
      </c>
      <c r="E209" s="353">
        <v>10</v>
      </c>
      <c r="F209" s="343">
        <v>50000</v>
      </c>
      <c r="G209" s="355"/>
      <c r="H209" s="365">
        <f t="shared" si="57"/>
        <v>110000</v>
      </c>
      <c r="I209" s="355"/>
      <c r="J209" s="356">
        <f t="shared" si="40"/>
        <v>500000</v>
      </c>
      <c r="K209" s="346">
        <f t="shared" si="58"/>
        <v>0</v>
      </c>
      <c r="L209" s="346">
        <f t="shared" si="44"/>
        <v>1100000</v>
      </c>
      <c r="M209" s="346">
        <f t="shared" si="45"/>
        <v>0</v>
      </c>
      <c r="N209" s="348">
        <f t="shared" si="59"/>
        <v>500000</v>
      </c>
      <c r="O209" s="348">
        <f t="shared" si="60"/>
        <v>0</v>
      </c>
      <c r="P209" s="348">
        <f t="shared" si="41"/>
        <v>7700000</v>
      </c>
      <c r="Q209" s="348">
        <f t="shared" si="42"/>
        <v>0</v>
      </c>
      <c r="R209" s="348">
        <f t="shared" si="43"/>
        <v>631400000</v>
      </c>
      <c r="S209" s="348">
        <f t="shared" si="43"/>
        <v>0</v>
      </c>
      <c r="T209" s="348">
        <f t="shared" si="46"/>
        <v>229600000</v>
      </c>
      <c r="U209" s="348">
        <f t="shared" si="47"/>
        <v>0</v>
      </c>
      <c r="V209" s="349" t="s">
        <v>612</v>
      </c>
      <c r="W209" s="362" t="s">
        <v>634</v>
      </c>
      <c r="X209" s="334">
        <v>1</v>
      </c>
      <c r="Y209" s="334">
        <v>0.8</v>
      </c>
      <c r="Z209" s="351">
        <f t="shared" si="56"/>
        <v>1280000</v>
      </c>
      <c r="AA209" s="351">
        <f t="shared" si="56"/>
        <v>1280000</v>
      </c>
      <c r="AB209" s="351">
        <f t="shared" si="54"/>
        <v>1600000</v>
      </c>
      <c r="AC209" s="351">
        <f t="shared" si="54"/>
        <v>1600000</v>
      </c>
      <c r="AD209" s="351">
        <f t="shared" si="54"/>
        <v>1600000</v>
      </c>
      <c r="AE209" s="351">
        <f t="shared" si="54"/>
        <v>1600000</v>
      </c>
      <c r="AF209" s="351">
        <f t="shared" si="54"/>
        <v>1600000</v>
      </c>
      <c r="AG209" s="351">
        <f t="shared" si="54"/>
        <v>1600000</v>
      </c>
      <c r="AH209" s="351">
        <f t="shared" si="55"/>
        <v>1280000</v>
      </c>
      <c r="AI209" s="351">
        <f t="shared" si="55"/>
        <v>1280000</v>
      </c>
      <c r="AJ209" s="351">
        <f t="shared" si="55"/>
        <v>1280000</v>
      </c>
      <c r="AK209" s="351">
        <f t="shared" si="55"/>
        <v>1280000</v>
      </c>
    </row>
    <row r="210" spans="2:37" s="367" customFormat="1">
      <c r="B210" s="711"/>
      <c r="C210" s="700" t="s">
        <v>654</v>
      </c>
      <c r="D210" s="352" t="s">
        <v>583</v>
      </c>
      <c r="E210" s="353">
        <v>14</v>
      </c>
      <c r="F210" s="343">
        <v>50000</v>
      </c>
      <c r="G210" s="355"/>
      <c r="H210" s="365">
        <f t="shared" si="57"/>
        <v>110000</v>
      </c>
      <c r="I210" s="355"/>
      <c r="J210" s="356">
        <f t="shared" si="40"/>
        <v>700000</v>
      </c>
      <c r="K210" s="346">
        <f t="shared" si="58"/>
        <v>0</v>
      </c>
      <c r="L210" s="346">
        <f t="shared" si="44"/>
        <v>1540000</v>
      </c>
      <c r="M210" s="346">
        <f t="shared" si="45"/>
        <v>0</v>
      </c>
      <c r="N210" s="348">
        <f t="shared" si="59"/>
        <v>700000</v>
      </c>
      <c r="O210" s="348">
        <f t="shared" si="60"/>
        <v>0</v>
      </c>
      <c r="P210" s="348">
        <f t="shared" si="41"/>
        <v>10780000</v>
      </c>
      <c r="Q210" s="348">
        <f t="shared" si="42"/>
        <v>0</v>
      </c>
      <c r="R210" s="348">
        <f t="shared" si="43"/>
        <v>883960000</v>
      </c>
      <c r="S210" s="348">
        <f t="shared" si="43"/>
        <v>0</v>
      </c>
      <c r="T210" s="348">
        <f t="shared" si="46"/>
        <v>321440000</v>
      </c>
      <c r="U210" s="348">
        <f t="shared" si="47"/>
        <v>0</v>
      </c>
      <c r="V210" s="349" t="s">
        <v>612</v>
      </c>
      <c r="W210" s="362" t="s">
        <v>634</v>
      </c>
      <c r="X210" s="334">
        <v>1</v>
      </c>
      <c r="Y210" s="334">
        <v>0.8</v>
      </c>
      <c r="Z210" s="351">
        <f t="shared" si="56"/>
        <v>1792000</v>
      </c>
      <c r="AA210" s="351">
        <f t="shared" si="56"/>
        <v>1792000</v>
      </c>
      <c r="AB210" s="351">
        <f t="shared" si="54"/>
        <v>2240000</v>
      </c>
      <c r="AC210" s="351">
        <f t="shared" si="54"/>
        <v>2240000</v>
      </c>
      <c r="AD210" s="351">
        <f t="shared" si="54"/>
        <v>2240000</v>
      </c>
      <c r="AE210" s="351">
        <f t="shared" si="54"/>
        <v>2240000</v>
      </c>
      <c r="AF210" s="351">
        <f t="shared" si="54"/>
        <v>2240000</v>
      </c>
      <c r="AG210" s="351">
        <f t="shared" si="54"/>
        <v>2240000</v>
      </c>
      <c r="AH210" s="351">
        <f t="shared" si="55"/>
        <v>1792000</v>
      </c>
      <c r="AI210" s="351">
        <f t="shared" si="55"/>
        <v>1792000</v>
      </c>
      <c r="AJ210" s="351">
        <f t="shared" si="55"/>
        <v>1792000</v>
      </c>
      <c r="AK210" s="351">
        <f t="shared" si="55"/>
        <v>1792000</v>
      </c>
    </row>
    <row r="211" spans="2:37" s="367" customFormat="1" ht="39.6">
      <c r="B211" s="711"/>
      <c r="C211" s="700"/>
      <c r="D211" s="352" t="s">
        <v>623</v>
      </c>
      <c r="E211" s="353">
        <v>1</v>
      </c>
      <c r="F211" s="343">
        <v>50000</v>
      </c>
      <c r="G211" s="355"/>
      <c r="H211" s="365">
        <f t="shared" si="57"/>
        <v>110000</v>
      </c>
      <c r="I211" s="355"/>
      <c r="J211" s="356">
        <f t="shared" si="40"/>
        <v>50000</v>
      </c>
      <c r="K211" s="346">
        <f t="shared" si="58"/>
        <v>0</v>
      </c>
      <c r="L211" s="346">
        <f t="shared" si="44"/>
        <v>110000</v>
      </c>
      <c r="M211" s="346">
        <f t="shared" si="45"/>
        <v>0</v>
      </c>
      <c r="N211" s="348">
        <f t="shared" si="59"/>
        <v>50000</v>
      </c>
      <c r="O211" s="348">
        <f t="shared" si="60"/>
        <v>0</v>
      </c>
      <c r="P211" s="348">
        <f t="shared" si="41"/>
        <v>770000</v>
      </c>
      <c r="Q211" s="348">
        <f t="shared" si="42"/>
        <v>0</v>
      </c>
      <c r="R211" s="348">
        <f t="shared" si="43"/>
        <v>63140000</v>
      </c>
      <c r="S211" s="348">
        <f t="shared" si="43"/>
        <v>0</v>
      </c>
      <c r="T211" s="348">
        <f t="shared" si="46"/>
        <v>22960000</v>
      </c>
      <c r="U211" s="348">
        <f t="shared" si="47"/>
        <v>0</v>
      </c>
      <c r="V211" s="349" t="s">
        <v>612</v>
      </c>
      <c r="W211" s="361" t="s">
        <v>633</v>
      </c>
      <c r="X211" s="334">
        <v>1</v>
      </c>
      <c r="Y211" s="334">
        <v>0.8</v>
      </c>
      <c r="Z211" s="351"/>
      <c r="AA211" s="351"/>
      <c r="AB211" s="351">
        <f t="shared" si="54"/>
        <v>160000</v>
      </c>
      <c r="AC211" s="351">
        <f t="shared" si="54"/>
        <v>160000</v>
      </c>
      <c r="AD211" s="351">
        <f t="shared" si="54"/>
        <v>160000</v>
      </c>
      <c r="AE211" s="351">
        <f t="shared" si="54"/>
        <v>160000</v>
      </c>
      <c r="AF211" s="351">
        <f t="shared" si="54"/>
        <v>160000</v>
      </c>
      <c r="AG211" s="351">
        <f t="shared" si="54"/>
        <v>160000</v>
      </c>
      <c r="AH211" s="351">
        <f t="shared" si="55"/>
        <v>128000</v>
      </c>
      <c r="AI211" s="351">
        <f t="shared" si="55"/>
        <v>128000</v>
      </c>
      <c r="AJ211" s="351">
        <f t="shared" si="55"/>
        <v>128000</v>
      </c>
      <c r="AK211" s="351"/>
    </row>
    <row r="212" spans="2:37" s="367" customFormat="1" ht="25.05" customHeight="1">
      <c r="B212" s="711"/>
      <c r="C212" s="700"/>
      <c r="D212" s="352" t="s">
        <v>626</v>
      </c>
      <c r="E212" s="353">
        <v>12</v>
      </c>
      <c r="F212" s="343">
        <v>50000</v>
      </c>
      <c r="G212" s="355"/>
      <c r="H212" s="365">
        <f t="shared" si="57"/>
        <v>110000</v>
      </c>
      <c r="I212" s="355"/>
      <c r="J212" s="356">
        <f t="shared" si="40"/>
        <v>600000</v>
      </c>
      <c r="K212" s="346">
        <f t="shared" si="58"/>
        <v>0</v>
      </c>
      <c r="L212" s="346">
        <f t="shared" si="44"/>
        <v>1320000</v>
      </c>
      <c r="M212" s="346">
        <f t="shared" si="45"/>
        <v>0</v>
      </c>
      <c r="N212" s="348">
        <f t="shared" si="59"/>
        <v>600000</v>
      </c>
      <c r="O212" s="348">
        <f t="shared" si="60"/>
        <v>0</v>
      </c>
      <c r="P212" s="348">
        <f t="shared" si="41"/>
        <v>9240000</v>
      </c>
      <c r="Q212" s="348">
        <f t="shared" si="42"/>
        <v>0</v>
      </c>
      <c r="R212" s="348">
        <f t="shared" si="43"/>
        <v>757680000</v>
      </c>
      <c r="S212" s="348">
        <f t="shared" si="43"/>
        <v>0</v>
      </c>
      <c r="T212" s="348">
        <f t="shared" si="46"/>
        <v>275520000</v>
      </c>
      <c r="U212" s="348">
        <f t="shared" si="47"/>
        <v>0</v>
      </c>
      <c r="V212" s="349" t="s">
        <v>612</v>
      </c>
      <c r="W212" s="362" t="s">
        <v>634</v>
      </c>
      <c r="X212" s="334">
        <v>1</v>
      </c>
      <c r="Y212" s="334">
        <v>0.8</v>
      </c>
      <c r="Z212" s="351">
        <f t="shared" si="56"/>
        <v>1536000</v>
      </c>
      <c r="AA212" s="351">
        <f t="shared" si="56"/>
        <v>1536000</v>
      </c>
      <c r="AB212" s="351">
        <f t="shared" si="54"/>
        <v>1920000</v>
      </c>
      <c r="AC212" s="351">
        <f t="shared" si="54"/>
        <v>1920000</v>
      </c>
      <c r="AD212" s="351">
        <f t="shared" si="54"/>
        <v>1920000</v>
      </c>
      <c r="AE212" s="351">
        <f t="shared" si="54"/>
        <v>1920000</v>
      </c>
      <c r="AF212" s="351">
        <f t="shared" si="54"/>
        <v>1920000</v>
      </c>
      <c r="AG212" s="351">
        <f t="shared" si="54"/>
        <v>1920000</v>
      </c>
      <c r="AH212" s="351">
        <f t="shared" si="55"/>
        <v>1536000</v>
      </c>
      <c r="AI212" s="351">
        <f t="shared" si="55"/>
        <v>1536000</v>
      </c>
      <c r="AJ212" s="351">
        <f t="shared" si="55"/>
        <v>1536000</v>
      </c>
      <c r="AK212" s="351">
        <f t="shared" si="55"/>
        <v>1536000</v>
      </c>
    </row>
    <row r="213" spans="2:37" s="367" customFormat="1">
      <c r="B213" s="711"/>
      <c r="C213" s="366" t="s">
        <v>655</v>
      </c>
      <c r="D213" s="352" t="s">
        <v>583</v>
      </c>
      <c r="E213" s="353">
        <v>3</v>
      </c>
      <c r="F213" s="354">
        <v>3000</v>
      </c>
      <c r="G213" s="355"/>
      <c r="H213" s="368">
        <v>3000</v>
      </c>
      <c r="I213" s="355"/>
      <c r="J213" s="356">
        <f t="shared" si="40"/>
        <v>9000</v>
      </c>
      <c r="K213" s="346">
        <f t="shared" si="58"/>
        <v>0</v>
      </c>
      <c r="L213" s="346">
        <f t="shared" si="44"/>
        <v>9000</v>
      </c>
      <c r="M213" s="346">
        <f t="shared" si="45"/>
        <v>0</v>
      </c>
      <c r="N213" s="348">
        <f t="shared" si="59"/>
        <v>9000</v>
      </c>
      <c r="O213" s="348">
        <f t="shared" si="60"/>
        <v>0</v>
      </c>
      <c r="P213" s="348">
        <f t="shared" si="41"/>
        <v>63000</v>
      </c>
      <c r="Q213" s="348">
        <f t="shared" si="42"/>
        <v>0</v>
      </c>
      <c r="R213" s="348">
        <f t="shared" si="43"/>
        <v>5544000</v>
      </c>
      <c r="S213" s="348">
        <f t="shared" si="43"/>
        <v>0</v>
      </c>
      <c r="T213" s="348">
        <f t="shared" si="46"/>
        <v>2016000</v>
      </c>
      <c r="U213" s="348">
        <f t="shared" si="47"/>
        <v>0</v>
      </c>
      <c r="V213" s="349" t="s">
        <v>612</v>
      </c>
      <c r="W213" s="362" t="s">
        <v>634</v>
      </c>
      <c r="X213" s="334">
        <v>1</v>
      </c>
      <c r="Y213" s="334">
        <v>0.8</v>
      </c>
      <c r="Z213" s="351">
        <f t="shared" si="56"/>
        <v>14400</v>
      </c>
      <c r="AA213" s="351">
        <f t="shared" si="56"/>
        <v>14400</v>
      </c>
      <c r="AB213" s="351">
        <f t="shared" si="54"/>
        <v>18000</v>
      </c>
      <c r="AC213" s="351">
        <f t="shared" si="54"/>
        <v>18000</v>
      </c>
      <c r="AD213" s="351">
        <f t="shared" si="54"/>
        <v>18000</v>
      </c>
      <c r="AE213" s="351">
        <f t="shared" si="54"/>
        <v>18000</v>
      </c>
      <c r="AF213" s="351">
        <f t="shared" si="54"/>
        <v>18000</v>
      </c>
      <c r="AG213" s="351">
        <f t="shared" si="54"/>
        <v>18000</v>
      </c>
      <c r="AH213" s="351">
        <f t="shared" si="55"/>
        <v>14400</v>
      </c>
      <c r="AI213" s="351">
        <f t="shared" si="55"/>
        <v>14400</v>
      </c>
      <c r="AJ213" s="351">
        <f t="shared" si="55"/>
        <v>14400</v>
      </c>
      <c r="AK213" s="351">
        <f t="shared" si="55"/>
        <v>14400</v>
      </c>
    </row>
    <row r="214" spans="2:37" s="367" customFormat="1">
      <c r="B214" s="711"/>
      <c r="C214" s="369" t="s">
        <v>656</v>
      </c>
      <c r="D214" s="352" t="s">
        <v>583</v>
      </c>
      <c r="E214" s="353">
        <v>4</v>
      </c>
      <c r="F214" s="354">
        <v>4000</v>
      </c>
      <c r="G214" s="355"/>
      <c r="H214" s="355">
        <v>4000</v>
      </c>
      <c r="I214" s="354">
        <f>12*100</f>
        <v>1200</v>
      </c>
      <c r="J214" s="356">
        <f t="shared" si="40"/>
        <v>16000</v>
      </c>
      <c r="K214" s="346">
        <f t="shared" si="58"/>
        <v>0</v>
      </c>
      <c r="L214" s="346">
        <f t="shared" si="44"/>
        <v>16000</v>
      </c>
      <c r="M214" s="346">
        <f t="shared" si="45"/>
        <v>4800</v>
      </c>
      <c r="N214" s="348">
        <f t="shared" si="59"/>
        <v>16000</v>
      </c>
      <c r="O214" s="348">
        <f t="shared" si="60"/>
        <v>0</v>
      </c>
      <c r="P214" s="348">
        <f t="shared" si="41"/>
        <v>112000</v>
      </c>
      <c r="Q214" s="348">
        <f t="shared" si="42"/>
        <v>33600</v>
      </c>
      <c r="R214" s="348">
        <f t="shared" ref="R214:S228" si="61">SUM(N214,P214)*77</f>
        <v>9856000</v>
      </c>
      <c r="S214" s="348">
        <f t="shared" si="61"/>
        <v>2587200</v>
      </c>
      <c r="T214" s="348">
        <f t="shared" si="46"/>
        <v>3584000</v>
      </c>
      <c r="U214" s="348">
        <f t="shared" si="47"/>
        <v>470400</v>
      </c>
      <c r="V214" s="349" t="s">
        <v>612</v>
      </c>
      <c r="W214" s="362" t="s">
        <v>634</v>
      </c>
      <c r="X214" s="334">
        <v>1</v>
      </c>
      <c r="Y214" s="334">
        <v>0.8</v>
      </c>
      <c r="Z214" s="351">
        <f t="shared" si="56"/>
        <v>29440</v>
      </c>
      <c r="AA214" s="351">
        <f t="shared" si="56"/>
        <v>29440</v>
      </c>
      <c r="AB214" s="351">
        <f t="shared" si="54"/>
        <v>36800</v>
      </c>
      <c r="AC214" s="351">
        <f t="shared" si="54"/>
        <v>36800</v>
      </c>
      <c r="AD214" s="351">
        <f t="shared" si="54"/>
        <v>36800</v>
      </c>
      <c r="AE214" s="351">
        <f t="shared" si="54"/>
        <v>36800</v>
      </c>
      <c r="AF214" s="351">
        <f t="shared" si="54"/>
        <v>36800</v>
      </c>
      <c r="AG214" s="351">
        <f t="shared" si="54"/>
        <v>36800</v>
      </c>
      <c r="AH214" s="351">
        <f t="shared" si="55"/>
        <v>29440</v>
      </c>
      <c r="AI214" s="351">
        <f t="shared" si="55"/>
        <v>29440</v>
      </c>
      <c r="AJ214" s="351">
        <f t="shared" si="55"/>
        <v>29440</v>
      </c>
      <c r="AK214" s="351">
        <f t="shared" si="55"/>
        <v>29440</v>
      </c>
    </row>
    <row r="215" spans="2:37">
      <c r="B215" s="711"/>
      <c r="C215" s="699" t="s">
        <v>641</v>
      </c>
      <c r="D215" s="352" t="s">
        <v>583</v>
      </c>
      <c r="E215" s="353">
        <v>5</v>
      </c>
      <c r="F215" s="354">
        <v>4000</v>
      </c>
      <c r="G215" s="355"/>
      <c r="H215" s="355"/>
      <c r="I215" s="355"/>
      <c r="J215" s="356">
        <f t="shared" ref="J215:J228" si="62">E215*F215</f>
        <v>20000</v>
      </c>
      <c r="K215" s="346">
        <f t="shared" si="58"/>
        <v>0</v>
      </c>
      <c r="L215" s="346">
        <f t="shared" si="44"/>
        <v>0</v>
      </c>
      <c r="M215" s="346">
        <f t="shared" si="45"/>
        <v>0</v>
      </c>
      <c r="N215" s="348">
        <f t="shared" si="59"/>
        <v>20000</v>
      </c>
      <c r="O215" s="348">
        <f t="shared" si="60"/>
        <v>0</v>
      </c>
      <c r="P215" s="348">
        <f t="shared" ref="P215:P228" si="63">E215*H215*$X$2</f>
        <v>0</v>
      </c>
      <c r="Q215" s="348">
        <f t="shared" ref="Q215:Q228" si="64">E215*I215*$X$2</f>
        <v>0</v>
      </c>
      <c r="R215" s="348">
        <f t="shared" si="61"/>
        <v>1540000</v>
      </c>
      <c r="S215" s="348">
        <f t="shared" si="61"/>
        <v>0</v>
      </c>
      <c r="T215" s="348">
        <f t="shared" si="46"/>
        <v>560000</v>
      </c>
      <c r="U215" s="348">
        <f t="shared" si="47"/>
        <v>0</v>
      </c>
      <c r="V215" s="349" t="s">
        <v>612</v>
      </c>
      <c r="W215" s="362" t="s">
        <v>634</v>
      </c>
      <c r="X215" s="334">
        <v>1</v>
      </c>
      <c r="Y215" s="334">
        <v>0.8</v>
      </c>
      <c r="Z215" s="351">
        <f t="shared" si="56"/>
        <v>16000</v>
      </c>
      <c r="AA215" s="351">
        <f t="shared" si="56"/>
        <v>16000</v>
      </c>
      <c r="AB215" s="351">
        <f t="shared" si="54"/>
        <v>20000</v>
      </c>
      <c r="AC215" s="351">
        <f t="shared" si="54"/>
        <v>20000</v>
      </c>
      <c r="AD215" s="351">
        <f t="shared" si="54"/>
        <v>20000</v>
      </c>
      <c r="AE215" s="351">
        <f t="shared" si="54"/>
        <v>20000</v>
      </c>
      <c r="AF215" s="351">
        <f t="shared" si="54"/>
        <v>20000</v>
      </c>
      <c r="AG215" s="351">
        <f t="shared" si="54"/>
        <v>20000</v>
      </c>
      <c r="AH215" s="351">
        <f t="shared" si="55"/>
        <v>16000</v>
      </c>
      <c r="AI215" s="351">
        <f t="shared" si="55"/>
        <v>16000</v>
      </c>
      <c r="AJ215" s="351">
        <f t="shared" si="55"/>
        <v>16000</v>
      </c>
      <c r="AK215" s="351">
        <f t="shared" si="55"/>
        <v>16000</v>
      </c>
    </row>
    <row r="216" spans="2:37">
      <c r="B216" s="711"/>
      <c r="C216" s="699"/>
      <c r="D216" s="352" t="s">
        <v>620</v>
      </c>
      <c r="E216" s="353">
        <v>11</v>
      </c>
      <c r="F216" s="354">
        <v>4000</v>
      </c>
      <c r="G216" s="355"/>
      <c r="H216" s="355"/>
      <c r="I216" s="355"/>
      <c r="J216" s="356">
        <f t="shared" si="62"/>
        <v>44000</v>
      </c>
      <c r="K216" s="346">
        <f t="shared" si="58"/>
        <v>0</v>
      </c>
      <c r="L216" s="346">
        <f t="shared" ref="L216:L228" si="65">E216*H216</f>
        <v>0</v>
      </c>
      <c r="M216" s="346">
        <f t="shared" ref="M216:M228" si="66">E216*I216</f>
        <v>0</v>
      </c>
      <c r="N216" s="348">
        <f t="shared" si="59"/>
        <v>44000</v>
      </c>
      <c r="O216" s="348">
        <f t="shared" si="60"/>
        <v>0</v>
      </c>
      <c r="P216" s="348">
        <f t="shared" si="63"/>
        <v>0</v>
      </c>
      <c r="Q216" s="348">
        <f t="shared" si="64"/>
        <v>0</v>
      </c>
      <c r="R216" s="348">
        <f t="shared" si="61"/>
        <v>3388000</v>
      </c>
      <c r="S216" s="348">
        <f t="shared" si="61"/>
        <v>0</v>
      </c>
      <c r="T216" s="348">
        <f t="shared" ref="T216:T228" si="67">SUM(N216,P216)*28</f>
        <v>1232000</v>
      </c>
      <c r="U216" s="348">
        <f t="shared" ref="U216:U228" si="68">SUM(O216,Q216)*14</f>
        <v>0</v>
      </c>
      <c r="V216" s="349" t="s">
        <v>612</v>
      </c>
      <c r="W216" s="362" t="s">
        <v>634</v>
      </c>
      <c r="X216" s="334">
        <v>1</v>
      </c>
      <c r="Y216" s="334">
        <v>0.8</v>
      </c>
      <c r="Z216" s="351">
        <f t="shared" si="56"/>
        <v>35200</v>
      </c>
      <c r="AA216" s="351">
        <f t="shared" si="56"/>
        <v>35200</v>
      </c>
      <c r="AB216" s="351">
        <f t="shared" si="54"/>
        <v>44000</v>
      </c>
      <c r="AC216" s="351">
        <f t="shared" si="54"/>
        <v>44000</v>
      </c>
      <c r="AD216" s="351">
        <f t="shared" si="54"/>
        <v>44000</v>
      </c>
      <c r="AE216" s="351">
        <f t="shared" si="54"/>
        <v>44000</v>
      </c>
      <c r="AF216" s="351">
        <f t="shared" si="54"/>
        <v>44000</v>
      </c>
      <c r="AG216" s="351">
        <f t="shared" si="54"/>
        <v>44000</v>
      </c>
      <c r="AH216" s="351">
        <f t="shared" si="55"/>
        <v>35200</v>
      </c>
      <c r="AI216" s="351">
        <f t="shared" si="55"/>
        <v>35200</v>
      </c>
      <c r="AJ216" s="351">
        <f t="shared" si="55"/>
        <v>35200</v>
      </c>
      <c r="AK216" s="351">
        <f t="shared" si="55"/>
        <v>35200</v>
      </c>
    </row>
    <row r="217" spans="2:37">
      <c r="B217" s="711"/>
      <c r="C217" s="366" t="s">
        <v>642</v>
      </c>
      <c r="D217" s="352" t="s">
        <v>626</v>
      </c>
      <c r="E217" s="353">
        <v>2</v>
      </c>
      <c r="F217" s="354">
        <v>2000</v>
      </c>
      <c r="G217" s="355"/>
      <c r="H217" s="355"/>
      <c r="I217" s="355"/>
      <c r="J217" s="356">
        <f t="shared" si="62"/>
        <v>4000</v>
      </c>
      <c r="K217" s="346">
        <f t="shared" si="58"/>
        <v>0</v>
      </c>
      <c r="L217" s="346">
        <f t="shared" si="65"/>
        <v>0</v>
      </c>
      <c r="M217" s="346">
        <f t="shared" si="66"/>
        <v>0</v>
      </c>
      <c r="N217" s="348">
        <f>E217*F217*$X$23</f>
        <v>4000</v>
      </c>
      <c r="O217" s="348">
        <f>E217*G217*$X$2</f>
        <v>0</v>
      </c>
      <c r="P217" s="348">
        <f t="shared" si="63"/>
        <v>0</v>
      </c>
      <c r="Q217" s="348">
        <f t="shared" si="64"/>
        <v>0</v>
      </c>
      <c r="R217" s="348">
        <f t="shared" si="61"/>
        <v>308000</v>
      </c>
      <c r="S217" s="348">
        <f t="shared" si="61"/>
        <v>0</v>
      </c>
      <c r="T217" s="348">
        <f t="shared" si="67"/>
        <v>112000</v>
      </c>
      <c r="U217" s="348">
        <f t="shared" si="68"/>
        <v>0</v>
      </c>
      <c r="V217" s="349" t="s">
        <v>612</v>
      </c>
      <c r="W217" s="362" t="s">
        <v>634</v>
      </c>
      <c r="X217" s="334">
        <v>1</v>
      </c>
      <c r="Y217" s="334">
        <v>0.8</v>
      </c>
      <c r="Z217" s="351">
        <f t="shared" si="56"/>
        <v>3200</v>
      </c>
      <c r="AA217" s="351">
        <f t="shared" si="56"/>
        <v>3200</v>
      </c>
      <c r="AB217" s="351">
        <f t="shared" si="54"/>
        <v>4000</v>
      </c>
      <c r="AC217" s="351">
        <f t="shared" si="54"/>
        <v>4000</v>
      </c>
      <c r="AD217" s="351">
        <f t="shared" si="54"/>
        <v>4000</v>
      </c>
      <c r="AE217" s="351">
        <f t="shared" si="54"/>
        <v>4000</v>
      </c>
      <c r="AF217" s="351">
        <f t="shared" si="54"/>
        <v>4000</v>
      </c>
      <c r="AG217" s="351">
        <f t="shared" si="54"/>
        <v>4000</v>
      </c>
      <c r="AH217" s="351">
        <f t="shared" si="55"/>
        <v>3200</v>
      </c>
      <c r="AI217" s="351">
        <f t="shared" si="55"/>
        <v>3200</v>
      </c>
      <c r="AJ217" s="351">
        <f t="shared" si="55"/>
        <v>3200</v>
      </c>
      <c r="AK217" s="351">
        <f t="shared" si="55"/>
        <v>3200</v>
      </c>
    </row>
    <row r="218" spans="2:37">
      <c r="B218" s="711"/>
      <c r="C218" s="366" t="s">
        <v>657</v>
      </c>
      <c r="D218" s="352" t="s">
        <v>583</v>
      </c>
      <c r="E218" s="353">
        <v>11</v>
      </c>
      <c r="F218" s="354">
        <v>2500</v>
      </c>
      <c r="G218" s="355"/>
      <c r="H218" s="355"/>
      <c r="I218" s="355"/>
      <c r="J218" s="356">
        <f t="shared" si="62"/>
        <v>27500</v>
      </c>
      <c r="K218" s="346">
        <f t="shared" si="58"/>
        <v>0</v>
      </c>
      <c r="L218" s="346">
        <f t="shared" si="65"/>
        <v>0</v>
      </c>
      <c r="M218" s="346">
        <f t="shared" si="66"/>
        <v>0</v>
      </c>
      <c r="N218" s="348">
        <f t="shared" ref="N218:N228" si="69">E218*F218*$X$23</f>
        <v>27500</v>
      </c>
      <c r="O218" s="348">
        <f t="shared" ref="O218:O228" si="70">E218*G218*$X$2</f>
        <v>0</v>
      </c>
      <c r="P218" s="348">
        <f t="shared" si="63"/>
        <v>0</v>
      </c>
      <c r="Q218" s="348">
        <f t="shared" si="64"/>
        <v>0</v>
      </c>
      <c r="R218" s="348">
        <f t="shared" si="61"/>
        <v>2117500</v>
      </c>
      <c r="S218" s="348">
        <f t="shared" si="61"/>
        <v>0</v>
      </c>
      <c r="T218" s="348">
        <f t="shared" si="67"/>
        <v>770000</v>
      </c>
      <c r="U218" s="348">
        <f t="shared" si="68"/>
        <v>0</v>
      </c>
      <c r="V218" s="349" t="s">
        <v>612</v>
      </c>
      <c r="W218" s="362" t="s">
        <v>634</v>
      </c>
      <c r="X218" s="334">
        <v>1</v>
      </c>
      <c r="Y218" s="334">
        <v>0.8</v>
      </c>
      <c r="Z218" s="351">
        <f t="shared" si="56"/>
        <v>22000</v>
      </c>
      <c r="AA218" s="351">
        <f t="shared" si="56"/>
        <v>22000</v>
      </c>
      <c r="AB218" s="351">
        <f t="shared" si="54"/>
        <v>27500</v>
      </c>
      <c r="AC218" s="351">
        <f t="shared" si="54"/>
        <v>27500</v>
      </c>
      <c r="AD218" s="351">
        <f t="shared" si="54"/>
        <v>27500</v>
      </c>
      <c r="AE218" s="351">
        <f t="shared" si="54"/>
        <v>27500</v>
      </c>
      <c r="AF218" s="351">
        <f t="shared" si="54"/>
        <v>27500</v>
      </c>
      <c r="AG218" s="351">
        <f t="shared" si="54"/>
        <v>27500</v>
      </c>
      <c r="AH218" s="351">
        <f t="shared" si="55"/>
        <v>22000</v>
      </c>
      <c r="AI218" s="351">
        <f t="shared" si="55"/>
        <v>22000</v>
      </c>
      <c r="AJ218" s="351">
        <f t="shared" si="55"/>
        <v>22000</v>
      </c>
      <c r="AK218" s="351">
        <f t="shared" si="55"/>
        <v>22000</v>
      </c>
    </row>
    <row r="219" spans="2:37">
      <c r="B219" s="711"/>
      <c r="C219" s="699" t="s">
        <v>643</v>
      </c>
      <c r="D219" s="352" t="s">
        <v>583</v>
      </c>
      <c r="E219" s="353">
        <v>6</v>
      </c>
      <c r="F219" s="354">
        <v>3000</v>
      </c>
      <c r="G219" s="355"/>
      <c r="H219" s="355"/>
      <c r="I219" s="355"/>
      <c r="J219" s="356">
        <f t="shared" si="62"/>
        <v>18000</v>
      </c>
      <c r="K219" s="346">
        <f t="shared" si="58"/>
        <v>0</v>
      </c>
      <c r="L219" s="346">
        <f t="shared" si="65"/>
        <v>0</v>
      </c>
      <c r="M219" s="346">
        <f t="shared" si="66"/>
        <v>0</v>
      </c>
      <c r="N219" s="348">
        <f t="shared" si="69"/>
        <v>18000</v>
      </c>
      <c r="O219" s="348">
        <f t="shared" si="70"/>
        <v>0</v>
      </c>
      <c r="P219" s="348">
        <f t="shared" si="63"/>
        <v>0</v>
      </c>
      <c r="Q219" s="348">
        <f t="shared" si="64"/>
        <v>0</v>
      </c>
      <c r="R219" s="348">
        <f t="shared" si="61"/>
        <v>1386000</v>
      </c>
      <c r="S219" s="348">
        <f t="shared" si="61"/>
        <v>0</v>
      </c>
      <c r="T219" s="348">
        <f t="shared" si="67"/>
        <v>504000</v>
      </c>
      <c r="U219" s="348">
        <f t="shared" si="68"/>
        <v>0</v>
      </c>
      <c r="V219" s="349" t="s">
        <v>612</v>
      </c>
      <c r="W219" s="362" t="s">
        <v>634</v>
      </c>
      <c r="X219" s="334">
        <v>1</v>
      </c>
      <c r="Y219" s="334">
        <v>0.8</v>
      </c>
      <c r="Z219" s="351">
        <f t="shared" si="56"/>
        <v>14400</v>
      </c>
      <c r="AA219" s="351">
        <f t="shared" si="56"/>
        <v>14400</v>
      </c>
      <c r="AB219" s="351">
        <f t="shared" si="54"/>
        <v>18000</v>
      </c>
      <c r="AC219" s="351">
        <f t="shared" si="54"/>
        <v>18000</v>
      </c>
      <c r="AD219" s="351">
        <f t="shared" si="54"/>
        <v>18000</v>
      </c>
      <c r="AE219" s="351">
        <f t="shared" si="54"/>
        <v>18000</v>
      </c>
      <c r="AF219" s="351">
        <f t="shared" si="54"/>
        <v>18000</v>
      </c>
      <c r="AG219" s="351">
        <f t="shared" si="54"/>
        <v>18000</v>
      </c>
      <c r="AH219" s="351">
        <f t="shared" si="55"/>
        <v>14400</v>
      </c>
      <c r="AI219" s="351">
        <f t="shared" si="55"/>
        <v>14400</v>
      </c>
      <c r="AJ219" s="351">
        <f t="shared" si="55"/>
        <v>14400</v>
      </c>
      <c r="AK219" s="351">
        <f t="shared" si="55"/>
        <v>14400</v>
      </c>
    </row>
    <row r="220" spans="2:37">
      <c r="B220" s="711"/>
      <c r="C220" s="699"/>
      <c r="D220" s="352" t="s">
        <v>626</v>
      </c>
      <c r="E220" s="353">
        <v>2</v>
      </c>
      <c r="F220" s="354">
        <v>3000</v>
      </c>
      <c r="G220" s="355"/>
      <c r="H220" s="355"/>
      <c r="I220" s="355"/>
      <c r="J220" s="356">
        <f t="shared" si="62"/>
        <v>6000</v>
      </c>
      <c r="K220" s="346">
        <f t="shared" si="58"/>
        <v>0</v>
      </c>
      <c r="L220" s="346">
        <f t="shared" si="65"/>
        <v>0</v>
      </c>
      <c r="M220" s="346">
        <f t="shared" si="66"/>
        <v>0</v>
      </c>
      <c r="N220" s="348">
        <f t="shared" si="69"/>
        <v>6000</v>
      </c>
      <c r="O220" s="348">
        <f t="shared" si="70"/>
        <v>0</v>
      </c>
      <c r="P220" s="348">
        <f t="shared" si="63"/>
        <v>0</v>
      </c>
      <c r="Q220" s="348">
        <f t="shared" si="64"/>
        <v>0</v>
      </c>
      <c r="R220" s="348">
        <f t="shared" si="61"/>
        <v>462000</v>
      </c>
      <c r="S220" s="348">
        <f t="shared" si="61"/>
        <v>0</v>
      </c>
      <c r="T220" s="348">
        <f t="shared" si="67"/>
        <v>168000</v>
      </c>
      <c r="U220" s="348">
        <f t="shared" si="68"/>
        <v>0</v>
      </c>
      <c r="V220" s="349" t="s">
        <v>612</v>
      </c>
      <c r="W220" s="362" t="s">
        <v>634</v>
      </c>
      <c r="X220" s="334">
        <v>1</v>
      </c>
      <c r="Y220" s="334">
        <v>0.8</v>
      </c>
      <c r="Z220" s="351">
        <f t="shared" si="56"/>
        <v>4800</v>
      </c>
      <c r="AA220" s="351">
        <f t="shared" si="56"/>
        <v>4800</v>
      </c>
      <c r="AB220" s="351">
        <f t="shared" si="54"/>
        <v>6000</v>
      </c>
      <c r="AC220" s="351">
        <f t="shared" si="54"/>
        <v>6000</v>
      </c>
      <c r="AD220" s="351">
        <f t="shared" si="54"/>
        <v>6000</v>
      </c>
      <c r="AE220" s="351">
        <f t="shared" si="54"/>
        <v>6000</v>
      </c>
      <c r="AF220" s="351">
        <f t="shared" si="54"/>
        <v>6000</v>
      </c>
      <c r="AG220" s="351">
        <f t="shared" si="54"/>
        <v>6000</v>
      </c>
      <c r="AH220" s="351">
        <f t="shared" si="55"/>
        <v>4800</v>
      </c>
      <c r="AI220" s="351">
        <f t="shared" si="55"/>
        <v>4800</v>
      </c>
      <c r="AJ220" s="351">
        <f t="shared" si="55"/>
        <v>4800</v>
      </c>
      <c r="AK220" s="351">
        <f t="shared" si="55"/>
        <v>4800</v>
      </c>
    </row>
    <row r="221" spans="2:37">
      <c r="B221" s="711"/>
      <c r="C221" s="370" t="s">
        <v>644</v>
      </c>
      <c r="D221" s="352" t="s">
        <v>626</v>
      </c>
      <c r="E221" s="353">
        <v>1</v>
      </c>
      <c r="F221" s="348">
        <v>0</v>
      </c>
      <c r="G221" s="355"/>
      <c r="H221" s="355"/>
      <c r="I221" s="355"/>
      <c r="J221" s="356">
        <v>0</v>
      </c>
      <c r="K221" s="346">
        <f t="shared" si="58"/>
        <v>0</v>
      </c>
      <c r="L221" s="346">
        <f t="shared" si="65"/>
        <v>0</v>
      </c>
      <c r="M221" s="346">
        <f t="shared" si="66"/>
        <v>0</v>
      </c>
      <c r="N221" s="348">
        <f t="shared" si="69"/>
        <v>0</v>
      </c>
      <c r="O221" s="348">
        <f t="shared" si="70"/>
        <v>0</v>
      </c>
      <c r="P221" s="348">
        <f t="shared" si="63"/>
        <v>0</v>
      </c>
      <c r="Q221" s="348">
        <f t="shared" si="64"/>
        <v>0</v>
      </c>
      <c r="R221" s="348">
        <f t="shared" si="61"/>
        <v>0</v>
      </c>
      <c r="S221" s="348">
        <f t="shared" si="61"/>
        <v>0</v>
      </c>
      <c r="T221" s="348">
        <f t="shared" si="67"/>
        <v>0</v>
      </c>
      <c r="U221" s="348">
        <f t="shared" si="68"/>
        <v>0</v>
      </c>
      <c r="V221" s="349" t="s">
        <v>612</v>
      </c>
      <c r="W221" s="362" t="s">
        <v>634</v>
      </c>
      <c r="X221" s="334">
        <v>1</v>
      </c>
      <c r="Y221" s="334">
        <v>0.8</v>
      </c>
      <c r="Z221" s="351">
        <f t="shared" si="56"/>
        <v>0</v>
      </c>
      <c r="AA221" s="351">
        <f t="shared" si="56"/>
        <v>0</v>
      </c>
      <c r="AB221" s="351">
        <f t="shared" si="54"/>
        <v>0</v>
      </c>
      <c r="AC221" s="351">
        <f t="shared" si="54"/>
        <v>0</v>
      </c>
      <c r="AD221" s="351">
        <f t="shared" si="54"/>
        <v>0</v>
      </c>
      <c r="AE221" s="351">
        <f t="shared" si="54"/>
        <v>0</v>
      </c>
      <c r="AF221" s="351">
        <f t="shared" si="54"/>
        <v>0</v>
      </c>
      <c r="AG221" s="351">
        <f t="shared" si="54"/>
        <v>0</v>
      </c>
      <c r="AH221" s="351">
        <f t="shared" si="55"/>
        <v>0</v>
      </c>
      <c r="AI221" s="351">
        <f t="shared" si="55"/>
        <v>0</v>
      </c>
      <c r="AJ221" s="351">
        <f t="shared" si="55"/>
        <v>0</v>
      </c>
      <c r="AK221" s="351">
        <f t="shared" si="55"/>
        <v>0</v>
      </c>
    </row>
    <row r="222" spans="2:37">
      <c r="B222" s="711"/>
      <c r="C222" s="699" t="s">
        <v>645</v>
      </c>
      <c r="D222" s="352" t="s">
        <v>583</v>
      </c>
      <c r="E222" s="353">
        <v>55</v>
      </c>
      <c r="F222" s="354">
        <v>11250</v>
      </c>
      <c r="G222" s="355"/>
      <c r="H222" s="355"/>
      <c r="I222" s="355"/>
      <c r="J222" s="356">
        <f t="shared" si="62"/>
        <v>618750</v>
      </c>
      <c r="K222" s="346">
        <f t="shared" si="58"/>
        <v>0</v>
      </c>
      <c r="L222" s="346">
        <f t="shared" si="65"/>
        <v>0</v>
      </c>
      <c r="M222" s="346">
        <f t="shared" si="66"/>
        <v>0</v>
      </c>
      <c r="N222" s="348">
        <f t="shared" si="69"/>
        <v>618750</v>
      </c>
      <c r="O222" s="348">
        <f t="shared" si="70"/>
        <v>0</v>
      </c>
      <c r="P222" s="348">
        <f t="shared" si="63"/>
        <v>0</v>
      </c>
      <c r="Q222" s="348">
        <f t="shared" si="64"/>
        <v>0</v>
      </c>
      <c r="R222" s="348">
        <f t="shared" si="61"/>
        <v>47643750</v>
      </c>
      <c r="S222" s="348">
        <f t="shared" si="61"/>
        <v>0</v>
      </c>
      <c r="T222" s="348">
        <f t="shared" si="67"/>
        <v>17325000</v>
      </c>
      <c r="U222" s="348">
        <f t="shared" si="68"/>
        <v>0</v>
      </c>
      <c r="V222" s="349" t="s">
        <v>612</v>
      </c>
      <c r="W222" s="362" t="s">
        <v>634</v>
      </c>
      <c r="X222" s="334">
        <v>1</v>
      </c>
      <c r="Y222" s="334">
        <v>0.8</v>
      </c>
      <c r="Z222" s="351">
        <f t="shared" si="56"/>
        <v>495000</v>
      </c>
      <c r="AA222" s="351">
        <f t="shared" si="56"/>
        <v>495000</v>
      </c>
      <c r="AB222" s="351">
        <f t="shared" si="54"/>
        <v>618750</v>
      </c>
      <c r="AC222" s="351">
        <f t="shared" si="54"/>
        <v>618750</v>
      </c>
      <c r="AD222" s="351">
        <f t="shared" si="54"/>
        <v>618750</v>
      </c>
      <c r="AE222" s="351">
        <f t="shared" si="54"/>
        <v>618750</v>
      </c>
      <c r="AF222" s="351">
        <f t="shared" si="54"/>
        <v>618750</v>
      </c>
      <c r="AG222" s="351">
        <f t="shared" si="54"/>
        <v>618750</v>
      </c>
      <c r="AH222" s="351">
        <f t="shared" si="55"/>
        <v>495000</v>
      </c>
      <c r="AI222" s="351">
        <f t="shared" si="55"/>
        <v>495000</v>
      </c>
      <c r="AJ222" s="351">
        <f t="shared" si="55"/>
        <v>495000</v>
      </c>
      <c r="AK222" s="351">
        <f t="shared" si="55"/>
        <v>495000</v>
      </c>
    </row>
    <row r="223" spans="2:37">
      <c r="B223" s="711"/>
      <c r="C223" s="699"/>
      <c r="D223" s="352" t="s">
        <v>617</v>
      </c>
      <c r="E223" s="353">
        <v>1</v>
      </c>
      <c r="F223" s="354">
        <v>11250</v>
      </c>
      <c r="G223" s="355"/>
      <c r="H223" s="355"/>
      <c r="I223" s="355"/>
      <c r="J223" s="356">
        <f t="shared" si="62"/>
        <v>11250</v>
      </c>
      <c r="K223" s="346">
        <f t="shared" si="58"/>
        <v>0</v>
      </c>
      <c r="L223" s="346">
        <f t="shared" si="65"/>
        <v>0</v>
      </c>
      <c r="M223" s="346">
        <f t="shared" si="66"/>
        <v>0</v>
      </c>
      <c r="N223" s="348">
        <f t="shared" si="69"/>
        <v>11250</v>
      </c>
      <c r="O223" s="348">
        <f t="shared" si="70"/>
        <v>0</v>
      </c>
      <c r="P223" s="348">
        <f t="shared" si="63"/>
        <v>0</v>
      </c>
      <c r="Q223" s="348">
        <f t="shared" si="64"/>
        <v>0</v>
      </c>
      <c r="R223" s="348">
        <f t="shared" si="61"/>
        <v>866250</v>
      </c>
      <c r="S223" s="348">
        <f t="shared" si="61"/>
        <v>0</v>
      </c>
      <c r="T223" s="348">
        <f t="shared" si="67"/>
        <v>315000</v>
      </c>
      <c r="U223" s="348">
        <f t="shared" si="68"/>
        <v>0</v>
      </c>
      <c r="V223" s="349" t="s">
        <v>612</v>
      </c>
      <c r="W223" s="362" t="s">
        <v>634</v>
      </c>
      <c r="X223" s="334">
        <v>1</v>
      </c>
      <c r="Y223" s="334">
        <v>0.8</v>
      </c>
      <c r="Z223" s="351">
        <f t="shared" si="56"/>
        <v>9000</v>
      </c>
      <c r="AA223" s="351">
        <f t="shared" si="56"/>
        <v>9000</v>
      </c>
      <c r="AB223" s="351">
        <f t="shared" si="54"/>
        <v>11250</v>
      </c>
      <c r="AC223" s="351">
        <f t="shared" si="54"/>
        <v>11250</v>
      </c>
      <c r="AD223" s="351">
        <f t="shared" si="54"/>
        <v>11250</v>
      </c>
      <c r="AE223" s="351">
        <f t="shared" si="54"/>
        <v>11250</v>
      </c>
      <c r="AF223" s="351">
        <f t="shared" si="54"/>
        <v>11250</v>
      </c>
      <c r="AG223" s="351">
        <f t="shared" si="54"/>
        <v>11250</v>
      </c>
      <c r="AH223" s="351">
        <f t="shared" si="55"/>
        <v>9000</v>
      </c>
      <c r="AI223" s="351">
        <f t="shared" si="55"/>
        <v>9000</v>
      </c>
      <c r="AJ223" s="351">
        <f t="shared" si="55"/>
        <v>9000</v>
      </c>
      <c r="AK223" s="351">
        <f t="shared" si="55"/>
        <v>9000</v>
      </c>
    </row>
    <row r="224" spans="2:37">
      <c r="B224" s="711"/>
      <c r="C224" s="699"/>
      <c r="D224" s="352" t="s">
        <v>619</v>
      </c>
      <c r="E224" s="353">
        <v>1</v>
      </c>
      <c r="F224" s="354">
        <v>11250</v>
      </c>
      <c r="G224" s="355"/>
      <c r="H224" s="355"/>
      <c r="I224" s="355"/>
      <c r="J224" s="356">
        <f t="shared" si="62"/>
        <v>11250</v>
      </c>
      <c r="K224" s="346">
        <f t="shared" si="58"/>
        <v>0</v>
      </c>
      <c r="L224" s="346">
        <f t="shared" si="65"/>
        <v>0</v>
      </c>
      <c r="M224" s="346">
        <f t="shared" si="66"/>
        <v>0</v>
      </c>
      <c r="N224" s="348">
        <f t="shared" si="69"/>
        <v>11250</v>
      </c>
      <c r="O224" s="348">
        <f t="shared" si="70"/>
        <v>0</v>
      </c>
      <c r="P224" s="348">
        <f t="shared" si="63"/>
        <v>0</v>
      </c>
      <c r="Q224" s="348">
        <f t="shared" si="64"/>
        <v>0</v>
      </c>
      <c r="R224" s="348">
        <f t="shared" si="61"/>
        <v>866250</v>
      </c>
      <c r="S224" s="348">
        <f t="shared" si="61"/>
        <v>0</v>
      </c>
      <c r="T224" s="348">
        <f t="shared" si="67"/>
        <v>315000</v>
      </c>
      <c r="U224" s="348">
        <f t="shared" si="68"/>
        <v>0</v>
      </c>
      <c r="V224" s="349" t="s">
        <v>612</v>
      </c>
      <c r="W224" s="362" t="s">
        <v>634</v>
      </c>
      <c r="X224" s="334">
        <v>1</v>
      </c>
      <c r="Y224" s="334">
        <v>0.8</v>
      </c>
      <c r="Z224" s="351">
        <f t="shared" si="56"/>
        <v>9000</v>
      </c>
      <c r="AA224" s="351">
        <f t="shared" si="56"/>
        <v>9000</v>
      </c>
      <c r="AB224" s="351">
        <f t="shared" si="54"/>
        <v>11250</v>
      </c>
      <c r="AC224" s="351">
        <f t="shared" si="54"/>
        <v>11250</v>
      </c>
      <c r="AD224" s="351">
        <f t="shared" si="54"/>
        <v>11250</v>
      </c>
      <c r="AE224" s="351">
        <f t="shared" si="54"/>
        <v>11250</v>
      </c>
      <c r="AF224" s="351">
        <f t="shared" si="54"/>
        <v>11250</v>
      </c>
      <c r="AG224" s="351">
        <f t="shared" si="54"/>
        <v>11250</v>
      </c>
      <c r="AH224" s="351">
        <f t="shared" si="55"/>
        <v>9000</v>
      </c>
      <c r="AI224" s="351">
        <f t="shared" si="55"/>
        <v>9000</v>
      </c>
      <c r="AJ224" s="351">
        <f t="shared" si="55"/>
        <v>9000</v>
      </c>
      <c r="AK224" s="351">
        <f t="shared" si="55"/>
        <v>9000</v>
      </c>
    </row>
    <row r="225" spans="2:38">
      <c r="B225" s="711"/>
      <c r="C225" s="699"/>
      <c r="D225" s="352" t="s">
        <v>620</v>
      </c>
      <c r="E225" s="353">
        <v>4</v>
      </c>
      <c r="F225" s="354">
        <v>11250</v>
      </c>
      <c r="G225" s="355"/>
      <c r="H225" s="355"/>
      <c r="I225" s="355"/>
      <c r="J225" s="356">
        <f t="shared" si="62"/>
        <v>45000</v>
      </c>
      <c r="K225" s="346">
        <f t="shared" si="58"/>
        <v>0</v>
      </c>
      <c r="L225" s="346">
        <f t="shared" si="65"/>
        <v>0</v>
      </c>
      <c r="M225" s="346">
        <f t="shared" si="66"/>
        <v>0</v>
      </c>
      <c r="N225" s="348">
        <f t="shared" si="69"/>
        <v>45000</v>
      </c>
      <c r="O225" s="348">
        <f t="shared" si="70"/>
        <v>0</v>
      </c>
      <c r="P225" s="348">
        <f t="shared" si="63"/>
        <v>0</v>
      </c>
      <c r="Q225" s="348">
        <f t="shared" si="64"/>
        <v>0</v>
      </c>
      <c r="R225" s="348">
        <f t="shared" si="61"/>
        <v>3465000</v>
      </c>
      <c r="S225" s="348">
        <f t="shared" si="61"/>
        <v>0</v>
      </c>
      <c r="T225" s="348">
        <f t="shared" si="67"/>
        <v>1260000</v>
      </c>
      <c r="U225" s="348">
        <f t="shared" si="68"/>
        <v>0</v>
      </c>
      <c r="V225" s="349" t="s">
        <v>612</v>
      </c>
      <c r="W225" s="362" t="s">
        <v>634</v>
      </c>
      <c r="X225" s="334">
        <v>1</v>
      </c>
      <c r="Y225" s="334">
        <v>0.8</v>
      </c>
      <c r="Z225" s="351">
        <f t="shared" si="56"/>
        <v>36000</v>
      </c>
      <c r="AA225" s="351">
        <f t="shared" si="56"/>
        <v>36000</v>
      </c>
      <c r="AB225" s="351">
        <f t="shared" si="54"/>
        <v>45000</v>
      </c>
      <c r="AC225" s="351">
        <f t="shared" si="54"/>
        <v>45000</v>
      </c>
      <c r="AD225" s="351">
        <f t="shared" si="54"/>
        <v>45000</v>
      </c>
      <c r="AE225" s="351">
        <f t="shared" si="54"/>
        <v>45000</v>
      </c>
      <c r="AF225" s="351">
        <f t="shared" si="54"/>
        <v>45000</v>
      </c>
      <c r="AG225" s="351">
        <f t="shared" si="54"/>
        <v>45000</v>
      </c>
      <c r="AH225" s="351">
        <f t="shared" si="55"/>
        <v>36000</v>
      </c>
      <c r="AI225" s="351">
        <f t="shared" si="55"/>
        <v>36000</v>
      </c>
      <c r="AJ225" s="351">
        <f t="shared" si="55"/>
        <v>36000</v>
      </c>
      <c r="AK225" s="351">
        <f t="shared" si="55"/>
        <v>36000</v>
      </c>
    </row>
    <row r="226" spans="2:38">
      <c r="B226" s="711"/>
      <c r="C226" s="699"/>
      <c r="D226" s="352" t="s">
        <v>621</v>
      </c>
      <c r="E226" s="353">
        <v>1</v>
      </c>
      <c r="F226" s="354">
        <v>11250</v>
      </c>
      <c r="G226" s="355"/>
      <c r="H226" s="355"/>
      <c r="I226" s="355"/>
      <c r="J226" s="356">
        <f t="shared" si="62"/>
        <v>11250</v>
      </c>
      <c r="K226" s="346">
        <f t="shared" si="58"/>
        <v>0</v>
      </c>
      <c r="L226" s="346">
        <f t="shared" si="65"/>
        <v>0</v>
      </c>
      <c r="M226" s="346">
        <f t="shared" si="66"/>
        <v>0</v>
      </c>
      <c r="N226" s="348">
        <f t="shared" si="69"/>
        <v>11250</v>
      </c>
      <c r="O226" s="348">
        <f t="shared" si="70"/>
        <v>0</v>
      </c>
      <c r="P226" s="348">
        <f t="shared" si="63"/>
        <v>0</v>
      </c>
      <c r="Q226" s="348">
        <f t="shared" si="64"/>
        <v>0</v>
      </c>
      <c r="R226" s="348">
        <f t="shared" si="61"/>
        <v>866250</v>
      </c>
      <c r="S226" s="348">
        <f t="shared" si="61"/>
        <v>0</v>
      </c>
      <c r="T226" s="348">
        <f t="shared" si="67"/>
        <v>315000</v>
      </c>
      <c r="U226" s="348">
        <f t="shared" si="68"/>
        <v>0</v>
      </c>
      <c r="V226" s="349" t="s">
        <v>612</v>
      </c>
      <c r="W226" s="362" t="s">
        <v>634</v>
      </c>
      <c r="X226" s="334">
        <v>1</v>
      </c>
      <c r="Y226" s="334">
        <v>0.8</v>
      </c>
      <c r="Z226" s="351">
        <f t="shared" si="56"/>
        <v>9000</v>
      </c>
      <c r="AA226" s="351">
        <f t="shared" si="56"/>
        <v>9000</v>
      </c>
      <c r="AB226" s="351">
        <f t="shared" si="54"/>
        <v>11250</v>
      </c>
      <c r="AC226" s="351">
        <f t="shared" si="54"/>
        <v>11250</v>
      </c>
      <c r="AD226" s="351">
        <f t="shared" si="54"/>
        <v>11250</v>
      </c>
      <c r="AE226" s="351">
        <f t="shared" si="54"/>
        <v>11250</v>
      </c>
      <c r="AF226" s="351">
        <f t="shared" si="54"/>
        <v>11250</v>
      </c>
      <c r="AG226" s="351">
        <f t="shared" si="54"/>
        <v>11250</v>
      </c>
      <c r="AH226" s="351">
        <f t="shared" si="55"/>
        <v>9000</v>
      </c>
      <c r="AI226" s="351">
        <f t="shared" si="55"/>
        <v>9000</v>
      </c>
      <c r="AJ226" s="351">
        <f t="shared" si="55"/>
        <v>9000</v>
      </c>
      <c r="AK226" s="351">
        <f t="shared" si="55"/>
        <v>9000</v>
      </c>
    </row>
    <row r="227" spans="2:38" ht="39.6">
      <c r="B227" s="711"/>
      <c r="C227" s="699"/>
      <c r="D227" s="352" t="s">
        <v>623</v>
      </c>
      <c r="E227" s="353">
        <v>3</v>
      </c>
      <c r="F227" s="354">
        <v>11250</v>
      </c>
      <c r="G227" s="355"/>
      <c r="H227" s="355"/>
      <c r="I227" s="355"/>
      <c r="J227" s="356">
        <f t="shared" si="62"/>
        <v>33750</v>
      </c>
      <c r="K227" s="346">
        <f t="shared" si="58"/>
        <v>0</v>
      </c>
      <c r="L227" s="346">
        <f t="shared" si="65"/>
        <v>0</v>
      </c>
      <c r="M227" s="346">
        <f t="shared" si="66"/>
        <v>0</v>
      </c>
      <c r="N227" s="348">
        <f t="shared" si="69"/>
        <v>33750</v>
      </c>
      <c r="O227" s="348">
        <f t="shared" si="70"/>
        <v>0</v>
      </c>
      <c r="P227" s="348">
        <f t="shared" si="63"/>
        <v>0</v>
      </c>
      <c r="Q227" s="348">
        <f t="shared" si="64"/>
        <v>0</v>
      </c>
      <c r="R227" s="348">
        <f t="shared" si="61"/>
        <v>2598750</v>
      </c>
      <c r="S227" s="348">
        <f t="shared" si="61"/>
        <v>0</v>
      </c>
      <c r="T227" s="348">
        <f t="shared" si="67"/>
        <v>945000</v>
      </c>
      <c r="U227" s="348">
        <f t="shared" si="68"/>
        <v>0</v>
      </c>
      <c r="V227" s="349" t="s">
        <v>612</v>
      </c>
      <c r="W227" s="361" t="s">
        <v>633</v>
      </c>
      <c r="X227" s="334">
        <v>1</v>
      </c>
      <c r="Y227" s="334">
        <v>0.8</v>
      </c>
      <c r="Z227" s="351"/>
      <c r="AA227" s="351"/>
      <c r="AB227" s="351">
        <f t="shared" si="54"/>
        <v>33750</v>
      </c>
      <c r="AC227" s="351">
        <f t="shared" si="54"/>
        <v>33750</v>
      </c>
      <c r="AD227" s="351">
        <f t="shared" si="54"/>
        <v>33750</v>
      </c>
      <c r="AE227" s="351">
        <f t="shared" si="54"/>
        <v>33750</v>
      </c>
      <c r="AF227" s="351">
        <f t="shared" si="54"/>
        <v>33750</v>
      </c>
      <c r="AG227" s="351">
        <f t="shared" si="54"/>
        <v>33750</v>
      </c>
      <c r="AH227" s="351">
        <f t="shared" si="55"/>
        <v>27000</v>
      </c>
      <c r="AI227" s="351">
        <f t="shared" si="55"/>
        <v>27000</v>
      </c>
      <c r="AJ227" s="351">
        <f t="shared" si="55"/>
        <v>27000</v>
      </c>
      <c r="AK227" s="351"/>
    </row>
    <row r="228" spans="2:38">
      <c r="B228" s="695"/>
      <c r="C228" s="699"/>
      <c r="D228" s="352" t="s">
        <v>626</v>
      </c>
      <c r="E228" s="353">
        <v>31</v>
      </c>
      <c r="F228" s="354">
        <v>11250</v>
      </c>
      <c r="G228" s="355"/>
      <c r="H228" s="355"/>
      <c r="I228" s="355"/>
      <c r="J228" s="356">
        <f t="shared" si="62"/>
        <v>348750</v>
      </c>
      <c r="K228" s="346">
        <f t="shared" si="58"/>
        <v>0</v>
      </c>
      <c r="L228" s="346">
        <f t="shared" si="65"/>
        <v>0</v>
      </c>
      <c r="M228" s="346">
        <f t="shared" si="66"/>
        <v>0</v>
      </c>
      <c r="N228" s="348">
        <f t="shared" si="69"/>
        <v>348750</v>
      </c>
      <c r="O228" s="348">
        <f t="shared" si="70"/>
        <v>0</v>
      </c>
      <c r="P228" s="348">
        <f t="shared" si="63"/>
        <v>0</v>
      </c>
      <c r="Q228" s="348">
        <f t="shared" si="64"/>
        <v>0</v>
      </c>
      <c r="R228" s="348">
        <f t="shared" si="61"/>
        <v>26853750</v>
      </c>
      <c r="S228" s="348">
        <f t="shared" si="61"/>
        <v>0</v>
      </c>
      <c r="T228" s="348">
        <f t="shared" si="67"/>
        <v>9765000</v>
      </c>
      <c r="U228" s="348">
        <f t="shared" si="68"/>
        <v>0</v>
      </c>
      <c r="V228" s="349" t="s">
        <v>612</v>
      </c>
      <c r="W228" s="362" t="s">
        <v>634</v>
      </c>
      <c r="X228" s="334">
        <v>1</v>
      </c>
      <c r="Y228" s="334">
        <v>0.8</v>
      </c>
      <c r="Z228" s="351">
        <f t="shared" si="56"/>
        <v>279000</v>
      </c>
      <c r="AA228" s="351">
        <f t="shared" si="56"/>
        <v>279000</v>
      </c>
      <c r="AB228" s="351">
        <f t="shared" si="54"/>
        <v>348750</v>
      </c>
      <c r="AC228" s="351">
        <f t="shared" si="54"/>
        <v>348750</v>
      </c>
      <c r="AD228" s="351">
        <f t="shared" si="54"/>
        <v>348750</v>
      </c>
      <c r="AE228" s="351">
        <f t="shared" si="54"/>
        <v>348750</v>
      </c>
      <c r="AF228" s="351">
        <f t="shared" si="54"/>
        <v>348750</v>
      </c>
      <c r="AG228" s="351">
        <f t="shared" si="54"/>
        <v>348750</v>
      </c>
      <c r="AH228" s="351">
        <f t="shared" si="55"/>
        <v>279000</v>
      </c>
      <c r="AI228" s="351">
        <f t="shared" si="55"/>
        <v>279000</v>
      </c>
      <c r="AJ228" s="351">
        <f t="shared" si="55"/>
        <v>279000</v>
      </c>
      <c r="AK228" s="351">
        <f t="shared" si="55"/>
        <v>279000</v>
      </c>
    </row>
    <row r="229" spans="2:38" ht="24" customHeight="1" thickBot="1">
      <c r="B229" s="709" t="s">
        <v>658</v>
      </c>
      <c r="C229" s="710"/>
      <c r="D229" s="371" t="s">
        <v>611</v>
      </c>
      <c r="E229" s="372">
        <f t="shared" ref="E229:L229" si="71">SUM(E6:E228)</f>
        <v>269909</v>
      </c>
      <c r="F229" s="372">
        <f t="shared" si="71"/>
        <v>1903990</v>
      </c>
      <c r="G229" s="372">
        <f t="shared" si="71"/>
        <v>3740</v>
      </c>
      <c r="H229" s="372">
        <f t="shared" si="71"/>
        <v>2164400</v>
      </c>
      <c r="I229" s="372">
        <f t="shared" si="71"/>
        <v>10200</v>
      </c>
      <c r="J229" s="372">
        <f t="shared" si="71"/>
        <v>36049270</v>
      </c>
      <c r="K229" s="372">
        <f t="shared" si="71"/>
        <v>58311660</v>
      </c>
      <c r="L229" s="372">
        <f t="shared" si="71"/>
        <v>25466000</v>
      </c>
      <c r="M229" s="372">
        <f>SUM(M6:M228)</f>
        <v>249600</v>
      </c>
      <c r="N229" s="372" t="e">
        <f>SUM(#REF!,#REF!,#REF!,#REF!)</f>
        <v>#REF!</v>
      </c>
      <c r="O229" s="372" t="e">
        <f>SUM(#REF!,#REF!,#REF!,#REF!)</f>
        <v>#REF!</v>
      </c>
      <c r="P229" s="372" t="e">
        <f>SUM(#REF!,#REF!,#REF!,#REF!)</f>
        <v>#REF!</v>
      </c>
      <c r="Q229" s="372" t="e">
        <f>SUM(#REF!,#REF!,#REF!,#REF!)</f>
        <v>#REF!</v>
      </c>
      <c r="R229" s="372" t="e">
        <f>SUM(#REF!,#REF!,#REF!,#REF!)</f>
        <v>#REF!</v>
      </c>
      <c r="S229" s="372" t="e">
        <f>SUM(#REF!,#REF!,#REF!,#REF!)</f>
        <v>#REF!</v>
      </c>
      <c r="T229" s="372" t="e">
        <f>SUM(#REF!,#REF!,#REF!,#REF!)</f>
        <v>#REF!</v>
      </c>
      <c r="U229" s="372" t="e">
        <f>SUM(#REF!,#REF!,#REF!,#REF!)</f>
        <v>#REF!</v>
      </c>
      <c r="V229" s="372"/>
      <c r="W229" s="373"/>
      <c r="Z229" s="374">
        <f>SUM(Z6:Z228)</f>
        <v>87513992</v>
      </c>
      <c r="AA229" s="374">
        <f t="shared" ref="AA229:AK229" si="72">SUM(AA6:AA228)</f>
        <v>90222728</v>
      </c>
      <c r="AB229" s="374">
        <f t="shared" si="72"/>
        <v>120076530</v>
      </c>
      <c r="AC229" s="374">
        <f t="shared" si="72"/>
        <v>120076530</v>
      </c>
      <c r="AD229" s="374">
        <f t="shared" si="72"/>
        <v>120076530</v>
      </c>
      <c r="AE229" s="374">
        <f t="shared" si="72"/>
        <v>117970760</v>
      </c>
      <c r="AF229" s="374">
        <f t="shared" si="72"/>
        <v>117970760</v>
      </c>
      <c r="AG229" s="374">
        <f t="shared" si="72"/>
        <v>117970760</v>
      </c>
      <c r="AH229" s="374">
        <f t="shared" si="72"/>
        <v>96123624</v>
      </c>
      <c r="AI229" s="374">
        <f t="shared" si="72"/>
        <v>96123624</v>
      </c>
      <c r="AJ229" s="374">
        <f t="shared" si="72"/>
        <v>93414888</v>
      </c>
      <c r="AK229" s="374">
        <f t="shared" si="72"/>
        <v>87513992</v>
      </c>
    </row>
    <row r="230" spans="2:38">
      <c r="F230" s="334">
        <f>AL230/E229</f>
        <v>4686.9675260921276</v>
      </c>
      <c r="O230" s="375"/>
      <c r="P230" s="375"/>
      <c r="Q230" s="375"/>
      <c r="R230" s="375"/>
      <c r="S230" s="375"/>
      <c r="T230" s="375"/>
      <c r="U230" s="375"/>
      <c r="V230" s="375"/>
      <c r="W230" s="375"/>
      <c r="AL230" s="374">
        <f>SUM(Z229:AK229)</f>
        <v>1265054718</v>
      </c>
    </row>
    <row r="231" spans="2:38">
      <c r="F231" s="334">
        <f>AL231/E229</f>
        <v>351522.56445690955</v>
      </c>
      <c r="AL231" s="375">
        <f>AL230*75</f>
        <v>94879103850</v>
      </c>
    </row>
    <row r="238" spans="2:38">
      <c r="B238" s="376"/>
      <c r="C238" s="377"/>
      <c r="D238" s="378"/>
    </row>
    <row r="319" spans="2:4">
      <c r="B319" s="376"/>
      <c r="C319" s="377"/>
      <c r="D319" s="378"/>
    </row>
    <row r="320" spans="2:4">
      <c r="B320" s="376"/>
      <c r="C320" s="377"/>
      <c r="D320" s="378"/>
    </row>
    <row r="321" spans="2:4">
      <c r="B321" s="376"/>
      <c r="C321" s="377"/>
      <c r="D321" s="378"/>
    </row>
    <row r="322" spans="2:4">
      <c r="B322" s="376"/>
      <c r="C322" s="377"/>
      <c r="D322" s="378"/>
    </row>
    <row r="323" spans="2:4">
      <c r="B323" s="376"/>
      <c r="C323" s="377"/>
      <c r="D323" s="378"/>
    </row>
    <row r="324" spans="2:4">
      <c r="B324" s="376"/>
      <c r="C324" s="377"/>
      <c r="D324" s="378"/>
    </row>
    <row r="325" spans="2:4">
      <c r="B325" s="376"/>
      <c r="C325" s="377"/>
      <c r="D325" s="378"/>
    </row>
    <row r="326" spans="2:4">
      <c r="B326" s="376"/>
      <c r="C326" s="377"/>
      <c r="D326" s="378"/>
    </row>
    <row r="327" spans="2:4">
      <c r="B327" s="376"/>
      <c r="C327" s="377"/>
      <c r="D327" s="378"/>
    </row>
    <row r="328" spans="2:4">
      <c r="B328" s="376"/>
      <c r="C328" s="377"/>
      <c r="D328" s="378"/>
    </row>
    <row r="329" spans="2:4">
      <c r="B329" s="376"/>
      <c r="C329" s="377"/>
      <c r="D329" s="378"/>
    </row>
    <row r="330" spans="2:4">
      <c r="B330" s="376"/>
      <c r="C330" s="377"/>
      <c r="D330" s="378"/>
    </row>
  </sheetData>
  <autoFilter ref="A5:AK231" xr:uid="{333556D4-1A2F-EE42-8292-5E10BB3082D8}"/>
  <mergeCells count="44">
    <mergeCell ref="B229:C229"/>
    <mergeCell ref="C189:C204"/>
    <mergeCell ref="B205:B228"/>
    <mergeCell ref="C205:C209"/>
    <mergeCell ref="C210:C212"/>
    <mergeCell ref="C215:C216"/>
    <mergeCell ref="C219:C220"/>
    <mergeCell ref="C222:C228"/>
    <mergeCell ref="C100:C101"/>
    <mergeCell ref="P4:Q4"/>
    <mergeCell ref="C102:C117"/>
    <mergeCell ref="B118:B204"/>
    <mergeCell ref="C118:C129"/>
    <mergeCell ref="C130:C145"/>
    <mergeCell ref="C146:C153"/>
    <mergeCell ref="C154:C166"/>
    <mergeCell ref="C167:C170"/>
    <mergeCell ref="C171:C181"/>
    <mergeCell ref="C184:C186"/>
    <mergeCell ref="C187:C188"/>
    <mergeCell ref="B23:B117"/>
    <mergeCell ref="C23:C31"/>
    <mergeCell ref="C32:C47"/>
    <mergeCell ref="C48:C56"/>
    <mergeCell ref="B6:B22"/>
    <mergeCell ref="C6:C22"/>
    <mergeCell ref="C82:C92"/>
    <mergeCell ref="C93:C97"/>
    <mergeCell ref="C98:C99"/>
    <mergeCell ref="C57:C71"/>
    <mergeCell ref="C72:C81"/>
    <mergeCell ref="B2:W2"/>
    <mergeCell ref="B4:B5"/>
    <mergeCell ref="C4:C5"/>
    <mergeCell ref="D4:D5"/>
    <mergeCell ref="E4:E5"/>
    <mergeCell ref="F4:G4"/>
    <mergeCell ref="H4:I4"/>
    <mergeCell ref="J4:K4"/>
    <mergeCell ref="L4:M4"/>
    <mergeCell ref="N4:O4"/>
    <mergeCell ref="R4:S4"/>
    <mergeCell ref="T4:U4"/>
    <mergeCell ref="V4:W4"/>
  </mergeCells>
  <conditionalFormatting sqref="F6:F22 F48:F56 F72:F117 F146:F182 F184:F186 F189:F220 F222:F228">
    <cfRule type="containsBlanks" dxfId="4" priority="4">
      <formula>LEN(TRIM(F6))=0</formula>
    </cfRule>
    <cfRule type="containsBlanks" dxfId="3" priority="5">
      <formula>LEN(TRIM(F6))=0</formula>
    </cfRule>
  </conditionalFormatting>
  <conditionalFormatting sqref="H146:H153">
    <cfRule type="containsBlanks" dxfId="2" priority="2">
      <formula>LEN(TRIM(H146))=0</formula>
    </cfRule>
    <cfRule type="containsBlanks" dxfId="1" priority="3">
      <formula>LEN(TRIM(H146))=0</formula>
    </cfRule>
  </conditionalFormatting>
  <conditionalFormatting sqref="W6:W229">
    <cfRule type="containsBlanks" dxfId="0" priority="1">
      <formula>LEN(TRIM(W6))=0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2801-9580-48E0-943C-738300D7BEB2}">
  <dimension ref="B1:V24"/>
  <sheetViews>
    <sheetView workbookViewId="0">
      <selection activeCell="C11" sqref="C11"/>
    </sheetView>
  </sheetViews>
  <sheetFormatPr defaultRowHeight="13.2"/>
  <cols>
    <col min="1" max="1" width="8.88671875" style="334"/>
    <col min="2" max="2" width="11.33203125" style="334" bestFit="1" customWidth="1"/>
    <col min="3" max="14" width="14.109375" style="334" bestFit="1" customWidth="1"/>
    <col min="15" max="17" width="16.6640625" style="334" bestFit="1" customWidth="1"/>
    <col min="18" max="16384" width="8.88671875" style="334"/>
  </cols>
  <sheetData>
    <row r="1" spans="2:22">
      <c r="B1" s="712" t="s">
        <v>750</v>
      </c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P1" s="334" t="s">
        <v>751</v>
      </c>
    </row>
    <row r="2" spans="2:22">
      <c r="C2" s="335" t="s">
        <v>238</v>
      </c>
      <c r="D2" s="335" t="s">
        <v>239</v>
      </c>
      <c r="E2" s="335" t="s">
        <v>240</v>
      </c>
      <c r="F2" s="335" t="s">
        <v>241</v>
      </c>
      <c r="G2" s="335" t="s">
        <v>236</v>
      </c>
      <c r="H2" s="335" t="s">
        <v>237</v>
      </c>
      <c r="I2" s="335" t="s">
        <v>242</v>
      </c>
      <c r="J2" s="335" t="s">
        <v>243</v>
      </c>
      <c r="K2" s="335" t="s">
        <v>244</v>
      </c>
      <c r="L2" s="335" t="s">
        <v>245</v>
      </c>
      <c r="M2" s="335" t="s">
        <v>246</v>
      </c>
      <c r="N2" s="335" t="s">
        <v>247</v>
      </c>
    </row>
    <row r="3" spans="2:22" ht="14.4">
      <c r="B3" s="334" t="s">
        <v>583</v>
      </c>
      <c r="C3" s="379">
        <f>SUMIF('Capture Fuel Consumption'!$D7:$D229,'Fishery Beneficiary Estimation'!$B3,'Capture Fuel Consumption'!Z$6:Z$228)</f>
        <v>8447096</v>
      </c>
      <c r="D3" s="379">
        <f>SUMIF('Capture Fuel Consumption'!$D7:$D229,'Fishery Beneficiary Estimation'!$B3,'Capture Fuel Consumption'!AA$6:AA$228)</f>
        <v>8447096</v>
      </c>
      <c r="E3" s="379">
        <f>SUMIF('Capture Fuel Consumption'!$D7:$D229,'Fishery Beneficiary Estimation'!$B3,'Capture Fuel Consumption'!AB$6:AB$228)</f>
        <v>10558870</v>
      </c>
      <c r="F3" s="379">
        <f>SUMIF('Capture Fuel Consumption'!$D7:$D229,'Fishery Beneficiary Estimation'!$B3,'Capture Fuel Consumption'!AC$6:AC$228)</f>
        <v>10558870</v>
      </c>
      <c r="G3" s="379">
        <f>SUMIF('Capture Fuel Consumption'!$D7:$D229,'Fishery Beneficiary Estimation'!$B3,'Capture Fuel Consumption'!AD$6:AD$228)</f>
        <v>10558870</v>
      </c>
      <c r="H3" s="379">
        <f>SUMIF('Capture Fuel Consumption'!$D7:$D229,'Fishery Beneficiary Estimation'!$B3,'Capture Fuel Consumption'!AE$6:AE$228)</f>
        <v>10558870</v>
      </c>
      <c r="I3" s="379">
        <f>SUMIF('Capture Fuel Consumption'!$D7:$D229,'Fishery Beneficiary Estimation'!$B3,'Capture Fuel Consumption'!AF$6:AF$228)</f>
        <v>10558870</v>
      </c>
      <c r="J3" s="379">
        <f>SUMIF('Capture Fuel Consumption'!$D7:$D229,'Fishery Beneficiary Estimation'!$B3,'Capture Fuel Consumption'!AG$6:AG$228)</f>
        <v>10558870</v>
      </c>
      <c r="K3" s="379">
        <f>SUMIF('Capture Fuel Consumption'!$D7:$D229,'Fishery Beneficiary Estimation'!$B3,'Capture Fuel Consumption'!AH$6:AH$228)</f>
        <v>8447096</v>
      </c>
      <c r="L3" s="379">
        <f>SUMIF('Capture Fuel Consumption'!$D7:$D229,'Fishery Beneficiary Estimation'!$B3,'Capture Fuel Consumption'!AI$6:AI$228)</f>
        <v>8447096</v>
      </c>
      <c r="M3" s="379">
        <f>SUMIF('Capture Fuel Consumption'!$D7:$D229,'Fishery Beneficiary Estimation'!$B3,'Capture Fuel Consumption'!AJ$6:AJ$228)</f>
        <v>8447096</v>
      </c>
      <c r="N3" s="379">
        <f>SUMIF('Capture Fuel Consumption'!$D7:$D229,'Fishery Beneficiary Estimation'!$B3,'Capture Fuel Consumption'!AK$6:AK$228)</f>
        <v>8447096</v>
      </c>
      <c r="O3" s="380">
        <f>SUM(C3:N3)</f>
        <v>114035796</v>
      </c>
      <c r="P3" s="380">
        <f>SUMIF('Aquaculture Fuel Consumption'!$B$4:$B$20,'Fishery Beneficiary Estimation'!$B3,'Aquaculture Fuel Consumption'!$M$4:$M$20)</f>
        <v>171282.76</v>
      </c>
      <c r="Q3" s="380">
        <f>SUM(O3:P3)</f>
        <v>114207078.76000001</v>
      </c>
      <c r="T3" s="533">
        <f t="shared" ref="T3:T11" si="0">Q3/$Q$21</f>
        <v>0.12523114759016479</v>
      </c>
      <c r="U3" s="334">
        <f t="shared" ref="U3:U11" si="1">T3*$O$24</f>
        <v>6011.0950843279097</v>
      </c>
      <c r="V3" s="334">
        <f>ROUND(U3,0)</f>
        <v>6011</v>
      </c>
    </row>
    <row r="4" spans="2:22" ht="14.4">
      <c r="B4" s="334" t="s">
        <v>294</v>
      </c>
      <c r="C4" s="379">
        <f>SUMIF('Capture Fuel Consumption'!$D6:$D228,'Fishery Beneficiary Estimation'!$B4,'Capture Fuel Consumption'!Z$6:Z$228)</f>
        <v>55968</v>
      </c>
      <c r="D4" s="379">
        <f>SUMIF('Capture Fuel Consumption'!$D6:$D228,'Fishery Beneficiary Estimation'!$B4,'Capture Fuel Consumption'!AA$6:AA$228)</f>
        <v>55968</v>
      </c>
      <c r="E4" s="379">
        <f>SUMIF('Capture Fuel Consumption'!$D6:$D228,'Fishery Beneficiary Estimation'!$B4,'Capture Fuel Consumption'!AB$6:AB$228)</f>
        <v>69960</v>
      </c>
      <c r="F4" s="379">
        <f>SUMIF('Capture Fuel Consumption'!$D6:$D228,'Fishery Beneficiary Estimation'!$B4,'Capture Fuel Consumption'!AC$6:AC$228)</f>
        <v>69960</v>
      </c>
      <c r="G4" s="379">
        <f>SUMIF('Capture Fuel Consumption'!$D6:$D228,'Fishery Beneficiary Estimation'!$B4,'Capture Fuel Consumption'!AD$6:AD$228)</f>
        <v>69960</v>
      </c>
      <c r="H4" s="379">
        <f>SUMIF('Capture Fuel Consumption'!$D6:$D228,'Fishery Beneficiary Estimation'!$B4,'Capture Fuel Consumption'!AE$6:AE$228)</f>
        <v>69960</v>
      </c>
      <c r="I4" s="379">
        <f>SUMIF('Capture Fuel Consumption'!$D6:$D228,'Fishery Beneficiary Estimation'!$B4,'Capture Fuel Consumption'!AF$6:AF$228)</f>
        <v>69960</v>
      </c>
      <c r="J4" s="379">
        <f>SUMIF('Capture Fuel Consumption'!$D6:$D228,'Fishery Beneficiary Estimation'!$B4,'Capture Fuel Consumption'!AG$6:AG$228)</f>
        <v>69960</v>
      </c>
      <c r="K4" s="379">
        <f>SUMIF('Capture Fuel Consumption'!$D6:$D228,'Fishery Beneficiary Estimation'!$B4,'Capture Fuel Consumption'!AH$6:AH$228)</f>
        <v>55968</v>
      </c>
      <c r="L4" s="379">
        <f>SUMIF('Capture Fuel Consumption'!$D6:$D228,'Fishery Beneficiary Estimation'!$B4,'Capture Fuel Consumption'!AI$6:AI$228)</f>
        <v>55968</v>
      </c>
      <c r="M4" s="379">
        <f>SUMIF('Capture Fuel Consumption'!$D6:$D228,'Fishery Beneficiary Estimation'!$B4,'Capture Fuel Consumption'!AJ$6:AJ$228)</f>
        <v>55968</v>
      </c>
      <c r="N4" s="379">
        <f>SUMIF('Capture Fuel Consumption'!$D6:$D228,'Fishery Beneficiary Estimation'!$B4,'Capture Fuel Consumption'!AK$6:AK$228)</f>
        <v>55968</v>
      </c>
      <c r="O4" s="380">
        <f>SUM(C4:N4)</f>
        <v>755568</v>
      </c>
      <c r="P4" s="380">
        <f>SUMIF('Aquaculture Fuel Consumption'!$B$4:$B$20,'Fishery Beneficiary Estimation'!$B4,'Aquaculture Fuel Consumption'!$M$4:$M$20)</f>
        <v>76020</v>
      </c>
      <c r="Q4" s="380">
        <f>SUM(O4:P4)</f>
        <v>831588</v>
      </c>
      <c r="T4" s="533">
        <f t="shared" si="0"/>
        <v>9.1185871044872826E-4</v>
      </c>
      <c r="U4" s="334">
        <f t="shared" si="1"/>
        <v>43.769218101538954</v>
      </c>
      <c r="V4" s="334">
        <f>ROUND(U4,0)</f>
        <v>44</v>
      </c>
    </row>
    <row r="5" spans="2:22" ht="14.4">
      <c r="B5" s="334" t="s">
        <v>614</v>
      </c>
      <c r="C5" s="379">
        <f>SUMIF('Capture Fuel Consumption'!$D8:$D230,'Fishery Beneficiary Estimation'!$B5,'Capture Fuel Consumption'!Z$6:Z$228)</f>
        <v>5431512</v>
      </c>
      <c r="D5" s="379">
        <f>SUMIF('Capture Fuel Consumption'!$D8:$D230,'Fishery Beneficiary Estimation'!$B5,'Capture Fuel Consumption'!AA$6:AA$228)</f>
        <v>5431512</v>
      </c>
      <c r="E5" s="379">
        <f>SUMIF('Capture Fuel Consumption'!$D8:$D230,'Fishery Beneficiary Estimation'!$B5,'Capture Fuel Consumption'!AB$6:AB$228)</f>
        <v>6789390</v>
      </c>
      <c r="F5" s="379">
        <f>SUMIF('Capture Fuel Consumption'!$D8:$D230,'Fishery Beneficiary Estimation'!$B5,'Capture Fuel Consumption'!AC$6:AC$228)</f>
        <v>6789390</v>
      </c>
      <c r="G5" s="379">
        <f>SUMIF('Capture Fuel Consumption'!$D8:$D230,'Fishery Beneficiary Estimation'!$B5,'Capture Fuel Consumption'!AD$6:AD$228)</f>
        <v>6789390</v>
      </c>
      <c r="H5" s="379">
        <f>SUMIF('Capture Fuel Consumption'!$D8:$D230,'Fishery Beneficiary Estimation'!$B5,'Capture Fuel Consumption'!AE$6:AE$228)</f>
        <v>6789390</v>
      </c>
      <c r="I5" s="379">
        <f>SUMIF('Capture Fuel Consumption'!$D8:$D230,'Fishery Beneficiary Estimation'!$B5,'Capture Fuel Consumption'!AF$6:AF$228)</f>
        <v>6789390</v>
      </c>
      <c r="J5" s="379">
        <f>SUMIF('Capture Fuel Consumption'!$D8:$D230,'Fishery Beneficiary Estimation'!$B5,'Capture Fuel Consumption'!AG$6:AG$228)</f>
        <v>6789390</v>
      </c>
      <c r="K5" s="379">
        <f>SUMIF('Capture Fuel Consumption'!$D8:$D230,'Fishery Beneficiary Estimation'!$B5,'Capture Fuel Consumption'!AH$6:AH$228)</f>
        <v>5431512</v>
      </c>
      <c r="L5" s="379">
        <f>SUMIF('Capture Fuel Consumption'!$D8:$D230,'Fishery Beneficiary Estimation'!$B5,'Capture Fuel Consumption'!AI$6:AI$228)</f>
        <v>5431512</v>
      </c>
      <c r="M5" s="379">
        <f>SUMIF('Capture Fuel Consumption'!$D8:$D230,'Fishery Beneficiary Estimation'!$B5,'Capture Fuel Consumption'!AJ$6:AJ$228)</f>
        <v>5431512</v>
      </c>
      <c r="N5" s="379">
        <f>SUMIF('Capture Fuel Consumption'!$D8:$D230,'Fishery Beneficiary Estimation'!$B5,'Capture Fuel Consumption'!AK$6:AK$228)</f>
        <v>5431512</v>
      </c>
      <c r="O5" s="380">
        <f t="shared" ref="O5:O21" si="2">SUM(C5:N5)</f>
        <v>73325412</v>
      </c>
      <c r="P5" s="380">
        <f>SUMIF('Aquaculture Fuel Consumption'!$B$4:$B$20,'Fishery Beneficiary Estimation'!$B5,'Aquaculture Fuel Consumption'!$M$4:$M$20)</f>
        <v>181030.54</v>
      </c>
      <c r="Q5" s="380">
        <f t="shared" ref="Q5:Q20" si="3">SUM(O5:P5)</f>
        <v>73506442.540000007</v>
      </c>
      <c r="T5" s="533">
        <f t="shared" si="0"/>
        <v>8.0601800295576592E-2</v>
      </c>
      <c r="U5" s="334">
        <f t="shared" si="1"/>
        <v>3868.8864141876766</v>
      </c>
      <c r="V5" s="334">
        <f t="shared" ref="V5:V20" si="4">ROUND(U5,0)</f>
        <v>3869</v>
      </c>
    </row>
    <row r="6" spans="2:22" ht="14.4">
      <c r="B6" s="334" t="s">
        <v>615</v>
      </c>
      <c r="C6" s="379">
        <f>SUMIF('Capture Fuel Consumption'!$D9:$D231,'Fishery Beneficiary Estimation'!$B6,'Capture Fuel Consumption'!Z$6:Z$228)</f>
        <v>1719328</v>
      </c>
      <c r="D6" s="379">
        <f>SUMIF('Capture Fuel Consumption'!$D9:$D231,'Fishery Beneficiary Estimation'!$B6,'Capture Fuel Consumption'!AA$6:AA$228)</f>
        <v>1719328</v>
      </c>
      <c r="E6" s="379">
        <f>SUMIF('Capture Fuel Consumption'!$D9:$D231,'Fishery Beneficiary Estimation'!$B6,'Capture Fuel Consumption'!AB$6:AB$228)</f>
        <v>2149160</v>
      </c>
      <c r="F6" s="379">
        <f>SUMIF('Capture Fuel Consumption'!$D9:$D231,'Fishery Beneficiary Estimation'!$B6,'Capture Fuel Consumption'!AC$6:AC$228)</f>
        <v>2149160</v>
      </c>
      <c r="G6" s="379">
        <f>SUMIF('Capture Fuel Consumption'!$D9:$D231,'Fishery Beneficiary Estimation'!$B6,'Capture Fuel Consumption'!AD$6:AD$228)</f>
        <v>2149160</v>
      </c>
      <c r="H6" s="379">
        <f>SUMIF('Capture Fuel Consumption'!$D9:$D231,'Fishery Beneficiary Estimation'!$B6,'Capture Fuel Consumption'!AE$6:AE$228)</f>
        <v>2146160</v>
      </c>
      <c r="I6" s="379">
        <f>SUMIF('Capture Fuel Consumption'!$D9:$D231,'Fishery Beneficiary Estimation'!$B6,'Capture Fuel Consumption'!AF$6:AF$228)</f>
        <v>2146160</v>
      </c>
      <c r="J6" s="379">
        <f>SUMIF('Capture Fuel Consumption'!$D9:$D231,'Fishery Beneficiary Estimation'!$B6,'Capture Fuel Consumption'!AG$6:AG$228)</f>
        <v>2146160</v>
      </c>
      <c r="K6" s="379">
        <f>SUMIF('Capture Fuel Consumption'!$D9:$D231,'Fishery Beneficiary Estimation'!$B6,'Capture Fuel Consumption'!AH$6:AH$228)</f>
        <v>1719328</v>
      </c>
      <c r="L6" s="379">
        <f>SUMIF('Capture Fuel Consumption'!$D9:$D231,'Fishery Beneficiary Estimation'!$B6,'Capture Fuel Consumption'!AI$6:AI$228)</f>
        <v>1719328</v>
      </c>
      <c r="M6" s="379">
        <f>SUMIF('Capture Fuel Consumption'!$D9:$D231,'Fishery Beneficiary Estimation'!$B6,'Capture Fuel Consumption'!AJ$6:AJ$228)</f>
        <v>1719328</v>
      </c>
      <c r="N6" s="379">
        <f>SUMIF('Capture Fuel Consumption'!$D9:$D231,'Fishery Beneficiary Estimation'!$B6,'Capture Fuel Consumption'!AK$6:AK$228)</f>
        <v>1719328</v>
      </c>
      <c r="O6" s="380">
        <f t="shared" si="2"/>
        <v>23201928</v>
      </c>
      <c r="P6" s="380">
        <f>SUMIF('Aquaculture Fuel Consumption'!$B$4:$B$20,'Fishery Beneficiary Estimation'!$B6,'Aquaculture Fuel Consumption'!$M$4:$M$20)</f>
        <v>586002</v>
      </c>
      <c r="Q6" s="380">
        <f t="shared" si="3"/>
        <v>23787930</v>
      </c>
      <c r="T6" s="533">
        <f t="shared" si="0"/>
        <v>2.6084107964574544E-2</v>
      </c>
      <c r="U6" s="334">
        <f t="shared" si="1"/>
        <v>1252.037182299578</v>
      </c>
      <c r="V6" s="334">
        <f t="shared" si="4"/>
        <v>1252</v>
      </c>
    </row>
    <row r="7" spans="2:22" ht="14.4">
      <c r="B7" s="334" t="s">
        <v>616</v>
      </c>
      <c r="C7" s="379">
        <f>SUMIF('Capture Fuel Consumption'!$D10:$D232,'Fishery Beneficiary Estimation'!$B7,'Capture Fuel Consumption'!Z$6:Z$228)</f>
        <v>3399704</v>
      </c>
      <c r="D7" s="379">
        <f>SUMIF('Capture Fuel Consumption'!$D10:$D232,'Fishery Beneficiary Estimation'!$B7,'Capture Fuel Consumption'!AA$6:AA$228)</f>
        <v>3399704</v>
      </c>
      <c r="E7" s="379">
        <f>SUMIF('Capture Fuel Consumption'!$D10:$D232,'Fishery Beneficiary Estimation'!$B7,'Capture Fuel Consumption'!AB$6:AB$228)</f>
        <v>4249630</v>
      </c>
      <c r="F7" s="379">
        <f>SUMIF('Capture Fuel Consumption'!$D10:$D232,'Fishery Beneficiary Estimation'!$B7,'Capture Fuel Consumption'!AC$6:AC$228)</f>
        <v>4249630</v>
      </c>
      <c r="G7" s="379">
        <f>SUMIF('Capture Fuel Consumption'!$D10:$D232,'Fishery Beneficiary Estimation'!$B7,'Capture Fuel Consumption'!AD$6:AD$228)</f>
        <v>4249630</v>
      </c>
      <c r="H7" s="379">
        <f>SUMIF('Capture Fuel Consumption'!$D10:$D232,'Fishery Beneficiary Estimation'!$B7,'Capture Fuel Consumption'!AE$6:AE$228)</f>
        <v>4240630</v>
      </c>
      <c r="I7" s="379">
        <f>SUMIF('Capture Fuel Consumption'!$D10:$D232,'Fishery Beneficiary Estimation'!$B7,'Capture Fuel Consumption'!AF$6:AF$228)</f>
        <v>4240630</v>
      </c>
      <c r="J7" s="379">
        <f>SUMIF('Capture Fuel Consumption'!$D10:$D232,'Fishery Beneficiary Estimation'!$B7,'Capture Fuel Consumption'!AG$6:AG$228)</f>
        <v>4240630</v>
      </c>
      <c r="K7" s="379">
        <f>SUMIF('Capture Fuel Consumption'!$D10:$D232,'Fishery Beneficiary Estimation'!$B7,'Capture Fuel Consumption'!AH$6:AH$228)</f>
        <v>3399704</v>
      </c>
      <c r="L7" s="379">
        <f>SUMIF('Capture Fuel Consumption'!$D10:$D232,'Fishery Beneficiary Estimation'!$B7,'Capture Fuel Consumption'!AI$6:AI$228)</f>
        <v>3399704</v>
      </c>
      <c r="M7" s="379">
        <f>SUMIF('Capture Fuel Consumption'!$D10:$D232,'Fishery Beneficiary Estimation'!$B7,'Capture Fuel Consumption'!AJ$6:AJ$228)</f>
        <v>3399704</v>
      </c>
      <c r="N7" s="379">
        <f>SUMIF('Capture Fuel Consumption'!$D10:$D232,'Fishery Beneficiary Estimation'!$B7,'Capture Fuel Consumption'!AK$6:AK$228)</f>
        <v>3399704</v>
      </c>
      <c r="O7" s="380">
        <f t="shared" si="2"/>
        <v>45869004</v>
      </c>
      <c r="P7" s="380">
        <f>SUMIF('Aquaculture Fuel Consumption'!$B$4:$B$20,'Fishery Beneficiary Estimation'!$B7,'Aquaculture Fuel Consumption'!$M$4:$M$20)</f>
        <v>616.4</v>
      </c>
      <c r="Q7" s="380">
        <f t="shared" si="3"/>
        <v>45869620.399999999</v>
      </c>
      <c r="T7" s="533">
        <f t="shared" si="0"/>
        <v>5.0297278107328001E-2</v>
      </c>
      <c r="U7" s="334">
        <f t="shared" si="1"/>
        <v>2414.2693491517439</v>
      </c>
      <c r="V7" s="334">
        <f t="shared" si="4"/>
        <v>2414</v>
      </c>
    </row>
    <row r="8" spans="2:22" ht="14.4">
      <c r="B8" s="352" t="s">
        <v>617</v>
      </c>
      <c r="C8" s="379">
        <f>SUMIF('Capture Fuel Consumption'!$D11:$D233,'Fishery Beneficiary Estimation'!$B8,'Capture Fuel Consumption'!Z$6:Z$228)</f>
        <v>3207192</v>
      </c>
      <c r="D8" s="379">
        <f>SUMIF('Capture Fuel Consumption'!$D11:$D233,'Fishery Beneficiary Estimation'!$B8,'Capture Fuel Consumption'!AA$6:AA$228)</f>
        <v>3207192</v>
      </c>
      <c r="E8" s="379">
        <f>SUMIF('Capture Fuel Consumption'!$D11:$D233,'Fishery Beneficiary Estimation'!$B8,'Capture Fuel Consumption'!AB$6:AB$228)</f>
        <v>4008990</v>
      </c>
      <c r="F8" s="379">
        <f>SUMIF('Capture Fuel Consumption'!$D11:$D233,'Fishery Beneficiary Estimation'!$B8,'Capture Fuel Consumption'!AC$6:AC$228)</f>
        <v>4008990</v>
      </c>
      <c r="G8" s="379">
        <f>SUMIF('Capture Fuel Consumption'!$D11:$D233,'Fishery Beneficiary Estimation'!$B8,'Capture Fuel Consumption'!AD$6:AD$228)</f>
        <v>4008990</v>
      </c>
      <c r="H8" s="379">
        <f>SUMIF('Capture Fuel Consumption'!$D11:$D233,'Fishery Beneficiary Estimation'!$B8,'Capture Fuel Consumption'!AE$6:AE$228)</f>
        <v>2536930</v>
      </c>
      <c r="I8" s="379">
        <f>SUMIF('Capture Fuel Consumption'!$D11:$D233,'Fishery Beneficiary Estimation'!$B8,'Capture Fuel Consumption'!AF$6:AF$228)</f>
        <v>2536930</v>
      </c>
      <c r="J8" s="379">
        <f>SUMIF('Capture Fuel Consumption'!$D11:$D233,'Fishery Beneficiary Estimation'!$B8,'Capture Fuel Consumption'!AG$6:AG$228)</f>
        <v>2536930</v>
      </c>
      <c r="K8" s="379">
        <f>SUMIF('Capture Fuel Consumption'!$D11:$D233,'Fishery Beneficiary Estimation'!$B8,'Capture Fuel Consumption'!AH$6:AH$228)</f>
        <v>3207192</v>
      </c>
      <c r="L8" s="379">
        <f>SUMIF('Capture Fuel Consumption'!$D11:$D233,'Fishery Beneficiary Estimation'!$B8,'Capture Fuel Consumption'!AI$6:AI$228)</f>
        <v>3207192</v>
      </c>
      <c r="M8" s="379">
        <f>SUMIF('Capture Fuel Consumption'!$D11:$D233,'Fishery Beneficiary Estimation'!$B8,'Capture Fuel Consumption'!AJ$6:AJ$228)</f>
        <v>3207192</v>
      </c>
      <c r="N8" s="379">
        <f>SUMIF('Capture Fuel Consumption'!$D11:$D233,'Fishery Beneficiary Estimation'!$B8,'Capture Fuel Consumption'!AK$6:AK$228)</f>
        <v>3207192</v>
      </c>
      <c r="O8" s="380">
        <f t="shared" si="2"/>
        <v>38880912</v>
      </c>
      <c r="P8" s="380">
        <f>SUMIF('Aquaculture Fuel Consumption'!$B$4:$B$20,'Fishery Beneficiary Estimation'!$B8,'Aquaculture Fuel Consumption'!$M$4:$M$20)</f>
        <v>5833216</v>
      </c>
      <c r="Q8" s="380">
        <f t="shared" si="3"/>
        <v>44714128</v>
      </c>
      <c r="T8" s="533">
        <f t="shared" si="0"/>
        <v>4.903024947079488E-2</v>
      </c>
      <c r="U8" s="334">
        <f t="shared" si="1"/>
        <v>2353.4519745981543</v>
      </c>
      <c r="V8" s="334">
        <f t="shared" si="4"/>
        <v>2353</v>
      </c>
    </row>
    <row r="9" spans="2:22" ht="14.4">
      <c r="B9" s="352" t="s">
        <v>618</v>
      </c>
      <c r="C9" s="379">
        <f>SUMIF('Capture Fuel Consumption'!$D12:$D234,'Fishery Beneficiary Estimation'!$B9,'Capture Fuel Consumption'!Z$6:Z$228)</f>
        <v>4568432</v>
      </c>
      <c r="D9" s="379">
        <f>SUMIF('Capture Fuel Consumption'!$D12:$D234,'Fishery Beneficiary Estimation'!$B9,'Capture Fuel Consumption'!AA$6:AA$228)</f>
        <v>4568432</v>
      </c>
      <c r="E9" s="379">
        <f>SUMIF('Capture Fuel Consumption'!$D12:$D234,'Fishery Beneficiary Estimation'!$B9,'Capture Fuel Consumption'!AB$6:AB$228)</f>
        <v>5710540</v>
      </c>
      <c r="F9" s="379">
        <f>SUMIF('Capture Fuel Consumption'!$D12:$D234,'Fishery Beneficiary Estimation'!$B9,'Capture Fuel Consumption'!AC$6:AC$228)</f>
        <v>5710540</v>
      </c>
      <c r="G9" s="379">
        <f>SUMIF('Capture Fuel Consumption'!$D12:$D234,'Fishery Beneficiary Estimation'!$B9,'Capture Fuel Consumption'!AD$6:AD$228)</f>
        <v>5710540</v>
      </c>
      <c r="H9" s="379">
        <f>SUMIF('Capture Fuel Consumption'!$D12:$D234,'Fishery Beneficiary Estimation'!$B9,'Capture Fuel Consumption'!AE$6:AE$228)</f>
        <v>4422540</v>
      </c>
      <c r="I9" s="379">
        <f>SUMIF('Capture Fuel Consumption'!$D12:$D234,'Fishery Beneficiary Estimation'!$B9,'Capture Fuel Consumption'!AF$6:AF$228)</f>
        <v>4422540</v>
      </c>
      <c r="J9" s="379">
        <f>SUMIF('Capture Fuel Consumption'!$D12:$D234,'Fishery Beneficiary Estimation'!$B9,'Capture Fuel Consumption'!AG$6:AG$228)</f>
        <v>4422540</v>
      </c>
      <c r="K9" s="379">
        <f>SUMIF('Capture Fuel Consumption'!$D12:$D234,'Fishery Beneficiary Estimation'!$B9,'Capture Fuel Consumption'!AH$6:AH$228)</f>
        <v>4568432</v>
      </c>
      <c r="L9" s="379">
        <f>SUMIF('Capture Fuel Consumption'!$D12:$D234,'Fishery Beneficiary Estimation'!$B9,'Capture Fuel Consumption'!AI$6:AI$228)</f>
        <v>4568432</v>
      </c>
      <c r="M9" s="379">
        <f>SUMIF('Capture Fuel Consumption'!$D12:$D234,'Fishery Beneficiary Estimation'!$B9,'Capture Fuel Consumption'!AJ$6:AJ$228)</f>
        <v>4568432</v>
      </c>
      <c r="N9" s="379">
        <f>SUMIF('Capture Fuel Consumption'!$D12:$D234,'Fishery Beneficiary Estimation'!$B9,'Capture Fuel Consumption'!AK$6:AK$228)</f>
        <v>4568432</v>
      </c>
      <c r="O9" s="380">
        <f t="shared" si="2"/>
        <v>57809832</v>
      </c>
      <c r="P9" s="380">
        <f>SUMIF('Aquaculture Fuel Consumption'!$B$4:$B$20,'Fishery Beneficiary Estimation'!$B9,'Aquaculture Fuel Consumption'!$M$4:$M$20)</f>
        <v>294537.52</v>
      </c>
      <c r="Q9" s="380">
        <f t="shared" si="3"/>
        <v>58104369.520000003</v>
      </c>
      <c r="T9" s="533">
        <f t="shared" si="0"/>
        <v>6.3713011084748208E-2</v>
      </c>
      <c r="U9" s="334">
        <f t="shared" si="1"/>
        <v>3058.224532067914</v>
      </c>
      <c r="V9" s="334">
        <f t="shared" si="4"/>
        <v>3058</v>
      </c>
    </row>
    <row r="10" spans="2:22" ht="14.4">
      <c r="B10" s="334" t="s">
        <v>619</v>
      </c>
      <c r="C10" s="379">
        <f>SUMIF('Capture Fuel Consumption'!$D13:$D235,'Fishery Beneficiary Estimation'!$B10,'Capture Fuel Consumption'!Z$6:Z$228)</f>
        <v>4748272</v>
      </c>
      <c r="D10" s="379">
        <f>SUMIF('Capture Fuel Consumption'!$D13:$D235,'Fishery Beneficiary Estimation'!$B10,'Capture Fuel Consumption'!AA$6:AA$228)</f>
        <v>4748272</v>
      </c>
      <c r="E10" s="379">
        <f>SUMIF('Capture Fuel Consumption'!$D13:$D235,'Fishery Beneficiary Estimation'!$B10,'Capture Fuel Consumption'!AB$6:AB$228)</f>
        <v>5941840</v>
      </c>
      <c r="F10" s="379">
        <f>SUMIF('Capture Fuel Consumption'!$D13:$D235,'Fishery Beneficiary Estimation'!$B10,'Capture Fuel Consumption'!AC$6:AC$228)</f>
        <v>5941840</v>
      </c>
      <c r="G10" s="379">
        <f>SUMIF('Capture Fuel Consumption'!$D13:$D235,'Fishery Beneficiary Estimation'!$B10,'Capture Fuel Consumption'!AD$6:AD$228)</f>
        <v>5941840</v>
      </c>
      <c r="H10" s="379">
        <f>SUMIF('Capture Fuel Consumption'!$D13:$D235,'Fishery Beneficiary Estimation'!$B10,'Capture Fuel Consumption'!AE$6:AE$228)</f>
        <v>5941840</v>
      </c>
      <c r="I10" s="379">
        <f>SUMIF('Capture Fuel Consumption'!$D13:$D235,'Fishery Beneficiary Estimation'!$B10,'Capture Fuel Consumption'!AF$6:AF$228)</f>
        <v>5941840</v>
      </c>
      <c r="J10" s="379">
        <f>SUMIF('Capture Fuel Consumption'!$D13:$D235,'Fishery Beneficiary Estimation'!$B10,'Capture Fuel Consumption'!AG$6:AG$228)</f>
        <v>5941840</v>
      </c>
      <c r="K10" s="379">
        <f>SUMIF('Capture Fuel Consumption'!$D13:$D235,'Fishery Beneficiary Estimation'!$B10,'Capture Fuel Consumption'!AH$6:AH$228)</f>
        <v>4753472</v>
      </c>
      <c r="L10" s="379">
        <f>SUMIF('Capture Fuel Consumption'!$D13:$D235,'Fishery Beneficiary Estimation'!$B10,'Capture Fuel Consumption'!AI$6:AI$228)</f>
        <v>4753472</v>
      </c>
      <c r="M10" s="379">
        <f>SUMIF('Capture Fuel Consumption'!$D13:$D235,'Fishery Beneficiary Estimation'!$B10,'Capture Fuel Consumption'!AJ$6:AJ$228)</f>
        <v>4753472</v>
      </c>
      <c r="N10" s="379">
        <f>SUMIF('Capture Fuel Consumption'!$D13:$D235,'Fishery Beneficiary Estimation'!$B10,'Capture Fuel Consumption'!AK$6:AK$228)</f>
        <v>4748272</v>
      </c>
      <c r="O10" s="380">
        <f t="shared" si="2"/>
        <v>64156272</v>
      </c>
      <c r="P10" s="380">
        <f>SUMIF('Aquaculture Fuel Consumption'!$B$4:$B$20,'Fishery Beneficiary Estimation'!$B10,'Aquaculture Fuel Consumption'!$M$4:$M$20)</f>
        <v>460739.12400000001</v>
      </c>
      <c r="Q10" s="380">
        <f t="shared" si="3"/>
        <v>64617011.123999998</v>
      </c>
      <c r="T10" s="533">
        <f t="shared" si="0"/>
        <v>7.0854298566816465E-2</v>
      </c>
      <c r="U10" s="334">
        <f t="shared" si="1"/>
        <v>3401.0063312071902</v>
      </c>
      <c r="V10" s="334">
        <f t="shared" si="4"/>
        <v>3401</v>
      </c>
    </row>
    <row r="11" spans="2:22" ht="14.4">
      <c r="B11" s="334" t="s">
        <v>620</v>
      </c>
      <c r="C11" s="379">
        <f>SUMIF('Capture Fuel Consumption'!$D14:$D236,'Fishery Beneficiary Estimation'!$B11,'Capture Fuel Consumption'!Z$6:Z$228)</f>
        <v>6023472</v>
      </c>
      <c r="D11" s="379">
        <f>SUMIF('Capture Fuel Consumption'!$D14:$D236,'Fishery Beneficiary Estimation'!$B11,'Capture Fuel Consumption'!AA$6:AA$228)</f>
        <v>6023472</v>
      </c>
      <c r="E11" s="379">
        <f>SUMIF('Capture Fuel Consumption'!$D14:$D236,'Fishery Beneficiary Estimation'!$B11,'Capture Fuel Consumption'!AB$6:AB$228)</f>
        <v>7942640</v>
      </c>
      <c r="F11" s="379">
        <f>SUMIF('Capture Fuel Consumption'!$D14:$D236,'Fishery Beneficiary Estimation'!$B11,'Capture Fuel Consumption'!AC$6:AC$228)</f>
        <v>7942640</v>
      </c>
      <c r="G11" s="379">
        <f>SUMIF('Capture Fuel Consumption'!$D14:$D236,'Fishery Beneficiary Estimation'!$B11,'Capture Fuel Consumption'!AD$6:AD$228)</f>
        <v>7942640</v>
      </c>
      <c r="H11" s="379">
        <f>SUMIF('Capture Fuel Consumption'!$D14:$D236,'Fishery Beneficiary Estimation'!$B11,'Capture Fuel Consumption'!AE$6:AE$228)</f>
        <v>7942640</v>
      </c>
      <c r="I11" s="379">
        <f>SUMIF('Capture Fuel Consumption'!$D14:$D236,'Fishery Beneficiary Estimation'!$B11,'Capture Fuel Consumption'!AF$6:AF$228)</f>
        <v>7942640</v>
      </c>
      <c r="J11" s="379">
        <f>SUMIF('Capture Fuel Consumption'!$D14:$D236,'Fishery Beneficiary Estimation'!$B11,'Capture Fuel Consumption'!AG$6:AG$228)</f>
        <v>7942640</v>
      </c>
      <c r="K11" s="379">
        <f>SUMIF('Capture Fuel Consumption'!$D14:$D236,'Fishery Beneficiary Estimation'!$B11,'Capture Fuel Consumption'!AH$6:AH$228)</f>
        <v>6354112</v>
      </c>
      <c r="L11" s="379">
        <f>SUMIF('Capture Fuel Consumption'!$D14:$D236,'Fishery Beneficiary Estimation'!$B11,'Capture Fuel Consumption'!AI$6:AI$228)</f>
        <v>6354112</v>
      </c>
      <c r="M11" s="379">
        <f>SUMIF('Capture Fuel Consumption'!$D14:$D236,'Fishery Beneficiary Estimation'!$B11,'Capture Fuel Consumption'!AJ$6:AJ$228)</f>
        <v>6354112</v>
      </c>
      <c r="N11" s="379">
        <f>SUMIF('Capture Fuel Consumption'!$D14:$D236,'Fishery Beneficiary Estimation'!$B11,'Capture Fuel Consumption'!AK$6:AK$228)</f>
        <v>6023472</v>
      </c>
      <c r="O11" s="380">
        <f t="shared" si="2"/>
        <v>84788592</v>
      </c>
      <c r="P11" s="380">
        <f>SUMIF('Aquaculture Fuel Consumption'!$B$4:$B$20,'Fishery Beneficiary Estimation'!$B11,'Aquaculture Fuel Consumption'!$M$4:$M$20)</f>
        <v>1547113.42</v>
      </c>
      <c r="Q11" s="380">
        <f t="shared" si="3"/>
        <v>86335705.420000002</v>
      </c>
      <c r="T11" s="533">
        <f t="shared" si="0"/>
        <v>9.4669433673841466E-2</v>
      </c>
      <c r="U11" s="334">
        <f t="shared" si="1"/>
        <v>4544.1328163443904</v>
      </c>
      <c r="V11" s="334">
        <f t="shared" si="4"/>
        <v>4544</v>
      </c>
    </row>
    <row r="12" spans="2:22" ht="14.4">
      <c r="B12" s="334" t="s">
        <v>782</v>
      </c>
      <c r="C12" s="379">
        <f>SUMIF('Capture Fuel Consumption'!$D15:$D237,'Fishery Beneficiary Estimation'!$B12,'Capture Fuel Consumption'!Z$6:Z$228)</f>
        <v>0</v>
      </c>
      <c r="D12" s="379"/>
      <c r="E12" s="379"/>
      <c r="F12" s="379"/>
      <c r="G12" s="379"/>
      <c r="H12" s="379"/>
      <c r="I12" s="379"/>
      <c r="J12" s="379"/>
      <c r="K12" s="379"/>
      <c r="L12" s="379"/>
      <c r="M12" s="379"/>
      <c r="N12" s="379"/>
      <c r="O12" s="380"/>
      <c r="P12" s="380"/>
      <c r="Q12" s="380"/>
      <c r="T12" s="533"/>
    </row>
    <row r="13" spans="2:22" ht="14.4">
      <c r="B13" s="334" t="s">
        <v>621</v>
      </c>
      <c r="C13" s="379">
        <f>SUMIF('Capture Fuel Consumption'!$D15:$D237,'Fishery Beneficiary Estimation'!$B13,'Capture Fuel Consumption'!Z$6:Z$228)</f>
        <v>4593712</v>
      </c>
      <c r="D13" s="379">
        <f>SUMIF('Capture Fuel Consumption'!$D15:$D237,'Fishery Beneficiary Estimation'!$B13,'Capture Fuel Consumption'!AA$6:AA$228)</f>
        <v>4593712</v>
      </c>
      <c r="E13" s="379">
        <f>SUMIF('Capture Fuel Consumption'!$D15:$D237,'Fishery Beneficiary Estimation'!$B13,'Capture Fuel Consumption'!AB$6:AB$228)</f>
        <v>5742140</v>
      </c>
      <c r="F13" s="379">
        <f>SUMIF('Capture Fuel Consumption'!$D15:$D237,'Fishery Beneficiary Estimation'!$B13,'Capture Fuel Consumption'!AC$6:AC$228)</f>
        <v>5742140</v>
      </c>
      <c r="G13" s="379">
        <f>SUMIF('Capture Fuel Consumption'!$D15:$D237,'Fishery Beneficiary Estimation'!$B13,'Capture Fuel Consumption'!AD$6:AD$228)</f>
        <v>5742140</v>
      </c>
      <c r="H13" s="379">
        <f>SUMIF('Capture Fuel Consumption'!$D15:$D237,'Fishery Beneficiary Estimation'!$B13,'Capture Fuel Consumption'!AE$6:AE$228)</f>
        <v>5742140</v>
      </c>
      <c r="I13" s="379">
        <f>SUMIF('Capture Fuel Consumption'!$D15:$D237,'Fishery Beneficiary Estimation'!$B13,'Capture Fuel Consumption'!AF$6:AF$228)</f>
        <v>5742140</v>
      </c>
      <c r="J13" s="379">
        <f>SUMIF('Capture Fuel Consumption'!$D15:$D237,'Fishery Beneficiary Estimation'!$B13,'Capture Fuel Consumption'!AG$6:AG$228)</f>
        <v>5742140</v>
      </c>
      <c r="K13" s="379">
        <f>SUMIF('Capture Fuel Consumption'!$D15:$D237,'Fishery Beneficiary Estimation'!$B13,'Capture Fuel Consumption'!AH$6:AH$228)</f>
        <v>4593712</v>
      </c>
      <c r="L13" s="379">
        <f>SUMIF('Capture Fuel Consumption'!$D15:$D237,'Fishery Beneficiary Estimation'!$B13,'Capture Fuel Consumption'!AI$6:AI$228)</f>
        <v>4593712</v>
      </c>
      <c r="M13" s="379">
        <f>SUMIF('Capture Fuel Consumption'!$D15:$D237,'Fishery Beneficiary Estimation'!$B13,'Capture Fuel Consumption'!AJ$6:AJ$228)</f>
        <v>4593712</v>
      </c>
      <c r="N13" s="379">
        <f>SUMIF('Capture Fuel Consumption'!$D15:$D237,'Fishery Beneficiary Estimation'!$B13,'Capture Fuel Consumption'!AK$6:AK$228)</f>
        <v>4593712</v>
      </c>
      <c r="O13" s="380">
        <f t="shared" si="2"/>
        <v>62015112</v>
      </c>
      <c r="P13" s="380">
        <f>SUMIF('Aquaculture Fuel Consumption'!$B$4:$B$20,'Fishery Beneficiary Estimation'!$B13,'Aquaculture Fuel Consumption'!$M$4:$M$20)</f>
        <v>280249.71600000001</v>
      </c>
      <c r="Q13" s="380">
        <f t="shared" si="3"/>
        <v>62295361.715999998</v>
      </c>
      <c r="T13" s="533">
        <f t="shared" ref="T13:T20" si="5">Q13/$Q$21</f>
        <v>6.8308547262934088E-2</v>
      </c>
      <c r="U13" s="334">
        <f t="shared" ref="U13:U20" si="6">T13*$O$24</f>
        <v>3278.8102686208363</v>
      </c>
      <c r="V13" s="334">
        <f t="shared" si="4"/>
        <v>3279</v>
      </c>
    </row>
    <row r="14" spans="2:22" ht="14.4">
      <c r="B14" s="334" t="s">
        <v>622</v>
      </c>
      <c r="C14" s="379">
        <f>SUMIF('Capture Fuel Consumption'!$D16:$D238,'Fishery Beneficiary Estimation'!$B14,'Capture Fuel Consumption'!Z$6:Z$228)</f>
        <v>2833008</v>
      </c>
      <c r="D14" s="379">
        <f>SUMIF('Capture Fuel Consumption'!$D16:$D238,'Fishery Beneficiary Estimation'!$B14,'Capture Fuel Consumption'!AA$6:AA$228)</f>
        <v>2833008</v>
      </c>
      <c r="E14" s="379">
        <f>SUMIF('Capture Fuel Consumption'!$D16:$D238,'Fishery Beneficiary Estimation'!$B14,'Capture Fuel Consumption'!AB$6:AB$228)</f>
        <v>4717260</v>
      </c>
      <c r="F14" s="379">
        <f>SUMIF('Capture Fuel Consumption'!$D16:$D238,'Fishery Beneficiary Estimation'!$B14,'Capture Fuel Consumption'!AC$6:AC$228)</f>
        <v>4717260</v>
      </c>
      <c r="G14" s="379">
        <f>SUMIF('Capture Fuel Consumption'!$D16:$D238,'Fishery Beneficiary Estimation'!$B14,'Capture Fuel Consumption'!AD$6:AD$228)</f>
        <v>4717260</v>
      </c>
      <c r="H14" s="379">
        <f>SUMIF('Capture Fuel Consumption'!$D16:$D238,'Fishery Beneficiary Estimation'!$B14,'Capture Fuel Consumption'!AE$6:AE$228)</f>
        <v>4717260</v>
      </c>
      <c r="I14" s="379">
        <f>SUMIF('Capture Fuel Consumption'!$D16:$D238,'Fishery Beneficiary Estimation'!$B14,'Capture Fuel Consumption'!AF$6:AF$228)</f>
        <v>4717260</v>
      </c>
      <c r="J14" s="379">
        <f>SUMIF('Capture Fuel Consumption'!$D16:$D238,'Fishery Beneficiary Estimation'!$B14,'Capture Fuel Consumption'!AG$6:AG$228)</f>
        <v>4717260</v>
      </c>
      <c r="K14" s="379">
        <f>SUMIF('Capture Fuel Consumption'!$D16:$D238,'Fishery Beneficiary Estimation'!$B14,'Capture Fuel Consumption'!AH$6:AH$228)</f>
        <v>3773808</v>
      </c>
      <c r="L14" s="379">
        <f>SUMIF('Capture Fuel Consumption'!$D16:$D238,'Fishery Beneficiary Estimation'!$B14,'Capture Fuel Consumption'!AI$6:AI$228)</f>
        <v>3773808</v>
      </c>
      <c r="M14" s="379">
        <f>SUMIF('Capture Fuel Consumption'!$D16:$D238,'Fishery Beneficiary Estimation'!$B14,'Capture Fuel Consumption'!AJ$6:AJ$228)</f>
        <v>3773808</v>
      </c>
      <c r="N14" s="379">
        <f>SUMIF('Capture Fuel Consumption'!$D16:$D238,'Fishery Beneficiary Estimation'!$B14,'Capture Fuel Consumption'!AK$6:AK$228)</f>
        <v>2833008</v>
      </c>
      <c r="O14" s="380">
        <f t="shared" si="2"/>
        <v>48124008</v>
      </c>
      <c r="P14" s="380">
        <f>SUMIF('Aquaculture Fuel Consumption'!$B$4:$B$20,'Fishery Beneficiary Estimation'!$B14,'Aquaculture Fuel Consumption'!$M$4:$M$20)</f>
        <v>56344.876000000004</v>
      </c>
      <c r="Q14" s="380">
        <f t="shared" si="3"/>
        <v>48180352.876000002</v>
      </c>
      <c r="T14" s="533">
        <f t="shared" si="5"/>
        <v>5.2831058700310775E-2</v>
      </c>
      <c r="U14" s="334">
        <f t="shared" si="6"/>
        <v>2535.8908176149171</v>
      </c>
      <c r="V14" s="334">
        <f t="shared" si="4"/>
        <v>2536</v>
      </c>
    </row>
    <row r="15" spans="2:22" ht="14.4">
      <c r="B15" s="334" t="s">
        <v>623</v>
      </c>
      <c r="C15" s="379">
        <f>SUMIF('Capture Fuel Consumption'!$D17:$D239,'Fishery Beneficiary Estimation'!$B15,'Capture Fuel Consumption'!Z$6:Z$228)</f>
        <v>5905200</v>
      </c>
      <c r="D15" s="379">
        <f>SUMIF('Capture Fuel Consumption'!$D17:$D239,'Fishery Beneficiary Estimation'!$B15,'Capture Fuel Consumption'!AA$6:AA$228)</f>
        <v>5905200</v>
      </c>
      <c r="E15" s="379">
        <f>SUMIF('Capture Fuel Consumption'!$D17:$D239,'Fishery Beneficiary Estimation'!$B15,'Capture Fuel Consumption'!AB$6:AB$228)</f>
        <v>8557500</v>
      </c>
      <c r="F15" s="379">
        <f>SUMIF('Capture Fuel Consumption'!$D17:$D239,'Fishery Beneficiary Estimation'!$B15,'Capture Fuel Consumption'!AC$6:AC$228)</f>
        <v>8557500</v>
      </c>
      <c r="G15" s="379">
        <f>SUMIF('Capture Fuel Consumption'!$D17:$D239,'Fishery Beneficiary Estimation'!$B15,'Capture Fuel Consumption'!AD$6:AD$228)</f>
        <v>8557500</v>
      </c>
      <c r="H15" s="379">
        <f>SUMIF('Capture Fuel Consumption'!$D17:$D239,'Fishery Beneficiary Estimation'!$B15,'Capture Fuel Consumption'!AE$6:AE$228)</f>
        <v>8518500</v>
      </c>
      <c r="I15" s="379">
        <f>SUMIF('Capture Fuel Consumption'!$D17:$D239,'Fishery Beneficiary Estimation'!$B15,'Capture Fuel Consumption'!AF$6:AF$228)</f>
        <v>8518500</v>
      </c>
      <c r="J15" s="379">
        <f>SUMIF('Capture Fuel Consumption'!$D17:$D239,'Fishery Beneficiary Estimation'!$B15,'Capture Fuel Consumption'!AG$6:AG$228)</f>
        <v>8518500</v>
      </c>
      <c r="K15" s="379">
        <f>SUMIF('Capture Fuel Consumption'!$D17:$D239,'Fishery Beneficiary Estimation'!$B15,'Capture Fuel Consumption'!AH$6:AH$228)</f>
        <v>6846000</v>
      </c>
      <c r="L15" s="379">
        <f>SUMIF('Capture Fuel Consumption'!$D17:$D239,'Fishery Beneficiary Estimation'!$B15,'Capture Fuel Consumption'!AI$6:AI$228)</f>
        <v>6846000</v>
      </c>
      <c r="M15" s="379">
        <f>SUMIF('Capture Fuel Consumption'!$D17:$D239,'Fishery Beneficiary Estimation'!$B15,'Capture Fuel Consumption'!AJ$6:AJ$228)</f>
        <v>6846000</v>
      </c>
      <c r="N15" s="379">
        <f>SUMIF('Capture Fuel Consumption'!$D17:$D239,'Fishery Beneficiary Estimation'!$B15,'Capture Fuel Consumption'!AK$6:AK$228)</f>
        <v>5905200</v>
      </c>
      <c r="O15" s="380">
        <f t="shared" si="2"/>
        <v>89481600</v>
      </c>
      <c r="P15" s="380">
        <f>SUMIF('Aquaculture Fuel Consumption'!$B$4:$B$20,'Fishery Beneficiary Estimation'!$B15,'Aquaculture Fuel Consumption'!$M$4:$M$20)</f>
        <v>518370</v>
      </c>
      <c r="Q15" s="380">
        <f t="shared" si="3"/>
        <v>89999970</v>
      </c>
      <c r="T15" s="533">
        <f t="shared" si="5"/>
        <v>9.8687398789573957E-2</v>
      </c>
      <c r="U15" s="334">
        <f t="shared" si="6"/>
        <v>4736.9951418995497</v>
      </c>
      <c r="V15" s="334">
        <f t="shared" si="4"/>
        <v>4737</v>
      </c>
    </row>
    <row r="16" spans="2:22" ht="14.4">
      <c r="B16" s="334" t="s">
        <v>624</v>
      </c>
      <c r="C16" s="379">
        <f>SUMIF('Capture Fuel Consumption'!$D18:$D240,'Fishery Beneficiary Estimation'!$B16,'Capture Fuel Consumption'!Z$6:Z$228)</f>
        <v>3437008</v>
      </c>
      <c r="D16" s="379">
        <f>SUMIF('Capture Fuel Consumption'!$D18:$D240,'Fishery Beneficiary Estimation'!$B16,'Capture Fuel Consumption'!AA$6:AA$228)</f>
        <v>3437008</v>
      </c>
      <c r="E16" s="379">
        <f>SUMIF('Capture Fuel Consumption'!$D18:$D240,'Fishery Beneficiary Estimation'!$B16,'Capture Fuel Consumption'!AB$6:AB$228)</f>
        <v>5472260</v>
      </c>
      <c r="F16" s="379">
        <f>SUMIF('Capture Fuel Consumption'!$D18:$D240,'Fishery Beneficiary Estimation'!$B16,'Capture Fuel Consumption'!AC$6:AC$228)</f>
        <v>5472260</v>
      </c>
      <c r="G16" s="379">
        <f>SUMIF('Capture Fuel Consumption'!$D18:$D240,'Fishery Beneficiary Estimation'!$B16,'Capture Fuel Consumption'!AD$6:AD$228)</f>
        <v>5472260</v>
      </c>
      <c r="H16" s="379">
        <f>SUMIF('Capture Fuel Consumption'!$D18:$D240,'Fishery Beneficiary Estimation'!$B16,'Capture Fuel Consumption'!AE$6:AE$228)</f>
        <v>5433260</v>
      </c>
      <c r="I16" s="379">
        <f>SUMIF('Capture Fuel Consumption'!$D18:$D240,'Fishery Beneficiary Estimation'!$B16,'Capture Fuel Consumption'!AF$6:AF$228)</f>
        <v>5433260</v>
      </c>
      <c r="J16" s="379">
        <f>SUMIF('Capture Fuel Consumption'!$D18:$D240,'Fishery Beneficiary Estimation'!$B16,'Capture Fuel Consumption'!AG$6:AG$228)</f>
        <v>5433260</v>
      </c>
      <c r="K16" s="379">
        <f>SUMIF('Capture Fuel Consumption'!$D18:$D240,'Fishery Beneficiary Estimation'!$B16,'Capture Fuel Consumption'!AH$6:AH$228)</f>
        <v>4377808</v>
      </c>
      <c r="L16" s="379">
        <f>SUMIF('Capture Fuel Consumption'!$D18:$D240,'Fishery Beneficiary Estimation'!$B16,'Capture Fuel Consumption'!AI$6:AI$228)</f>
        <v>4377808</v>
      </c>
      <c r="M16" s="379">
        <f>SUMIF('Capture Fuel Consumption'!$D18:$D240,'Fishery Beneficiary Estimation'!$B16,'Capture Fuel Consumption'!AJ$6:AJ$228)</f>
        <v>4377808</v>
      </c>
      <c r="N16" s="379">
        <f>SUMIF('Capture Fuel Consumption'!$D18:$D240,'Fishery Beneficiary Estimation'!$B16,'Capture Fuel Consumption'!AK$6:AK$228)</f>
        <v>3437008</v>
      </c>
      <c r="O16" s="380">
        <f t="shared" si="2"/>
        <v>56161008</v>
      </c>
      <c r="P16" s="380">
        <f>SUMIF('Aquaculture Fuel Consumption'!$B$4:$B$20,'Fishery Beneficiary Estimation'!$B16,'Aquaculture Fuel Consumption'!$M$4:$M$20)</f>
        <v>156340.084</v>
      </c>
      <c r="Q16" s="380">
        <f t="shared" si="3"/>
        <v>56317348.083999999</v>
      </c>
      <c r="T16" s="533">
        <f t="shared" si="5"/>
        <v>6.1753493797130785E-2</v>
      </c>
      <c r="U16" s="334">
        <f t="shared" si="6"/>
        <v>2964.1677022622775</v>
      </c>
      <c r="V16" s="334">
        <f t="shared" si="4"/>
        <v>2964</v>
      </c>
    </row>
    <row r="17" spans="2:22" ht="14.4">
      <c r="B17" s="334" t="s">
        <v>625</v>
      </c>
      <c r="C17" s="379">
        <f>SUMIF('Capture Fuel Consumption'!$D19:$D241,'Fishery Beneficiary Estimation'!$B17,'Capture Fuel Consumption'!Z$6:Z$228)</f>
        <v>3430528</v>
      </c>
      <c r="D17" s="379">
        <f>SUMIF('Capture Fuel Consumption'!$D19:$D241,'Fishery Beneficiary Estimation'!$B17,'Capture Fuel Consumption'!AA$6:AA$228)</f>
        <v>3430528</v>
      </c>
      <c r="E17" s="379">
        <f>SUMIF('Capture Fuel Consumption'!$D19:$D241,'Fishery Beneficiary Estimation'!$B17,'Capture Fuel Consumption'!AB$6:AB$228)</f>
        <v>5476160</v>
      </c>
      <c r="F17" s="379">
        <f>SUMIF('Capture Fuel Consumption'!$D19:$D241,'Fishery Beneficiary Estimation'!$B17,'Capture Fuel Consumption'!AC$6:AC$228)</f>
        <v>5476160</v>
      </c>
      <c r="G17" s="379">
        <f>SUMIF('Capture Fuel Consumption'!$D19:$D241,'Fishery Beneficiary Estimation'!$B17,'Capture Fuel Consumption'!AD$6:AD$228)</f>
        <v>5476160</v>
      </c>
      <c r="H17" s="379">
        <f>SUMIF('Capture Fuel Consumption'!$D19:$D241,'Fishery Beneficiary Estimation'!$B17,'Capture Fuel Consumption'!AE$6:AE$228)</f>
        <v>5444160</v>
      </c>
      <c r="I17" s="379">
        <f>SUMIF('Capture Fuel Consumption'!$D19:$D241,'Fishery Beneficiary Estimation'!$B17,'Capture Fuel Consumption'!AF$6:AF$228)</f>
        <v>5444160</v>
      </c>
      <c r="J17" s="379">
        <f>SUMIF('Capture Fuel Consumption'!$D19:$D241,'Fishery Beneficiary Estimation'!$B17,'Capture Fuel Consumption'!AG$6:AG$228)</f>
        <v>5444160</v>
      </c>
      <c r="K17" s="379">
        <f>SUMIF('Capture Fuel Consumption'!$D19:$D241,'Fishery Beneficiary Estimation'!$B17,'Capture Fuel Consumption'!AH$6:AH$228)</f>
        <v>4380928</v>
      </c>
      <c r="L17" s="379">
        <f>SUMIF('Capture Fuel Consumption'!$D19:$D241,'Fishery Beneficiary Estimation'!$B17,'Capture Fuel Consumption'!AI$6:AI$228)</f>
        <v>4380928</v>
      </c>
      <c r="M17" s="379">
        <f>SUMIF('Capture Fuel Consumption'!$D19:$D241,'Fishery Beneficiary Estimation'!$B17,'Capture Fuel Consumption'!AJ$6:AJ$228)</f>
        <v>4380928</v>
      </c>
      <c r="N17" s="379">
        <f>SUMIF('Capture Fuel Consumption'!$D19:$D241,'Fishery Beneficiary Estimation'!$B17,'Capture Fuel Consumption'!AK$6:AK$228)</f>
        <v>3430528</v>
      </c>
      <c r="O17" s="380">
        <f t="shared" si="2"/>
        <v>56195328</v>
      </c>
      <c r="P17" s="380">
        <f>SUMIF('Aquaculture Fuel Consumption'!$B$4:$B$20,'Fishery Beneficiary Estimation'!$B17,'Aquaculture Fuel Consumption'!$M$4:$M$20)</f>
        <v>183930</v>
      </c>
      <c r="Q17" s="380">
        <f t="shared" si="3"/>
        <v>56379258</v>
      </c>
      <c r="T17" s="533">
        <f t="shared" si="5"/>
        <v>6.1821379692751879E-2</v>
      </c>
      <c r="U17" s="334">
        <f t="shared" si="6"/>
        <v>2967.4262252520903</v>
      </c>
      <c r="V17" s="334">
        <f t="shared" si="4"/>
        <v>2967</v>
      </c>
    </row>
    <row r="18" spans="2:22" ht="14.4">
      <c r="B18" s="334" t="s">
        <v>626</v>
      </c>
      <c r="C18" s="379">
        <f>SUMIF('Capture Fuel Consumption'!$D20:$D242,'Fishery Beneficiary Estimation'!$B18,'Capture Fuel Consumption'!Z$6:Z$228)</f>
        <v>4383952</v>
      </c>
      <c r="D18" s="379">
        <f>SUMIF('Capture Fuel Consumption'!$D20:$D242,'Fishery Beneficiary Estimation'!$B18,'Capture Fuel Consumption'!AA$6:AA$228)</f>
        <v>4383952</v>
      </c>
      <c r="E18" s="379">
        <f>SUMIF('Capture Fuel Consumption'!$D20:$D242,'Fishery Beneficiary Estimation'!$B18,'Capture Fuel Consumption'!AB$6:AB$228)</f>
        <v>5491940</v>
      </c>
      <c r="F18" s="379">
        <f>SUMIF('Capture Fuel Consumption'!$D20:$D242,'Fishery Beneficiary Estimation'!$B18,'Capture Fuel Consumption'!AC$6:AC$228)</f>
        <v>5491940</v>
      </c>
      <c r="G18" s="379">
        <f>SUMIF('Capture Fuel Consumption'!$D20:$D242,'Fishery Beneficiary Estimation'!$B18,'Capture Fuel Consumption'!AD$6:AD$228)</f>
        <v>5491940</v>
      </c>
      <c r="H18" s="379">
        <f>SUMIF('Capture Fuel Consumption'!$D20:$D242,'Fishery Beneficiary Estimation'!$B18,'Capture Fuel Consumption'!AE$6:AE$228)</f>
        <v>5459940</v>
      </c>
      <c r="I18" s="379">
        <f>SUMIF('Capture Fuel Consumption'!$D20:$D242,'Fishery Beneficiary Estimation'!$B18,'Capture Fuel Consumption'!AF$6:AF$228)</f>
        <v>5459940</v>
      </c>
      <c r="J18" s="379">
        <f>SUMIF('Capture Fuel Consumption'!$D20:$D242,'Fishery Beneficiary Estimation'!$B18,'Capture Fuel Consumption'!AG$6:AG$228)</f>
        <v>5459940</v>
      </c>
      <c r="K18" s="379">
        <f>SUMIF('Capture Fuel Consumption'!$D20:$D242,'Fishery Beneficiary Estimation'!$B18,'Capture Fuel Consumption'!AH$6:AH$228)</f>
        <v>4393552</v>
      </c>
      <c r="L18" s="379">
        <f>SUMIF('Capture Fuel Consumption'!$D20:$D242,'Fishery Beneficiary Estimation'!$B18,'Capture Fuel Consumption'!AI$6:AI$228)</f>
        <v>4393552</v>
      </c>
      <c r="M18" s="379">
        <f>SUMIF('Capture Fuel Consumption'!$D20:$D242,'Fishery Beneficiary Estimation'!$B18,'Capture Fuel Consumption'!AJ$6:AJ$228)</f>
        <v>4393552</v>
      </c>
      <c r="N18" s="379">
        <f>SUMIF('Capture Fuel Consumption'!$D20:$D242,'Fishery Beneficiary Estimation'!$B18,'Capture Fuel Consumption'!AK$6:AK$228)</f>
        <v>4383952</v>
      </c>
      <c r="O18" s="380">
        <f t="shared" si="2"/>
        <v>59188152</v>
      </c>
      <c r="P18" s="380">
        <f>SUMIF('Aquaculture Fuel Consumption'!$B$4:$B$20,'Fishery Beneficiary Estimation'!$B18,'Aquaculture Fuel Consumption'!$M$4:$M$20)</f>
        <v>120947.628</v>
      </c>
      <c r="Q18" s="380">
        <f t="shared" si="3"/>
        <v>59309099.627999999</v>
      </c>
      <c r="T18" s="533">
        <f t="shared" si="5"/>
        <v>6.503403019844349E-2</v>
      </c>
      <c r="U18" s="334">
        <f t="shared" si="6"/>
        <v>3121.6334495252877</v>
      </c>
      <c r="V18" s="334">
        <f t="shared" si="4"/>
        <v>3122</v>
      </c>
    </row>
    <row r="19" spans="2:22" ht="14.4">
      <c r="B19" s="334" t="s">
        <v>627</v>
      </c>
      <c r="C19" s="379">
        <f>SUMIF('Capture Fuel Consumption'!$D21:$D243,'Fishery Beneficiary Estimation'!$B19,'Capture Fuel Consumption'!Z$6:Z$228)</f>
        <v>8815696</v>
      </c>
      <c r="D19" s="379">
        <f>SUMIF('Capture Fuel Consumption'!$D21:$D243,'Fishery Beneficiary Estimation'!$B19,'Capture Fuel Consumption'!AA$6:AA$228)</f>
        <v>8815696</v>
      </c>
      <c r="E19" s="379">
        <f>SUMIF('Capture Fuel Consumption'!$D21:$D243,'Fishery Beneficiary Estimation'!$B19,'Capture Fuel Consumption'!AB$6:AB$228)</f>
        <v>11031620</v>
      </c>
      <c r="F19" s="379">
        <f>SUMIF('Capture Fuel Consumption'!$D21:$D243,'Fishery Beneficiary Estimation'!$B19,'Capture Fuel Consumption'!AC$6:AC$228)</f>
        <v>11031620</v>
      </c>
      <c r="G19" s="379">
        <f>SUMIF('Capture Fuel Consumption'!$D21:$D243,'Fishery Beneficiary Estimation'!$B19,'Capture Fuel Consumption'!AD$6:AD$228)</f>
        <v>11031620</v>
      </c>
      <c r="H19" s="379">
        <f>SUMIF('Capture Fuel Consumption'!$D21:$D243,'Fishery Beneficiary Estimation'!$B19,'Capture Fuel Consumption'!AE$6:AE$228)</f>
        <v>10999620</v>
      </c>
      <c r="I19" s="379">
        <f>SUMIF('Capture Fuel Consumption'!$D21:$D243,'Fishery Beneficiary Estimation'!$B19,'Capture Fuel Consumption'!AF$6:AF$228)</f>
        <v>10999620</v>
      </c>
      <c r="J19" s="379">
        <f>SUMIF('Capture Fuel Consumption'!$D21:$D243,'Fishery Beneficiary Estimation'!$B19,'Capture Fuel Consumption'!AG$6:AG$228)</f>
        <v>10999620</v>
      </c>
      <c r="K19" s="379">
        <f>SUMIF('Capture Fuel Consumption'!$D21:$D243,'Fishery Beneficiary Estimation'!$B19,'Capture Fuel Consumption'!AH$6:AH$228)</f>
        <v>8825296</v>
      </c>
      <c r="L19" s="379">
        <f>SUMIF('Capture Fuel Consumption'!$D21:$D243,'Fishery Beneficiary Estimation'!$B19,'Capture Fuel Consumption'!AI$6:AI$228)</f>
        <v>8825296</v>
      </c>
      <c r="M19" s="379">
        <f>SUMIF('Capture Fuel Consumption'!$D21:$D243,'Fishery Beneficiary Estimation'!$B19,'Capture Fuel Consumption'!AJ$6:AJ$228)</f>
        <v>8825296</v>
      </c>
      <c r="N19" s="379">
        <f>SUMIF('Capture Fuel Consumption'!$D21:$D243,'Fishery Beneficiary Estimation'!$B19,'Capture Fuel Consumption'!AK$6:AK$228)</f>
        <v>8815696</v>
      </c>
      <c r="O19" s="380">
        <f t="shared" si="2"/>
        <v>119016696</v>
      </c>
      <c r="P19" s="380">
        <f>SUMIF('Aquaculture Fuel Consumption'!$B$4:$B$20,'Fishery Beneficiary Estimation'!$B19,'Aquaculture Fuel Consumption'!$M$4:$M$20)</f>
        <v>118183</v>
      </c>
      <c r="Q19" s="380">
        <f t="shared" si="3"/>
        <v>119134879</v>
      </c>
      <c r="T19" s="533">
        <f t="shared" si="5"/>
        <v>0.13063461369621168</v>
      </c>
      <c r="U19" s="334">
        <f t="shared" si="6"/>
        <v>6270.4614574181605</v>
      </c>
      <c r="V19" s="334">
        <f t="shared" si="4"/>
        <v>6270</v>
      </c>
    </row>
    <row r="20" spans="2:22" ht="14.4">
      <c r="B20" s="334" t="s">
        <v>628</v>
      </c>
      <c r="C20" s="379">
        <f>SUMIF('Capture Fuel Consumption'!$D22:$D244,'Fishery Beneficiary Estimation'!$B20,'Capture Fuel Consumption'!Z$6:Z$228)</f>
        <v>1672768</v>
      </c>
      <c r="D20" s="379">
        <f>SUMIF('Capture Fuel Consumption'!$D22:$D244,'Fishery Beneficiary Estimation'!$B20,'Capture Fuel Consumption'!AA$6:AA$228)</f>
        <v>1672768</v>
      </c>
      <c r="E20" s="379">
        <f>SUMIF('Capture Fuel Consumption'!$D22:$D244,'Fishery Beneficiary Estimation'!$B20,'Capture Fuel Consumption'!AB$6:AB$228)</f>
        <v>2102960</v>
      </c>
      <c r="F20" s="379">
        <f>SUMIF('Capture Fuel Consumption'!$D22:$D244,'Fishery Beneficiary Estimation'!$B20,'Capture Fuel Consumption'!AC$6:AC$228)</f>
        <v>2102960</v>
      </c>
      <c r="G20" s="379">
        <f>SUMIF('Capture Fuel Consumption'!$D22:$D244,'Fishery Beneficiary Estimation'!$B20,'Capture Fuel Consumption'!AD$6:AD$228)</f>
        <v>2102960</v>
      </c>
      <c r="H20" s="379">
        <f>SUMIF('Capture Fuel Consumption'!$D22:$D244,'Fishery Beneficiary Estimation'!$B20,'Capture Fuel Consumption'!AE$6:AE$228)</f>
        <v>2070960</v>
      </c>
      <c r="I20" s="379">
        <f>SUMIF('Capture Fuel Consumption'!$D22:$D244,'Fishery Beneficiary Estimation'!$B20,'Capture Fuel Consumption'!AF$6:AF$228)</f>
        <v>2070960</v>
      </c>
      <c r="J20" s="379">
        <f>SUMIF('Capture Fuel Consumption'!$D22:$D244,'Fishery Beneficiary Estimation'!$B20,'Capture Fuel Consumption'!AG$6:AG$228)</f>
        <v>2070960</v>
      </c>
      <c r="K20" s="379">
        <f>SUMIF('Capture Fuel Consumption'!$D22:$D244,'Fishery Beneficiary Estimation'!$B20,'Capture Fuel Consumption'!AH$6:AH$228)</f>
        <v>1682368</v>
      </c>
      <c r="L20" s="379">
        <f>SUMIF('Capture Fuel Consumption'!$D22:$D244,'Fishery Beneficiary Estimation'!$B20,'Capture Fuel Consumption'!AI$6:AI$228)</f>
        <v>1682368</v>
      </c>
      <c r="M20" s="379">
        <f>SUMIF('Capture Fuel Consumption'!$D22:$D244,'Fishery Beneficiary Estimation'!$B20,'Capture Fuel Consumption'!AJ$6:AJ$228)</f>
        <v>1682368</v>
      </c>
      <c r="N20" s="379">
        <f>SUMIF('Capture Fuel Consumption'!$D22:$D244,'Fishery Beneficiary Estimation'!$B20,'Capture Fuel Consumption'!AK$6:AK$228)</f>
        <v>1672768</v>
      </c>
      <c r="O20" s="380">
        <f t="shared" si="2"/>
        <v>22587168</v>
      </c>
      <c r="P20" s="380">
        <f>SUMIF('Aquaculture Fuel Consumption'!$B$4:$B$20,'Fishery Beneficiary Estimation'!$B20,'Aquaculture Fuel Consumption'!$M$4:$M$20)</f>
        <v>0</v>
      </c>
      <c r="Q20" s="380">
        <f t="shared" si="3"/>
        <v>22587168</v>
      </c>
      <c r="T20" s="533">
        <f t="shared" si="5"/>
        <v>2.4767439988514481E-2</v>
      </c>
      <c r="U20" s="334">
        <f t="shared" si="6"/>
        <v>1188.8371194486951</v>
      </c>
      <c r="V20" s="334">
        <f t="shared" si="4"/>
        <v>1189</v>
      </c>
    </row>
    <row r="21" spans="2:22" ht="14.4">
      <c r="C21" s="380">
        <f t="shared" ref="C21:N21" si="7">SUM(C4:C20)</f>
        <v>64225752</v>
      </c>
      <c r="D21" s="380">
        <f t="shared" si="7"/>
        <v>64225752</v>
      </c>
      <c r="E21" s="380">
        <f t="shared" si="7"/>
        <v>85453990</v>
      </c>
      <c r="F21" s="380">
        <f t="shared" si="7"/>
        <v>85453990</v>
      </c>
      <c r="G21" s="380">
        <f t="shared" si="7"/>
        <v>85453990</v>
      </c>
      <c r="H21" s="380">
        <f t="shared" si="7"/>
        <v>82475930</v>
      </c>
      <c r="I21" s="380">
        <f t="shared" si="7"/>
        <v>82475930</v>
      </c>
      <c r="J21" s="380">
        <f t="shared" si="7"/>
        <v>82475930</v>
      </c>
      <c r="K21" s="380">
        <f t="shared" si="7"/>
        <v>68363192</v>
      </c>
      <c r="L21" s="380">
        <f t="shared" si="7"/>
        <v>68363192</v>
      </c>
      <c r="M21" s="380">
        <f t="shared" si="7"/>
        <v>68363192</v>
      </c>
      <c r="N21" s="380">
        <f t="shared" si="7"/>
        <v>64225752</v>
      </c>
      <c r="O21" s="380">
        <f t="shared" si="2"/>
        <v>901556592</v>
      </c>
      <c r="P21" s="380"/>
      <c r="Q21" s="380">
        <f>SUM(Q4:Q20)</f>
        <v>911970232.30799997</v>
      </c>
      <c r="T21" s="381">
        <f t="shared" ref="T21" si="8">O21/$O$21</f>
        <v>1</v>
      </c>
      <c r="U21" s="334">
        <f>SUM(U4:U20)</f>
        <v>48000.000000000007</v>
      </c>
      <c r="V21" s="334">
        <f>SUM(V4:V20)</f>
        <v>47999</v>
      </c>
    </row>
    <row r="24" spans="2:22">
      <c r="O24" s="334">
        <v>48000</v>
      </c>
    </row>
  </sheetData>
  <mergeCells count="1">
    <mergeCell ref="B1:N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1690-422D-4078-B1A1-026A32203E79}">
  <dimension ref="A1:Q25"/>
  <sheetViews>
    <sheetView workbookViewId="0">
      <selection activeCell="K11" sqref="K11"/>
    </sheetView>
  </sheetViews>
  <sheetFormatPr defaultColWidth="12" defaultRowHeight="15"/>
  <cols>
    <col min="1" max="1" width="15.77734375" style="382" bestFit="1" customWidth="1"/>
    <col min="2" max="2" width="15.5546875" style="382" customWidth="1"/>
    <col min="3" max="3" width="0" style="382" hidden="1" customWidth="1"/>
    <col min="4" max="4" width="18" style="382" hidden="1" customWidth="1"/>
    <col min="5" max="10" width="0" style="382" hidden="1" customWidth="1"/>
    <col min="11" max="11" width="22.77734375" style="382" customWidth="1"/>
    <col min="12" max="12" width="26.33203125" style="382" customWidth="1"/>
    <col min="13" max="15" width="30.77734375" style="382" customWidth="1"/>
    <col min="16" max="16" width="12" style="382"/>
    <col min="17" max="17" width="18.6640625" style="382" bestFit="1" customWidth="1"/>
    <col min="18" max="16384" width="12" style="382"/>
  </cols>
  <sheetData>
    <row r="1" spans="1:17" ht="15.6" thickBot="1"/>
    <row r="2" spans="1:17" ht="28.05" customHeight="1">
      <c r="B2" s="717" t="s">
        <v>339</v>
      </c>
      <c r="C2" s="719" t="s">
        <v>202</v>
      </c>
      <c r="D2" s="719" t="s">
        <v>659</v>
      </c>
      <c r="E2" s="719" t="s">
        <v>660</v>
      </c>
      <c r="F2" s="719"/>
      <c r="G2" s="719"/>
      <c r="H2" s="719"/>
      <c r="I2" s="719"/>
      <c r="J2" s="719"/>
      <c r="K2" s="719" t="s">
        <v>661</v>
      </c>
      <c r="L2" s="713" t="s">
        <v>662</v>
      </c>
      <c r="M2" s="713" t="s">
        <v>663</v>
      </c>
      <c r="N2" s="713" t="s">
        <v>664</v>
      </c>
      <c r="O2" s="715" t="s">
        <v>665</v>
      </c>
    </row>
    <row r="3" spans="1:17" ht="37.049999999999997" customHeight="1">
      <c r="B3" s="718"/>
      <c r="C3" s="720"/>
      <c r="D3" s="720"/>
      <c r="E3" s="383" t="s">
        <v>666</v>
      </c>
      <c r="F3" s="383" t="s">
        <v>667</v>
      </c>
      <c r="G3" s="383" t="s">
        <v>668</v>
      </c>
      <c r="H3" s="383" t="s">
        <v>657</v>
      </c>
      <c r="I3" s="383" t="s">
        <v>669</v>
      </c>
      <c r="J3" s="383" t="s">
        <v>645</v>
      </c>
      <c r="K3" s="720"/>
      <c r="L3" s="714"/>
      <c r="M3" s="714"/>
      <c r="N3" s="714"/>
      <c r="O3" s="716"/>
    </row>
    <row r="4" spans="1:17">
      <c r="B4" s="384" t="s">
        <v>614</v>
      </c>
      <c r="C4" s="385"/>
      <c r="D4" s="385"/>
      <c r="E4" s="385"/>
      <c r="F4" s="385"/>
      <c r="G4" s="385"/>
      <c r="H4" s="385"/>
      <c r="I4" s="385"/>
      <c r="J4" s="385"/>
      <c r="K4" s="386">
        <v>3443.1</v>
      </c>
      <c r="L4" s="387">
        <v>4407</v>
      </c>
      <c r="M4" s="386">
        <v>181030.54</v>
      </c>
      <c r="N4" s="386">
        <f>M4*77</f>
        <v>13939351.58</v>
      </c>
      <c r="O4" s="388">
        <f>M4*14</f>
        <v>2534427.56</v>
      </c>
      <c r="Q4" s="334" t="s">
        <v>294</v>
      </c>
    </row>
    <row r="5" spans="1:17">
      <c r="A5" s="382" t="s">
        <v>670</v>
      </c>
      <c r="B5" s="384" t="s">
        <v>615</v>
      </c>
      <c r="C5" s="389"/>
      <c r="D5" s="389"/>
      <c r="E5" s="389"/>
      <c r="F5" s="389"/>
      <c r="G5" s="389"/>
      <c r="H5" s="389"/>
      <c r="I5" s="389"/>
      <c r="J5" s="389"/>
      <c r="K5" s="390">
        <v>5273.1610000000001</v>
      </c>
      <c r="L5" s="391">
        <v>12823</v>
      </c>
      <c r="M5" s="390">
        <v>586002</v>
      </c>
      <c r="N5" s="386">
        <f>M5*77</f>
        <v>45122154</v>
      </c>
      <c r="O5" s="388">
        <f t="shared" ref="O5:O20" si="0">M5*14</f>
        <v>8204028</v>
      </c>
      <c r="Q5" s="334" t="s">
        <v>583</v>
      </c>
    </row>
    <row r="6" spans="1:17">
      <c r="A6" s="382" t="s">
        <v>671</v>
      </c>
      <c r="B6" s="384" t="s">
        <v>616</v>
      </c>
      <c r="C6" s="389"/>
      <c r="D6" s="389"/>
      <c r="E6" s="389"/>
      <c r="F6" s="389"/>
      <c r="G6" s="389"/>
      <c r="H6" s="389"/>
      <c r="I6" s="389"/>
      <c r="J6" s="389"/>
      <c r="K6" s="390">
        <v>58724.81</v>
      </c>
      <c r="L6" s="391">
        <v>16702</v>
      </c>
      <c r="M6" s="390">
        <v>616.4</v>
      </c>
      <c r="N6" s="386">
        <f>M6*77</f>
        <v>47462.799999999996</v>
      </c>
      <c r="O6" s="388">
        <f t="shared" si="0"/>
        <v>8629.6</v>
      </c>
      <c r="Q6" s="334" t="s">
        <v>614</v>
      </c>
    </row>
    <row r="7" spans="1:17">
      <c r="B7" s="384" t="s">
        <v>617</v>
      </c>
      <c r="C7" s="389"/>
      <c r="D7" s="389"/>
      <c r="E7" s="389"/>
      <c r="F7" s="389"/>
      <c r="G7" s="389"/>
      <c r="H7" s="389"/>
      <c r="I7" s="389"/>
      <c r="J7" s="389"/>
      <c r="K7" s="390">
        <v>5911.98</v>
      </c>
      <c r="L7" s="391">
        <v>8910</v>
      </c>
      <c r="M7" s="390">
        <v>5833216</v>
      </c>
      <c r="N7" s="386">
        <f>M7*77</f>
        <v>449157632</v>
      </c>
      <c r="O7" s="388">
        <f t="shared" si="0"/>
        <v>81665024</v>
      </c>
      <c r="Q7" s="334" t="s">
        <v>615</v>
      </c>
    </row>
    <row r="8" spans="1:17">
      <c r="B8" s="384" t="s">
        <v>618</v>
      </c>
      <c r="C8" s="389"/>
      <c r="D8" s="389"/>
      <c r="E8" s="389"/>
      <c r="F8" s="389"/>
      <c r="G8" s="389"/>
      <c r="H8" s="389"/>
      <c r="I8" s="389"/>
      <c r="J8" s="389"/>
      <c r="K8" s="392">
        <v>7363.4380000000001</v>
      </c>
      <c r="L8" s="393">
        <v>7364</v>
      </c>
      <c r="M8" s="392">
        <f>K8*40</f>
        <v>294537.52</v>
      </c>
      <c r="N8" s="386">
        <f>M8*77</f>
        <v>22679389.040000003</v>
      </c>
      <c r="O8" s="388">
        <f t="shared" si="0"/>
        <v>4123525.2800000003</v>
      </c>
      <c r="P8" s="382" t="s">
        <v>672</v>
      </c>
      <c r="Q8" s="334" t="s">
        <v>616</v>
      </c>
    </row>
    <row r="9" spans="1:17">
      <c r="B9" s="384" t="s">
        <v>619</v>
      </c>
      <c r="C9" s="389"/>
      <c r="D9" s="389"/>
      <c r="E9" s="389"/>
      <c r="F9" s="389"/>
      <c r="G9" s="389"/>
      <c r="H9" s="389"/>
      <c r="I9" s="389"/>
      <c r="J9" s="389"/>
      <c r="K9" s="392">
        <v>11518.4781</v>
      </c>
      <c r="L9" s="393">
        <v>11519</v>
      </c>
      <c r="M9" s="392">
        <f>K9*40</f>
        <v>460739.12400000001</v>
      </c>
      <c r="N9" s="386">
        <f t="shared" ref="N9:N20" si="1">M9*77</f>
        <v>35476912.548</v>
      </c>
      <c r="O9" s="388">
        <f t="shared" si="0"/>
        <v>6450347.7360000005</v>
      </c>
      <c r="P9" s="382" t="s">
        <v>672</v>
      </c>
      <c r="Q9" s="352" t="s">
        <v>617</v>
      </c>
    </row>
    <row r="10" spans="1:17">
      <c r="B10" s="384" t="s">
        <v>620</v>
      </c>
      <c r="C10" s="389"/>
      <c r="D10" s="389"/>
      <c r="E10" s="389"/>
      <c r="F10" s="389"/>
      <c r="G10" s="389"/>
      <c r="H10" s="389"/>
      <c r="I10" s="389"/>
      <c r="J10" s="389"/>
      <c r="K10" s="392">
        <v>38677.835500000001</v>
      </c>
      <c r="L10" s="393">
        <v>38678</v>
      </c>
      <c r="M10" s="392">
        <f>K10*40</f>
        <v>1547113.42</v>
      </c>
      <c r="N10" s="386">
        <f t="shared" si="1"/>
        <v>119127733.33999999</v>
      </c>
      <c r="O10" s="388">
        <f t="shared" si="0"/>
        <v>21659587.879999999</v>
      </c>
      <c r="P10" s="382" t="s">
        <v>672</v>
      </c>
      <c r="Q10" s="352" t="s">
        <v>618</v>
      </c>
    </row>
    <row r="11" spans="1:17">
      <c r="B11" s="384" t="s">
        <v>782</v>
      </c>
      <c r="C11" s="389"/>
      <c r="D11" s="389"/>
      <c r="E11" s="389"/>
      <c r="F11" s="389"/>
      <c r="G11" s="389"/>
      <c r="H11" s="389"/>
      <c r="I11" s="389"/>
      <c r="J11" s="389"/>
      <c r="K11" s="392"/>
      <c r="L11" s="393"/>
      <c r="M11" s="392"/>
      <c r="N11" s="386"/>
      <c r="O11" s="388"/>
      <c r="Q11" s="579"/>
    </row>
    <row r="12" spans="1:17">
      <c r="B12" s="384" t="s">
        <v>621</v>
      </c>
      <c r="C12" s="389"/>
      <c r="D12" s="389"/>
      <c r="E12" s="389"/>
      <c r="F12" s="389"/>
      <c r="G12" s="389"/>
      <c r="H12" s="389"/>
      <c r="I12" s="389"/>
      <c r="J12" s="389"/>
      <c r="K12" s="392">
        <v>7006.2429000000002</v>
      </c>
      <c r="L12" s="393">
        <v>7007</v>
      </c>
      <c r="M12" s="392">
        <f>K12*40</f>
        <v>280249.71600000001</v>
      </c>
      <c r="N12" s="386">
        <f t="shared" si="1"/>
        <v>21579228.131999999</v>
      </c>
      <c r="O12" s="388">
        <f t="shared" si="0"/>
        <v>3923496.0240000002</v>
      </c>
      <c r="P12" s="382" t="s">
        <v>672</v>
      </c>
      <c r="Q12" s="334" t="s">
        <v>619</v>
      </c>
    </row>
    <row r="13" spans="1:17">
      <c r="B13" s="384" t="s">
        <v>622</v>
      </c>
      <c r="C13" s="389"/>
      <c r="D13" s="389"/>
      <c r="E13" s="389"/>
      <c r="F13" s="389"/>
      <c r="G13" s="389"/>
      <c r="H13" s="389"/>
      <c r="I13" s="389"/>
      <c r="J13" s="389"/>
      <c r="K13" s="392">
        <v>1408.6219000000001</v>
      </c>
      <c r="L13" s="393">
        <v>1409</v>
      </c>
      <c r="M13" s="392">
        <f>K13*40</f>
        <v>56344.876000000004</v>
      </c>
      <c r="N13" s="386">
        <f t="shared" si="1"/>
        <v>4338555.4520000005</v>
      </c>
      <c r="O13" s="388">
        <f t="shared" si="0"/>
        <v>788828.26400000008</v>
      </c>
      <c r="P13" s="382" t="s">
        <v>672</v>
      </c>
      <c r="Q13" s="334" t="s">
        <v>620</v>
      </c>
    </row>
    <row r="14" spans="1:17">
      <c r="A14" s="382" t="s">
        <v>673</v>
      </c>
      <c r="B14" s="384" t="s">
        <v>623</v>
      </c>
      <c r="C14" s="389"/>
      <c r="D14" s="389"/>
      <c r="E14" s="389"/>
      <c r="F14" s="389"/>
      <c r="G14" s="389"/>
      <c r="H14" s="389"/>
      <c r="I14" s="389"/>
      <c r="J14" s="389"/>
      <c r="K14" s="390">
        <v>12624.79</v>
      </c>
      <c r="L14" s="391">
        <v>26127</v>
      </c>
      <c r="M14" s="390">
        <v>518370</v>
      </c>
      <c r="N14" s="386">
        <f t="shared" si="1"/>
        <v>39914490</v>
      </c>
      <c r="O14" s="388">
        <f t="shared" si="0"/>
        <v>7257180</v>
      </c>
      <c r="Q14" s="334" t="s">
        <v>621</v>
      </c>
    </row>
    <row r="15" spans="1:17">
      <c r="B15" s="384" t="s">
        <v>624</v>
      </c>
      <c r="C15" s="389"/>
      <c r="D15" s="389"/>
      <c r="E15" s="389"/>
      <c r="F15" s="389"/>
      <c r="G15" s="389"/>
      <c r="H15" s="389"/>
      <c r="I15" s="389"/>
      <c r="J15" s="389"/>
      <c r="K15" s="392">
        <v>3908.5021000000002</v>
      </c>
      <c r="L15" s="393">
        <v>3909</v>
      </c>
      <c r="M15" s="392">
        <f>K15*40</f>
        <v>156340.084</v>
      </c>
      <c r="N15" s="386">
        <f t="shared" si="1"/>
        <v>12038186.468</v>
      </c>
      <c r="O15" s="388">
        <f t="shared" si="0"/>
        <v>2188761.176</v>
      </c>
      <c r="P15" s="382" t="s">
        <v>672</v>
      </c>
      <c r="Q15" s="334" t="s">
        <v>622</v>
      </c>
    </row>
    <row r="16" spans="1:17">
      <c r="B16" s="384" t="s">
        <v>625</v>
      </c>
      <c r="C16" s="389"/>
      <c r="D16" s="389"/>
      <c r="E16" s="389"/>
      <c r="F16" s="389"/>
      <c r="G16" s="389"/>
      <c r="H16" s="389"/>
      <c r="I16" s="389"/>
      <c r="J16" s="389"/>
      <c r="K16" s="390">
        <v>764.53179999999998</v>
      </c>
      <c r="L16" s="391">
        <v>6131</v>
      </c>
      <c r="M16" s="390">
        <v>183930</v>
      </c>
      <c r="N16" s="386">
        <f t="shared" si="1"/>
        <v>14162610</v>
      </c>
      <c r="O16" s="388">
        <f t="shared" si="0"/>
        <v>2575020</v>
      </c>
      <c r="Q16" s="334" t="s">
        <v>623</v>
      </c>
    </row>
    <row r="17" spans="1:17">
      <c r="B17" s="384" t="s">
        <v>626</v>
      </c>
      <c r="C17" s="389"/>
      <c r="D17" s="389"/>
      <c r="E17" s="389"/>
      <c r="F17" s="389"/>
      <c r="G17" s="389"/>
      <c r="H17" s="389"/>
      <c r="I17" s="389"/>
      <c r="J17" s="389"/>
      <c r="K17" s="392">
        <v>3023.6907000000001</v>
      </c>
      <c r="L17" s="393">
        <v>3024</v>
      </c>
      <c r="M17" s="392">
        <f>K17*40</f>
        <v>120947.628</v>
      </c>
      <c r="N17" s="386">
        <f t="shared" si="1"/>
        <v>9312967.3560000006</v>
      </c>
      <c r="O17" s="388">
        <f t="shared" si="0"/>
        <v>1693266.7919999999</v>
      </c>
      <c r="P17" s="382" t="s">
        <v>672</v>
      </c>
      <c r="Q17" s="334" t="s">
        <v>624</v>
      </c>
    </row>
    <row r="18" spans="1:17">
      <c r="A18" s="382" t="s">
        <v>674</v>
      </c>
      <c r="B18" s="384" t="s">
        <v>627</v>
      </c>
      <c r="C18" s="389"/>
      <c r="D18" s="389"/>
      <c r="E18" s="389"/>
      <c r="F18" s="389"/>
      <c r="G18" s="389"/>
      <c r="H18" s="389"/>
      <c r="I18" s="389"/>
      <c r="J18" s="389"/>
      <c r="K18" s="390">
        <v>4829.6050699999996</v>
      </c>
      <c r="L18" s="394">
        <v>1921</v>
      </c>
      <c r="M18" s="390">
        <v>118183</v>
      </c>
      <c r="N18" s="386">
        <f t="shared" si="1"/>
        <v>9100091</v>
      </c>
      <c r="O18" s="388">
        <f t="shared" si="0"/>
        <v>1654562</v>
      </c>
      <c r="Q18" s="334" t="s">
        <v>625</v>
      </c>
    </row>
    <row r="19" spans="1:17">
      <c r="B19" s="384" t="s">
        <v>294</v>
      </c>
      <c r="C19" s="389"/>
      <c r="D19" s="389"/>
      <c r="E19" s="389"/>
      <c r="F19" s="389"/>
      <c r="G19" s="389"/>
      <c r="H19" s="389"/>
      <c r="I19" s="389"/>
      <c r="J19" s="389"/>
      <c r="K19" s="390">
        <v>1007</v>
      </c>
      <c r="L19" s="391">
        <v>3534</v>
      </c>
      <c r="M19" s="390">
        <v>76020</v>
      </c>
      <c r="N19" s="386">
        <f t="shared" si="1"/>
        <v>5853540</v>
      </c>
      <c r="O19" s="388">
        <f t="shared" si="0"/>
        <v>1064280</v>
      </c>
      <c r="Q19" s="334" t="s">
        <v>626</v>
      </c>
    </row>
    <row r="20" spans="1:17">
      <c r="B20" s="384" t="s">
        <v>583</v>
      </c>
      <c r="C20" s="389"/>
      <c r="D20" s="389"/>
      <c r="E20" s="389"/>
      <c r="F20" s="389"/>
      <c r="G20" s="389"/>
      <c r="H20" s="389"/>
      <c r="I20" s="389"/>
      <c r="J20" s="389"/>
      <c r="K20" s="392">
        <v>4282.0690000000004</v>
      </c>
      <c r="L20" s="393">
        <v>4283</v>
      </c>
      <c r="M20" s="392">
        <f>K20*40</f>
        <v>171282.76</v>
      </c>
      <c r="N20" s="386">
        <f t="shared" si="1"/>
        <v>13188772.520000001</v>
      </c>
      <c r="O20" s="388">
        <f t="shared" si="0"/>
        <v>2397958.64</v>
      </c>
      <c r="P20" s="382" t="s">
        <v>672</v>
      </c>
      <c r="Q20" s="334" t="s">
        <v>627</v>
      </c>
    </row>
    <row r="21" spans="1:17" ht="15.6" thickBot="1">
      <c r="B21" s="395" t="s">
        <v>341</v>
      </c>
      <c r="C21" s="396"/>
      <c r="D21" s="396"/>
      <c r="E21" s="396"/>
      <c r="F21" s="396"/>
      <c r="G21" s="396"/>
      <c r="H21" s="396"/>
      <c r="I21" s="396"/>
      <c r="J21" s="396"/>
      <c r="K21" s="397">
        <f>SUM(K4:K20)</f>
        <v>169767.85606999998</v>
      </c>
      <c r="L21" s="398">
        <f>SUM(L4:L20)</f>
        <v>157748</v>
      </c>
      <c r="M21" s="397">
        <f>SUM(M4:M20)</f>
        <v>10584923.068000002</v>
      </c>
      <c r="N21" s="397">
        <f>SUM(N4:N20)</f>
        <v>815039076.23600006</v>
      </c>
      <c r="O21" s="399">
        <f>SUM(O4:O20)</f>
        <v>148188922.95199996</v>
      </c>
      <c r="Q21" s="334" t="s">
        <v>628</v>
      </c>
    </row>
    <row r="23" spans="1:17">
      <c r="B23" s="382" t="s">
        <v>675</v>
      </c>
    </row>
    <row r="24" spans="1:17" ht="45">
      <c r="B24" s="400"/>
      <c r="C24" s="401"/>
      <c r="D24" s="401"/>
      <c r="E24" s="401"/>
      <c r="F24" s="401"/>
      <c r="G24" s="401"/>
      <c r="H24" s="401"/>
      <c r="I24" s="401"/>
      <c r="J24" s="401"/>
      <c r="K24" s="401" t="s">
        <v>676</v>
      </c>
      <c r="L24" s="402" t="s">
        <v>677</v>
      </c>
      <c r="M24" s="402" t="s">
        <v>678</v>
      </c>
      <c r="N24" s="402" t="s">
        <v>679</v>
      </c>
      <c r="O24" s="402" t="s">
        <v>680</v>
      </c>
    </row>
    <row r="25" spans="1:17">
      <c r="B25" s="401" t="s">
        <v>672</v>
      </c>
      <c r="C25" s="401"/>
      <c r="D25" s="401"/>
      <c r="E25" s="401"/>
      <c r="F25" s="401"/>
      <c r="G25" s="401"/>
      <c r="H25" s="401"/>
      <c r="I25" s="401"/>
      <c r="J25" s="401"/>
      <c r="K25" s="401" t="s">
        <v>681</v>
      </c>
      <c r="L25" s="401"/>
      <c r="M25" s="401">
        <f>M21/K21</f>
        <v>62.349394714836627</v>
      </c>
      <c r="N25" s="401">
        <f>N21/K21</f>
        <v>4800.9033930424193</v>
      </c>
      <c r="O25" s="401"/>
    </row>
  </sheetData>
  <mergeCells count="9">
    <mergeCell ref="M2:M3"/>
    <mergeCell ref="N2:N3"/>
    <mergeCell ref="O2:O3"/>
    <mergeCell ref="B2:B3"/>
    <mergeCell ref="C2:C3"/>
    <mergeCell ref="D2:D3"/>
    <mergeCell ref="E2:J2"/>
    <mergeCell ref="K2:K3"/>
    <mergeCell ref="L2:L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0B51-A85F-4954-B464-B1E88421B127}">
  <dimension ref="B1:O158"/>
  <sheetViews>
    <sheetView topLeftCell="A154" zoomScale="86" workbookViewId="0">
      <selection activeCell="B4" sqref="B4:B40"/>
    </sheetView>
  </sheetViews>
  <sheetFormatPr defaultColWidth="12" defaultRowHeight="15"/>
  <cols>
    <col min="1" max="1" width="5.77734375" style="382" customWidth="1"/>
    <col min="2" max="2" width="24.6640625" style="382" customWidth="1"/>
    <col min="3" max="3" width="13.5546875" style="382" hidden="1" customWidth="1"/>
    <col min="4" max="4" width="43.6640625" style="403" customWidth="1"/>
    <col min="5" max="9" width="0" style="382" hidden="1" customWidth="1"/>
    <col min="10" max="10" width="1.33203125" style="382" hidden="1" customWidth="1"/>
    <col min="11" max="11" width="19.77734375" style="382" customWidth="1"/>
    <col min="12" max="13" width="26.88671875" style="382" customWidth="1"/>
    <col min="14" max="16384" width="12" style="382"/>
  </cols>
  <sheetData>
    <row r="1" spans="2:13" ht="15.6" thickBot="1"/>
    <row r="2" spans="2:13" s="404" customFormat="1">
      <c r="B2" s="717" t="s">
        <v>339</v>
      </c>
      <c r="C2" s="728" t="s">
        <v>202</v>
      </c>
      <c r="D2" s="719" t="s">
        <v>659</v>
      </c>
      <c r="E2" s="719" t="s">
        <v>660</v>
      </c>
      <c r="F2" s="719"/>
      <c r="G2" s="719"/>
      <c r="H2" s="719"/>
      <c r="I2" s="719"/>
      <c r="J2" s="719"/>
      <c r="K2" s="719" t="s">
        <v>661</v>
      </c>
      <c r="L2" s="713" t="s">
        <v>662</v>
      </c>
      <c r="M2" s="715" t="s">
        <v>663</v>
      </c>
    </row>
    <row r="3" spans="2:13" s="404" customFormat="1" ht="49.05" customHeight="1" thickBot="1">
      <c r="B3" s="727"/>
      <c r="C3" s="729"/>
      <c r="D3" s="730"/>
      <c r="E3" s="405" t="s">
        <v>666</v>
      </c>
      <c r="F3" s="405" t="s">
        <v>667</v>
      </c>
      <c r="G3" s="405" t="s">
        <v>668</v>
      </c>
      <c r="H3" s="405" t="s">
        <v>657</v>
      </c>
      <c r="I3" s="405" t="s">
        <v>669</v>
      </c>
      <c r="J3" s="405" t="s">
        <v>645</v>
      </c>
      <c r="K3" s="730"/>
      <c r="L3" s="731"/>
      <c r="M3" s="721"/>
    </row>
    <row r="4" spans="2:13" ht="16.05" customHeight="1">
      <c r="B4" s="722" t="s">
        <v>682</v>
      </c>
      <c r="C4" s="406"/>
      <c r="D4" s="725" t="s">
        <v>683</v>
      </c>
      <c r="E4" s="406"/>
      <c r="F4" s="406"/>
      <c r="G4" s="406"/>
      <c r="H4" s="406"/>
      <c r="I4" s="406"/>
      <c r="J4" s="406"/>
      <c r="K4" s="407">
        <v>1.89</v>
      </c>
      <c r="L4" s="406">
        <v>133</v>
      </c>
      <c r="M4" s="408">
        <f>L4*10</f>
        <v>1330</v>
      </c>
    </row>
    <row r="5" spans="2:13" ht="16.05" customHeight="1">
      <c r="B5" s="723"/>
      <c r="C5" s="409"/>
      <c r="D5" s="726"/>
      <c r="E5" s="409"/>
      <c r="F5" s="409"/>
      <c r="G5" s="409"/>
      <c r="H5" s="409"/>
      <c r="I5" s="409"/>
      <c r="J5" s="409"/>
      <c r="K5" s="410">
        <v>31.62</v>
      </c>
      <c r="L5" s="409">
        <f>118-30</f>
        <v>88</v>
      </c>
      <c r="M5" s="411">
        <f>L5*4</f>
        <v>352</v>
      </c>
    </row>
    <row r="6" spans="2:13" ht="16.05" customHeight="1">
      <c r="B6" s="723"/>
      <c r="C6" s="409"/>
      <c r="D6" s="726"/>
      <c r="E6" s="409"/>
      <c r="F6" s="409"/>
      <c r="G6" s="409"/>
      <c r="H6" s="409"/>
      <c r="I6" s="409"/>
      <c r="J6" s="409"/>
      <c r="K6" s="412">
        <v>0.6</v>
      </c>
      <c r="L6" s="412">
        <v>4</v>
      </c>
      <c r="M6" s="413">
        <v>320</v>
      </c>
    </row>
    <row r="7" spans="2:13" ht="16.05" customHeight="1">
      <c r="B7" s="723"/>
      <c r="C7" s="409"/>
      <c r="D7" s="726"/>
      <c r="E7" s="409"/>
      <c r="F7" s="409"/>
      <c r="G7" s="409"/>
      <c r="H7" s="409"/>
      <c r="I7" s="409"/>
      <c r="J7" s="409"/>
      <c r="K7" s="412">
        <v>1.6</v>
      </c>
      <c r="L7" s="412">
        <v>3</v>
      </c>
      <c r="M7" s="413">
        <v>64</v>
      </c>
    </row>
    <row r="8" spans="2:13">
      <c r="B8" s="723"/>
      <c r="C8" s="409"/>
      <c r="D8" s="726"/>
      <c r="E8" s="409"/>
      <c r="F8" s="409"/>
      <c r="G8" s="409"/>
      <c r="H8" s="409"/>
      <c r="I8" s="409"/>
      <c r="J8" s="409"/>
      <c r="K8" s="414">
        <f>SUM(K4:K7)</f>
        <v>35.71</v>
      </c>
      <c r="L8" s="415">
        <f>SUM(L4:L7)</f>
        <v>228</v>
      </c>
      <c r="M8" s="416">
        <f>SUM(M4:M7)</f>
        <v>2066</v>
      </c>
    </row>
    <row r="9" spans="2:13" ht="16.05" customHeight="1">
      <c r="B9" s="723"/>
      <c r="C9" s="409"/>
      <c r="D9" s="726" t="s">
        <v>684</v>
      </c>
      <c r="E9" s="409"/>
      <c r="F9" s="409"/>
      <c r="G9" s="409"/>
      <c r="H9" s="409"/>
      <c r="I9" s="409"/>
      <c r="J9" s="409"/>
      <c r="K9" s="410">
        <v>10.62</v>
      </c>
      <c r="L9" s="417">
        <f>170-43</f>
        <v>127</v>
      </c>
      <c r="M9" s="411">
        <f>L9*10</f>
        <v>1270</v>
      </c>
    </row>
    <row r="10" spans="2:13" ht="16.05" customHeight="1">
      <c r="B10" s="723"/>
      <c r="C10" s="409"/>
      <c r="D10" s="726"/>
      <c r="E10" s="409"/>
      <c r="F10" s="409"/>
      <c r="G10" s="409"/>
      <c r="H10" s="409"/>
      <c r="I10" s="409"/>
      <c r="J10" s="409"/>
      <c r="K10" s="418">
        <v>63.24</v>
      </c>
      <c r="L10" s="419">
        <f>236-59</f>
        <v>177</v>
      </c>
      <c r="M10" s="411">
        <f>L10*4</f>
        <v>708</v>
      </c>
    </row>
    <row r="11" spans="2:13" ht="16.05" customHeight="1">
      <c r="B11" s="723"/>
      <c r="C11" s="409"/>
      <c r="D11" s="726"/>
      <c r="E11" s="409"/>
      <c r="F11" s="409"/>
      <c r="G11" s="409"/>
      <c r="H11" s="409"/>
      <c r="I11" s="409"/>
      <c r="J11" s="409"/>
      <c r="K11" s="410">
        <v>0.125</v>
      </c>
      <c r="L11" s="417">
        <v>10</v>
      </c>
      <c r="M11" s="411">
        <v>200</v>
      </c>
    </row>
    <row r="12" spans="2:13" ht="16.05" customHeight="1">
      <c r="B12" s="723"/>
      <c r="C12" s="409"/>
      <c r="D12" s="726"/>
      <c r="E12" s="409"/>
      <c r="F12" s="409"/>
      <c r="G12" s="409"/>
      <c r="H12" s="409"/>
      <c r="I12" s="409"/>
      <c r="J12" s="409"/>
      <c r="K12" s="410">
        <f>7.35+24.0307+51.4432+25.06</f>
        <v>107.8839</v>
      </c>
      <c r="L12" s="417">
        <f>13+54+45+26</f>
        <v>138</v>
      </c>
      <c r="M12" s="411">
        <f>400+1700+1400+1892.5</f>
        <v>5392.5</v>
      </c>
    </row>
    <row r="13" spans="2:13" ht="16.05" customHeight="1">
      <c r="B13" s="723"/>
      <c r="C13" s="409"/>
      <c r="D13" s="726"/>
      <c r="E13" s="409"/>
      <c r="F13" s="409"/>
      <c r="G13" s="409"/>
      <c r="H13" s="409"/>
      <c r="I13" s="409"/>
      <c r="J13" s="409"/>
      <c r="K13" s="410">
        <f>1+27.665</f>
        <v>28.664999999999999</v>
      </c>
      <c r="L13" s="417">
        <f>9+62</f>
        <v>71</v>
      </c>
      <c r="M13" s="411">
        <f>685+3422.5</f>
        <v>4107.5</v>
      </c>
    </row>
    <row r="14" spans="2:13" ht="16.05" customHeight="1">
      <c r="B14" s="723"/>
      <c r="C14" s="409"/>
      <c r="D14" s="726"/>
      <c r="E14" s="409"/>
      <c r="F14" s="409"/>
      <c r="G14" s="409"/>
      <c r="H14" s="409"/>
      <c r="I14" s="409"/>
      <c r="J14" s="409"/>
      <c r="K14" s="420">
        <v>30.527799999999999</v>
      </c>
      <c r="L14" s="421">
        <v>759</v>
      </c>
      <c r="M14" s="413">
        <v>35145</v>
      </c>
    </row>
    <row r="15" spans="2:13" ht="16.05" customHeight="1">
      <c r="B15" s="723"/>
      <c r="C15" s="409"/>
      <c r="D15" s="726"/>
      <c r="E15" s="409"/>
      <c r="F15" s="409"/>
      <c r="G15" s="409"/>
      <c r="H15" s="409"/>
      <c r="I15" s="409"/>
      <c r="J15" s="409"/>
      <c r="K15" s="422">
        <v>2503.3200000000002</v>
      </c>
      <c r="L15" s="421">
        <v>1344</v>
      </c>
      <c r="M15" s="423">
        <v>87596.543999999994</v>
      </c>
    </row>
    <row r="16" spans="2:13">
      <c r="B16" s="723"/>
      <c r="C16" s="409"/>
      <c r="D16" s="726"/>
      <c r="E16" s="409"/>
      <c r="F16" s="409"/>
      <c r="G16" s="409"/>
      <c r="H16" s="409"/>
      <c r="I16" s="409"/>
      <c r="J16" s="409"/>
      <c r="K16" s="414">
        <f>SUM(K9:K15)</f>
        <v>2744.3816999999999</v>
      </c>
      <c r="L16" s="415">
        <f>SUM(L9:L15)</f>
        <v>2626</v>
      </c>
      <c r="M16" s="416">
        <f>SUM(M9:M15)</f>
        <v>134419.54399999999</v>
      </c>
    </row>
    <row r="17" spans="2:13" ht="16.05" customHeight="1">
      <c r="B17" s="723"/>
      <c r="C17" s="409"/>
      <c r="D17" s="726" t="s">
        <v>685</v>
      </c>
      <c r="E17" s="409"/>
      <c r="F17" s="409"/>
      <c r="G17" s="409"/>
      <c r="H17" s="409"/>
      <c r="I17" s="409"/>
      <c r="J17" s="409"/>
      <c r="K17" s="410">
        <f>3+2+0.1053</f>
        <v>5.1052999999999997</v>
      </c>
      <c r="L17" s="417">
        <v>3</v>
      </c>
      <c r="M17" s="411">
        <f>40+20+10</f>
        <v>70</v>
      </c>
    </row>
    <row r="18" spans="2:13" ht="16.05" customHeight="1">
      <c r="B18" s="723"/>
      <c r="C18" s="409"/>
      <c r="D18" s="726"/>
      <c r="E18" s="409"/>
      <c r="F18" s="409"/>
      <c r="G18" s="409"/>
      <c r="H18" s="409"/>
      <c r="I18" s="409"/>
      <c r="J18" s="409"/>
      <c r="K18" s="410">
        <v>1.1174999999999999</v>
      </c>
      <c r="L18" s="417">
        <v>7</v>
      </c>
      <c r="M18" s="411">
        <v>385</v>
      </c>
    </row>
    <row r="19" spans="2:13" ht="16.05" customHeight="1">
      <c r="B19" s="723"/>
      <c r="C19" s="409"/>
      <c r="D19" s="726"/>
      <c r="E19" s="409"/>
      <c r="F19" s="409"/>
      <c r="G19" s="409"/>
      <c r="H19" s="409"/>
      <c r="I19" s="409"/>
      <c r="J19" s="409"/>
      <c r="K19" s="410">
        <v>1.1174999999999999</v>
      </c>
      <c r="L19" s="417">
        <v>8</v>
      </c>
      <c r="M19" s="411">
        <v>385</v>
      </c>
    </row>
    <row r="20" spans="2:13">
      <c r="B20" s="723"/>
      <c r="C20" s="409"/>
      <c r="D20" s="726"/>
      <c r="E20" s="409"/>
      <c r="F20" s="409"/>
      <c r="G20" s="409"/>
      <c r="H20" s="409"/>
      <c r="I20" s="409"/>
      <c r="J20" s="409"/>
      <c r="K20" s="424">
        <f>SUM(K17:K19)</f>
        <v>7.3402999999999992</v>
      </c>
      <c r="L20" s="425">
        <f>SUM(L17:L19)</f>
        <v>18</v>
      </c>
      <c r="M20" s="426">
        <f>SUM(M17:M19)</f>
        <v>840</v>
      </c>
    </row>
    <row r="21" spans="2:13">
      <c r="B21" s="723"/>
      <c r="C21" s="409"/>
      <c r="D21" s="385" t="s">
        <v>686</v>
      </c>
      <c r="E21" s="409"/>
      <c r="F21" s="409"/>
      <c r="G21" s="409"/>
      <c r="H21" s="409"/>
      <c r="I21" s="409"/>
      <c r="J21" s="409"/>
      <c r="K21" s="424">
        <v>63.25</v>
      </c>
      <c r="L21" s="425">
        <v>80</v>
      </c>
      <c r="M21" s="427">
        <v>3250</v>
      </c>
    </row>
    <row r="22" spans="2:13" ht="16.05" customHeight="1">
      <c r="B22" s="723"/>
      <c r="C22" s="409"/>
      <c r="D22" s="726" t="s">
        <v>687</v>
      </c>
      <c r="E22" s="409"/>
      <c r="F22" s="409"/>
      <c r="G22" s="409"/>
      <c r="H22" s="409"/>
      <c r="I22" s="409"/>
      <c r="J22" s="409"/>
      <c r="K22" s="410">
        <v>3</v>
      </c>
      <c r="L22" s="417">
        <v>4</v>
      </c>
      <c r="M22" s="411">
        <v>250</v>
      </c>
    </row>
    <row r="23" spans="2:13" ht="16.05" customHeight="1">
      <c r="B23" s="723"/>
      <c r="C23" s="409"/>
      <c r="D23" s="726"/>
      <c r="E23" s="409"/>
      <c r="F23" s="409"/>
      <c r="G23" s="409"/>
      <c r="H23" s="409"/>
      <c r="I23" s="409"/>
      <c r="J23" s="409"/>
      <c r="K23" s="410">
        <v>13</v>
      </c>
      <c r="L23" s="417">
        <v>4</v>
      </c>
      <c r="M23" s="411">
        <v>245</v>
      </c>
    </row>
    <row r="24" spans="2:13">
      <c r="B24" s="723"/>
      <c r="C24" s="409"/>
      <c r="D24" s="726"/>
      <c r="E24" s="409"/>
      <c r="F24" s="409"/>
      <c r="G24" s="409"/>
      <c r="H24" s="409"/>
      <c r="I24" s="409"/>
      <c r="J24" s="409"/>
      <c r="K24" s="414">
        <f>SUM(K22:K23)</f>
        <v>16</v>
      </c>
      <c r="L24" s="415">
        <f>SUM(L22:L23)</f>
        <v>8</v>
      </c>
      <c r="M24" s="416">
        <f>SUM(M22:M23)</f>
        <v>495</v>
      </c>
    </row>
    <row r="25" spans="2:13">
      <c r="B25" s="723"/>
      <c r="C25" s="409"/>
      <c r="D25" s="385" t="s">
        <v>688</v>
      </c>
      <c r="E25" s="409"/>
      <c r="F25" s="409"/>
      <c r="G25" s="409"/>
      <c r="H25" s="409"/>
      <c r="I25" s="409"/>
      <c r="J25" s="409"/>
      <c r="K25" s="424">
        <v>0.75</v>
      </c>
      <c r="L25" s="425">
        <v>4</v>
      </c>
      <c r="M25" s="427">
        <v>150</v>
      </c>
    </row>
    <row r="26" spans="2:13">
      <c r="B26" s="723"/>
      <c r="C26" s="409"/>
      <c r="D26" s="385" t="s">
        <v>689</v>
      </c>
      <c r="E26" s="409"/>
      <c r="F26" s="409"/>
      <c r="G26" s="409"/>
      <c r="H26" s="409"/>
      <c r="I26" s="409"/>
      <c r="J26" s="409"/>
      <c r="K26" s="424">
        <v>0.15</v>
      </c>
      <c r="L26" s="425">
        <v>3</v>
      </c>
      <c r="M26" s="427">
        <v>150</v>
      </c>
    </row>
    <row r="27" spans="2:13">
      <c r="B27" s="723"/>
      <c r="C27" s="409"/>
      <c r="D27" s="385" t="s">
        <v>690</v>
      </c>
      <c r="E27" s="409"/>
      <c r="F27" s="409"/>
      <c r="G27" s="409"/>
      <c r="H27" s="409"/>
      <c r="I27" s="409"/>
      <c r="J27" s="409"/>
      <c r="K27" s="424">
        <v>1.5</v>
      </c>
      <c r="L27" s="425">
        <v>3</v>
      </c>
      <c r="M27" s="427">
        <v>80</v>
      </c>
    </row>
    <row r="28" spans="2:13">
      <c r="B28" s="723"/>
      <c r="C28" s="409"/>
      <c r="D28" s="385" t="s">
        <v>691</v>
      </c>
      <c r="E28" s="409"/>
      <c r="F28" s="409"/>
      <c r="G28" s="409"/>
      <c r="H28" s="409"/>
      <c r="I28" s="409"/>
      <c r="J28" s="409"/>
      <c r="K28" s="424">
        <v>1.5</v>
      </c>
      <c r="L28" s="425">
        <v>2</v>
      </c>
      <c r="M28" s="427">
        <v>70</v>
      </c>
    </row>
    <row r="29" spans="2:13">
      <c r="B29" s="723"/>
      <c r="C29" s="409"/>
      <c r="D29" s="385" t="s">
        <v>692</v>
      </c>
      <c r="E29" s="409"/>
      <c r="F29" s="409"/>
      <c r="G29" s="409"/>
      <c r="H29" s="409"/>
      <c r="I29" s="409"/>
      <c r="J29" s="409"/>
      <c r="K29" s="428">
        <v>1.05</v>
      </c>
      <c r="L29" s="415">
        <v>150</v>
      </c>
      <c r="M29" s="429">
        <v>4500</v>
      </c>
    </row>
    <row r="30" spans="2:13">
      <c r="B30" s="723"/>
      <c r="C30" s="409"/>
      <c r="D30" s="385" t="s">
        <v>693</v>
      </c>
      <c r="E30" s="409"/>
      <c r="F30" s="409"/>
      <c r="G30" s="409"/>
      <c r="H30" s="409"/>
      <c r="I30" s="409"/>
      <c r="J30" s="409"/>
      <c r="K30" s="428">
        <v>0.7</v>
      </c>
      <c r="L30" s="415">
        <v>100</v>
      </c>
      <c r="M30" s="429">
        <v>3000</v>
      </c>
    </row>
    <row r="31" spans="2:13">
      <c r="B31" s="723"/>
      <c r="C31" s="409"/>
      <c r="D31" s="385" t="s">
        <v>694</v>
      </c>
      <c r="E31" s="409"/>
      <c r="F31" s="409"/>
      <c r="G31" s="409"/>
      <c r="H31" s="409"/>
      <c r="I31" s="409"/>
      <c r="J31" s="409"/>
      <c r="K31" s="428">
        <v>346</v>
      </c>
      <c r="L31" s="415">
        <v>254</v>
      </c>
      <c r="M31" s="429">
        <v>15443</v>
      </c>
    </row>
    <row r="32" spans="2:13">
      <c r="B32" s="723"/>
      <c r="C32" s="409"/>
      <c r="D32" s="726" t="s">
        <v>695</v>
      </c>
      <c r="E32" s="409"/>
      <c r="F32" s="409"/>
      <c r="G32" s="409"/>
      <c r="H32" s="409"/>
      <c r="I32" s="409"/>
      <c r="J32" s="409"/>
      <c r="K32" s="430">
        <v>12.85</v>
      </c>
      <c r="L32" s="417">
        <f>332-83</f>
        <v>249</v>
      </c>
      <c r="M32" s="411">
        <f>L32*4</f>
        <v>996</v>
      </c>
    </row>
    <row r="33" spans="2:13">
      <c r="B33" s="723"/>
      <c r="C33" s="409"/>
      <c r="D33" s="726"/>
      <c r="E33" s="409"/>
      <c r="F33" s="409"/>
      <c r="G33" s="409"/>
      <c r="H33" s="409"/>
      <c r="I33" s="409"/>
      <c r="J33" s="409"/>
      <c r="K33" s="410">
        <v>97.66</v>
      </c>
      <c r="L33" s="417">
        <f>232-58</f>
        <v>174</v>
      </c>
      <c r="M33" s="411">
        <f>L33*10</f>
        <v>1740</v>
      </c>
    </row>
    <row r="34" spans="2:13">
      <c r="B34" s="723"/>
      <c r="C34" s="409"/>
      <c r="D34" s="726"/>
      <c r="E34" s="409"/>
      <c r="F34" s="409"/>
      <c r="G34" s="409"/>
      <c r="H34" s="409"/>
      <c r="I34" s="409"/>
      <c r="J34" s="409"/>
      <c r="K34" s="410">
        <v>52.947000000000003</v>
      </c>
      <c r="L34" s="417">
        <v>72</v>
      </c>
      <c r="M34" s="411">
        <v>2160</v>
      </c>
    </row>
    <row r="35" spans="2:13">
      <c r="B35" s="723"/>
      <c r="C35" s="409"/>
      <c r="D35" s="726"/>
      <c r="E35" s="409"/>
      <c r="F35" s="409"/>
      <c r="G35" s="409"/>
      <c r="H35" s="409"/>
      <c r="I35" s="409"/>
      <c r="J35" s="409"/>
      <c r="K35" s="410">
        <v>0.28749999999999998</v>
      </c>
      <c r="L35" s="417">
        <v>23</v>
      </c>
      <c r="M35" s="411">
        <v>460</v>
      </c>
    </row>
    <row r="36" spans="2:13">
      <c r="B36" s="723"/>
      <c r="C36" s="409"/>
      <c r="D36" s="726"/>
      <c r="E36" s="409"/>
      <c r="F36" s="409"/>
      <c r="G36" s="409"/>
      <c r="H36" s="409"/>
      <c r="I36" s="409"/>
      <c r="J36" s="409"/>
      <c r="K36" s="410">
        <v>14.102</v>
      </c>
      <c r="L36" s="417">
        <v>64</v>
      </c>
      <c r="M36" s="411">
        <v>2710</v>
      </c>
    </row>
    <row r="37" spans="2:13">
      <c r="B37" s="723"/>
      <c r="C37" s="409"/>
      <c r="D37" s="726"/>
      <c r="E37" s="409"/>
      <c r="F37" s="409"/>
      <c r="G37" s="409"/>
      <c r="H37" s="409"/>
      <c r="I37" s="409"/>
      <c r="J37" s="409"/>
      <c r="K37" s="412">
        <v>43.161999999999999</v>
      </c>
      <c r="L37" s="421">
        <v>109</v>
      </c>
      <c r="M37" s="413">
        <v>1301</v>
      </c>
    </row>
    <row r="38" spans="2:13">
      <c r="B38" s="723"/>
      <c r="C38" s="409"/>
      <c r="D38" s="726"/>
      <c r="E38" s="409"/>
      <c r="F38" s="409"/>
      <c r="G38" s="409"/>
      <c r="H38" s="409"/>
      <c r="I38" s="409"/>
      <c r="J38" s="409"/>
      <c r="K38" s="414">
        <f>SUM(K32:K37)</f>
        <v>221.0085</v>
      </c>
      <c r="L38" s="415">
        <f>SUM(L32:L37)</f>
        <v>691</v>
      </c>
      <c r="M38" s="416">
        <f>SUM(M32:M37)</f>
        <v>9367</v>
      </c>
    </row>
    <row r="39" spans="2:13">
      <c r="B39" s="723"/>
      <c r="C39" s="409"/>
      <c r="D39" s="385" t="s">
        <v>696</v>
      </c>
      <c r="E39" s="409"/>
      <c r="F39" s="409"/>
      <c r="G39" s="409"/>
      <c r="H39" s="409"/>
      <c r="I39" s="409"/>
      <c r="J39" s="409"/>
      <c r="K39" s="428">
        <v>3.76</v>
      </c>
      <c r="L39" s="415">
        <v>240</v>
      </c>
      <c r="M39" s="429">
        <v>7200</v>
      </c>
    </row>
    <row r="40" spans="2:13" ht="15.6" thickBot="1">
      <c r="B40" s="724"/>
      <c r="C40" s="431"/>
      <c r="D40" s="432" t="s">
        <v>341</v>
      </c>
      <c r="E40" s="433"/>
      <c r="F40" s="433"/>
      <c r="G40" s="433"/>
      <c r="H40" s="433"/>
      <c r="I40" s="433"/>
      <c r="J40" s="433"/>
      <c r="K40" s="434">
        <f>SUM(K8,K16,K20:K21,K24:K31,K38:K39)</f>
        <v>3443.1005</v>
      </c>
      <c r="L40" s="435">
        <f>SUM(L8,L16,L20:L21,L24:L31,L38:L39)</f>
        <v>4407</v>
      </c>
      <c r="M40" s="436">
        <f>SUM(M8,M16,M20:M21,M24:M31,M38:M39)</f>
        <v>181030.54399999999</v>
      </c>
    </row>
    <row r="41" spans="2:13">
      <c r="B41" s="722" t="s">
        <v>697</v>
      </c>
      <c r="C41" s="406"/>
      <c r="D41" s="725" t="s">
        <v>695</v>
      </c>
      <c r="E41" s="406"/>
      <c r="F41" s="406"/>
      <c r="G41" s="406"/>
      <c r="H41" s="406"/>
      <c r="I41" s="406"/>
      <c r="J41" s="406"/>
      <c r="K41" s="437">
        <v>781.42</v>
      </c>
      <c r="L41" s="437">
        <v>2112</v>
      </c>
      <c r="M41" s="438">
        <v>93770.4</v>
      </c>
    </row>
    <row r="42" spans="2:13">
      <c r="B42" s="732"/>
      <c r="C42" s="409"/>
      <c r="D42" s="726"/>
      <c r="E42" s="409"/>
      <c r="F42" s="409"/>
      <c r="G42" s="409"/>
      <c r="H42" s="409"/>
      <c r="I42" s="409"/>
      <c r="J42" s="409"/>
      <c r="K42" s="412" t="s">
        <v>670</v>
      </c>
      <c r="L42" s="412">
        <v>2</v>
      </c>
      <c r="M42" s="439">
        <v>54</v>
      </c>
    </row>
    <row r="43" spans="2:13">
      <c r="B43" s="732"/>
      <c r="C43" s="409"/>
      <c r="D43" s="726"/>
      <c r="E43" s="409"/>
      <c r="F43" s="409"/>
      <c r="G43" s="409"/>
      <c r="H43" s="409"/>
      <c r="I43" s="409"/>
      <c r="J43" s="409"/>
      <c r="K43" s="412">
        <v>5.6000000000000001E-2</v>
      </c>
      <c r="L43" s="412">
        <v>1</v>
      </c>
      <c r="M43" s="413">
        <v>240</v>
      </c>
    </row>
    <row r="44" spans="2:13">
      <c r="B44" s="732"/>
      <c r="C44" s="409"/>
      <c r="D44" s="726"/>
      <c r="E44" s="409"/>
      <c r="F44" s="409"/>
      <c r="G44" s="409"/>
      <c r="H44" s="409"/>
      <c r="I44" s="409"/>
      <c r="J44" s="409"/>
      <c r="K44" s="412">
        <v>9.08</v>
      </c>
      <c r="L44" s="412">
        <v>224</v>
      </c>
      <c r="M44" s="439">
        <v>1089.5999999999999</v>
      </c>
    </row>
    <row r="45" spans="2:13">
      <c r="B45" s="732"/>
      <c r="C45" s="409"/>
      <c r="D45" s="726"/>
      <c r="E45" s="409"/>
      <c r="F45" s="409"/>
      <c r="G45" s="409"/>
      <c r="H45" s="409"/>
      <c r="I45" s="409"/>
      <c r="J45" s="409"/>
      <c r="K45" s="412">
        <v>37.869999999999997</v>
      </c>
      <c r="L45" s="412">
        <v>50</v>
      </c>
      <c r="M45" s="439">
        <v>240</v>
      </c>
    </row>
    <row r="46" spans="2:13">
      <c r="B46" s="732"/>
      <c r="C46" s="409"/>
      <c r="D46" s="726"/>
      <c r="E46" s="409"/>
      <c r="F46" s="409"/>
      <c r="G46" s="409"/>
      <c r="H46" s="409"/>
      <c r="I46" s="409"/>
      <c r="J46" s="409"/>
      <c r="K46" s="412">
        <v>0.17499999999999999</v>
      </c>
      <c r="L46" s="412">
        <v>7</v>
      </c>
      <c r="M46" s="413">
        <v>21</v>
      </c>
    </row>
    <row r="47" spans="2:13">
      <c r="B47" s="732"/>
      <c r="C47" s="409"/>
      <c r="D47" s="726"/>
      <c r="E47" s="409"/>
      <c r="F47" s="409"/>
      <c r="G47" s="409"/>
      <c r="H47" s="409"/>
      <c r="I47" s="409"/>
      <c r="J47" s="409"/>
      <c r="K47" s="412">
        <v>5</v>
      </c>
      <c r="L47" s="412">
        <v>42</v>
      </c>
      <c r="M47" s="413">
        <v>600</v>
      </c>
    </row>
    <row r="48" spans="2:13">
      <c r="B48" s="732"/>
      <c r="C48" s="409"/>
      <c r="D48" s="726"/>
      <c r="E48" s="409"/>
      <c r="F48" s="409"/>
      <c r="G48" s="409"/>
      <c r="H48" s="409"/>
      <c r="I48" s="409"/>
      <c r="J48" s="409"/>
      <c r="K48" s="440">
        <v>111.8</v>
      </c>
      <c r="L48" s="440">
        <v>987</v>
      </c>
      <c r="M48" s="441">
        <v>13416</v>
      </c>
    </row>
    <row r="49" spans="2:15">
      <c r="B49" s="732"/>
      <c r="C49" s="409"/>
      <c r="D49" s="726"/>
      <c r="E49" s="409"/>
      <c r="F49" s="409"/>
      <c r="G49" s="409"/>
      <c r="H49" s="409"/>
      <c r="I49" s="409"/>
      <c r="J49" s="409"/>
      <c r="K49" s="442">
        <f>SUM(K41,K43:K48)</f>
        <v>945.40099999999995</v>
      </c>
      <c r="L49" s="442">
        <f>SUM(L41:L48)</f>
        <v>3425</v>
      </c>
      <c r="M49" s="427">
        <f>SUM(M41:M48)</f>
        <v>109431</v>
      </c>
      <c r="O49" s="382" t="s">
        <v>698</v>
      </c>
    </row>
    <row r="50" spans="2:15" ht="30">
      <c r="B50" s="732"/>
      <c r="C50" s="409"/>
      <c r="D50" s="443" t="s">
        <v>699</v>
      </c>
      <c r="E50" s="409"/>
      <c r="F50" s="409"/>
      <c r="G50" s="409"/>
      <c r="H50" s="409"/>
      <c r="I50" s="409"/>
      <c r="J50" s="409"/>
      <c r="K50" s="444">
        <v>365.29</v>
      </c>
      <c r="L50" s="445">
        <v>325</v>
      </c>
      <c r="M50" s="446">
        <v>36529</v>
      </c>
    </row>
    <row r="51" spans="2:15">
      <c r="B51" s="732"/>
      <c r="C51" s="409"/>
      <c r="D51" s="385" t="s">
        <v>683</v>
      </c>
      <c r="E51" s="409"/>
      <c r="F51" s="409"/>
      <c r="G51" s="409"/>
      <c r="H51" s="409"/>
      <c r="I51" s="409"/>
      <c r="J51" s="409"/>
      <c r="K51" s="428">
        <v>2187.5</v>
      </c>
      <c r="L51" s="428">
        <v>20</v>
      </c>
      <c r="M51" s="429">
        <v>262500</v>
      </c>
    </row>
    <row r="52" spans="2:15">
      <c r="B52" s="732"/>
      <c r="C52" s="409"/>
      <c r="D52" s="385" t="s">
        <v>690</v>
      </c>
      <c r="E52" s="409"/>
      <c r="F52" s="409"/>
      <c r="G52" s="409"/>
      <c r="H52" s="409"/>
      <c r="I52" s="409"/>
      <c r="J52" s="409"/>
      <c r="K52" s="428">
        <v>2.25</v>
      </c>
      <c r="L52" s="428">
        <v>32</v>
      </c>
      <c r="M52" s="429">
        <v>270</v>
      </c>
    </row>
    <row r="53" spans="2:15">
      <c r="B53" s="732"/>
      <c r="C53" s="409"/>
      <c r="D53" s="385" t="s">
        <v>700</v>
      </c>
      <c r="E53" s="409"/>
      <c r="F53" s="409"/>
      <c r="G53" s="409"/>
      <c r="H53" s="409"/>
      <c r="I53" s="409"/>
      <c r="J53" s="409"/>
      <c r="K53" s="444">
        <v>1772.72</v>
      </c>
      <c r="L53" s="445">
        <v>9021</v>
      </c>
      <c r="M53" s="446">
        <v>177272</v>
      </c>
    </row>
    <row r="54" spans="2:15" ht="15.6" thickBot="1">
      <c r="B54" s="733"/>
      <c r="C54" s="431"/>
      <c r="D54" s="432" t="s">
        <v>341</v>
      </c>
      <c r="E54" s="447"/>
      <c r="F54" s="447"/>
      <c r="G54" s="447"/>
      <c r="H54" s="447"/>
      <c r="I54" s="447"/>
      <c r="J54" s="447"/>
      <c r="K54" s="434">
        <f>SUM(K49:K53)</f>
        <v>5273.1610000000001</v>
      </c>
      <c r="L54" s="435">
        <f>SUM(L49:L53)</f>
        <v>12823</v>
      </c>
      <c r="M54" s="436">
        <f>SUM(M49:M53)</f>
        <v>586002</v>
      </c>
      <c r="O54" s="382" t="s">
        <v>698</v>
      </c>
    </row>
    <row r="55" spans="2:15" ht="34.049999999999997" customHeight="1">
      <c r="B55" s="722" t="s">
        <v>701</v>
      </c>
      <c r="C55" s="406"/>
      <c r="D55" s="725" t="s">
        <v>702</v>
      </c>
      <c r="E55" s="448"/>
      <c r="F55" s="448"/>
      <c r="G55" s="448"/>
      <c r="H55" s="448"/>
      <c r="I55" s="448"/>
      <c r="J55" s="448"/>
      <c r="K55" s="449">
        <v>43532</v>
      </c>
      <c r="L55" s="437" t="s">
        <v>703</v>
      </c>
      <c r="M55" s="450" t="s">
        <v>704</v>
      </c>
    </row>
    <row r="56" spans="2:15">
      <c r="B56" s="732"/>
      <c r="C56" s="409"/>
      <c r="D56" s="726"/>
      <c r="E56" s="451"/>
      <c r="F56" s="451"/>
      <c r="G56" s="451"/>
      <c r="H56" s="451"/>
      <c r="I56" s="451"/>
      <c r="J56" s="451"/>
      <c r="K56" s="452">
        <v>108.51</v>
      </c>
      <c r="L56" s="412">
        <v>20</v>
      </c>
      <c r="M56" s="453" t="s">
        <v>705</v>
      </c>
    </row>
    <row r="57" spans="2:15">
      <c r="B57" s="732"/>
      <c r="C57" s="409"/>
      <c r="D57" s="726"/>
      <c r="E57" s="451"/>
      <c r="F57" s="451"/>
      <c r="G57" s="451"/>
      <c r="H57" s="451"/>
      <c r="I57" s="451"/>
      <c r="J57" s="451"/>
      <c r="K57" s="452">
        <v>1000</v>
      </c>
      <c r="L57" s="412" t="s">
        <v>706</v>
      </c>
      <c r="M57" s="453">
        <v>100</v>
      </c>
    </row>
    <row r="58" spans="2:15">
      <c r="B58" s="732"/>
      <c r="C58" s="409"/>
      <c r="D58" s="726"/>
      <c r="E58" s="451"/>
      <c r="F58" s="451"/>
      <c r="G58" s="451"/>
      <c r="H58" s="451"/>
      <c r="I58" s="451"/>
      <c r="J58" s="451"/>
      <c r="K58" s="454">
        <v>84.3</v>
      </c>
      <c r="L58" s="412">
        <v>522</v>
      </c>
      <c r="M58" s="453">
        <v>168</v>
      </c>
    </row>
    <row r="59" spans="2:15">
      <c r="B59" s="732"/>
      <c r="C59" s="409"/>
      <c r="D59" s="726"/>
      <c r="E59" s="451"/>
      <c r="F59" s="451"/>
      <c r="G59" s="451"/>
      <c r="H59" s="451"/>
      <c r="I59" s="451"/>
      <c r="J59" s="451"/>
      <c r="K59" s="455">
        <f>SUM(K55:K58)</f>
        <v>44724.810000000005</v>
      </c>
      <c r="L59" s="456" t="s">
        <v>707</v>
      </c>
      <c r="M59" s="457" t="s">
        <v>708</v>
      </c>
    </row>
    <row r="60" spans="2:15">
      <c r="B60" s="732"/>
      <c r="C60" s="409"/>
      <c r="D60" s="726" t="s">
        <v>700</v>
      </c>
      <c r="E60" s="451"/>
      <c r="F60" s="451"/>
      <c r="G60" s="451"/>
      <c r="H60" s="451"/>
      <c r="I60" s="451"/>
      <c r="J60" s="451"/>
      <c r="K60" s="452">
        <v>14000</v>
      </c>
      <c r="L60" s="412" t="s">
        <v>709</v>
      </c>
      <c r="M60" s="453" t="s">
        <v>710</v>
      </c>
    </row>
    <row r="61" spans="2:15">
      <c r="B61" s="732"/>
      <c r="C61" s="409"/>
      <c r="D61" s="726"/>
      <c r="E61" s="451"/>
      <c r="F61" s="451"/>
      <c r="G61" s="451"/>
      <c r="H61" s="451"/>
      <c r="I61" s="451"/>
      <c r="J61" s="451"/>
      <c r="K61" s="452" t="s">
        <v>671</v>
      </c>
      <c r="L61" s="412">
        <v>120</v>
      </c>
      <c r="M61" s="453" t="s">
        <v>711</v>
      </c>
    </row>
    <row r="62" spans="2:15">
      <c r="B62" s="732"/>
      <c r="C62" s="409"/>
      <c r="D62" s="726"/>
      <c r="E62" s="451"/>
      <c r="F62" s="451"/>
      <c r="G62" s="451"/>
      <c r="H62" s="451"/>
      <c r="I62" s="451"/>
      <c r="J62" s="451"/>
      <c r="K62" s="455">
        <v>14000</v>
      </c>
      <c r="L62" s="456" t="s">
        <v>712</v>
      </c>
      <c r="M62" s="457" t="s">
        <v>713</v>
      </c>
    </row>
    <row r="63" spans="2:15" ht="15.6" thickBot="1">
      <c r="B63" s="733"/>
      <c r="C63" s="431"/>
      <c r="D63" s="432" t="s">
        <v>341</v>
      </c>
      <c r="E63" s="432"/>
      <c r="F63" s="432"/>
      <c r="G63" s="432"/>
      <c r="H63" s="432"/>
      <c r="I63" s="432"/>
      <c r="J63" s="432"/>
      <c r="K63" s="458">
        <f>SUM(K59,K62)</f>
        <v>58724.810000000005</v>
      </c>
      <c r="L63" s="459" t="s">
        <v>714</v>
      </c>
      <c r="M63" s="460" t="s">
        <v>715</v>
      </c>
      <c r="O63" s="382" t="s">
        <v>671</v>
      </c>
    </row>
    <row r="64" spans="2:15">
      <c r="B64" s="734" t="s">
        <v>716</v>
      </c>
      <c r="C64" s="461"/>
      <c r="D64" s="462" t="s">
        <v>717</v>
      </c>
      <c r="E64" s="463"/>
      <c r="F64" s="463"/>
      <c r="G64" s="463"/>
      <c r="H64" s="463"/>
      <c r="I64" s="463"/>
      <c r="J64" s="463"/>
      <c r="K64" s="464">
        <v>5911.98</v>
      </c>
      <c r="L64" s="465">
        <v>8910</v>
      </c>
      <c r="M64" s="466">
        <v>5833216</v>
      </c>
      <c r="O64" s="382" t="s">
        <v>718</v>
      </c>
    </row>
    <row r="65" spans="2:15" ht="15.6" thickBot="1">
      <c r="B65" s="735"/>
      <c r="C65" s="467"/>
      <c r="D65" s="468" t="s">
        <v>341</v>
      </c>
      <c r="E65" s="468"/>
      <c r="F65" s="468"/>
      <c r="G65" s="468"/>
      <c r="H65" s="468"/>
      <c r="I65" s="468"/>
      <c r="J65" s="468"/>
      <c r="K65" s="469">
        <f>K64</f>
        <v>5911.98</v>
      </c>
      <c r="L65" s="469">
        <f>L64</f>
        <v>8910</v>
      </c>
      <c r="M65" s="470">
        <f>M64</f>
        <v>5833216</v>
      </c>
    </row>
    <row r="66" spans="2:15">
      <c r="B66" s="736" t="s">
        <v>719</v>
      </c>
      <c r="C66" s="471"/>
      <c r="D66" s="737" t="s">
        <v>690</v>
      </c>
      <c r="E66" s="471"/>
      <c r="F66" s="471"/>
      <c r="G66" s="471"/>
      <c r="H66" s="471"/>
      <c r="I66" s="471"/>
      <c r="J66" s="471"/>
      <c r="K66" s="472">
        <v>1890</v>
      </c>
      <c r="L66" s="473">
        <v>8138</v>
      </c>
      <c r="M66" s="474">
        <f>L66*20</f>
        <v>162760</v>
      </c>
    </row>
    <row r="67" spans="2:15">
      <c r="B67" s="732"/>
      <c r="C67" s="409"/>
      <c r="D67" s="726"/>
      <c r="E67" s="409"/>
      <c r="F67" s="409"/>
      <c r="G67" s="409"/>
      <c r="H67" s="409"/>
      <c r="I67" s="409"/>
      <c r="J67" s="409"/>
      <c r="K67" s="475">
        <v>9021.11</v>
      </c>
      <c r="L67" s="476">
        <v>10364</v>
      </c>
      <c r="M67" s="477">
        <f>L67*20</f>
        <v>207280</v>
      </c>
    </row>
    <row r="68" spans="2:15">
      <c r="B68" s="732"/>
      <c r="C68" s="409"/>
      <c r="D68" s="726"/>
      <c r="E68" s="409"/>
      <c r="F68" s="409"/>
      <c r="G68" s="409"/>
      <c r="H68" s="409"/>
      <c r="I68" s="409"/>
      <c r="J68" s="409"/>
      <c r="K68" s="475">
        <v>589.04999999999995</v>
      </c>
      <c r="L68" s="476">
        <v>1147</v>
      </c>
      <c r="M68" s="477">
        <f>L68*20</f>
        <v>22940</v>
      </c>
    </row>
    <row r="69" spans="2:15">
      <c r="B69" s="732"/>
      <c r="C69" s="409"/>
      <c r="D69" s="726"/>
      <c r="E69" s="409"/>
      <c r="F69" s="409"/>
      <c r="G69" s="409"/>
      <c r="H69" s="409"/>
      <c r="I69" s="409"/>
      <c r="J69" s="409"/>
      <c r="K69" s="475">
        <v>495.18</v>
      </c>
      <c r="L69" s="476">
        <v>5802</v>
      </c>
      <c r="M69" s="477">
        <f>L69*20</f>
        <v>116040</v>
      </c>
    </row>
    <row r="70" spans="2:15">
      <c r="B70" s="732"/>
      <c r="C70" s="409"/>
      <c r="D70" s="726"/>
      <c r="E70" s="409"/>
      <c r="F70" s="409"/>
      <c r="G70" s="409"/>
      <c r="H70" s="409"/>
      <c r="I70" s="409"/>
      <c r="J70" s="409"/>
      <c r="K70" s="475">
        <v>7.5</v>
      </c>
      <c r="L70" s="476">
        <v>114</v>
      </c>
      <c r="M70" s="477">
        <f>L70*20</f>
        <v>2280</v>
      </c>
    </row>
    <row r="71" spans="2:15">
      <c r="B71" s="732"/>
      <c r="C71" s="409"/>
      <c r="D71" s="726"/>
      <c r="E71" s="409"/>
      <c r="F71" s="409"/>
      <c r="G71" s="409"/>
      <c r="H71" s="409"/>
      <c r="I71" s="409"/>
      <c r="J71" s="409"/>
      <c r="K71" s="478">
        <f>SUM(K66:K70)</f>
        <v>12002.84</v>
      </c>
      <c r="L71" s="479">
        <f>SUM(L66:L70)</f>
        <v>25565</v>
      </c>
      <c r="M71" s="480">
        <f>SUM(M66:M70)</f>
        <v>511300</v>
      </c>
    </row>
    <row r="72" spans="2:15">
      <c r="B72" s="732"/>
      <c r="C72" s="409"/>
      <c r="D72" s="726" t="s">
        <v>720</v>
      </c>
      <c r="E72" s="409"/>
      <c r="F72" s="409"/>
      <c r="G72" s="409"/>
      <c r="H72" s="409"/>
      <c r="I72" s="409"/>
      <c r="J72" s="409"/>
      <c r="K72" s="475">
        <f>0.4125+0.4125+1.11+0.4125+1.825</f>
        <v>4.1725000000000003</v>
      </c>
      <c r="L72" s="476">
        <f>15+30+40+20+61</f>
        <v>166</v>
      </c>
      <c r="M72" s="477">
        <f>L72*10</f>
        <v>1660</v>
      </c>
    </row>
    <row r="73" spans="2:15">
      <c r="B73" s="732"/>
      <c r="C73" s="409"/>
      <c r="D73" s="726"/>
      <c r="E73" s="409"/>
      <c r="F73" s="409"/>
      <c r="G73" s="409"/>
      <c r="H73" s="409"/>
      <c r="I73" s="409"/>
      <c r="J73" s="409"/>
      <c r="K73" s="475">
        <f>4+1</f>
        <v>5</v>
      </c>
      <c r="L73" s="476">
        <f>15+26+30</f>
        <v>71</v>
      </c>
      <c r="M73" s="477">
        <f>L73*10</f>
        <v>710</v>
      </c>
    </row>
    <row r="74" spans="2:15">
      <c r="B74" s="732"/>
      <c r="C74" s="409"/>
      <c r="D74" s="726"/>
      <c r="E74" s="409"/>
      <c r="F74" s="409"/>
      <c r="G74" s="409"/>
      <c r="H74" s="409"/>
      <c r="I74" s="409"/>
      <c r="J74" s="409"/>
      <c r="K74" s="475">
        <f>0.25+0.12+0.25</f>
        <v>0.62</v>
      </c>
      <c r="L74" s="476">
        <v>70</v>
      </c>
      <c r="M74" s="477">
        <f>L74*10</f>
        <v>700</v>
      </c>
    </row>
    <row r="75" spans="2:15">
      <c r="B75" s="732"/>
      <c r="C75" s="409"/>
      <c r="D75" s="726"/>
      <c r="E75" s="409"/>
      <c r="F75" s="409"/>
      <c r="G75" s="409"/>
      <c r="H75" s="409"/>
      <c r="I75" s="409"/>
      <c r="J75" s="409"/>
      <c r="K75" s="478">
        <f>SUM(K72:K74)</f>
        <v>9.7924999999999986</v>
      </c>
      <c r="L75" s="479">
        <f>SUM(L72:L74)</f>
        <v>307</v>
      </c>
      <c r="M75" s="480">
        <f>SUM(M72:M74)</f>
        <v>3070</v>
      </c>
    </row>
    <row r="76" spans="2:15">
      <c r="B76" s="732"/>
      <c r="C76" s="409"/>
      <c r="D76" s="726" t="s">
        <v>686</v>
      </c>
      <c r="E76" s="409"/>
      <c r="F76" s="409"/>
      <c r="G76" s="409"/>
      <c r="H76" s="409"/>
      <c r="I76" s="409"/>
      <c r="J76" s="409"/>
      <c r="K76" s="481">
        <v>284.7484</v>
      </c>
      <c r="L76" s="412">
        <v>74</v>
      </c>
      <c r="M76" s="482">
        <f>L76*5</f>
        <v>370</v>
      </c>
      <c r="O76" s="382" t="s">
        <v>721</v>
      </c>
    </row>
    <row r="77" spans="2:15">
      <c r="B77" s="732"/>
      <c r="C77" s="409"/>
      <c r="D77" s="726"/>
      <c r="E77" s="409"/>
      <c r="F77" s="409"/>
      <c r="G77" s="409"/>
      <c r="H77" s="409"/>
      <c r="I77" s="409"/>
      <c r="J77" s="409"/>
      <c r="K77" s="481">
        <v>183.97810000000001</v>
      </c>
      <c r="L77" s="412">
        <v>39</v>
      </c>
      <c r="M77" s="482">
        <f>L77*5</f>
        <v>195</v>
      </c>
      <c r="O77" s="382" t="s">
        <v>722</v>
      </c>
    </row>
    <row r="78" spans="2:15">
      <c r="B78" s="732"/>
      <c r="C78" s="409"/>
      <c r="D78" s="726"/>
      <c r="E78" s="409"/>
      <c r="F78" s="409"/>
      <c r="G78" s="409"/>
      <c r="H78" s="409"/>
      <c r="I78" s="409"/>
      <c r="J78" s="409"/>
      <c r="K78" s="481">
        <v>57.636899999999997</v>
      </c>
      <c r="L78" s="412">
        <v>13</v>
      </c>
      <c r="M78" s="482">
        <f>L78*5</f>
        <v>65</v>
      </c>
      <c r="O78" s="382" t="s">
        <v>723</v>
      </c>
    </row>
    <row r="79" spans="2:15">
      <c r="B79" s="732"/>
      <c r="C79" s="409"/>
      <c r="D79" s="726"/>
      <c r="E79" s="409"/>
      <c r="F79" s="409"/>
      <c r="G79" s="409"/>
      <c r="H79" s="409"/>
      <c r="I79" s="409"/>
      <c r="J79" s="409"/>
      <c r="K79" s="481">
        <v>85.792000000000002</v>
      </c>
      <c r="L79" s="412">
        <v>20</v>
      </c>
      <c r="M79" s="482">
        <f>L79*5</f>
        <v>100</v>
      </c>
      <c r="O79" s="382" t="s">
        <v>724</v>
      </c>
    </row>
    <row r="80" spans="2:15">
      <c r="B80" s="732"/>
      <c r="C80" s="409"/>
      <c r="D80" s="726"/>
      <c r="E80" s="409"/>
      <c r="F80" s="409"/>
      <c r="G80" s="409"/>
      <c r="H80" s="409"/>
      <c r="I80" s="409"/>
      <c r="J80" s="409"/>
      <c r="K80" s="483">
        <f>SUM(K76:K79)</f>
        <v>612.15539999999999</v>
      </c>
      <c r="L80" s="483">
        <f>SUM(L76:L79)</f>
        <v>146</v>
      </c>
      <c r="M80" s="484">
        <f>SUM(M76:M79)</f>
        <v>730</v>
      </c>
    </row>
    <row r="81" spans="2:15">
      <c r="B81" s="732"/>
      <c r="C81" s="409"/>
      <c r="D81" s="726" t="s">
        <v>684</v>
      </c>
      <c r="E81" s="409"/>
      <c r="F81" s="409"/>
      <c r="G81" s="409"/>
      <c r="H81" s="409"/>
      <c r="I81" s="409"/>
      <c r="J81" s="409"/>
      <c r="K81" s="485" t="s">
        <v>725</v>
      </c>
      <c r="L81" s="486">
        <v>4</v>
      </c>
      <c r="M81" s="477">
        <f>L81*30</f>
        <v>120</v>
      </c>
      <c r="O81" s="382" t="s">
        <v>726</v>
      </c>
    </row>
    <row r="82" spans="2:15">
      <c r="B82" s="732"/>
      <c r="C82" s="409"/>
      <c r="D82" s="726"/>
      <c r="E82" s="409"/>
      <c r="F82" s="409"/>
      <c r="G82" s="409"/>
      <c r="H82" s="409"/>
      <c r="I82" s="409"/>
      <c r="J82" s="409"/>
      <c r="K82" s="481" t="s">
        <v>727</v>
      </c>
      <c r="L82" s="486">
        <v>68</v>
      </c>
      <c r="M82" s="477">
        <f>L82*30</f>
        <v>2040</v>
      </c>
      <c r="O82" s="382" t="s">
        <v>726</v>
      </c>
    </row>
    <row r="83" spans="2:15">
      <c r="B83" s="732"/>
      <c r="C83" s="409"/>
      <c r="D83" s="726"/>
      <c r="E83" s="409"/>
      <c r="F83" s="409"/>
      <c r="G83" s="409"/>
      <c r="H83" s="409"/>
      <c r="I83" s="409"/>
      <c r="J83" s="409"/>
      <c r="K83" s="481" t="s">
        <v>728</v>
      </c>
      <c r="L83" s="486">
        <v>7</v>
      </c>
      <c r="M83" s="477">
        <f>L83*30</f>
        <v>210</v>
      </c>
      <c r="O83" s="382" t="s">
        <v>726</v>
      </c>
    </row>
    <row r="84" spans="2:15">
      <c r="B84" s="732"/>
      <c r="C84" s="409"/>
      <c r="D84" s="726"/>
      <c r="E84" s="409"/>
      <c r="F84" s="409"/>
      <c r="G84" s="409"/>
      <c r="H84" s="409"/>
      <c r="I84" s="409"/>
      <c r="J84" s="409"/>
      <c r="K84" s="483" t="s">
        <v>729</v>
      </c>
      <c r="L84" s="456">
        <f>SUM(L81:L83)</f>
        <v>79</v>
      </c>
      <c r="M84" s="487">
        <f>SUM(M81:M83)</f>
        <v>2370</v>
      </c>
    </row>
    <row r="85" spans="2:15">
      <c r="B85" s="732"/>
      <c r="C85" s="409"/>
      <c r="D85" s="385" t="s">
        <v>730</v>
      </c>
      <c r="E85" s="409"/>
      <c r="F85" s="409"/>
      <c r="G85" s="409"/>
      <c r="H85" s="409"/>
      <c r="I85" s="409"/>
      <c r="J85" s="409"/>
      <c r="K85" s="483" t="s">
        <v>731</v>
      </c>
      <c r="L85" s="488">
        <v>30</v>
      </c>
      <c r="M85" s="489">
        <f>L85*30</f>
        <v>900</v>
      </c>
      <c r="O85" s="382" t="s">
        <v>726</v>
      </c>
    </row>
    <row r="86" spans="2:15" ht="15.6" thickBot="1">
      <c r="B86" s="733"/>
      <c r="C86" s="431"/>
      <c r="D86" s="432" t="s">
        <v>341</v>
      </c>
      <c r="E86" s="447"/>
      <c r="F86" s="447"/>
      <c r="G86" s="447"/>
      <c r="H86" s="447"/>
      <c r="I86" s="447"/>
      <c r="J86" s="447"/>
      <c r="K86" s="490">
        <f>SUM(K71,K75,K80)</f>
        <v>12624.787899999999</v>
      </c>
      <c r="L86" s="491">
        <f>SUM(L71,L75,L80,L84,L85)</f>
        <v>26127</v>
      </c>
      <c r="M86" s="492">
        <f>SUM(M71,M75,M80,M84,M85)</f>
        <v>518370</v>
      </c>
      <c r="O86" s="382" t="s">
        <v>673</v>
      </c>
    </row>
    <row r="87" spans="2:15" ht="16.05" customHeight="1">
      <c r="B87" s="722" t="s">
        <v>732</v>
      </c>
      <c r="C87" s="406"/>
      <c r="D87" s="462" t="s">
        <v>684</v>
      </c>
      <c r="E87" s="406"/>
      <c r="F87" s="406"/>
      <c r="G87" s="406"/>
      <c r="H87" s="406"/>
      <c r="I87" s="406"/>
      <c r="J87" s="406"/>
      <c r="K87" s="493">
        <v>68.75</v>
      </c>
      <c r="L87" s="493">
        <v>275</v>
      </c>
      <c r="M87" s="494">
        <v>8250</v>
      </c>
    </row>
    <row r="88" spans="2:15">
      <c r="B88" s="732"/>
      <c r="C88" s="409"/>
      <c r="D88" s="385" t="s">
        <v>685</v>
      </c>
      <c r="E88" s="409"/>
      <c r="F88" s="409"/>
      <c r="G88" s="409"/>
      <c r="H88" s="409"/>
      <c r="I88" s="409"/>
      <c r="J88" s="409"/>
      <c r="K88" s="428">
        <v>691</v>
      </c>
      <c r="L88" s="445">
        <v>5791</v>
      </c>
      <c r="M88" s="429">
        <v>173730</v>
      </c>
    </row>
    <row r="89" spans="2:15">
      <c r="B89" s="732"/>
      <c r="C89" s="409"/>
      <c r="D89" s="385" t="s">
        <v>690</v>
      </c>
      <c r="E89" s="409"/>
      <c r="F89" s="409"/>
      <c r="G89" s="409"/>
      <c r="H89" s="409"/>
      <c r="I89" s="409"/>
      <c r="J89" s="409"/>
      <c r="K89" s="428">
        <v>2</v>
      </c>
      <c r="L89" s="428">
        <v>10</v>
      </c>
      <c r="M89" s="495">
        <v>300</v>
      </c>
    </row>
    <row r="90" spans="2:15">
      <c r="B90" s="732"/>
      <c r="C90" s="409"/>
      <c r="D90" s="385" t="s">
        <v>720</v>
      </c>
      <c r="E90" s="409"/>
      <c r="F90" s="409"/>
      <c r="G90" s="409"/>
      <c r="H90" s="409"/>
      <c r="I90" s="409"/>
      <c r="J90" s="409"/>
      <c r="K90" s="428">
        <v>2.7818000000000001</v>
      </c>
      <c r="L90" s="428">
        <v>55</v>
      </c>
      <c r="M90" s="429">
        <v>1650</v>
      </c>
    </row>
    <row r="91" spans="2:15" ht="15.6" thickBot="1">
      <c r="B91" s="733"/>
      <c r="C91" s="431"/>
      <c r="D91" s="432" t="s">
        <v>341</v>
      </c>
      <c r="E91" s="447"/>
      <c r="F91" s="447"/>
      <c r="G91" s="447"/>
      <c r="H91" s="447"/>
      <c r="I91" s="447"/>
      <c r="J91" s="447"/>
      <c r="K91" s="447">
        <f>SUM(K87:K90)</f>
        <v>764.53179999999998</v>
      </c>
      <c r="L91" s="435">
        <f>SUM(L87:L90)</f>
        <v>6131</v>
      </c>
      <c r="M91" s="436">
        <f>SUM(M87:M90)</f>
        <v>183930</v>
      </c>
    </row>
    <row r="92" spans="2:15" ht="16.05" customHeight="1">
      <c r="B92" s="722" t="s">
        <v>733</v>
      </c>
      <c r="C92" s="406"/>
      <c r="D92" s="725" t="s">
        <v>684</v>
      </c>
      <c r="E92" s="406"/>
      <c r="F92" s="406"/>
      <c r="G92" s="406"/>
      <c r="H92" s="406"/>
      <c r="I92" s="406"/>
      <c r="J92" s="406"/>
      <c r="K92" s="437">
        <v>0.12</v>
      </c>
      <c r="L92" s="437">
        <v>12</v>
      </c>
      <c r="M92" s="496">
        <v>672</v>
      </c>
    </row>
    <row r="93" spans="2:15">
      <c r="B93" s="732"/>
      <c r="C93" s="409"/>
      <c r="D93" s="726"/>
      <c r="E93" s="409"/>
      <c r="F93" s="409"/>
      <c r="G93" s="409"/>
      <c r="H93" s="409"/>
      <c r="I93" s="409"/>
      <c r="J93" s="409"/>
      <c r="K93" s="412">
        <v>0.05</v>
      </c>
      <c r="L93" s="412">
        <v>5</v>
      </c>
      <c r="M93" s="482">
        <v>280</v>
      </c>
    </row>
    <row r="94" spans="2:15">
      <c r="B94" s="732"/>
      <c r="C94" s="409"/>
      <c r="D94" s="726"/>
      <c r="E94" s="409"/>
      <c r="F94" s="409"/>
      <c r="G94" s="409"/>
      <c r="H94" s="409"/>
      <c r="I94" s="409"/>
      <c r="J94" s="409"/>
      <c r="K94" s="412">
        <v>23.55</v>
      </c>
      <c r="L94" s="412">
        <v>1</v>
      </c>
      <c r="M94" s="482">
        <v>56</v>
      </c>
    </row>
    <row r="95" spans="2:15">
      <c r="B95" s="732"/>
      <c r="C95" s="409"/>
      <c r="D95" s="726"/>
      <c r="E95" s="409"/>
      <c r="F95" s="409"/>
      <c r="G95" s="409"/>
      <c r="H95" s="409"/>
      <c r="I95" s="409"/>
      <c r="J95" s="409"/>
      <c r="K95" s="412">
        <v>0.25</v>
      </c>
      <c r="L95" s="412"/>
      <c r="M95" s="482">
        <v>140</v>
      </c>
      <c r="O95" s="382" t="s">
        <v>734</v>
      </c>
    </row>
    <row r="96" spans="2:15">
      <c r="B96" s="732"/>
      <c r="C96" s="409"/>
      <c r="D96" s="726"/>
      <c r="E96" s="409"/>
      <c r="F96" s="409"/>
      <c r="G96" s="409"/>
      <c r="H96" s="409"/>
      <c r="I96" s="409"/>
      <c r="J96" s="409"/>
      <c r="K96" s="412">
        <v>51.25</v>
      </c>
      <c r="L96" s="412">
        <v>13</v>
      </c>
      <c r="M96" s="482">
        <v>65</v>
      </c>
    </row>
    <row r="97" spans="2:15">
      <c r="B97" s="732"/>
      <c r="C97" s="409"/>
      <c r="D97" s="726"/>
      <c r="E97" s="409"/>
      <c r="F97" s="409"/>
      <c r="G97" s="409"/>
      <c r="H97" s="409"/>
      <c r="I97" s="409"/>
      <c r="J97" s="409"/>
      <c r="K97" s="412">
        <v>2E-3</v>
      </c>
      <c r="L97" s="412">
        <v>1</v>
      </c>
      <c r="M97" s="482">
        <v>10</v>
      </c>
    </row>
    <row r="98" spans="2:15">
      <c r="B98" s="732"/>
      <c r="C98" s="409"/>
      <c r="D98" s="726"/>
      <c r="E98" s="409"/>
      <c r="F98" s="409"/>
      <c r="G98" s="409"/>
      <c r="H98" s="409"/>
      <c r="I98" s="409"/>
      <c r="J98" s="409"/>
      <c r="K98" s="412">
        <v>0.141378</v>
      </c>
      <c r="L98" s="412"/>
      <c r="M98" s="482">
        <v>900</v>
      </c>
      <c r="O98" s="382" t="s">
        <v>735</v>
      </c>
    </row>
    <row r="99" spans="2:15" ht="15.6">
      <c r="B99" s="732"/>
      <c r="C99" s="409"/>
      <c r="D99" s="726"/>
      <c r="E99" s="409"/>
      <c r="F99" s="409"/>
      <c r="G99" s="409"/>
      <c r="H99" s="409"/>
      <c r="I99" s="409"/>
      <c r="J99" s="409"/>
      <c r="K99" s="497">
        <v>0.84899999999999998</v>
      </c>
      <c r="L99" s="412">
        <v>21</v>
      </c>
      <c r="M99" s="498">
        <v>1523.5</v>
      </c>
    </row>
    <row r="100" spans="2:15" ht="15.6">
      <c r="B100" s="732"/>
      <c r="C100" s="409"/>
      <c r="D100" s="726"/>
      <c r="E100" s="409"/>
      <c r="F100" s="409"/>
      <c r="G100" s="409"/>
      <c r="H100" s="409"/>
      <c r="I100" s="409"/>
      <c r="J100" s="409"/>
      <c r="K100" s="497">
        <v>105.15</v>
      </c>
      <c r="L100" s="412">
        <v>41</v>
      </c>
      <c r="M100" s="482">
        <v>2433.5</v>
      </c>
    </row>
    <row r="101" spans="2:15">
      <c r="B101" s="732"/>
      <c r="C101" s="409"/>
      <c r="D101" s="726"/>
      <c r="E101" s="409"/>
      <c r="F101" s="409"/>
      <c r="G101" s="409"/>
      <c r="H101" s="409"/>
      <c r="I101" s="409"/>
      <c r="J101" s="409"/>
      <c r="K101" s="442">
        <f>SUM(K92:K100)</f>
        <v>181.36237800000001</v>
      </c>
      <c r="L101" s="442">
        <f>SUM(L92:L94,L96:L97,L99:L100)</f>
        <v>94</v>
      </c>
      <c r="M101" s="427">
        <f>SUM(M92:M100)</f>
        <v>6080</v>
      </c>
    </row>
    <row r="102" spans="2:15">
      <c r="B102" s="732"/>
      <c r="C102" s="409"/>
      <c r="D102" s="726" t="s">
        <v>695</v>
      </c>
      <c r="E102" s="409"/>
      <c r="F102" s="409"/>
      <c r="G102" s="409"/>
      <c r="H102" s="409"/>
      <c r="I102" s="409"/>
      <c r="J102" s="409"/>
      <c r="K102" s="412">
        <v>0.12</v>
      </c>
      <c r="L102" s="412">
        <v>12</v>
      </c>
      <c r="M102" s="482">
        <v>672</v>
      </c>
    </row>
    <row r="103" spans="2:15">
      <c r="B103" s="732"/>
      <c r="C103" s="409"/>
      <c r="D103" s="726"/>
      <c r="E103" s="409"/>
      <c r="F103" s="409"/>
      <c r="G103" s="409"/>
      <c r="H103" s="409"/>
      <c r="I103" s="409"/>
      <c r="J103" s="409"/>
      <c r="K103" s="412">
        <v>0.02</v>
      </c>
      <c r="L103" s="412">
        <v>2</v>
      </c>
      <c r="M103" s="482">
        <v>112</v>
      </c>
    </row>
    <row r="104" spans="2:15">
      <c r="B104" s="732"/>
      <c r="C104" s="409"/>
      <c r="D104" s="726"/>
      <c r="E104" s="409"/>
      <c r="F104" s="409"/>
      <c r="G104" s="409"/>
      <c r="H104" s="409"/>
      <c r="I104" s="409"/>
      <c r="J104" s="409"/>
      <c r="K104" s="412">
        <v>1.41</v>
      </c>
      <c r="L104" s="412">
        <v>8</v>
      </c>
      <c r="M104" s="482">
        <v>84</v>
      </c>
    </row>
    <row r="105" spans="2:15">
      <c r="B105" s="732"/>
      <c r="C105" s="409"/>
      <c r="D105" s="726"/>
      <c r="E105" s="409"/>
      <c r="F105" s="409"/>
      <c r="G105" s="409"/>
      <c r="H105" s="409"/>
      <c r="I105" s="409"/>
      <c r="J105" s="409"/>
      <c r="K105" s="412">
        <v>15.2767</v>
      </c>
      <c r="L105" s="412">
        <v>78</v>
      </c>
      <c r="M105" s="413">
        <v>3309</v>
      </c>
    </row>
    <row r="106" spans="2:15" ht="15.6">
      <c r="B106" s="732"/>
      <c r="C106" s="409"/>
      <c r="D106" s="726"/>
      <c r="E106" s="409"/>
      <c r="F106" s="409"/>
      <c r="G106" s="409"/>
      <c r="H106" s="409"/>
      <c r="I106" s="409"/>
      <c r="J106" s="409"/>
      <c r="K106" s="499">
        <v>1.4999999999999999E-2</v>
      </c>
      <c r="L106" s="500">
        <v>2</v>
      </c>
      <c r="M106" s="501">
        <v>40</v>
      </c>
    </row>
    <row r="107" spans="2:15">
      <c r="B107" s="732"/>
      <c r="C107" s="409"/>
      <c r="D107" s="726"/>
      <c r="E107" s="409"/>
      <c r="F107" s="409"/>
      <c r="G107" s="409"/>
      <c r="H107" s="409"/>
      <c r="I107" s="409"/>
      <c r="J107" s="409"/>
      <c r="K107" s="500">
        <v>18.399999999999999</v>
      </c>
      <c r="L107" s="500">
        <v>26</v>
      </c>
      <c r="M107" s="501">
        <v>536</v>
      </c>
    </row>
    <row r="108" spans="2:15">
      <c r="B108" s="732"/>
      <c r="C108" s="409"/>
      <c r="D108" s="726"/>
      <c r="E108" s="409"/>
      <c r="F108" s="409"/>
      <c r="G108" s="409"/>
      <c r="H108" s="409"/>
      <c r="I108" s="409"/>
      <c r="J108" s="409"/>
      <c r="K108" s="502">
        <f>SUM(K102:K107)</f>
        <v>35.241699999999994</v>
      </c>
      <c r="L108" s="502">
        <f>SUM(L102:L107)</f>
        <v>128</v>
      </c>
      <c r="M108" s="503">
        <f>SUM(M102:M107)</f>
        <v>4753</v>
      </c>
    </row>
    <row r="109" spans="2:15">
      <c r="B109" s="732"/>
      <c r="C109" s="409"/>
      <c r="D109" s="726" t="s">
        <v>685</v>
      </c>
      <c r="E109" s="409"/>
      <c r="F109" s="409"/>
      <c r="G109" s="409"/>
      <c r="H109" s="409"/>
      <c r="I109" s="409"/>
      <c r="J109" s="409"/>
      <c r="K109" s="412">
        <v>45</v>
      </c>
      <c r="L109" s="412">
        <v>45</v>
      </c>
      <c r="M109" s="413">
        <v>2520</v>
      </c>
    </row>
    <row r="110" spans="2:15">
      <c r="B110" s="732"/>
      <c r="C110" s="409"/>
      <c r="D110" s="726"/>
      <c r="E110" s="409"/>
      <c r="F110" s="409"/>
      <c r="G110" s="409"/>
      <c r="H110" s="409"/>
      <c r="I110" s="409"/>
      <c r="J110" s="409"/>
      <c r="K110" s="412">
        <v>0.11</v>
      </c>
      <c r="L110" s="412">
        <v>2</v>
      </c>
      <c r="M110" s="482">
        <v>60</v>
      </c>
    </row>
    <row r="111" spans="2:15">
      <c r="B111" s="732"/>
      <c r="C111" s="409"/>
      <c r="D111" s="726"/>
      <c r="E111" s="409"/>
      <c r="F111" s="409"/>
      <c r="G111" s="409"/>
      <c r="H111" s="409"/>
      <c r="I111" s="409"/>
      <c r="J111" s="409"/>
      <c r="K111" s="412">
        <v>13.5</v>
      </c>
      <c r="L111" s="412">
        <v>4</v>
      </c>
      <c r="M111" s="482">
        <v>100</v>
      </c>
    </row>
    <row r="112" spans="2:15">
      <c r="B112" s="732"/>
      <c r="C112" s="409"/>
      <c r="D112" s="726"/>
      <c r="E112" s="409"/>
      <c r="F112" s="409"/>
      <c r="G112" s="409"/>
      <c r="H112" s="409"/>
      <c r="I112" s="409"/>
      <c r="J112" s="409"/>
      <c r="K112" s="412">
        <v>3.6461999999999999</v>
      </c>
      <c r="L112" s="412">
        <v>157</v>
      </c>
      <c r="M112" s="482">
        <v>4190</v>
      </c>
    </row>
    <row r="113" spans="2:15">
      <c r="B113" s="732"/>
      <c r="C113" s="409"/>
      <c r="D113" s="726"/>
      <c r="E113" s="409"/>
      <c r="F113" s="409"/>
      <c r="G113" s="409"/>
      <c r="H113" s="409"/>
      <c r="I113" s="409"/>
      <c r="J113" s="409"/>
      <c r="K113" s="412">
        <v>4.7149999999999999</v>
      </c>
      <c r="L113" s="412">
        <v>96</v>
      </c>
      <c r="M113" s="413">
        <v>2880</v>
      </c>
    </row>
    <row r="114" spans="2:15">
      <c r="B114" s="732"/>
      <c r="C114" s="389"/>
      <c r="D114" s="726"/>
      <c r="E114" s="389"/>
      <c r="F114" s="389"/>
      <c r="G114" s="389"/>
      <c r="H114" s="389"/>
      <c r="I114" s="389"/>
      <c r="J114" s="389"/>
      <c r="K114" s="504">
        <f>SUM(K109:K113)</f>
        <v>66.971199999999996</v>
      </c>
      <c r="L114" s="504">
        <f>SUM(L109:L113)</f>
        <v>304</v>
      </c>
      <c r="M114" s="505">
        <f>SUM(M109:M113)</f>
        <v>9750</v>
      </c>
    </row>
    <row r="115" spans="2:15">
      <c r="B115" s="732"/>
      <c r="C115" s="389"/>
      <c r="D115" s="726" t="s">
        <v>694</v>
      </c>
      <c r="E115" s="389"/>
      <c r="F115" s="389"/>
      <c r="G115" s="389"/>
      <c r="H115" s="389"/>
      <c r="I115" s="389"/>
      <c r="J115" s="389"/>
      <c r="K115" s="412">
        <v>30</v>
      </c>
      <c r="L115" s="412">
        <v>5</v>
      </c>
      <c r="M115" s="482">
        <v>280</v>
      </c>
    </row>
    <row r="116" spans="2:15">
      <c r="B116" s="732"/>
      <c r="C116" s="389"/>
      <c r="D116" s="726"/>
      <c r="E116" s="389"/>
      <c r="F116" s="389"/>
      <c r="G116" s="389"/>
      <c r="H116" s="389"/>
      <c r="I116" s="389"/>
      <c r="J116" s="389"/>
      <c r="K116" s="412">
        <v>111</v>
      </c>
      <c r="L116" s="412">
        <v>19</v>
      </c>
      <c r="M116" s="482">
        <v>190</v>
      </c>
    </row>
    <row r="117" spans="2:15">
      <c r="B117" s="732"/>
      <c r="C117" s="389"/>
      <c r="D117" s="726"/>
      <c r="E117" s="389"/>
      <c r="F117" s="389"/>
      <c r="G117" s="389"/>
      <c r="H117" s="389"/>
      <c r="I117" s="389"/>
      <c r="J117" s="389"/>
      <c r="K117" s="412">
        <v>103.663</v>
      </c>
      <c r="L117" s="412">
        <v>53</v>
      </c>
      <c r="M117" s="482">
        <v>8960</v>
      </c>
    </row>
    <row r="118" spans="2:15">
      <c r="B118" s="732"/>
      <c r="C118" s="389"/>
      <c r="D118" s="726"/>
      <c r="E118" s="389"/>
      <c r="F118" s="389"/>
      <c r="G118" s="389"/>
      <c r="H118" s="389"/>
      <c r="I118" s="389"/>
      <c r="J118" s="389"/>
      <c r="K118" s="506">
        <f>SUM(K115:K117)</f>
        <v>244.66300000000001</v>
      </c>
      <c r="L118" s="506">
        <f>SUM(L115:L117)</f>
        <v>77</v>
      </c>
      <c r="M118" s="507">
        <f>SUM(M115:M117)</f>
        <v>9430</v>
      </c>
    </row>
    <row r="119" spans="2:15">
      <c r="B119" s="732"/>
      <c r="C119" s="389"/>
      <c r="D119" s="726" t="s">
        <v>736</v>
      </c>
      <c r="E119" s="389"/>
      <c r="F119" s="389"/>
      <c r="G119" s="389"/>
      <c r="H119" s="389"/>
      <c r="I119" s="389"/>
      <c r="J119" s="389"/>
      <c r="K119" s="412">
        <v>0.73229999999999995</v>
      </c>
      <c r="L119" s="412">
        <v>142</v>
      </c>
      <c r="M119" s="413">
        <v>1420</v>
      </c>
    </row>
    <row r="120" spans="2:15">
      <c r="B120" s="732"/>
      <c r="C120" s="389"/>
      <c r="D120" s="726"/>
      <c r="E120" s="389"/>
      <c r="F120" s="389"/>
      <c r="G120" s="389"/>
      <c r="H120" s="389"/>
      <c r="I120" s="389"/>
      <c r="J120" s="389"/>
      <c r="K120" s="412">
        <v>4.7E-2</v>
      </c>
      <c r="L120" s="481">
        <v>50</v>
      </c>
      <c r="M120" s="482">
        <v>5580</v>
      </c>
      <c r="O120" s="382" t="s">
        <v>737</v>
      </c>
    </row>
    <row r="121" spans="2:15">
      <c r="B121" s="732"/>
      <c r="C121" s="389"/>
      <c r="D121" s="726"/>
      <c r="E121" s="389"/>
      <c r="F121" s="389"/>
      <c r="G121" s="389"/>
      <c r="H121" s="389"/>
      <c r="I121" s="389"/>
      <c r="J121" s="389"/>
      <c r="K121" s="412">
        <v>1.0200000000000001E-3</v>
      </c>
      <c r="L121" s="481">
        <v>2</v>
      </c>
      <c r="M121" s="482">
        <v>40</v>
      </c>
    </row>
    <row r="122" spans="2:15">
      <c r="B122" s="732"/>
      <c r="C122" s="389"/>
      <c r="D122" s="726"/>
      <c r="E122" s="389"/>
      <c r="F122" s="389"/>
      <c r="G122" s="389"/>
      <c r="H122" s="389"/>
      <c r="I122" s="389"/>
      <c r="J122" s="389"/>
      <c r="K122" s="412">
        <v>0.01</v>
      </c>
      <c r="L122" s="412">
        <v>1</v>
      </c>
      <c r="M122" s="482">
        <v>40</v>
      </c>
    </row>
    <row r="123" spans="2:15">
      <c r="B123" s="732"/>
      <c r="C123" s="389"/>
      <c r="D123" s="726"/>
      <c r="E123" s="389"/>
      <c r="F123" s="389"/>
      <c r="G123" s="389"/>
      <c r="H123" s="389"/>
      <c r="I123" s="389"/>
      <c r="J123" s="389"/>
      <c r="K123" s="412">
        <v>0.09</v>
      </c>
      <c r="L123" s="412">
        <v>1</v>
      </c>
      <c r="M123" s="482">
        <v>35</v>
      </c>
    </row>
    <row r="124" spans="2:15">
      <c r="B124" s="732"/>
      <c r="C124" s="389"/>
      <c r="D124" s="726"/>
      <c r="E124" s="389"/>
      <c r="F124" s="389"/>
      <c r="G124" s="389"/>
      <c r="H124" s="389"/>
      <c r="I124" s="389"/>
      <c r="J124" s="389"/>
      <c r="K124" s="504">
        <f>SUM(K119:K123)</f>
        <v>0.88031999999999999</v>
      </c>
      <c r="L124" s="504">
        <f>SUM(L119:L123)</f>
        <v>196</v>
      </c>
      <c r="M124" s="505">
        <f>SUM(M119:M123)</f>
        <v>7115</v>
      </c>
    </row>
    <row r="125" spans="2:15">
      <c r="B125" s="732"/>
      <c r="C125" s="389"/>
      <c r="D125" s="726" t="s">
        <v>690</v>
      </c>
      <c r="E125" s="389"/>
      <c r="F125" s="389"/>
      <c r="G125" s="389"/>
      <c r="H125" s="389"/>
      <c r="I125" s="389"/>
      <c r="J125" s="389"/>
      <c r="K125" s="412">
        <v>20</v>
      </c>
      <c r="L125" s="412">
        <v>30</v>
      </c>
      <c r="M125" s="482">
        <v>450</v>
      </c>
    </row>
    <row r="126" spans="2:15">
      <c r="B126" s="732"/>
      <c r="C126" s="389"/>
      <c r="D126" s="726"/>
      <c r="E126" s="389"/>
      <c r="F126" s="389"/>
      <c r="G126" s="389"/>
      <c r="H126" s="389"/>
      <c r="I126" s="389"/>
      <c r="J126" s="389"/>
      <c r="K126" s="412">
        <v>4.5</v>
      </c>
      <c r="L126" s="412"/>
      <c r="M126" s="482">
        <v>900</v>
      </c>
      <c r="O126" s="382" t="s">
        <v>735</v>
      </c>
    </row>
    <row r="127" spans="2:15">
      <c r="B127" s="732"/>
      <c r="C127" s="389"/>
      <c r="D127" s="726"/>
      <c r="E127" s="389"/>
      <c r="F127" s="389"/>
      <c r="G127" s="389"/>
      <c r="H127" s="389"/>
      <c r="I127" s="389"/>
      <c r="J127" s="389"/>
      <c r="K127" s="412">
        <v>953</v>
      </c>
      <c r="L127" s="412">
        <v>771</v>
      </c>
      <c r="M127" s="482">
        <v>56640</v>
      </c>
    </row>
    <row r="128" spans="2:15">
      <c r="B128" s="732"/>
      <c r="C128" s="389"/>
      <c r="D128" s="726"/>
      <c r="E128" s="389"/>
      <c r="F128" s="389"/>
      <c r="G128" s="389"/>
      <c r="H128" s="389"/>
      <c r="I128" s="389"/>
      <c r="J128" s="389"/>
      <c r="K128" s="504">
        <f>SUM(K125:K127)</f>
        <v>977.5</v>
      </c>
      <c r="L128" s="504">
        <f>SUM(L125:L127)</f>
        <v>801</v>
      </c>
      <c r="M128" s="505">
        <f>SUM(M125:M127)</f>
        <v>57990</v>
      </c>
    </row>
    <row r="129" spans="2:13">
      <c r="B129" s="732"/>
      <c r="C129" s="389"/>
      <c r="D129" s="508" t="s">
        <v>738</v>
      </c>
      <c r="E129" s="389"/>
      <c r="F129" s="389"/>
      <c r="G129" s="389"/>
      <c r="H129" s="389"/>
      <c r="I129" s="389"/>
      <c r="J129" s="389"/>
      <c r="K129" s="428">
        <v>13</v>
      </c>
      <c r="L129" s="428">
        <v>4</v>
      </c>
      <c r="M129" s="495">
        <v>97</v>
      </c>
    </row>
    <row r="130" spans="2:13">
      <c r="B130" s="732"/>
      <c r="C130" s="389"/>
      <c r="D130" s="508" t="s">
        <v>739</v>
      </c>
      <c r="E130" s="389"/>
      <c r="F130" s="389"/>
      <c r="G130" s="389"/>
      <c r="H130" s="389"/>
      <c r="I130" s="389"/>
      <c r="J130" s="389"/>
      <c r="K130" s="428">
        <v>3.7</v>
      </c>
      <c r="L130" s="428">
        <v>2</v>
      </c>
      <c r="M130" s="495">
        <v>45</v>
      </c>
    </row>
    <row r="131" spans="2:13">
      <c r="B131" s="732"/>
      <c r="C131" s="389"/>
      <c r="D131" s="508" t="s">
        <v>686</v>
      </c>
      <c r="E131" s="389"/>
      <c r="F131" s="389"/>
      <c r="G131" s="389"/>
      <c r="H131" s="389"/>
      <c r="I131" s="389"/>
      <c r="J131" s="389"/>
      <c r="K131" s="509">
        <v>8.4</v>
      </c>
      <c r="L131" s="509">
        <v>3</v>
      </c>
      <c r="M131" s="510">
        <v>88</v>
      </c>
    </row>
    <row r="132" spans="2:13">
      <c r="B132" s="732"/>
      <c r="C132" s="389"/>
      <c r="D132" s="726" t="s">
        <v>740</v>
      </c>
      <c r="E132" s="389"/>
      <c r="F132" s="389"/>
      <c r="G132" s="389"/>
      <c r="H132" s="389"/>
      <c r="I132" s="389"/>
      <c r="J132" s="389"/>
      <c r="K132" s="412">
        <v>2.92E-2</v>
      </c>
      <c r="L132" s="412">
        <v>4</v>
      </c>
      <c r="M132" s="482">
        <v>600</v>
      </c>
    </row>
    <row r="133" spans="2:13">
      <c r="B133" s="732"/>
      <c r="C133" s="389"/>
      <c r="D133" s="726"/>
      <c r="E133" s="389"/>
      <c r="F133" s="389"/>
      <c r="G133" s="389"/>
      <c r="H133" s="389"/>
      <c r="I133" s="389"/>
      <c r="J133" s="389"/>
      <c r="K133" s="412">
        <v>1.6400000000000001E-2</v>
      </c>
      <c r="L133" s="412">
        <v>2</v>
      </c>
      <c r="M133" s="482">
        <v>210</v>
      </c>
    </row>
    <row r="134" spans="2:13">
      <c r="B134" s="732"/>
      <c r="C134" s="389"/>
      <c r="D134" s="726"/>
      <c r="E134" s="389"/>
      <c r="F134" s="389"/>
      <c r="G134" s="389"/>
      <c r="H134" s="389"/>
      <c r="I134" s="389"/>
      <c r="J134" s="389"/>
      <c r="K134" s="412">
        <v>1.5</v>
      </c>
      <c r="L134" s="412">
        <v>1</v>
      </c>
      <c r="M134" s="482">
        <v>15</v>
      </c>
    </row>
    <row r="135" spans="2:13">
      <c r="B135" s="732"/>
      <c r="C135" s="389"/>
      <c r="D135" s="726"/>
      <c r="E135" s="389"/>
      <c r="F135" s="389"/>
      <c r="G135" s="389"/>
      <c r="H135" s="389"/>
      <c r="I135" s="389"/>
      <c r="J135" s="389"/>
      <c r="K135" s="412">
        <v>1</v>
      </c>
      <c r="L135" s="412">
        <v>100</v>
      </c>
      <c r="M135" s="482">
        <v>10000</v>
      </c>
    </row>
    <row r="136" spans="2:13">
      <c r="B136" s="732"/>
      <c r="C136" s="389"/>
      <c r="D136" s="726"/>
      <c r="E136" s="389"/>
      <c r="F136" s="389"/>
      <c r="G136" s="389"/>
      <c r="H136" s="389"/>
      <c r="I136" s="389"/>
      <c r="J136" s="389"/>
      <c r="K136" s="412">
        <v>0.81</v>
      </c>
      <c r="L136" s="412">
        <v>78</v>
      </c>
      <c r="M136" s="482">
        <v>7295</v>
      </c>
    </row>
    <row r="137" spans="2:13">
      <c r="B137" s="732"/>
      <c r="C137" s="389"/>
      <c r="D137" s="726"/>
      <c r="E137" s="389"/>
      <c r="F137" s="389"/>
      <c r="G137" s="389"/>
      <c r="H137" s="389"/>
      <c r="I137" s="389"/>
      <c r="J137" s="389"/>
      <c r="K137" s="412">
        <v>0.10539999999999999</v>
      </c>
      <c r="L137" s="412">
        <v>27</v>
      </c>
      <c r="M137" s="482">
        <v>495</v>
      </c>
    </row>
    <row r="138" spans="2:13">
      <c r="B138" s="732"/>
      <c r="C138" s="389"/>
      <c r="D138" s="726"/>
      <c r="E138" s="389"/>
      <c r="F138" s="389"/>
      <c r="G138" s="389"/>
      <c r="H138" s="389"/>
      <c r="I138" s="389"/>
      <c r="J138" s="389"/>
      <c r="K138" s="504">
        <f>SUM(K132:K137)</f>
        <v>3.4610000000000003</v>
      </c>
      <c r="L138" s="504">
        <f>SUM(L132:L137)</f>
        <v>212</v>
      </c>
      <c r="M138" s="505">
        <f>SUM(M132:M137)</f>
        <v>18615</v>
      </c>
    </row>
    <row r="139" spans="2:13">
      <c r="B139" s="732"/>
      <c r="C139" s="389"/>
      <c r="D139" s="508" t="s">
        <v>741</v>
      </c>
      <c r="E139" s="389"/>
      <c r="F139" s="389"/>
      <c r="G139" s="389"/>
      <c r="H139" s="389"/>
      <c r="I139" s="389"/>
      <c r="J139" s="389"/>
      <c r="K139" s="428">
        <v>15</v>
      </c>
      <c r="L139" s="428">
        <v>8</v>
      </c>
      <c r="M139" s="495">
        <v>800</v>
      </c>
    </row>
    <row r="140" spans="2:13">
      <c r="B140" s="732"/>
      <c r="C140" s="389"/>
      <c r="D140" s="508" t="s">
        <v>683</v>
      </c>
      <c r="E140" s="389"/>
      <c r="F140" s="389"/>
      <c r="G140" s="389"/>
      <c r="H140" s="389"/>
      <c r="I140" s="389"/>
      <c r="J140" s="389"/>
      <c r="K140" s="428">
        <v>6.4000000000000003E-3</v>
      </c>
      <c r="L140" s="428">
        <v>1</v>
      </c>
      <c r="M140" s="495">
        <v>28</v>
      </c>
    </row>
    <row r="141" spans="2:13">
      <c r="B141" s="732"/>
      <c r="C141" s="389"/>
      <c r="D141" s="508" t="s">
        <v>742</v>
      </c>
      <c r="E141" s="389"/>
      <c r="F141" s="389"/>
      <c r="G141" s="389"/>
      <c r="H141" s="389"/>
      <c r="I141" s="389"/>
      <c r="J141" s="389"/>
      <c r="K141" s="428">
        <v>0.7</v>
      </c>
      <c r="L141" s="428">
        <v>1</v>
      </c>
      <c r="M141" s="495">
        <v>22</v>
      </c>
    </row>
    <row r="142" spans="2:13">
      <c r="B142" s="732"/>
      <c r="C142" s="389"/>
      <c r="D142" s="508" t="s">
        <v>743</v>
      </c>
      <c r="E142" s="389"/>
      <c r="F142" s="389"/>
      <c r="G142" s="389"/>
      <c r="H142" s="389"/>
      <c r="I142" s="389"/>
      <c r="J142" s="389"/>
      <c r="K142" s="502">
        <v>1</v>
      </c>
      <c r="L142" s="502">
        <v>1</v>
      </c>
      <c r="M142" s="503">
        <v>40</v>
      </c>
    </row>
    <row r="143" spans="2:13">
      <c r="B143" s="732"/>
      <c r="C143" s="389"/>
      <c r="D143" s="508" t="s">
        <v>744</v>
      </c>
      <c r="E143" s="389"/>
      <c r="F143" s="389"/>
      <c r="G143" s="389"/>
      <c r="H143" s="389"/>
      <c r="I143" s="389"/>
      <c r="J143" s="389"/>
      <c r="K143" s="428">
        <v>369</v>
      </c>
      <c r="L143" s="428">
        <v>50</v>
      </c>
      <c r="M143" s="495">
        <v>2000</v>
      </c>
    </row>
    <row r="144" spans="2:13">
      <c r="B144" s="732"/>
      <c r="C144" s="389"/>
      <c r="D144" s="508" t="s">
        <v>745</v>
      </c>
      <c r="E144" s="389"/>
      <c r="F144" s="389"/>
      <c r="G144" s="389"/>
      <c r="H144" s="389"/>
      <c r="I144" s="389"/>
      <c r="J144" s="389"/>
      <c r="K144" s="428">
        <v>2907.7</v>
      </c>
      <c r="L144" s="428">
        <v>6</v>
      </c>
      <c r="M144" s="495">
        <v>600</v>
      </c>
    </row>
    <row r="145" spans="2:15" ht="16.05" customHeight="1">
      <c r="B145" s="732"/>
      <c r="C145" s="389"/>
      <c r="D145" s="739" t="s">
        <v>746</v>
      </c>
      <c r="E145" s="385" t="s">
        <v>747</v>
      </c>
      <c r="F145" s="385"/>
      <c r="G145" s="385"/>
      <c r="H145" s="385"/>
      <c r="I145" s="385"/>
      <c r="J145" s="385"/>
      <c r="K145" s="412">
        <v>0.31</v>
      </c>
      <c r="L145" s="412">
        <v>9</v>
      </c>
      <c r="M145" s="482">
        <v>135</v>
      </c>
    </row>
    <row r="146" spans="2:15">
      <c r="B146" s="732"/>
      <c r="C146" s="389"/>
      <c r="D146" s="739"/>
      <c r="E146" s="385"/>
      <c r="F146" s="385" t="s">
        <v>747</v>
      </c>
      <c r="G146" s="385"/>
      <c r="H146" s="385"/>
      <c r="I146" s="385"/>
      <c r="J146" s="385"/>
      <c r="K146" s="412">
        <v>0.05</v>
      </c>
      <c r="L146" s="412">
        <v>3</v>
      </c>
      <c r="M146" s="482">
        <v>180</v>
      </c>
    </row>
    <row r="147" spans="2:15">
      <c r="B147" s="732"/>
      <c r="C147" s="389"/>
      <c r="D147" s="739"/>
      <c r="E147" s="389"/>
      <c r="F147" s="389"/>
      <c r="G147" s="389"/>
      <c r="H147" s="389"/>
      <c r="I147" s="389"/>
      <c r="J147" s="389"/>
      <c r="K147" s="504">
        <f>SUM(K145:K146)</f>
        <v>0.36</v>
      </c>
      <c r="L147" s="504">
        <f>SUM(L145:L146)</f>
        <v>12</v>
      </c>
      <c r="M147" s="505">
        <f>SUM(M145:M146)</f>
        <v>315</v>
      </c>
    </row>
    <row r="148" spans="2:15">
      <c r="B148" s="732"/>
      <c r="C148" s="389"/>
      <c r="D148" s="508" t="s">
        <v>748</v>
      </c>
      <c r="E148" s="389"/>
      <c r="F148" s="389"/>
      <c r="G148" s="389"/>
      <c r="H148" s="389"/>
      <c r="I148" s="389"/>
      <c r="J148" s="389"/>
      <c r="K148" s="428">
        <v>0.06</v>
      </c>
      <c r="L148" s="428">
        <v>4</v>
      </c>
      <c r="M148" s="495">
        <v>75</v>
      </c>
    </row>
    <row r="149" spans="2:15">
      <c r="B149" s="732"/>
      <c r="C149" s="389"/>
      <c r="D149" s="508" t="s">
        <v>746</v>
      </c>
      <c r="E149" s="389"/>
      <c r="F149" s="389"/>
      <c r="G149" s="389"/>
      <c r="H149" s="389"/>
      <c r="I149" s="389"/>
      <c r="J149" s="389"/>
      <c r="K149" s="428">
        <v>6.9470000000000004E-2</v>
      </c>
      <c r="L149" s="428">
        <v>17</v>
      </c>
      <c r="M149" s="495">
        <v>340</v>
      </c>
    </row>
    <row r="150" spans="2:15" ht="15.6" thickBot="1">
      <c r="B150" s="733"/>
      <c r="C150" s="511"/>
      <c r="D150" s="512" t="s">
        <v>341</v>
      </c>
      <c r="E150" s="513"/>
      <c r="F150" s="513"/>
      <c r="G150" s="513"/>
      <c r="H150" s="513"/>
      <c r="I150" s="513"/>
      <c r="J150" s="513"/>
      <c r="K150" s="514">
        <f>SUM(K101,K108,K114,K118,K124,K128:K131,K138:K144,K147:K149)</f>
        <v>4829.0754680000009</v>
      </c>
      <c r="L150" s="515">
        <f>SUM(L101,L108,L114,L118,L124,L128:L131,L138:L144,L147:L149)</f>
        <v>1921</v>
      </c>
      <c r="M150" s="516">
        <f>SUM(M101,M108,M114,M118,M124,M128:M131,M138:M144,M147:M149)</f>
        <v>118183</v>
      </c>
      <c r="O150" s="382" t="s">
        <v>674</v>
      </c>
    </row>
    <row r="151" spans="2:15" ht="16.05" customHeight="1">
      <c r="B151" s="722" t="s">
        <v>749</v>
      </c>
      <c r="C151" s="517"/>
      <c r="D151" s="725" t="s">
        <v>700</v>
      </c>
      <c r="E151" s="517"/>
      <c r="F151" s="517"/>
      <c r="G151" s="517"/>
      <c r="H151" s="517"/>
      <c r="I151" s="517"/>
      <c r="J151" s="517"/>
      <c r="K151" s="518">
        <v>60.762900000000002</v>
      </c>
      <c r="L151" s="519">
        <v>266</v>
      </c>
      <c r="M151" s="496"/>
    </row>
    <row r="152" spans="2:15">
      <c r="B152" s="732"/>
      <c r="C152" s="389"/>
      <c r="D152" s="726"/>
      <c r="E152" s="389"/>
      <c r="F152" s="389"/>
      <c r="G152" s="389"/>
      <c r="H152" s="389"/>
      <c r="I152" s="389"/>
      <c r="J152" s="389"/>
      <c r="K152" s="422">
        <v>94.702299999999994</v>
      </c>
      <c r="L152" s="520">
        <v>543</v>
      </c>
      <c r="M152" s="482"/>
    </row>
    <row r="153" spans="2:15">
      <c r="B153" s="732"/>
      <c r="C153" s="389"/>
      <c r="D153" s="726"/>
      <c r="E153" s="389"/>
      <c r="F153" s="389"/>
      <c r="G153" s="389"/>
      <c r="H153" s="389"/>
      <c r="I153" s="389"/>
      <c r="J153" s="389"/>
      <c r="K153" s="422">
        <v>27.310499999999998</v>
      </c>
      <c r="L153" s="520">
        <v>510</v>
      </c>
      <c r="M153" s="521">
        <v>40800</v>
      </c>
    </row>
    <row r="154" spans="2:15">
      <c r="B154" s="732"/>
      <c r="C154" s="389"/>
      <c r="D154" s="726"/>
      <c r="E154" s="389"/>
      <c r="F154" s="389"/>
      <c r="G154" s="389"/>
      <c r="H154" s="389"/>
      <c r="I154" s="389"/>
      <c r="J154" s="389"/>
      <c r="K154" s="422">
        <v>369.48940000000005</v>
      </c>
      <c r="L154" s="520">
        <v>699</v>
      </c>
      <c r="M154" s="521">
        <v>20970</v>
      </c>
    </row>
    <row r="155" spans="2:15">
      <c r="B155" s="732"/>
      <c r="C155" s="389"/>
      <c r="D155" s="726"/>
      <c r="E155" s="389"/>
      <c r="F155" s="389"/>
      <c r="G155" s="389"/>
      <c r="H155" s="389"/>
      <c r="I155" s="389"/>
      <c r="J155" s="389"/>
      <c r="K155" s="422">
        <v>66.028199999999998</v>
      </c>
      <c r="L155" s="520">
        <v>407</v>
      </c>
      <c r="M155" s="521">
        <v>14250</v>
      </c>
    </row>
    <row r="156" spans="2:15">
      <c r="B156" s="732"/>
      <c r="C156" s="389"/>
      <c r="D156" s="726"/>
      <c r="E156" s="389"/>
      <c r="F156" s="389"/>
      <c r="G156" s="389"/>
      <c r="H156" s="389"/>
      <c r="I156" s="389"/>
      <c r="J156" s="389"/>
      <c r="K156" s="522">
        <f>SUM(K151:K155)</f>
        <v>618.29330000000004</v>
      </c>
      <c r="L156" s="523">
        <f>SUM(L151:L155)</f>
        <v>2425</v>
      </c>
      <c r="M156" s="524">
        <f>SUM(M151:M155)</f>
        <v>76020</v>
      </c>
    </row>
    <row r="157" spans="2:15">
      <c r="B157" s="732"/>
      <c r="C157" s="389"/>
      <c r="D157" s="508" t="s">
        <v>695</v>
      </c>
      <c r="E157" s="389"/>
      <c r="F157" s="389"/>
      <c r="G157" s="389"/>
      <c r="H157" s="389"/>
      <c r="I157" s="389"/>
      <c r="J157" s="389"/>
      <c r="K157" s="414">
        <v>388.70699999999999</v>
      </c>
      <c r="L157" s="525">
        <v>1109</v>
      </c>
      <c r="M157" s="526"/>
    </row>
    <row r="158" spans="2:15" ht="15.6" thickBot="1">
      <c r="B158" s="738"/>
      <c r="C158" s="527"/>
      <c r="D158" s="528" t="s">
        <v>341</v>
      </c>
      <c r="E158" s="529"/>
      <c r="F158" s="529"/>
      <c r="G158" s="529"/>
      <c r="H158" s="529"/>
      <c r="I158" s="529"/>
      <c r="J158" s="529"/>
      <c r="K158" s="530">
        <f>SUM(K156:K157)</f>
        <v>1007.0003</v>
      </c>
      <c r="L158" s="531">
        <f>SUM(L156:L157)</f>
        <v>3534</v>
      </c>
      <c r="M158" s="532">
        <f>SUM(M156:M157)</f>
        <v>76020</v>
      </c>
    </row>
  </sheetData>
  <mergeCells count="36">
    <mergeCell ref="B151:B158"/>
    <mergeCell ref="D151:D156"/>
    <mergeCell ref="B92:B150"/>
    <mergeCell ref="D92:D101"/>
    <mergeCell ref="D102:D108"/>
    <mergeCell ref="D109:D114"/>
    <mergeCell ref="D115:D118"/>
    <mergeCell ref="D119:D124"/>
    <mergeCell ref="D125:D128"/>
    <mergeCell ref="D132:D138"/>
    <mergeCell ref="D145:D147"/>
    <mergeCell ref="B87:B91"/>
    <mergeCell ref="B41:B54"/>
    <mergeCell ref="D41:D49"/>
    <mergeCell ref="B55:B63"/>
    <mergeCell ref="D55:D59"/>
    <mergeCell ref="D60:D62"/>
    <mergeCell ref="B64:B65"/>
    <mergeCell ref="B66:B86"/>
    <mergeCell ref="D66:D71"/>
    <mergeCell ref="D72:D75"/>
    <mergeCell ref="D76:D80"/>
    <mergeCell ref="D81:D84"/>
    <mergeCell ref="M2:M3"/>
    <mergeCell ref="B4:B40"/>
    <mergeCell ref="D4:D8"/>
    <mergeCell ref="D9:D16"/>
    <mergeCell ref="D17:D20"/>
    <mergeCell ref="D22:D24"/>
    <mergeCell ref="D32:D38"/>
    <mergeCell ref="B2:B3"/>
    <mergeCell ref="C2:C3"/>
    <mergeCell ref="D2:D3"/>
    <mergeCell ref="E2:J2"/>
    <mergeCell ref="K2:K3"/>
    <mergeCell ref="L2:L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3</vt:i4>
      </vt:variant>
    </vt:vector>
  </HeadingPairs>
  <TitlesOfParts>
    <vt:vector size="33" baseType="lpstr">
      <vt:lpstr>Assumptions&amp;Calculations</vt:lpstr>
      <vt:lpstr>Summary</vt:lpstr>
      <vt:lpstr>L Requirements</vt:lpstr>
      <vt:lpstr>Beneficiary Estimation</vt:lpstr>
      <vt:lpstr>World Bank Commodity Price Data</vt:lpstr>
      <vt:lpstr>MOPS</vt:lpstr>
      <vt:lpstr>Fuel Cost</vt:lpstr>
      <vt:lpstr>Daily Exchange Rate</vt:lpstr>
      <vt:lpstr>Machinery Inventory (Rice)</vt:lpstr>
      <vt:lpstr>Operation Inventory (Rice)</vt:lpstr>
      <vt:lpstr>Total Inventory (Rice)</vt:lpstr>
      <vt:lpstr>Total Fuel per Operation (Rice)</vt:lpstr>
      <vt:lpstr>Machinery Inventory (Corn)</vt:lpstr>
      <vt:lpstr>Operation Inventory (Corn)</vt:lpstr>
      <vt:lpstr>Total Inventory (Corn)</vt:lpstr>
      <vt:lpstr>Total Fuel per Operation (Corn)</vt:lpstr>
      <vt:lpstr>Machinery Inventory (HVC)</vt:lpstr>
      <vt:lpstr>Operation Inventory (HVC)</vt:lpstr>
      <vt:lpstr>Total Inventory (HVC)</vt:lpstr>
      <vt:lpstr>Total Fuel per Operation (HVC)</vt:lpstr>
      <vt:lpstr>BreakDown</vt:lpstr>
      <vt:lpstr>Total Fuel per Operation(Sugar)</vt:lpstr>
      <vt:lpstr>Fuel per Province (Sugar)</vt:lpstr>
      <vt:lpstr>Fuel per Region (Sugar)</vt:lpstr>
      <vt:lpstr>Consumption per month</vt:lpstr>
      <vt:lpstr>Summary (80%2)</vt:lpstr>
      <vt:lpstr>Capture Fuel Consumption</vt:lpstr>
      <vt:lpstr>Fishery Beneficiary Estimation</vt:lpstr>
      <vt:lpstr>Aquaculture Fuel Consumption</vt:lpstr>
      <vt:lpstr>Aquaculture Breakdown</vt:lpstr>
      <vt:lpstr>'Daily Exchange Rate'!Print_Area</vt:lpstr>
      <vt:lpstr>'Daily Exchange Rate'!Print_Titles</vt:lpstr>
      <vt:lpstr>'World Bank Commodity Price Data'!Print_Titles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Melvin Rosas</dc:creator>
  <cp:lastModifiedBy>Ronald Melvin Rosas | DA-BAFE</cp:lastModifiedBy>
  <dcterms:created xsi:type="dcterms:W3CDTF">2022-07-25T01:25:54Z</dcterms:created>
  <dcterms:modified xsi:type="dcterms:W3CDTF">2025-09-07T18:21:21Z</dcterms:modified>
</cp:coreProperties>
</file>